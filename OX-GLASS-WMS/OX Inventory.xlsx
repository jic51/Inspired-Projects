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PM_DIRECTORY" sheetId="2" r:id="rId6"/>
    <sheet state="visible" name="RACK_PHOTOS" sheetId="3" r:id="rId7"/>
    <sheet state="visible" name="ARCHIVE_HISTORY" sheetId="4" r:id="rId8"/>
    <sheet state="visible" name="ERROR_LOG" sheetId="5" r:id="rId9"/>
    <sheet state="visible" name="WASTED_STOCK" sheetId="6" r:id="rId10"/>
    <sheet state="visible" name="MATERIAL_LOCKS" sheetId="7" r:id="rId11"/>
    <sheet state="visible" name="USERS_V3" sheetId="8" r:id="rId12"/>
    <sheet state="visible" name="INCOMING_V3" sheetId="9" r:id="rId13"/>
    <sheet state="visible" name="SITE_STOCK" sheetId="10" r:id="rId14"/>
    <sheet state="visible" name="LIVE_STOCK" sheetId="11" r:id="rId15"/>
    <sheet state="visible" name="RESERVATIONS" sheetId="12" r:id="rId16"/>
    <sheet state="visible" name="AUDIT_LOG" sheetId="13" r:id="rId17"/>
    <sheet state="visible" name="MASTER_ARCHIVE_V3" sheetId="14" r:id="rId18"/>
    <sheet state="visible" name="WINDOW" sheetId="15" r:id="rId19"/>
    <sheet state="visible" name="SCREEN" sheetId="16" r:id="rId20"/>
    <sheet state="visible" name="BONEYARD" sheetId="17" r:id="rId21"/>
    <sheet state="visible" name="FLASHING" sheetId="18" r:id="rId22"/>
  </sheets>
  <definedNames>
    <definedName hidden="1" localSheetId="9" name="_xlnm._FilterDatabase">SITE_STOCK!$A$1:$G$153</definedName>
    <definedName hidden="1" localSheetId="10" name="_xlnm._FilterDatabase">LIVE_STOCK!$A$1:$H$484</definedName>
    <definedName hidden="1" localSheetId="13" name="_xlnm._FilterDatabase">MASTER_ARCHIVE_V3!$A$1:$T$956</definedName>
    <definedName hidden="1" localSheetId="14" name="_xlnm._FilterDatabase">WINDOW!$A$1:$S$171</definedName>
    <definedName hidden="1" localSheetId="15" name="_xlnm._FilterDatabase">SCREEN!$A$1:$S$163</definedName>
    <definedName hidden="1" localSheetId="16" name="_xlnm._FilterDatabase">BONEYARD!$A$1:$L$34</definedName>
    <definedName hidden="1" localSheetId="17" name="_xlnm._FilterDatabase">FLASHING!$A$1:$L$13</definedName>
  </definedNames>
  <calcPr/>
</workbook>
</file>

<file path=xl/sharedStrings.xml><?xml version="1.0" encoding="utf-8"?>
<sst xmlns="http://schemas.openxmlformats.org/spreadsheetml/2006/main" count="18764" uniqueCount="3049">
  <si>
    <t>Projects</t>
  </si>
  <si>
    <t>Name</t>
  </si>
  <si>
    <t>Email</t>
  </si>
  <si>
    <t>Categories</t>
  </si>
  <si>
    <t>System Date</t>
  </si>
  <si>
    <t>Location</t>
  </si>
  <si>
    <t>Suppliers</t>
  </si>
  <si>
    <t>KIM WILLIAMS</t>
  </si>
  <si>
    <t>PhotoURL</t>
  </si>
  <si>
    <t>kim@ox-glass.com</t>
  </si>
  <si>
    <t>Racks</t>
  </si>
  <si>
    <t>Type</t>
  </si>
  <si>
    <t>UploadedBy</t>
  </si>
  <si>
    <t>Madeline Blackburn</t>
  </si>
  <si>
    <t>UploadedAt</t>
  </si>
  <si>
    <t>madeline@ox-glass.com</t>
  </si>
  <si>
    <t>Location Type</t>
  </si>
  <si>
    <t>MIRRORS/SHOWERS WAREHOUSE</t>
  </si>
  <si>
    <t>Joe Allred</t>
  </si>
  <si>
    <t>GC</t>
  </si>
  <si>
    <t>https://drive.google.com/file/d/1WVMkDiWHHcbUPt68OCmAMk2CtWhIdnKt/view?usp=drivesdk</t>
  </si>
  <si>
    <t>joea@ox-glass.com</t>
  </si>
  <si>
    <t>email</t>
  </si>
  <si>
    <t>Joe Lummus</t>
  </si>
  <si>
    <t>Po#</t>
  </si>
  <si>
    <t>josephl@ox-glass.com</t>
  </si>
  <si>
    <t>role</t>
  </si>
  <si>
    <t>Adam Allred</t>
  </si>
  <si>
    <t>Qty</t>
  </si>
  <si>
    <t>adama@ox-glass.com</t>
  </si>
  <si>
    <t>ACC STUDENT HOUSING</t>
  </si>
  <si>
    <t>Terry Thompson</t>
  </si>
  <si>
    <t>Unit</t>
  </si>
  <si>
    <t>terry@ox-glass.com</t>
  </si>
  <si>
    <t>WINDOW</t>
  </si>
  <si>
    <t>AMSCO</t>
  </si>
  <si>
    <t>Jared Williams</t>
  </si>
  <si>
    <t>Date Received</t>
  </si>
  <si>
    <t>WAREHOUSE</t>
  </si>
  <si>
    <t>jared@ox-glass.com</t>
  </si>
  <si>
    <t>joseisrael5101@gmail.com</t>
  </si>
  <si>
    <t>Brady Williams</t>
  </si>
  <si>
    <t>brady@ox-glass.com</t>
  </si>
  <si>
    <t>Loc</t>
  </si>
  <si>
    <t>Josh Williams</t>
  </si>
  <si>
    <t>joshw@ox-glass.com</t>
  </si>
  <si>
    <t>Supplier</t>
  </si>
  <si>
    <t>BRIX CONSTRUCTION: STUDY CENTER</t>
  </si>
  <si>
    <t>JOSE CASTRO</t>
  </si>
  <si>
    <t>SCREEN</t>
  </si>
  <si>
    <t>Comments</t>
  </si>
  <si>
    <t>ALSIDE</t>
  </si>
  <si>
    <t>jose@ox-glass.com</t>
  </si>
  <si>
    <t>WINDOW WAREHOUSE</t>
  </si>
  <si>
    <t>In Stock</t>
  </si>
  <si>
    <t>Trevor Blackburn</t>
  </si>
  <si>
    <t>trevorb@ox-glass.com</t>
  </si>
  <si>
    <t>Responsible</t>
  </si>
  <si>
    <t>ADMIN</t>
  </si>
  <si>
    <t>CLOUDVEIL (EAGLE RIDGE)</t>
  </si>
  <si>
    <t>Project</t>
  </si>
  <si>
    <t>WINDOW_PARTS</t>
  </si>
  <si>
    <t>RAIN BUSTER</t>
  </si>
  <si>
    <t>STOREFRONT WAREHOUSE</t>
  </si>
  <si>
    <t>Mat ID</t>
  </si>
  <si>
    <t>VIEWER</t>
  </si>
  <si>
    <t>HIGHLAND ROW TOWNHOMES</t>
  </si>
  <si>
    <t>Document link</t>
  </si>
  <si>
    <t>SHOWER</t>
  </si>
  <si>
    <t>DUPONT</t>
  </si>
  <si>
    <t>CART #4</t>
  </si>
  <si>
    <t>CART</t>
  </si>
  <si>
    <t>User</t>
  </si>
  <si>
    <t>HOLBROOK CLUBHOUSE</t>
  </si>
  <si>
    <t>Destination</t>
  </si>
  <si>
    <t>MIRROR</t>
  </si>
  <si>
    <t>ULINE</t>
  </si>
  <si>
    <t>CART #9</t>
  </si>
  <si>
    <t>MoveType</t>
  </si>
  <si>
    <t>PM</t>
  </si>
  <si>
    <t>HOLBROOK2</t>
  </si>
  <si>
    <t>STOREFRONT</t>
  </si>
  <si>
    <t>WINDSOR</t>
  </si>
  <si>
    <t>DELIVERY SHELF</t>
  </si>
  <si>
    <t>SHELF</t>
  </si>
  <si>
    <t>KUNA APTS</t>
  </si>
  <si>
    <t>TOOLS</t>
  </si>
  <si>
    <t>QUAKER</t>
  </si>
  <si>
    <t>A</t>
  </si>
  <si>
    <t>RACK</t>
  </si>
  <si>
    <t>KUNA APTS A</t>
  </si>
  <si>
    <t>BONEYARD</t>
  </si>
  <si>
    <t>HARTUNG</t>
  </si>
  <si>
    <t>B</t>
  </si>
  <si>
    <t>joshj@ox-glass.com</t>
  </si>
  <si>
    <t>KUNA APTS B</t>
  </si>
  <si>
    <t>FLASHING/CAULK</t>
  </si>
  <si>
    <t>AMI (ASSOCCIATED MATERIALS INCORPORATED)</t>
  </si>
  <si>
    <t>C</t>
  </si>
  <si>
    <t>LEHI TOWNHOMES</t>
  </si>
  <si>
    <t>SCREWS</t>
  </si>
  <si>
    <t>UG (UTAH GLASS)</t>
  </si>
  <si>
    <t>P</t>
  </si>
  <si>
    <t>LIBERTY WELLS TOWNHOMES</t>
  </si>
  <si>
    <t>IGU</t>
  </si>
  <si>
    <t>SUNSHINE (SUPPLY COMPANY INCORPORATED)</t>
  </si>
  <si>
    <t>A1A</t>
  </si>
  <si>
    <t>stan@ox-glass.com</t>
  </si>
  <si>
    <t>OLAYAN RESIDENCE</t>
  </si>
  <si>
    <t>MISCELLANEOUS GLASS</t>
  </si>
  <si>
    <t>FORGE TOOLS</t>
  </si>
  <si>
    <t>A1B</t>
  </si>
  <si>
    <t>mr.spencer.syphus@gmail.com</t>
  </si>
  <si>
    <t>RIVER MEADOWS CLUBHO</t>
  </si>
  <si>
    <t>SHOWER_HARDWARE</t>
  </si>
  <si>
    <t>WINDOR</t>
  </si>
  <si>
    <t>A1C</t>
  </si>
  <si>
    <t>RIVER MEADOWS W2</t>
  </si>
  <si>
    <t>OTHER</t>
  </si>
  <si>
    <t>FHC (FRAMELESS HARDWARE COMPANY)</t>
  </si>
  <si>
    <t>A2A</t>
  </si>
  <si>
    <t>WESTERLY</t>
  </si>
  <si>
    <t>ANDERSEN (WINDOWS AND DOORS)</t>
  </si>
  <si>
    <t>A2B</t>
  </si>
  <si>
    <t>skiizzys12@gmail.com</t>
  </si>
  <si>
    <t>WESTERLY SHOWER</t>
  </si>
  <si>
    <t>A2C</t>
  </si>
  <si>
    <t>WHILOT219</t>
  </si>
  <si>
    <t>A3A</t>
  </si>
  <si>
    <t>Timestamp</t>
  </si>
  <si>
    <t>patric@ox-glass.com</t>
  </si>
  <si>
    <t>WHILOT224POPPY</t>
  </si>
  <si>
    <t>Severity</t>
  </si>
  <si>
    <t>A3B</t>
  </si>
  <si>
    <t>A3C</t>
  </si>
  <si>
    <t>Source</t>
  </si>
  <si>
    <t>A4A</t>
  </si>
  <si>
    <t>Action</t>
  </si>
  <si>
    <t>A4B</t>
  </si>
  <si>
    <t>Message</t>
  </si>
  <si>
    <t>A4C</t>
  </si>
  <si>
    <t>Context</t>
  </si>
  <si>
    <t>A5A</t>
  </si>
  <si>
    <t>RequestId</t>
  </si>
  <si>
    <t>A5B</t>
  </si>
  <si>
    <t>ERROR</t>
  </si>
  <si>
    <t>A5C</t>
  </si>
  <si>
    <t>frontend</t>
  </si>
  <si>
    <t>manual_test</t>
  </si>
  <si>
    <t>Prueba manual de error log</t>
  </si>
  <si>
    <t>A6A</t>
  </si>
  <si>
    <t>{"stack":"","url":"https://n-w574snaeekawf6rxanfi47aan5tdhjos6xyqp2a-0lu-script.googleusercontent.com/userCodeAppPanel?createOAuthDialog=true"}</t>
  </si>
  <si>
    <t>25284c5c</t>
  </si>
  <si>
    <t>A6B</t>
  </si>
  <si>
    <t>A6C</t>
  </si>
  <si>
    <t>backend</t>
  </si>
  <si>
    <t>updateConfig</t>
  </si>
  <si>
    <t>Los permisos especificados no son suficientes para llamar a ScriptApp.getProjectTriggers. Permisos necesarios: https://www.googleapis.com/auth/script.scriptapp</t>
  </si>
  <si>
    <t>B1A</t>
  </si>
  <si>
    <t>{"value":"6","type":"archiveCutoffMonths"}</t>
  </si>
  <si>
    <t>e98b320f</t>
  </si>
  <si>
    <t>B1B</t>
  </si>
  <si>
    <t>B1C</t>
  </si>
  <si>
    <t>{"value":"12","type":"archiveCutoffMonths"}</t>
  </si>
  <si>
    <t>B2A</t>
  </si>
  <si>
    <t>B2B</t>
  </si>
  <si>
    <t>{"type":"archiveCutoffMonths","value":"18"}</t>
  </si>
  <si>
    <t>B2C</t>
  </si>
  <si>
    <t>Category</t>
  </si>
  <si>
    <t>02c833eb</t>
  </si>
  <si>
    <t>B3A</t>
  </si>
  <si>
    <t>B3B</t>
  </si>
  <si>
    <t>B3C</t>
  </si>
  <si>
    <t>Last_Updated</t>
  </si>
  <si>
    <t>B4A</t>
  </si>
  <si>
    <t>B4B</t>
  </si>
  <si>
    <t>B4C</t>
  </si>
  <si>
    <t>B5A</t>
  </si>
  <si>
    <t>{"type":"archiveCutoffMonths","value":"6"}</t>
  </si>
  <si>
    <t>B5B</t>
  </si>
  <si>
    <t>08a00c0a</t>
  </si>
  <si>
    <t>UNIT</t>
  </si>
  <si>
    <t>B5C</t>
  </si>
  <si>
    <t>B6A</t>
  </si>
  <si>
    <t>ELKWOOD ADDITIONAL</t>
  </si>
  <si>
    <t>B6B</t>
  </si>
  <si>
    <t>B6C</t>
  </si>
  <si>
    <t>C1A</t>
  </si>
  <si>
    <t>9b46a7f0</t>
  </si>
  <si>
    <t>C1B</t>
  </si>
  <si>
    <t>C1C</t>
  </si>
  <si>
    <t>C2A</t>
  </si>
  <si>
    <t>C2B</t>
  </si>
  <si>
    <t>5ee2ec53</t>
  </si>
  <si>
    <t>C2C</t>
  </si>
  <si>
    <t>C3A</t>
  </si>
  <si>
    <t>C3B</t>
  </si>
  <si>
    <t>C3C</t>
  </si>
  <si>
    <t>ca882608</t>
  </si>
  <si>
    <t>C4A</t>
  </si>
  <si>
    <t>C4B</t>
  </si>
  <si>
    <t>C4C</t>
  </si>
  <si>
    <t>C5A</t>
  </si>
  <si>
    <t>C5B</t>
  </si>
  <si>
    <t>ed923693</t>
  </si>
  <si>
    <t>C5C</t>
  </si>
  <si>
    <t>C6A</t>
  </si>
  <si>
    <t>C6B</t>
  </si>
  <si>
    <t>C6C</t>
  </si>
  <si>
    <t>P1A</t>
  </si>
  <si>
    <t>3755fd4d</t>
  </si>
  <si>
    <t>P1B</t>
  </si>
  <si>
    <t>P1C</t>
  </si>
  <si>
    <t>P2A</t>
  </si>
  <si>
    <t>P2B</t>
  </si>
  <si>
    <t>d7e798e0</t>
  </si>
  <si>
    <t>P2C</t>
  </si>
  <si>
    <t>P3A</t>
  </si>
  <si>
    <t>P3B</t>
  </si>
  <si>
    <t>P3C</t>
  </si>
  <si>
    <t>check</t>
  </si>
  <si>
    <t>P4A</t>
  </si>
  <si>
    <t>b4adbdaf</t>
  </si>
  <si>
    <t>P4B</t>
  </si>
  <si>
    <t>P4C</t>
  </si>
  <si>
    <t>WARN</t>
  </si>
  <si>
    <t>O1A</t>
  </si>
  <si>
    <t>addMultiEntry</t>
  </si>
  <si>
    <t>O1B</t>
  </si>
  <si>
    <t>DUPLICATE_MOVEMENT|934|0.5</t>
  </si>
  <si>
    <t>{"pm":"11111","truck":"","isGeneric":false,"materials":[{"category":"WINDOW","unit":"UNIT","name":"11111111111111111111","locations":[{"loc":"B","qty":1}],"qty":1}],"comments":"","responsible":"","dateRec":"2026-07-27","po":"1111","docGroups":[],"gc":"1111","forceSubmit":false,"supplier":"AAA111111","project":"1111","notifyRecipients":null}</t>
  </si>
  <si>
    <t>O1C</t>
  </si>
  <si>
    <t>701d45a9</t>
  </si>
  <si>
    <t>O2A</t>
  </si>
  <si>
    <t>O2B</t>
  </si>
  <si>
    <t>ID</t>
  </si>
  <si>
    <t>O2C</t>
  </si>
  <si>
    <t>O3A</t>
  </si>
  <si>
    <t>MatId</t>
  </si>
  <si>
    <t>DUPLICATE_MOVEMENT|934|1</t>
  </si>
  <si>
    <t>O3B</t>
  </si>
  <si>
    <t>{"po":"1111","gc":"1111","notifyRecipients":null,"project":"1111","materials":[{"locations":[{"loc":"B","qty":1}],"category":"WINDOW","unit":"UNIT","name":"11111111111111111111","qty":1}],"supplier":"AAA111111","responsible":"","docGroups":[],"truck":"","pm":"11111","comments":"⬇ CSV\nLoading…\n+ Entry (IN)\n− Exit (OUT)\n⚙ Columns\n▾\nType\tDate\tCategory\tName\tQty\tUnit\tPO#\tSrc→Dest\tProject\tSupplier\tComments\tUser\tDoc\t\n↓ ENTRY\t2026-07-27\tWINDOW\t11111111111111111111\t+1\tUNIT\t1111\tA\t1111\tAAA111111\tA111111\tjose@ox-glass.com\t\n—\n📎\n✏️\n🗑\n↓ ENTRY\t2026-07-27\tWINDOW\t11111111111111111111\t+1\tUNIT\t1111\tA\t1111\tAAA111111\t1111111111\tjose@ox-glass.com\t\n—\n📎\n✏️\n🗑\n⇄ TRANSFER\t2026-07-23\tWINDOW\tFAIRFIELD INN &amp; SUITES\t+3\tUNIT\t—\tWINDOW WAREHOUSE → C2A\tGENERIC\t—\t—\tjose@ox-glass.com\t\n—\n📎\n✏️\n🗑\n↑ EXIT\t2026-07-23\tWINDOW\tTRENT B JAMES ANDERSON (FX-REORDERE)\t−2\tUNIT\t—\tC6B → JAMES ANDERSON\t—\t—\t—\tjose@ox-glass.com\t\n—\n📎\n✏️\n🗑\n↑ EXIT\t2</t>
  </si>
  <si>
    <t>dd61706c</t>
  </si>
  <si>
    <t>O3C</t>
  </si>
  <si>
    <t>Rack</t>
  </si>
  <si>
    <t>O4A</t>
  </si>
  <si>
    <t>AllowedDestinations</t>
  </si>
  <si>
    <t>O4B</t>
  </si>
  <si>
    <t>Reason</t>
  </si>
  <si>
    <t>DUPLICATE_MOVEMENT|934|2.8</t>
  </si>
  <si>
    <t>Role</t>
  </si>
  <si>
    <t>O4C</t>
  </si>
  <si>
    <t>{"docGroups":[],"comments":"AAAAAAAA","truck":"","pm":"11111","gc":"1111","materials":[{"category":"WINDOW","qty":1,"name":"11111111111111111111","locations":[{"qty":1,"loc":"B"}],"unit":"UNIT"}],"supplier":"AAA111111","isGeneric":false,"forceSubmit":false,"po":"1111","dateRec":"2026-07-27","project":"1111","responsible":"","notifyRecipients":null}</t>
  </si>
  <si>
    <t>Added By</t>
  </si>
  <si>
    <t>LockedBy</t>
  </si>
  <si>
    <t>5a50c29a</t>
  </si>
  <si>
    <t>X1A</t>
  </si>
  <si>
    <t>Added At</t>
  </si>
  <si>
    <t>LockedAt</t>
  </si>
  <si>
    <t>X1B</t>
  </si>
  <si>
    <t>Active</t>
  </si>
  <si>
    <t>Status</t>
  </si>
  <si>
    <t>USR-1778699048377</t>
  </si>
  <si>
    <t>X1C</t>
  </si>
  <si>
    <t>UnlockedBy</t>
  </si>
  <si>
    <t>Jose Castro</t>
  </si>
  <si>
    <t>UnlockedAt</t>
  </si>
  <si>
    <t>IGU CART</t>
  </si>
  <si>
    <t>DUPLICATE_MOVEMENT|935|0.9</t>
  </si>
  <si>
    <t>LOCK-1784132713429</t>
  </si>
  <si>
    <t>{"gc":"1111","responsible":"","po":"1111","forceSubmit":false,"dateRec":"2026-07-27","docGroups":[],"project":"1111","comments":"SSSSSSSS","truck":"","notifyRecipients":null,"isGeneric":false,"supplier":"AAA111111","materials":[{"category":"WINDOW","locations":[{"qty":1,"loc":"C"}],"unit":"UNIT","name":"11111111111111111111","qty":1}],"pm":"11111"}</t>
  </si>
  <si>
    <t>WINDOW|||TOL MH146</t>
  </si>
  <si>
    <t>ADAM A. CART</t>
  </si>
  <si>
    <t>5e38e389</t>
  </si>
  <si>
    <t>USR-1778699330589</t>
  </si>
  <si>
    <t>TOL MH146</t>
  </si>
  <si>
    <t>ORDERED WRONG WINDOWS, KIM WILL USE THEM IN DIFFERENT JOBS</t>
  </si>
  <si>
    <t>Joshua Williams</t>
  </si>
  <si>
    <t>ADAM A. BAY</t>
  </si>
  <si>
    <t>LOCK-1785347726257</t>
  </si>
  <si>
    <t>BAY</t>
  </si>
  <si>
    <t>WINDOW|||MH 159</t>
  </si>
  <si>
    <t>USR-1778699395362</t>
  </si>
  <si>
    <t>MH 159</t>
  </si>
  <si>
    <t>JOE L. CART</t>
  </si>
  <si>
    <t>DUPLICATE_MOVEMENT|937|0.3</t>
  </si>
  <si>
    <t>Ordered wrong</t>
  </si>
  <si>
    <t>{"docGroups":[],"isGeneric":false,"comments":"ASFADGFASD","dateRec":"2026-07-27","gc":"1111","pm":"11111","po":"1111","notifyRecipients":null,"supplier":"AAA111111","truck":"","forceSubmit":false,"responsible":"","project":"1111","materials":[{"unit":"UNIT","qty":1,"category":"WINDOW","name":"11111111111111111111","locations":[{"loc":"A","qty":1}]}]}</t>
  </si>
  <si>
    <t>JOE L. BAY</t>
  </si>
  <si>
    <t>USR-1778699423212</t>
  </si>
  <si>
    <t>a39551db</t>
  </si>
  <si>
    <t>Joseph Lumus</t>
  </si>
  <si>
    <t>JOE A. CART</t>
  </si>
  <si>
    <t>USR-1778699462535</t>
  </si>
  <si>
    <t>JOE A. BAY</t>
  </si>
  <si>
    <t>USR-1778699543957</t>
  </si>
  <si>
    <t>DUPLICATE_MOVEMENT|937|0.6</t>
  </si>
  <si>
    <t>TERRY T. CART</t>
  </si>
  <si>
    <t>Kimberly Williams</t>
  </si>
  <si>
    <t>{"gc":"1111","pm":"11111","isGeneric":false,"supplier":"AAA111111","po":"1111","comments":"ASFADGFASD","materials":[{"name":"11111111111111111111","locations":[{"loc":"A","qty":1}],"unit":"UNIT","qty":1,"category":"WINDOW"}],"dateRec":"2026-07-27","project":"1111","docGroups":[],"truck":"","forceSubmit":false,"notifyRecipients":null,"responsible":""}</t>
  </si>
  <si>
    <t>b4b4fef5</t>
  </si>
  <si>
    <t>TERRY T. BAY</t>
  </si>
  <si>
    <t>USR-1778699592318</t>
  </si>
  <si>
    <t>PM's OFFICE</t>
  </si>
  <si>
    <t>SHOWROOM</t>
  </si>
  <si>
    <t>USR-1778699665059</t>
  </si>
  <si>
    <t>BACKER ROD</t>
  </si>
  <si>
    <t>unhandledrejection</t>
  </si>
  <si>
    <t>Joshua Jessop</t>
  </si>
  <si>
    <t>Failed to connect to MetaMask</t>
  </si>
  <si>
    <t>USR-1778699724681</t>
  </si>
  <si>
    <t>FLASHING PAPER 9''</t>
  </si>
  <si>
    <t>{"stack":"i: Failed to connect to MetaMask\n    at Object.connect (chrome-extension://nkbihfbeogaeaoehlefnkodbefgpgknn/scripts/inpage.js:7:84179)","url":"https://n-w574snaeekawf6rxanfi47aan5tdhjos6xyqp2a-0lu-script.googleusercontent.com/userCodeAppPanel"}</t>
  </si>
  <si>
    <t>60e30685</t>
  </si>
  <si>
    <t>FLASHING TAPE 6''</t>
  </si>
  <si>
    <t>USR-1778699780193</t>
  </si>
  <si>
    <t>FLEX WRAP 9''</t>
  </si>
  <si>
    <t>LEVATACHANNELCAP</t>
  </si>
  <si>
    <t>USR-1778699841275</t>
  </si>
  <si>
    <t>Stan Thompson</t>
  </si>
  <si>
    <t>OPEN CELL BACKER ROD 7/8 X 350</t>
  </si>
  <si>
    <t>USR-1778700757447</t>
  </si>
  <si>
    <t>RAIN BUSTER 440</t>
  </si>
  <si>
    <t>Spencer</t>
  </si>
  <si>
    <t>abc78274</t>
  </si>
  <si>
    <t>USR-1778791052956</t>
  </si>
  <si>
    <t>RAIN BUSTER 450</t>
  </si>
  <si>
    <t>STRAIGHT FLASH 4''</t>
  </si>
  <si>
    <t>addMultiExit</t>
  </si>
  <si>
    <t>USR-1779464387165</t>
  </si>
  <si>
    <t>INSUFFICIENT STOCK for CAMDEN COMMONS 11_12. Available: 0 (Warehouse: 0, Reserved: 0). Cannot remove 28.</t>
  </si>
  <si>
    <t>{"destLoc":"CAMDEN COMMONS 11/12","status":"Out","forceSubmit":false,"materials":[{"category":"WINDOW","name":"CAMDEN COMMONS 11/12","locations":[{"loc":"A6A","qty":28}],"destLoc":""}],"responsible":"","comments":"","dateRec":"2026-07-29"}</t>
  </si>
  <si>
    <t>STRAIGHT FLASH 9''</t>
  </si>
  <si>
    <t>4f14e1f1</t>
  </si>
  <si>
    <t>USR-1780416068827</t>
  </si>
  <si>
    <t>TUBULAR SINGLE SLIDER TOWL BAR</t>
  </si>
  <si>
    <t>Elijah Williams</t>
  </si>
  <si>
    <t>FLASHING TAPE 6"</t>
  </si>
  <si>
    <t>USR-1780588496789</t>
  </si>
  <si>
    <t>FLASHING TAPE</t>
  </si>
  <si>
    <t>FLASHINGTAPE 9''</t>
  </si>
  <si>
    <t>USR-1781104734400</t>
  </si>
  <si>
    <t>{"status":"Out","materials":[{"category":"WINDOW","locations":[{"qty":28,"loc":"A6A"}],"name":"CAMDEN COMMONS 11/12","destLoc":""}],"dateRec":"2026-07-29","forceSubmit":false,"destLoc":"CAMDEN COMMONS 11/12","comments":"","responsible":""}</t>
  </si>
  <si>
    <t>Patrick Gerrard</t>
  </si>
  <si>
    <t>GE SILPRUF SC2000</t>
  </si>
  <si>
    <t>5eb40cae</t>
  </si>
  <si>
    <t>PREMIUM SHOWER DOOR HEADER 95 LONG</t>
  </si>
  <si>
    <t>Est. Date</t>
  </si>
  <si>
    <t>PO</t>
  </si>
  <si>
    <t>Notes</t>
  </si>
  <si>
    <t>Doc Link</t>
  </si>
  <si>
    <t>INC-1778618350779</t>
  </si>
  <si>
    <t>LIBERTY WELLS B3/7</t>
  </si>
  <si>
    <t>REORDER</t>
  </si>
  <si>
    <t>Arrived</t>
  </si>
  <si>
    <t>INC-1778618456884</t>
  </si>
  <si>
    <t>KATHUELSKAMP</t>
  </si>
  <si>
    <t>INC-1778618721743</t>
  </si>
  <si>
    <t>1ACACSL IGU</t>
  </si>
  <si>
    <t>INC-1778618812218</t>
  </si>
  <si>
    <t>LIBERTY WELLS B4</t>
  </si>
  <si>
    <t>Rain Buster 450</t>
  </si>
  <si>
    <t>UNASSIGNED</t>
  </si>
  <si>
    <t>BOX</t>
  </si>
  <si>
    <t>At Site</t>
  </si>
  <si>
    <t>INC-1778618873155</t>
  </si>
  <si>
    <t>WASTCH SPRINGS B2</t>
  </si>
  <si>
    <t>GOO - HFLot1441W</t>
  </si>
  <si>
    <t>HFLot153</t>
  </si>
  <si>
    <t>INC-1778618950061</t>
  </si>
  <si>
    <t>2PATSP639</t>
  </si>
  <si>
    <t>HFLot135</t>
  </si>
  <si>
    <t>SP 639 Roslyn [PAT-SP 639], SEE ~04-5489~ FOR SPECIAL ORDER</t>
  </si>
  <si>
    <t>INC-1778619000734</t>
  </si>
  <si>
    <t>2PATSP639 SPECIAL PO</t>
  </si>
  <si>
    <t>PAT PVS4</t>
  </si>
  <si>
    <t>GENERIC</t>
  </si>
  <si>
    <t>SP 639 Roslyn [PAT-SP 639], SEE 04-5488 FOR ORIGINAL ENTRY!</t>
  </si>
  <si>
    <t>INC-1778619353110</t>
  </si>
  <si>
    <t>MISCLevata</t>
  </si>
  <si>
    <t>HFLot154</t>
  </si>
  <si>
    <t>LGI REDROCK DISCOUNT</t>
  </si>
  <si>
    <t>Levata 2.26(VE taupe) [Levata]</t>
  </si>
  <si>
    <t>INC-1778621168809</t>
  </si>
  <si>
    <t>PAT AC64 EXTRA</t>
  </si>
  <si>
    <t>PATTERSON HOMES</t>
  </si>
  <si>
    <t>KATIE ALLRED IGU</t>
  </si>
  <si>
    <t>PAT SC17</t>
  </si>
  <si>
    <t>ADAM A.</t>
  </si>
  <si>
    <t>INC-1778621267316</t>
  </si>
  <si>
    <t>CITIZEN LIFT RESIDENTIALS</t>
  </si>
  <si>
    <t>Location_Type</t>
  </si>
  <si>
    <t>DAL-BARNES</t>
  </si>
  <si>
    <t>TERRY T.</t>
  </si>
  <si>
    <t>INC-1778621409075</t>
  </si>
  <si>
    <t>FlashingTape 9''</t>
  </si>
  <si>
    <t>KUNA 104/106</t>
  </si>
  <si>
    <t>Flashing tape 6''</t>
  </si>
  <si>
    <t>JOE A.</t>
  </si>
  <si>
    <t>INC-1778621608429</t>
  </si>
  <si>
    <t>WASATCH SPRINGS BV3(V)</t>
  </si>
  <si>
    <t>Flex Wrap 9''</t>
  </si>
  <si>
    <t>Flashing Paper 9''</t>
  </si>
  <si>
    <t>Maxwell</t>
  </si>
  <si>
    <t>INC-1778621741884</t>
  </si>
  <si>
    <t>MAXWELL</t>
  </si>
  <si>
    <t>EDISON IGU REORDER</t>
  </si>
  <si>
    <t>PV137</t>
  </si>
  <si>
    <t>INC-1778622102660</t>
  </si>
  <si>
    <t>BMW5</t>
  </si>
  <si>
    <t>SKYVIEW BLDG</t>
  </si>
  <si>
    <t>479344-00</t>
  </si>
  <si>
    <t>BME8</t>
  </si>
  <si>
    <t>SKYVIEW BUILDING, curtain wall glass</t>
  </si>
  <si>
    <t>Pending</t>
  </si>
  <si>
    <t>PV126</t>
  </si>
  <si>
    <t>PATTERNSON HOMES</t>
  </si>
  <si>
    <t>INC-1778622204962</t>
  </si>
  <si>
    <t>PAT-BMW3</t>
  </si>
  <si>
    <t>SLIDING DOOR</t>
  </si>
  <si>
    <t>HFLot147</t>
  </si>
  <si>
    <t>INC-1778622258221</t>
  </si>
  <si>
    <t>WINDOW SCREEN</t>
  </si>
  <si>
    <t>BME2 TRACIE DOOR</t>
  </si>
  <si>
    <t>WHITE STAR</t>
  </si>
  <si>
    <t>INC-1778622294400</t>
  </si>
  <si>
    <t>FELT FAMILY DENTAL</t>
  </si>
  <si>
    <t>EPJ 420 DOOR</t>
  </si>
  <si>
    <t>PM'S OFFICE</t>
  </si>
  <si>
    <t>WHIASPEN</t>
  </si>
  <si>
    <t>INC-1778622369763</t>
  </si>
  <si>
    <t>HIGHLAND REMODEL | MAIN OFFICE</t>
  </si>
  <si>
    <t>ALVIN JENSON</t>
  </si>
  <si>
    <t>INC-1778707592143</t>
  </si>
  <si>
    <t>ADD_MOVEMENT</t>
  </si>
  <si>
    <t>Timp Valley Construction</t>
  </si>
  <si>
    <t>ENTRY | OLAYAN RESIDENCE x1</t>
  </si>
  <si>
    <t>Associated Materials Delivery - LOAD ID#96811505- PRO#30803- ORIGIN: YUMA - CARRIER: Clever</t>
  </si>
  <si>
    <t>ENTRY | HIGCAN.G.LUG x1</t>
  </si>
  <si>
    <t>INC-1778709327897</t>
  </si>
  <si>
    <t>KUNA-OXSashG102</t>
  </si>
  <si>
    <t>ENTRY | WESTERLYREORDER x1</t>
  </si>
  <si>
    <t>44 NORTH</t>
  </si>
  <si>
    <t>KUNA-OXSashG102 [Kuna]</t>
  </si>
  <si>
    <t>ENTRY | HOL2-B1&amp;2.M x13</t>
  </si>
  <si>
    <t>ENTRY | LIBERTY WELLS 2 x14</t>
  </si>
  <si>
    <t>DAL-WOODLAND</t>
  </si>
  <si>
    <t>INC-1778709367015</t>
  </si>
  <si>
    <t>ENTRY | EPJ 420 JACKIE x12</t>
  </si>
  <si>
    <t>ACC</t>
  </si>
  <si>
    <t>KUNA-XOSashF106</t>
  </si>
  <si>
    <t>PAT PV129</t>
  </si>
  <si>
    <t>ENTRY | EPJ 420 JACKIE x8</t>
  </si>
  <si>
    <t>ENTRY | PAT BMW 3 x28</t>
  </si>
  <si>
    <t>KUNA-XOSashF106 [Kuna]</t>
  </si>
  <si>
    <t>PAT PV138 MARNI</t>
  </si>
  <si>
    <t>LGILOT1049</t>
  </si>
  <si>
    <t>ENTRY | PAT BMW 3 x14</t>
  </si>
  <si>
    <t>ENTRY | PATBME2 x12</t>
  </si>
  <si>
    <t>LGI DESERT EDGE TOWNHOMES B1</t>
  </si>
  <si>
    <t>LGI DESERT EDGE TOWNHOMES</t>
  </si>
  <si>
    <t>INC-1778709482105</t>
  </si>
  <si>
    <t>DAL-WOODLAND HILLS</t>
  </si>
  <si>
    <t>MARVL</t>
  </si>
  <si>
    <t>MISCJakeBarlow</t>
  </si>
  <si>
    <t>SWE-WHITING FIELDS</t>
  </si>
  <si>
    <t>MISC-JakeBarlow [Misc - Jake Barlow Personal]</t>
  </si>
  <si>
    <t>WHI STRATTON MEADOWS LOT214</t>
  </si>
  <si>
    <t>ENTRY | LGI OQU185 x6</t>
  </si>
  <si>
    <t>INC-1778709530380</t>
  </si>
  <si>
    <t>WHI STRATTON MEADOWS LOT216</t>
  </si>
  <si>
    <t>PVS3</t>
  </si>
  <si>
    <t>ENTRY | LGI OQU185 x1</t>
  </si>
  <si>
    <t>DAL-CLINTON</t>
  </si>
  <si>
    <t>PVS 3 Aubrey [PATPVS3IGU], WRAP IN VINYL INSERT DO NOT REMOV</t>
  </si>
  <si>
    <t>BYRON ALLRED</t>
  </si>
  <si>
    <t>ENTRY | LGI OQU175 x10</t>
  </si>
  <si>
    <t>INC-1778709704823</t>
  </si>
  <si>
    <t>GOO-HFLot161</t>
  </si>
  <si>
    <t>MISCKentADD</t>
  </si>
  <si>
    <t>SAL BUSHMAN FARMS 2</t>
  </si>
  <si>
    <t>ENTRY | LGI OQU175 x1</t>
  </si>
  <si>
    <t>Kent Kay Addition reorder [MISCKentKay]</t>
  </si>
  <si>
    <t>ENTRY | LGI OQU183 x1</t>
  </si>
  <si>
    <t>JANNAE THOMAS</t>
  </si>
  <si>
    <t>INC-1778709756197</t>
  </si>
  <si>
    <t>ENTRY | LGI OQU183 x8</t>
  </si>
  <si>
    <t>MISCKK4060</t>
  </si>
  <si>
    <t>ICO-BONNELL RESIDENCE</t>
  </si>
  <si>
    <t>HIG CANNON RESIDENCE</t>
  </si>
  <si>
    <t>ENTRY | LGI OQU66 x1</t>
  </si>
  <si>
    <t>ENTRY | LGI OQU67 x1</t>
  </si>
  <si>
    <t>Kent Kay Addition [MISCKentKay]</t>
  </si>
  <si>
    <t>PAT SP516</t>
  </si>
  <si>
    <t>ENTRY | LGI OQU60 x1</t>
  </si>
  <si>
    <t>INC-1778709793503</t>
  </si>
  <si>
    <t>LGILOT1001-2W</t>
  </si>
  <si>
    <t>PRI-Loveless3PlexTH</t>
  </si>
  <si>
    <t>ENTRY | LGI OQU185 x4</t>
  </si>
  <si>
    <t>LANE ALLRED HOME</t>
  </si>
  <si>
    <t>EXIT | WHIASPEN x16</t>
  </si>
  <si>
    <t>Loveless3PlexTH [PRI - Loveless 3 plex Townhome]</t>
  </si>
  <si>
    <t>INC-1778709827017</t>
  </si>
  <si>
    <t>ENTRY | EDISON IGU RE x6</t>
  </si>
  <si>
    <t>MARCUS LUNT WIN</t>
  </si>
  <si>
    <t>SAL-BF2-Parts</t>
  </si>
  <si>
    <t>WESTERLY W15</t>
  </si>
  <si>
    <t>ENTRY | WASATCH SPRINGS x13</t>
  </si>
  <si>
    <t>SAL-BF2-Parts [SAL-Bushman Farms 2], WRAP IN GLASS FOAM</t>
  </si>
  <si>
    <t>ANDREW AAGARD</t>
  </si>
  <si>
    <t>ENTRY | LGI OQU66 x4</t>
  </si>
  <si>
    <t>INC-1778709869099</t>
  </si>
  <si>
    <t>DAL-MAD RES 3050</t>
  </si>
  <si>
    <t>WHI-222</t>
  </si>
  <si>
    <t>ENTRY | LGI44_49 REORDER x1</t>
  </si>
  <si>
    <t>KENT KAY</t>
  </si>
  <si>
    <t>ENTRY | LGI OQU60 x4</t>
  </si>
  <si>
    <t>CAMDEN COMMONS</t>
  </si>
  <si>
    <t>GOOD BORO CAMDEN COMMONS</t>
  </si>
  <si>
    <t>Lot 222 Poppy(5ft tall main) [WHI-222]</t>
  </si>
  <si>
    <t>JEFF WATSON</t>
  </si>
  <si>
    <t>INC-1778709909809</t>
  </si>
  <si>
    <t>ENTRY | LGI OQU175 x4</t>
  </si>
  <si>
    <t>WHIPR220</t>
  </si>
  <si>
    <t>ENTRY | 1 x1</t>
  </si>
  <si>
    <t>lot 220 Kathryn [WHI-Prosperity220]</t>
  </si>
  <si>
    <t>JACKLING WAY</t>
  </si>
  <si>
    <t>INC-1779199360134</t>
  </si>
  <si>
    <t>SAL-BF2 MAIN OFFICE</t>
  </si>
  <si>
    <t>ENTRY | LGI OQU67 x4</t>
  </si>
  <si>
    <t>PO# HIG-BF2- No. 2608623 ref: Bushman Lot 2|Main Office
This is an sgd from WinDor. ETA is 5/21. PO says HIG-BF2 - it should be logged as SAL-BF2 (the PO was wrong when the order was placed).</t>
  </si>
  <si>
    <t>Flashing tape</t>
  </si>
  <si>
    <t>INC-1779463216928</t>
  </si>
  <si>
    <t>SPRING CANYON 2</t>
  </si>
  <si>
    <t>Sweetwater - SPRING CANYON 2</t>
  </si>
  <si>
    <t>KUNA-2640</t>
  </si>
  <si>
    <t>HIGHLAND A&amp;R</t>
  </si>
  <si>
    <t>KUNA-2640REORDER</t>
  </si>
  <si>
    <t>JOSE A.</t>
  </si>
  <si>
    <t>INC-1779463324132</t>
  </si>
  <si>
    <t>ENTRY | LGI OQU183 x4</t>
  </si>
  <si>
    <t>ENTRY | EDISON IGU REORDER x2</t>
  </si>
  <si>
    <t>ALVIN JENSON ADDITIONAL</t>
  </si>
  <si>
    <t>INC-1779463538027</t>
  </si>
  <si>
    <t>PartsforAdam</t>
  </si>
  <si>
    <t>EPJ 420 JACKIE</t>
  </si>
  <si>
    <t>ENTRY | STUDIO RES W3 x21</t>
  </si>
  <si>
    <t>Parts [HIG-CanRes]
1@ BALANCE SPRING,
1@ ROLLER &amp; HOUSING FOR LEGASY/V2K WINDOW</t>
  </si>
  <si>
    <t>Straight Flash 9''</t>
  </si>
  <si>
    <t>PAT BMW 3</t>
  </si>
  <si>
    <t>EXIT | PAT SC17 x11</t>
  </si>
  <si>
    <t>INC-1779487337547</t>
  </si>
  <si>
    <t>ADD_USER</t>
  </si>
  <si>
    <t>WPR - Unit 12</t>
  </si>
  <si>
    <t>joseisrael5101@gmail.com as WAREHOUSE</t>
  </si>
  <si>
    <t>PAT BME2</t>
  </si>
  <si>
    <t>1 LONG BOX, PREMIUM SHOWER DOOR HEADER 95 LONG, POLISHED NICKEL</t>
  </si>
  <si>
    <t>joshw@ox-glass.com as ADMIN</t>
  </si>
  <si>
    <t>LGI OQU185</t>
  </si>
  <si>
    <t>joea@ox-glass.com as VIEWER</t>
  </si>
  <si>
    <t>INC-1779818261070</t>
  </si>
  <si>
    <t>Rearden</t>
  </si>
  <si>
    <t>josephl@ox-glass.com as VIEWER</t>
  </si>
  <si>
    <t>REDROCK1001</t>
  </si>
  <si>
    <t>adama@ox-glass.com as VIEWER</t>
  </si>
  <si>
    <t>LGI OQU175</t>
  </si>
  <si>
    <t>kim@ox-glass.com as ADMIN</t>
  </si>
  <si>
    <t>PROVO1002</t>
  </si>
  <si>
    <t>INC-1779818321921</t>
  </si>
  <si>
    <t>terry@ox-glass.com as VIEWER</t>
  </si>
  <si>
    <t>TOL-MH146</t>
  </si>
  <si>
    <t>MILLARD1003</t>
  </si>
  <si>
    <t>joshj@ox-glass.com as ADMIN</t>
  </si>
  <si>
    <t>LGI OQU183</t>
  </si>
  <si>
    <t>UPDATE_USER</t>
  </si>
  <si>
    <t>joshw@ox-glass.com → ADMIN</t>
  </si>
  <si>
    <t>CASCADE</t>
  </si>
  <si>
    <t>jose@ox-glass.com as ADMIN</t>
  </si>
  <si>
    <t>INC-1779818352408</t>
  </si>
  <si>
    <t>brady@ox-glass.com as ADMIN</t>
  </si>
  <si>
    <t>TOL-MH169</t>
  </si>
  <si>
    <t>LGI OQU66</t>
  </si>
  <si>
    <t>GRANITE</t>
  </si>
  <si>
    <t>stan@ox-glass.com as VIEWER</t>
  </si>
  <si>
    <t>REMOVE_USER</t>
  </si>
  <si>
    <t>LGI OQU67</t>
  </si>
  <si>
    <t>mr.spencer.syphus@gmail.com as WAREHOUSE</t>
  </si>
  <si>
    <t>LGI OQU60</t>
  </si>
  <si>
    <t>INC-1779818422282</t>
  </si>
  <si>
    <t>DELANO</t>
  </si>
  <si>
    <t>SWE-SC2ReorderSlider</t>
  </si>
  <si>
    <t>trevorb@ox-glass.com as ADMIN</t>
  </si>
  <si>
    <t>STUDIO RES W3</t>
  </si>
  <si>
    <t>ENTRY | ACC STUDEN HOUSING x87</t>
  </si>
  <si>
    <t>SHERWOOD EST</t>
  </si>
  <si>
    <t>1 WINDOW, 1 SCREEN</t>
  </si>
  <si>
    <t>PRI LOVELESS3PLEXTH</t>
  </si>
  <si>
    <t>ENTRY | NO NAME x44</t>
  </si>
  <si>
    <t>INC-1779818519160</t>
  </si>
  <si>
    <t>ENTRY | PRI LOVELESS3PLEXTH x29</t>
  </si>
  <si>
    <t>ELKWOOD</t>
  </si>
  <si>
    <t>2PER SAGE@COMPASS</t>
  </si>
  <si>
    <t>Towery.Screen/ScreenTrack</t>
  </si>
  <si>
    <t>ENTRY | 2PER SAGE@COMPASS x25</t>
  </si>
  <si>
    <t>PRATT</t>
  </si>
  <si>
    <t>ENTRY | 2PER SAGE@COMPASS x22</t>
  </si>
  <si>
    <t>LUCILLE COVE &amp; D</t>
  </si>
  <si>
    <t>MISCLEVATA</t>
  </si>
  <si>
    <t>ENTRY | 2PATSP639 x18</t>
  </si>
  <si>
    <t>INC-1779818793392</t>
  </si>
  <si>
    <t>MISCKENTADD</t>
  </si>
  <si>
    <t>ENTRY | 2PATSP639 SPECIAL PO x1</t>
  </si>
  <si>
    <t>SCARLET RIDGE 102</t>
  </si>
  <si>
    <t>ENTRY | MISCLEVATA x25</t>
  </si>
  <si>
    <t>JARED</t>
  </si>
  <si>
    <t>INC-1779819022376</t>
  </si>
  <si>
    <t>SAL BF2 PARTS</t>
  </si>
  <si>
    <t>TRENTB.JAMESANDERSON</t>
  </si>
  <si>
    <t>LOST SPRINGS APARTMENT</t>
  </si>
  <si>
    <t>WHI 222</t>
  </si>
  <si>
    <t>INC-1779819070712</t>
  </si>
  <si>
    <t>ENTRY | MISCLEVATA x26</t>
  </si>
  <si>
    <t>WHI-SM213</t>
  </si>
  <si>
    <t>LH6</t>
  </si>
  <si>
    <t>ENTRY | MISCKENTADD x1</t>
  </si>
  <si>
    <t>JOE L.</t>
  </si>
  <si>
    <t>LGI HOMES</t>
  </si>
  <si>
    <t>INC-1779819116802</t>
  </si>
  <si>
    <t>ENTRY | MISCKK4060 x1</t>
  </si>
  <si>
    <t>WHI-SM215</t>
  </si>
  <si>
    <t>DOWNTOWN DAYBREAK - BLDG 6</t>
  </si>
  <si>
    <t>DOWNTOWN DAYBREACK - BLDG 6</t>
  </si>
  <si>
    <t>ENTRY | SAL BF2 PARTS x2</t>
  </si>
  <si>
    <t>INC-1779820578918</t>
  </si>
  <si>
    <t>ENTRY | WHI 222 x16</t>
  </si>
  <si>
    <t>WPR Unit 12</t>
  </si>
  <si>
    <t>1143 HOUSING AUTHORITY</t>
  </si>
  <si>
    <t>ENTRY | WHIPR220 x15</t>
  </si>
  <si>
    <t>MILLARD</t>
  </si>
  <si>
    <t>INC-1779820665357</t>
  </si>
  <si>
    <t>1167 HOUSING AUTHORITY</t>
  </si>
  <si>
    <t>EXIT | WHI STRATTON MEADOWS LOT214 x16</t>
  </si>
  <si>
    <t>OXBOWAPTS</t>
  </si>
  <si>
    <t>1147 HOUSING AUTHORITY</t>
  </si>
  <si>
    <t>EXIT | WHI STRATTON MEADOWS LOT216 x16</t>
  </si>
  <si>
    <t>1044GRANITE</t>
  </si>
  <si>
    <t>INC-1779820749237</t>
  </si>
  <si>
    <t>1187 HOUSING AUTHORITY</t>
  </si>
  <si>
    <t>LIBERTYWELLS</t>
  </si>
  <si>
    <t>EXIT | SPRING CANYON 2 x35</t>
  </si>
  <si>
    <t>UNITS 1J &amp; UNIT 1D</t>
  </si>
  <si>
    <t>EXIT | MISCLEVATA x26</t>
  </si>
  <si>
    <t>1181 HOUSING AUTHORITY</t>
  </si>
  <si>
    <t>LOT1005DELANO</t>
  </si>
  <si>
    <t>INC-1779820960248</t>
  </si>
  <si>
    <t>EXIT | MISCLEVATA x25</t>
  </si>
  <si>
    <t>LevataChannelCap</t>
  </si>
  <si>
    <t>1173 HOUSING AUTHORITY</t>
  </si>
  <si>
    <t>INC-1779821066863</t>
  </si>
  <si>
    <t>CG-Juan</t>
  </si>
  <si>
    <t>ENTRY | GE SILPRUF SC2000 x192</t>
  </si>
  <si>
    <t>ENTRY | OPEN CELL BACKER ROD 7_8 X 350 x4</t>
  </si>
  <si>
    <t>TVC ORCHARDGROVESL</t>
  </si>
  <si>
    <t>INC-1779821105266</t>
  </si>
  <si>
    <t>cg-mark</t>
  </si>
  <si>
    <t>ENTRY | LGI OQU66 x6</t>
  </si>
  <si>
    <t>MISCJAKEBARLOW</t>
  </si>
  <si>
    <t>BHS12</t>
  </si>
  <si>
    <t>INC-1779821382500</t>
  </si>
  <si>
    <t>KUNA 2640</t>
  </si>
  <si>
    <t>TOWERYSD</t>
  </si>
  <si>
    <t>ACC Student Parts</t>
  </si>
  <si>
    <t>VPI QUALITY WINDOWS</t>
  </si>
  <si>
    <t>1@RH Standard Camlock, 1@Keeper</t>
  </si>
  <si>
    <t>EXIT | LGI OQU66 x6</t>
  </si>
  <si>
    <t>KUNA OXSASHG102</t>
  </si>
  <si>
    <t>RIVER POINT 17 E</t>
  </si>
  <si>
    <t>INC-1780346556622</t>
  </si>
  <si>
    <t>KUNA XOSASHF106</t>
  </si>
  <si>
    <t>EXIT | LGI OQU67 x8</t>
  </si>
  <si>
    <t>Associated Materials Delivery</t>
  </si>
  <si>
    <t>EXIT | LGI OQU60 x10</t>
  </si>
  <si>
    <t>Associated Materials Delivery - LOAD ID#97252681- PRO#31005- ORIGIN: YUMA - CARRIER: Clever
APROX:10-11 AM</t>
  </si>
  <si>
    <t>ALEX SULS</t>
  </si>
  <si>
    <t>INC-1780516189278</t>
  </si>
  <si>
    <t>CAMDEN COMMONS 11/12</t>
  </si>
  <si>
    <t>EXIT | LGI OQU175 x10</t>
  </si>
  <si>
    <t>GOOD BORO CAMDEN COMMONS 11/12</t>
  </si>
  <si>
    <t>CC8</t>
  </si>
  <si>
    <t>NIC LAJUENES IGU</t>
  </si>
  <si>
    <t>EXIT | LGI OQU185 x6</t>
  </si>
  <si>
    <t>LOAD ID#97321822- PRO#31027- ORIGIN: YUMA - CARRIER: Clever
8 am aprox
RECEIVED WITH 4 BOXES OF SCREENS</t>
  </si>
  <si>
    <t>CENTRAL HEIGHTS</t>
  </si>
  <si>
    <t>EXIT | LGI OQU183 x8</t>
  </si>
  <si>
    <t>INC-1780516308968</t>
  </si>
  <si>
    <t>ENTRY | 1143 HOUSING AUTHORITY x7</t>
  </si>
  <si>
    <t>alside</t>
  </si>
  <si>
    <t>JENNAE THOMAS</t>
  </si>
  <si>
    <t>LOAD ID#97252681- PRO#31005- ORIGIN: YUMA - CARRIER: Clever</t>
  </si>
  <si>
    <t>REARDEN</t>
  </si>
  <si>
    <t>ENTRY | 1167 HOUSING AUTHORITY x7</t>
  </si>
  <si>
    <t>INC-1781101614979</t>
  </si>
  <si>
    <t>ENTRY | 1147 HOUSING AUTHORITY x7</t>
  </si>
  <si>
    <t>SWE SC2REORDERSLIDER</t>
  </si>
  <si>
    <t>INCLINE 4040</t>
  </si>
  <si>
    <t>LOAD ID#97442003- PRO#31095- ORIGIN: YUMA - CARRIER: Clever
aprox: 7am</t>
  </si>
  <si>
    <t>MINDT HALLADAY</t>
  </si>
  <si>
    <t>ENTRY | 1187 HOUSING AUTHORITY x7</t>
  </si>
  <si>
    <t>LEHI MEDICAL</t>
  </si>
  <si>
    <t>INC-1782236183037</t>
  </si>
  <si>
    <t>ENTRY | 1181 HOUSING AUTHORITY x7</t>
  </si>
  <si>
    <t>CLOUDVEIL A</t>
  </si>
  <si>
    <t>HIGHLAND REMODEL_MAIN OFFICE</t>
  </si>
  <si>
    <t>LOAD ID#97788192- PRO#31234- ORIGIN: YUMA - CARRIER: Clever
10 AM</t>
  </si>
  <si>
    <t>ENTRY | 1173 HOUSING AUTHORITY x7</t>
  </si>
  <si>
    <t>INC-1782416944414</t>
  </si>
  <si>
    <t>DAY POOL HOUSE_MAIN OFICCE</t>
  </si>
  <si>
    <t>AMSCO WINDOS</t>
  </si>
  <si>
    <t>ENTRY | 2PATSP639 x14</t>
  </si>
  <si>
    <t>CLOUDVEIL E</t>
  </si>
  <si>
    <t>BME2 TRACIE DOOR_MAIN</t>
  </si>
  <si>
    <t>ENTRY | PRI LOVELESS3PLEXTH x26</t>
  </si>
  <si>
    <t>https://drive.google.com/file/d/1NPJzKvkhVvn3D81yTIVco9noC1cdl6Lq/view?usp=drivesdk</t>
  </si>
  <si>
    <t>ENTRY | 2PER SAGE@COMPASS x72</t>
  </si>
  <si>
    <t>CLOUDVEIL B</t>
  </si>
  <si>
    <t>ENTRY | MISCLEVATA x76</t>
  </si>
  <si>
    <t>ACC STUDENT</t>
  </si>
  <si>
    <t>ENTRY | WHI 222 x12</t>
  </si>
  <si>
    <t>ENTRY | WHIPR220 x11</t>
  </si>
  <si>
    <t>CLOUDVEIL C</t>
  </si>
  <si>
    <t>LGI OQM177</t>
  </si>
  <si>
    <t>ENTRY | WHIPR220 x1</t>
  </si>
  <si>
    <t>EXIT | 1143 HOUSING AUTHORITY x7</t>
  </si>
  <si>
    <t>LGI OQM174</t>
  </si>
  <si>
    <t>CLOUDVEIL D</t>
  </si>
  <si>
    <t>EXIT | 1147 HOUSING AUTHORITY x7</t>
  </si>
  <si>
    <t>LGI OQM184</t>
  </si>
  <si>
    <t>EXIT | 1167 HOUSING AUTHORITY x7</t>
  </si>
  <si>
    <t>EXIT | 1173 HOUSING AUTHORITY x7</t>
  </si>
  <si>
    <t>WESTERY ASI 007</t>
  </si>
  <si>
    <t>EXIT | 1181 HOUSING AUTHORITY x7</t>
  </si>
  <si>
    <t>INC-1783012592012</t>
  </si>
  <si>
    <t>EXIT | 1187 HOUSING AUTHORITY x7</t>
  </si>
  <si>
    <t>HF LOT 145</t>
  </si>
  <si>
    <t>LGI DE007 CASCADE</t>
  </si>
  <si>
    <t>EXIT | WHIPR220 x15</t>
  </si>
  <si>
    <t>EXIT | WHI 222 x16</t>
  </si>
  <si>
    <t>CLOUDVEIL F</t>
  </si>
  <si>
    <t>ENTRY | SAL BF2 MAIN OFFICE x1</t>
  </si>
  <si>
    <t>LOAD ID#97918109- PRO#31312- ORIGIN: YUMA - CARRIER: Clever
8 am</t>
  </si>
  <si>
    <t>CANYON VIEW CROSSING</t>
  </si>
  <si>
    <t>LGI DE041 GRANITE</t>
  </si>
  <si>
    <t>EXIT | LGI DESERT EDGE TOWNHOMES x56</t>
  </si>
  <si>
    <t>INC-1783520021934</t>
  </si>
  <si>
    <t>EXIT | ELKWOOD ADDITIONAL x2</t>
  </si>
  <si>
    <t>Windsor Windows Delivery notice for Ox Glass</t>
  </si>
  <si>
    <t>MADIGAN RES</t>
  </si>
  <si>
    <t>WASTE | LGILOT1049 x1</t>
  </si>
  <si>
    <t>GOO_CC23_24, GOO-Camden Commons 23-24</t>
  </si>
  <si>
    <t>LGI DE009 DELANO</t>
  </si>
  <si>
    <t>MARVEL</t>
  </si>
  <si>
    <t>EXIT | MISCKK4060 x1</t>
  </si>
  <si>
    <t>https://drive.google.com/file/d/1oLiBJSUM2K9ueisqsMckESGYPSQjFxuK/view?usp=drivesdk</t>
  </si>
  <si>
    <t>EXIT | MISCKENTADD x1</t>
  </si>
  <si>
    <t>TIM MOLINE SIL</t>
  </si>
  <si>
    <t>EXIT | ALVIN JENSON ADDITIONAL x1</t>
  </si>
  <si>
    <t>EDAN</t>
  </si>
  <si>
    <t>RENAME_MATERIAL</t>
  </si>
  <si>
    <t>LGI OM159</t>
  </si>
  <si>
    <t>44 N</t>
  </si>
  <si>
    <t>44 NORTH (1 rows)</t>
  </si>
  <si>
    <t>INC-1783529613778</t>
  </si>
  <si>
    <t>LGI OQM175 SUPP</t>
  </si>
  <si>
    <t>AMSCO Adv Truck Report</t>
  </si>
  <si>
    <t>RIVER MEADOWS 3060 S</t>
  </si>
  <si>
    <t>WASTE | ELKWOOD ADDITIONAL x2</t>
  </si>
  <si>
    <t>TRANSFER | DRIVE BY x1</t>
  </si>
  <si>
    <t>https://drive.google.com/file/d/198dk81_eTKtyLkVxJVmqmoR5QsvE6wyK/view?usp=drivesdk</t>
  </si>
  <si>
    <t>CRC COX</t>
  </si>
  <si>
    <t>RETURN | DRIVE BY x1</t>
  </si>
  <si>
    <t>REDD HANGER</t>
  </si>
  <si>
    <t>WHI SM215</t>
  </si>
  <si>
    <t>DELETE_ROW</t>
  </si>
  <si>
    <t>WHI SM213</t>
  </si>
  <si>
    <t>INC-1783689139766</t>
  </si>
  <si>
    <t>row 122 — ["2026-04-22T18:21:25.426Z","WINDOW","PAT PVS4","PAT","",-19,"UNIT","2026-04-22T06:00:00.000Z"]</t>
  </si>
  <si>
    <t>Delivery - LOAD ID#98166833- PRO#31429- ORIGIN: YUMA - CARRIER: Clever</t>
  </si>
  <si>
    <t>BJC DAYPOOL 9080 DOO</t>
  </si>
  <si>
    <t>Associated Materials, around 8-9 am</t>
  </si>
  <si>
    <t>EXIT | PAT PVS4 x19</t>
  </si>
  <si>
    <t>INC-1784732587052</t>
  </si>
  <si>
    <t>565 REDWOOD</t>
  </si>
  <si>
    <t>W8 WEST</t>
  </si>
  <si>
    <t>Associated Materials Delivery - LOAD ID#98393404- PRO#31554 - ORIGIN: YUMA - CARRIER: Clever</t>
  </si>
  <si>
    <t>TRANSFER | 2PATSP639 x18</t>
  </si>
  <si>
    <t>ARRIVING 10 AM</t>
  </si>
  <si>
    <t>TRENT B JAMES ANDERSON</t>
  </si>
  <si>
    <t>WASTE | LGI REDROCK DISCOUNT x54</t>
  </si>
  <si>
    <t>CLIFTON BUILDING H</t>
  </si>
  <si>
    <t>WESTERLY W 15 T</t>
  </si>
  <si>
    <t>SP 647</t>
  </si>
  <si>
    <t>EXIT | EPJ 420 JACKIE x12</t>
  </si>
  <si>
    <t>UPDATE_CONFIG</t>
  </si>
  <si>
    <t>suppliers</t>
  </si>
  <si>
    <t>LGI OQM186</t>
  </si>
  <si>
    <t>add</t>
  </si>
  <si>
    <t xml:space="preserve"> → WINDOR</t>
  </si>
  <si>
    <t>OLAYAN</t>
  </si>
  <si>
    <t>PAT PVS3</t>
  </si>
  <si>
    <t>ENTRY | SAL BUSHMAN FARMS 2 x1</t>
  </si>
  <si>
    <t>MISC CHASE</t>
  </si>
  <si>
    <t>ENTRY | LIBERTYWELLS B4 x2</t>
  </si>
  <si>
    <t>PAT EPJ420</t>
  </si>
  <si>
    <t>ENTRY | TVC ORCHARDGROVESL x12</t>
  </si>
  <si>
    <t>SPENCER HALFORDE</t>
  </si>
  <si>
    <t>JJF 105</t>
  </si>
  <si>
    <t>EXIT | BME8 x16</t>
  </si>
  <si>
    <t>JJF 112</t>
  </si>
  <si>
    <t>ENTRY | PARTSFORADAM x2</t>
  </si>
  <si>
    <t>TIMP VALLEY CONSTRUCTION</t>
  </si>
  <si>
    <t>ENTRY | PVS3 x1</t>
  </si>
  <si>
    <t>SP 648 TRACIE</t>
  </si>
  <si>
    <t>jared@ox-glass.com as ADMIN</t>
  </si>
  <si>
    <t>SCENIC MOUNTAIN 4PLEX PHASE2</t>
  </si>
  <si>
    <t>ENTRY | MISCJAKEBARLOW x2</t>
  </si>
  <si>
    <t>ENTRY | MISCJAKEBARLOW x4</t>
  </si>
  <si>
    <t>MH 160</t>
  </si>
  <si>
    <t>ENTRY | KUNA 2640 x1</t>
  </si>
  <si>
    <t>DE 042 PROVO</t>
  </si>
  <si>
    <t>ENTRY | KUNA OXSASHG102 x1</t>
  </si>
  <si>
    <t>SP648 TRACIE</t>
  </si>
  <si>
    <t>ENTRY | KUNA OXSASHF106 x1</t>
  </si>
  <si>
    <t>CLOUDVEIL ADDITTIONAL</t>
  </si>
  <si>
    <t>OQU 173 HILGARD</t>
  </si>
  <si>
    <t>OQU 201 GLENWOOD</t>
  </si>
  <si>
    <t>ENTRY | KUNA 104106 x2</t>
  </si>
  <si>
    <t>CLOUDVEIL H</t>
  </si>
  <si>
    <t>SR MM 104</t>
  </si>
  <si>
    <t>ENTRY | CITIZENLIFTRESIDENTIAL x2</t>
  </si>
  <si>
    <t>CAMDEN COMMONS 23_24</t>
  </si>
  <si>
    <t>ENTRY | KATIE ALLRED IGU x1</t>
  </si>
  <si>
    <t>TOL MH 146 (W-REORDER)</t>
  </si>
  <si>
    <t>CC12</t>
  </si>
  <si>
    <t>ENTRY | ALEX SULS x1</t>
  </si>
  <si>
    <t>TOL MH 159 (REORDER)</t>
  </si>
  <si>
    <t>HIGHLAND REMODEL ARCHED REORDER</t>
  </si>
  <si>
    <t>ENTRY | WASATCHSPRINGSB2 x1</t>
  </si>
  <si>
    <t>SNYDER</t>
  </si>
  <si>
    <t>ENTRY | WASATCHSPRINGSBV3(V) x1</t>
  </si>
  <si>
    <t>BMW3</t>
  </si>
  <si>
    <t>ENTRY | LIBERTYWELLS x11</t>
  </si>
  <si>
    <t>CLOUDVEIL WARPED</t>
  </si>
  <si>
    <t>ENTRY | CAMDEN COMMONS 11/12 x28</t>
  </si>
  <si>
    <t>3500 RESIDENCES</t>
  </si>
  <si>
    <t>TYVEK 9" INTGRATION WRAP</t>
  </si>
  <si>
    <t>ENTRY | CITIZENLIFTRESIDENTIAL x1</t>
  </si>
  <si>
    <t>CENTRAL 9 LOFTS</t>
  </si>
  <si>
    <t>LGI-OQU175,183,185</t>
  </si>
  <si>
    <t>ENTRY | KUNA 104_106 x2</t>
  </si>
  <si>
    <t>ELKWOOD SCREENS S845</t>
  </si>
  <si>
    <t>ELKWOOD SCREENS T284</t>
  </si>
  <si>
    <t>WES HOGAN</t>
  </si>
  <si>
    <t>MH 304 SCREENS#2</t>
  </si>
  <si>
    <t>CODY RESIDENCE</t>
  </si>
  <si>
    <t>ENTRY | 1&amp;2 REORDER LIBERTY WELLS x11</t>
  </si>
  <si>
    <t>RIVER MEADOWS CLUB HOUSE</t>
  </si>
  <si>
    <t>BRYLEE 7 (REORDER-SGD)</t>
  </si>
  <si>
    <t>ENTRY | CAMDEN COMMONS 11/12 x24</t>
  </si>
  <si>
    <t>TRENT B JAMES ANDERSON (FX-REORDERE)</t>
  </si>
  <si>
    <t>MM 104(3060 - REORDER)</t>
  </si>
  <si>
    <t>ENTRY | TVC ORCHARDGROVESL x13</t>
  </si>
  <si>
    <t>ENTRY | TVC ORCHARDGROVESL x3</t>
  </si>
  <si>
    <t>ENTRY | PREMIUM SHOWER DOOR HEADER 95 LONG x1</t>
  </si>
  <si>
    <t>categories</t>
  </si>
  <si>
    <t xml:space="preserve"> → SHOWER_HARDWARE</t>
  </si>
  <si>
    <t xml:space="preserve"> → FHC (FRAMELESS HARDWARE COMPANY)</t>
  </si>
  <si>
    <t>MODIFY_MOVEMENT</t>
  </si>
  <si>
    <t>Row 452 | Reason: CHANGE IN CATEGORY</t>
  </si>
  <si>
    <t>Category: "SHOWER" → "SHOWER_HARDWARE" | Date: "Fri May 22 2026 00:00:00 GMT-0600 (hora de verano de la montaña)" → "2026-05-22"</t>
  </si>
  <si>
    <t>locations</t>
  </si>
  <si>
    <t xml:space="preserve"> → PM's OFFICE</t>
  </si>
  <si>
    <t>Row 433 | Reason: CHANGE IN DESTINATION</t>
  </si>
  <si>
    <t>VUE</t>
  </si>
  <si>
    <t>Date: "Thu May 21 2026 00:00:00 GMT-0600 (hora de verano de la montaña)" → "2026-05-21" | Dest Loc: "ADAMS OFFICE" → "PM'S OFFICE"</t>
  </si>
  <si>
    <t>ENTRY | JEFF WATSON x5</t>
  </si>
  <si>
    <t>ENTRY | JEFF WATSON x10</t>
  </si>
  <si>
    <t>PV138</t>
  </si>
  <si>
    <t>Row 454 | Reason: WRONG NUMBER OF SCREENS, ONLY 3, NOT 10</t>
  </si>
  <si>
    <t>Qty: "10" → "3" | Date: "Tue May 26 2026 00:00:00 GMT-0600 (hora de verano de la montaña)" → "2026-05-26"</t>
  </si>
  <si>
    <t>ENTRY | MISC JONES RESIDENCE x7</t>
  </si>
  <si>
    <t>EXIT | JEFF WATSON x5</t>
  </si>
  <si>
    <t>DOOR SCREEN</t>
  </si>
  <si>
    <t>EXIT | JEFF WATSON x11</t>
  </si>
  <si>
    <t>EXIT | JEFF WATSON x3</t>
  </si>
  <si>
    <t>row 457 — ["2026-05-26T21:41:35.904Z","SCREEN",1111,"","",10,"UNIT","2026-05-26T06:00:00.000Z"]</t>
  </si>
  <si>
    <t>BRADY</t>
  </si>
  <si>
    <t>row 456 — ["2026-05-26T21:41:31.769Z","WINDOW",1111,"","",2,"UNIT","2026-05-26T06:00:00.000Z"]</t>
  </si>
  <si>
    <t>ENTRY | WASATCH SPRINGS KEEPER x1</t>
  </si>
  <si>
    <t>ENTRY | CENTRAL HEIGHTS x1</t>
  </si>
  <si>
    <t>EXIT | CAMDEN COMMONS 11/12 x28</t>
  </si>
  <si>
    <t>BLUE A FRAME</t>
  </si>
  <si>
    <t>EXIT | TVC ORCHARDGROVESL x12</t>
  </si>
  <si>
    <t>EXIT | BMW5 x17</t>
  </si>
  <si>
    <t>ENTRY | ELKWOOD x8</t>
  </si>
  <si>
    <t>ENTRY | EDISON IGU REORDE x9</t>
  </si>
  <si>
    <t>ENTRY | WINDOW x2</t>
  </si>
  <si>
    <t>ENTRY | TOL MH146 x42</t>
  </si>
  <si>
    <t>HOLBROOK</t>
  </si>
  <si>
    <t>ENTRY | TOL MH146 x8</t>
  </si>
  <si>
    <t>ENTRY | TOL MH169 x24</t>
  </si>
  <si>
    <t>ENTRY | TOL MH169 x15</t>
  </si>
  <si>
    <t>ENTRY | REARDEN x15</t>
  </si>
  <si>
    <t>ENTRY | REARDEN x25</t>
  </si>
  <si>
    <t>ENTRY | REARDEN x13</t>
  </si>
  <si>
    <t>ENTRY | LEVATACHANNELCAP x1</t>
  </si>
  <si>
    <t>ENTRY | MISCJAKEBARLOW x1</t>
  </si>
  <si>
    <t>ENTRY | SWE SC2REORDERSLIDER x1</t>
  </si>
  <si>
    <t>ENTRY | TOWERYSCREEN_SCREENTRACK x1</t>
  </si>
  <si>
    <t>ENTRY | LIBERTYWELLSBSMNT x8</t>
  </si>
  <si>
    <t>ENTRY | UNITS1J&amp;UNIT1D x2</t>
  </si>
  <si>
    <t>ENTRY | LIBERTYWELLSLVL3 x12</t>
  </si>
  <si>
    <t>EDISON</t>
  </si>
  <si>
    <t>ENTRY | OXBOWAPTS x36</t>
  </si>
  <si>
    <t>ENTRY | CLIFTONPLACEBLDNGH x24</t>
  </si>
  <si>
    <t>ENTRY | BBY 2337964 x2</t>
  </si>
  <si>
    <t>TETON CENTER</t>
  </si>
  <si>
    <t>ENTRY | LEHI MEDICAL x14</t>
  </si>
  <si>
    <t>WESTERLY Y 201</t>
  </si>
  <si>
    <t>ENTRY | CLIFTONPLACE SD x16</t>
  </si>
  <si>
    <t>UTAH CITY</t>
  </si>
  <si>
    <t>ENTRY | WPR UNIT 12 x20</t>
  </si>
  <si>
    <t>EXIT | PRI LOVELESS3PLEXTH x29</t>
  </si>
  <si>
    <t>MICHAEL HOPKING</t>
  </si>
  <si>
    <t>Row 9 | Reason: WRONG PROJECT</t>
  </si>
  <si>
    <t>Date: "Thu Feb 26 2026 00:00:00 GMT-0700 (hora estándar de la montaña)" → "2026-02-26" | Project: "HFLot153" → "HFLot154"</t>
  </si>
  <si>
    <t>COL CRANDALL</t>
  </si>
  <si>
    <t>ENTRY | HIGHLAND REMODEL_MAIN OFFICE x1</t>
  </si>
  <si>
    <t>ENTRY | DAY POOL HOUSE_MAIN OFICCE x1</t>
  </si>
  <si>
    <t>SNOW FARM</t>
  </si>
  <si>
    <t>ENTRY | PAT BME2 TRACIE DOOR_MAIN x1</t>
  </si>
  <si>
    <t>DRIVE BY</t>
  </si>
  <si>
    <t>ENTRY | ACC STUDENT x1</t>
  </si>
  <si>
    <t>EXIT | HFLOT154 x18</t>
  </si>
  <si>
    <t>MONSEN</t>
  </si>
  <si>
    <t>EXIT | HFLOT153 x23</t>
  </si>
  <si>
    <t>MINT HOLBROOK</t>
  </si>
  <si>
    <t>row 372 — ["2026-05-18T15:07:38.189Z","WINDOW","2PATSP639 SPECIAL PO","","",1,"UNIT","2026-05-15T06:00:00.000Z"]</t>
  </si>
  <si>
    <t>JARIS</t>
  </si>
  <si>
    <t>Row 371 | Reason: WRONG LOCATION</t>
  </si>
  <si>
    <t>Qty: "18" → "19" | Date: "Fri May 15 2026 00:00:00 GMT-0600 (hora de verano de la montaña)" → "2026-05-15" | Project: "GENERIC" → "PAT SP 639" | Dest Loc: "C1A" → "B3A" | PM: "" → "JOE L."</t>
  </si>
  <si>
    <t>MURRAY TOWNHOMES</t>
  </si>
  <si>
    <t>ALTA VISTA</t>
  </si>
  <si>
    <t>EXIT | 2PATSP639 x19</t>
  </si>
  <si>
    <t>Row 477 | Reason: MISSING PM</t>
  </si>
  <si>
    <t>Date: "Fri May 29 2026 00:00:00 GMT-0600 (hora de verano de la montaña)" → "2026-05-29" | PM: "" → "TERRY"</t>
  </si>
  <si>
    <t>Row 476 | Reason: MISSING PM</t>
  </si>
  <si>
    <t>ENTRY | TUBULAR SINGLE SLIDER TOWL BAR x1</t>
  </si>
  <si>
    <t>skiizzys12@gmail.com as WAREHOUSE</t>
  </si>
  <si>
    <t>SAL BUSHMAN FARMS</t>
  </si>
  <si>
    <t>ENTRY | LGI OQM177 x2</t>
  </si>
  <si>
    <t>WHI STRATTON MEADOWS</t>
  </si>
  <si>
    <t>ENTRY | LGI OQM184 x1</t>
  </si>
  <si>
    <t>ENTRY | LGI OQM174 x2</t>
  </si>
  <si>
    <t>ENTRY | LGI DE007 CASCADE x1</t>
  </si>
  <si>
    <t>ENTRY | LGI DE041 GRANITE x1</t>
  </si>
  <si>
    <t>ENTRY | LGI DE009 DELANO x1</t>
  </si>
  <si>
    <t>ENTRY | LGI OM171 x2</t>
  </si>
  <si>
    <t>ENTRY | LGI OQM177 x14</t>
  </si>
  <si>
    <t>ENTRY | LGI OQM174 x13</t>
  </si>
  <si>
    <t>KUNA</t>
  </si>
  <si>
    <t>ENTRY | LGI OQM184 x8</t>
  </si>
  <si>
    <t>LIBERTY WELLS BUILDING 2</t>
  </si>
  <si>
    <t>ENTRY | LGI DE007 CASCADE x8</t>
  </si>
  <si>
    <t>ENTRY | LGI DE041 GRANITE x10</t>
  </si>
  <si>
    <t>VAL VT 228 HARPER</t>
  </si>
  <si>
    <t>ENTRY | LGI OM171 x13</t>
  </si>
  <si>
    <t>ENTRY | LGI OM159 x19</t>
  </si>
  <si>
    <t>WESERTLY</t>
  </si>
  <si>
    <t>ENTRY | LGI OM159 x2</t>
  </si>
  <si>
    <t>ENTRY | LGI OQM175 SUPP x3</t>
  </si>
  <si>
    <t>HOLBROOK BUILDING 2</t>
  </si>
  <si>
    <t>ENTRY | LGI OQM175 SUPP x1</t>
  </si>
  <si>
    <t>Daybreak</t>
  </si>
  <si>
    <t>ENTRY | ALTA VISTA ADD WIND x1</t>
  </si>
  <si>
    <t>EXIT | LGI OQM175 SUPP x3</t>
  </si>
  <si>
    <t>STUDIO RESIDENCE SF</t>
  </si>
  <si>
    <t>KART #9</t>
  </si>
  <si>
    <t>EXIT | LEHI MEDICAL x14</t>
  </si>
  <si>
    <t>ENTRY | LGI DE6 x1</t>
  </si>
  <si>
    <t>WASATCH SPRINGS</t>
  </si>
  <si>
    <t>Row 485 | Reason: WRONG QTY</t>
  </si>
  <si>
    <t>Qty: "2" → "3" | Date: "Fri May 29 2026 00:00:00 GMT-0600 (hora de verano de la montaña)" → "2026-05-29" | Project: "VIVIANO" → "VIVANO"</t>
  </si>
  <si>
    <t>Row 484 | Reason: PM ADDED</t>
  </si>
  <si>
    <t>Date: "Fri May 29 2026 00:00:00 GMT-0600 (hora de verano de la montaña)" → "2026-05-29" | PM: "" → "JOE A."</t>
  </si>
  <si>
    <t>Row 487 | Reason: PM ADDED</t>
  </si>
  <si>
    <t>Row 485 | Reason: PM ADDED</t>
  </si>
  <si>
    <t>Row 480 | Reason: PM ADDED</t>
  </si>
  <si>
    <t>Date: "Fri May 29 2026 00:00:00 GMT-0600 (hora de verano de la montaña)" → "2026-05-29" | PM: "" → "JOE L."</t>
  </si>
  <si>
    <t>PIPE KNIFE DEGLAZING</t>
  </si>
  <si>
    <t>Row 487 | Reason: CHANGE IN LOC</t>
  </si>
  <si>
    <t>Date: "Fri May 29 2026 00:00:00 GMT-0600 (hora de verano de la montaña)" → "2026-05-29" | Dest Loc: "MIRRORS/SHOWERS WAREHOUSE" → "CART #9"</t>
  </si>
  <si>
    <t>HOLBROOK BUILDING 2/1</t>
  </si>
  <si>
    <t>ENTRY | ALTA VISTA B3 x1</t>
  </si>
  <si>
    <t>ENTRY | WHI PR220 x1</t>
  </si>
  <si>
    <t>KUNA CLUBHOUSE</t>
  </si>
  <si>
    <t>Row 520 | Reason: CHANGE IN LOC AND COMMENTS</t>
  </si>
  <si>
    <t>Date: "Wed Jun 03 2026 00:00:00 GMT-0600 (hora de verano de la montaña)" → "2026-06-03" | Comments: "IN A CART" → "" | Dest Loc: "MIRRORS/SHOWERS WAREHOUSE" → "IGU CART"</t>
  </si>
  <si>
    <t>ENTRY | CG JUAN x2</t>
  </si>
  <si>
    <t>ENTRY | CG JUAN x1</t>
  </si>
  <si>
    <t>STUDIO RESIDENCE CLEARFIELD</t>
  </si>
  <si>
    <t>Row 523 | Reason: CHANGE IN NAME</t>
  </si>
  <si>
    <t>Name: "CG JUAN" → "CG MARK" | Date: "Wed Jun 03 2026 00:00:00 GMT-0600 (hora de verano de la montaña)" → "2026-06-03"</t>
  </si>
  <si>
    <t>PAT BME8</t>
  </si>
  <si>
    <t>ENTRY | HOLBROOK 2 B7 x12</t>
  </si>
  <si>
    <t>madeline@ox-glass.com as ADMIN</t>
  </si>
  <si>
    <t>Row 515 | Reason: WRONG PO</t>
  </si>
  <si>
    <t>PO #: "7036" → "" | Date: "Tue Jun 02 2026 00:00:00 GMT-0600 (hora de verano de la montaña)" → "2026-06-02"</t>
  </si>
  <si>
    <t>2 ANDY TOWERY SH</t>
  </si>
  <si>
    <t>Row 514 | Reason: WRONG PO</t>
  </si>
  <si>
    <t>Row 453 | Reason: WRONG PO</t>
  </si>
  <si>
    <t>LIBERTY WELLS</t>
  </si>
  <si>
    <t>LIBERTY WELLS B3 - B7 SD, M</t>
  </si>
  <si>
    <t>PO #: "7036" → "" | Date: "Tue May 26 2026 00:00:00 GMT-0600 (hora de verano de la montaña)" → "2026-05-26"</t>
  </si>
  <si>
    <t>Row 452 | Reason: WRONG PO</t>
  </si>
  <si>
    <t>2 PATRICK SH</t>
  </si>
  <si>
    <t>Row 457 | Reason: CHANGE IN PROJECT</t>
  </si>
  <si>
    <t>Date: "Tue May 26 2026 00:00:00 GMT-0600 (hora de verano de la montaña)" → "2026-05-26" | Project: "GENERIC" → "JEFF WATSON"</t>
  </si>
  <si>
    <t>Row 456 | Reason: CHANGE IN PROJECT</t>
  </si>
  <si>
    <t>Row 455 | Reason: CHANGE IN PROJECT</t>
  </si>
  <si>
    <t>Row 453 | Reason: CHANGE IN PROJECT</t>
  </si>
  <si>
    <t>WESTERLY - IGU</t>
  </si>
  <si>
    <t>Row 452 | Reason: CHANGE IN PROJECT</t>
  </si>
  <si>
    <t>2ND S LVL6</t>
  </si>
  <si>
    <t>ENTRY | CRC COX x9</t>
  </si>
  <si>
    <t>EM STORAGE</t>
  </si>
  <si>
    <t>TRANSFER | DAY POOL HOUSE_MAIN OFICCE x1</t>
  </si>
  <si>
    <t>Row 490 | Reason: Adding GC</t>
  </si>
  <si>
    <t>GC: "" → "SWE" | Date: "Mon Jun 01 2026 00:00:00 GMT-0600 (hora de verano de la montaña)" → "2026-06-01"</t>
  </si>
  <si>
    <t>BRIX STUDY</t>
  </si>
  <si>
    <t>BRIX STUDY CENTER</t>
  </si>
  <si>
    <t>Row 492 | Reason: CHANGE IN NAME AND ADD GC</t>
  </si>
  <si>
    <t>Name: "PAT BME2 TRACIE DOOR_MAIN" → "BME2 TRACIE DOOR_MAIN" | GC: "" → "PAT" | Date: "Mon Jun 01 2026 00:00:00 GMT-0600 (hora de verano de la montaña)" → "2026-06-01"</t>
  </si>
  <si>
    <t>HIGCAN.G.LUG</t>
  </si>
  <si>
    <t>ENTRY | RAVARA BL;DG H x24</t>
  </si>
  <si>
    <t>ENTRY | KUNA BH x43</t>
  </si>
  <si>
    <t>WESTERLYREORDER</t>
  </si>
  <si>
    <t>ENTRY | KARTCHNER x4</t>
  </si>
  <si>
    <t>ENTRY | SEAVERS x4</t>
  </si>
  <si>
    <t>HOL2-B1&amp;2.M</t>
  </si>
  <si>
    <t>ENTRY | HOLBROOK 2 B7 x16</t>
  </si>
  <si>
    <t>LIBERTY WELLS 2</t>
  </si>
  <si>
    <t>ENTRY | LIBWELLS 6&amp;8 x1</t>
  </si>
  <si>
    <t>ENTRY | TRENTBJAMESANDERSON x6</t>
  </si>
  <si>
    <t>TRANSFER | ALTA VISTA ADD WIND x1</t>
  </si>
  <si>
    <t>TRANSFER | MISCJAKEBARLOW x2</t>
  </si>
  <si>
    <t>ENTRY | WHI SM215 x15</t>
  </si>
  <si>
    <t>EDISON IGU RE</t>
  </si>
  <si>
    <t>ENTRY | WHI SM213 x16</t>
  </si>
  <si>
    <t>ENTRY | RAIN BUSTER 450 x90</t>
  </si>
  <si>
    <t>ENTRY | BJC DAYPOOL 9080 DOO x1</t>
  </si>
  <si>
    <t>LGI44_49 REORDER</t>
  </si>
  <si>
    <t>LGI</t>
  </si>
  <si>
    <t>ENTRY | CRC COX x1</t>
  </si>
  <si>
    <t>EXIT | DAY POOL HOUSE_MAIN OFICCE x1</t>
  </si>
  <si>
    <t>EXIT | BJC DAYPOOL 9080 DOO x1</t>
  </si>
  <si>
    <t>EXIT | CRC COX x10</t>
  </si>
  <si>
    <t>NO NAME</t>
  </si>
  <si>
    <t>EXIT | PAT BME2 x12</t>
  </si>
  <si>
    <t>patric@ox-glass.com as VIEWER</t>
  </si>
  <si>
    <t>ENTRY 565 REDWOOD x264</t>
  </si>
  <si>
    <t>ENTRY SPENCER HALFORDE x4</t>
  </si>
  <si>
    <t>ENTRY NIC LAJUENES IGU x1</t>
  </si>
  <si>
    <t>ENTRY HIGHLAND ROW x6</t>
  </si>
  <si>
    <t>EXIT ALEX SULS x1</t>
  </si>
  <si>
    <t>ENTRY DAYBREAK 310 x1; ENTRY DAYBREAK 304 x1</t>
  </si>
  <si>
    <t>ENTRY TVC ORCHARD GROVE x2</t>
  </si>
  <si>
    <t>ENTRY LGI OQM175 SUPP x2</t>
  </si>
  <si>
    <t>ENTRY ALTA VISTA ADDITIONAL WINDOW x1</t>
  </si>
  <si>
    <t>Row 555 | Reason: CHANGE IN CATEGORY</t>
  </si>
  <si>
    <t>Category: "WINDOW" → "SCREEN" | Date: "Thu Jun 11 2026 00:00:00 GMT-0600 (hora de verano de la montaña)" → "2026-06-11"</t>
  </si>
  <si>
    <t>ENTRY TRENT B JAMES ANDERSON x4</t>
  </si>
  <si>
    <t>ENTRY DAY POOL HOUSE x1</t>
  </si>
  <si>
    <t>LIBERTYWELLS B4</t>
  </si>
  <si>
    <t>ENTRY DAY POOL HOUSE x6</t>
  </si>
  <si>
    <t>EXIT STUDIO RES W3 x21</t>
  </si>
  <si>
    <t>PARTSFORADAM</t>
  </si>
  <si>
    <t>EXIT HFLOT135 x19</t>
  </si>
  <si>
    <t>EXIT MISCJAKEBARLOW x2</t>
  </si>
  <si>
    <t>EXIT KUNA XOSASHF106 x1</t>
  </si>
  <si>
    <t>EXIT KUNA OXSASHG102 x1</t>
  </si>
  <si>
    <t>MISC JAKE BARLOW</t>
  </si>
  <si>
    <t>EXIT KUNA 2640 x1</t>
  </si>
  <si>
    <t>EXIT ALVIN JENSON ADDITIONAL x1</t>
  </si>
  <si>
    <t>ENTRY SV STUDIO x1</t>
  </si>
  <si>
    <t>EXIT SAL BF2 PARTS x2</t>
  </si>
  <si>
    <t>EXIT SAL BUSHMAN FARMS 2 x1</t>
  </si>
  <si>
    <t>CITIZENLIFTRESIDENTIAL</t>
  </si>
  <si>
    <t>EXIT HIGHLAND A&amp;R x21</t>
  </si>
  <si>
    <t>CITIZEN LIFT RESIDENTIAL</t>
  </si>
  <si>
    <t>EXIT PAT BMW 3 x28</t>
  </si>
  <si>
    <t>TRANSFER | BME2 TRACIE DOOR_MAIN x1</t>
  </si>
  <si>
    <t>Row 475 | Reason: WRONG LOCATION</t>
  </si>
  <si>
    <t>Date: "Fri May 29 2026 00:00:00 GMT-0600 (hora de verano de la montaña)" → "2026-05-29" | Dest Loc: "C1A" → "C1B"</t>
  </si>
  <si>
    <t>WASATCHSPRINGSB2</t>
  </si>
  <si>
    <t>WASATCH SPRINGS B2</t>
  </si>
  <si>
    <t>Row 109 | Reason: WRONG LOCATION</t>
  </si>
  <si>
    <t>Dest Loc: "C3A" → "C3B"</t>
  </si>
  <si>
    <t>WASATCHSPRINGSBV3(V)</t>
  </si>
  <si>
    <t>WASATCH SPRINGS B3 (V)</t>
  </si>
  <si>
    <t>EXIT 2PER SAGE@COMPASS x25; EXIT 2PER SAGE@COMPASS x25; EXIT 2PER SAGE@COMPASS x22</t>
  </si>
  <si>
    <t>EXIT LGI REDROCK DISCOUNT x29; EXIT LGI REDROCK DISCOUNT x25</t>
  </si>
  <si>
    <t>1&amp;2 REORDER LIBERTY WELLS</t>
  </si>
  <si>
    <t>LIBERTY WELLS 1&amp;2</t>
  </si>
  <si>
    <t>Row 532 | Reason: ASIGNING LOCATION</t>
  </si>
  <si>
    <t>Date: "Fri Jun 05 2026 00:00:00 GMT-0600 (hora de verano de la montaña)" → "2026-06-05" | Dest Loc: "" → "MIRRORS/SHOWERS WAREHOUSE"</t>
  </si>
  <si>
    <t>ENTRY MARCUS LUNT SCRN x4</t>
  </si>
  <si>
    <t>ENTRY BJC DAYPOOL 9080 x1</t>
  </si>
  <si>
    <t>TVC ORCHARD GROVE SL</t>
  </si>
  <si>
    <t>ENTRY WHI SM215 x1; ENTRY WHI SM213 x1</t>
  </si>
  <si>
    <t>WPR UNIT 12</t>
  </si>
  <si>
    <t>ENTRY WHI SM213 x11</t>
  </si>
  <si>
    <t>ENTRY WHI SM215 x11</t>
  </si>
  <si>
    <t>MISC JONES RESIDENCE</t>
  </si>
  <si>
    <t>ENTRY BME2 TRACIE DOOR_MAIN x3</t>
  </si>
  <si>
    <t>WASATCH SPRINGS KEEPER</t>
  </si>
  <si>
    <t>ENTRY LGI DE041 GRANITE x4</t>
  </si>
  <si>
    <t>ENTRY LGI DE009 DELANO x3</t>
  </si>
  <si>
    <t>EXIT LGI DE007 CASCADE x8</t>
  </si>
  <si>
    <t>Row 510 | Reason: CHANGE IN QTY</t>
  </si>
  <si>
    <t>Qty: "1" → "11" | Date: "Tue Jun 02 2026 00:00:00 GMT-0600 (hora de verano de la montaña)" → "2026-06-02"</t>
  </si>
  <si>
    <t>EDISON IGU REORDE</t>
  </si>
  <si>
    <t>EXIT LGI DE009 DELANO x11; EXIT LGI DE041 GRANITE x10</t>
  </si>
  <si>
    <t>ENTRY CLIFTON BUILDING H x1</t>
  </si>
  <si>
    <t>ENTRY EDISON 606 x1</t>
  </si>
  <si>
    <t>MAPLETON HEIGHTS</t>
  </si>
  <si>
    <t>Row 590 | Reason: CHANGE IN DATE</t>
  </si>
  <si>
    <t>Date: "Fri Jun 12 2026 00:00:00 GMT-0600 (hora de verano de la montaña)" → "2026-06-11"</t>
  </si>
  <si>
    <t>ENTRY BRYSON NICKEL x5</t>
  </si>
  <si>
    <t>EXIT CLIFTON BUILDING H x1</t>
  </si>
  <si>
    <t>TOL MH169</t>
  </si>
  <si>
    <t>ENTRY SP 647 x13</t>
  </si>
  <si>
    <t>ENTRY SP 638 x17</t>
  </si>
  <si>
    <t>ENTRY LGI OQM186 x18</t>
  </si>
  <si>
    <t>ENTRY PAT PVS3 x2</t>
  </si>
  <si>
    <t>LEVATA</t>
  </si>
  <si>
    <t>ENTRY LEVATA CHANNEL CAP x1</t>
  </si>
  <si>
    <t>ENTRY LANE ALLRED x4; ENTRY LANE ALLRED x2</t>
  </si>
  <si>
    <t>SWE SC2</t>
  </si>
  <si>
    <t>ENTRY PAT SP 638 x2</t>
  </si>
  <si>
    <t>ENTRY SP 647 x2</t>
  </si>
  <si>
    <t>TOWERYSCREEN_SCREENTRACK</t>
  </si>
  <si>
    <t>TOWERY</t>
  </si>
  <si>
    <t>ENTRY SMW6 x13; ENTRY SMW6 x13</t>
  </si>
  <si>
    <t>ENTRY SMW6 x14</t>
  </si>
  <si>
    <t>EXIT PV137 x22</t>
  </si>
  <si>
    <t>LIBERTYWELLSBSMNT</t>
  </si>
  <si>
    <t>EXIT TOL MH146 x42</t>
  </si>
  <si>
    <t>EXIT LGI OQM184 x8; EXIT LGI OQM174 x13; EXIT LGI OQM186 x18</t>
  </si>
  <si>
    <t>UNITS1J&amp;UNIT1D</t>
  </si>
  <si>
    <t>ENTRY LGI OM171 x4</t>
  </si>
  <si>
    <t>LIBERTYWELLSLVL3</t>
  </si>
  <si>
    <t>LIB</t>
  </si>
  <si>
    <t>ENTRY LGI DE007 CASCADE x4</t>
  </si>
  <si>
    <t>ENTRY LGI OQM177 x6</t>
  </si>
  <si>
    <t>CLIFTONPLACEBLDNGH</t>
  </si>
  <si>
    <t>ENTRY LGI OM159 x10</t>
  </si>
  <si>
    <t>BBY 2337964</t>
  </si>
  <si>
    <t>VIVIANO</t>
  </si>
  <si>
    <t>ENTRY LGI OQM184 x4</t>
  </si>
  <si>
    <t>ENTRY LGI OQM174 x4</t>
  </si>
  <si>
    <t>CLIFTONPLACE SD</t>
  </si>
  <si>
    <t>ENTRY SP 647 x9</t>
  </si>
  <si>
    <t>ENTRY LGI OQM186 x10</t>
  </si>
  <si>
    <t>ENTRY SP 638 x13</t>
  </si>
  <si>
    <t>ENTRY MISC CHASE x1</t>
  </si>
  <si>
    <t>EXIT MISC CHASE x1</t>
  </si>
  <si>
    <t>ENTRY PAT EPJ420 x1</t>
  </si>
  <si>
    <t>EXIT PAT EPJ420 x1</t>
  </si>
  <si>
    <t>ENTRY STUDIO RES x4</t>
  </si>
  <si>
    <t>ENTRY LGI_444546 x13</t>
  </si>
  <si>
    <t>ENTRY LGI_444546 x6</t>
  </si>
  <si>
    <t>ENTRY SR PIONEER215 x1</t>
  </si>
  <si>
    <t>ENTRY STUDIO RES x1</t>
  </si>
  <si>
    <t>EXIT NIC LAJUENES IGU x1</t>
  </si>
  <si>
    <t>LGI-DE007-CASCADE</t>
  </si>
  <si>
    <t>EXIT REARDEN x25; EXIT REARDEN x15; EXIT REARDEN x13</t>
  </si>
  <si>
    <t>EXIT PAT PVS3 x2</t>
  </si>
  <si>
    <t>EXIT CENTRAL HEIGHTS x1</t>
  </si>
  <si>
    <t>EXIT WHI SM213 x16</t>
  </si>
  <si>
    <t>row 609 — ["2026-06-16T14:50:18.474Z","WINDOW","LGI OQM186","","",18,"UNIT","2026-06-16T06:00:00.000Z"]</t>
  </si>
  <si>
    <t>EXIT LGI OQM177 x14</t>
  </si>
  <si>
    <t>EXIT WHI SM215 x15</t>
  </si>
  <si>
    <t>LGI OM171</t>
  </si>
  <si>
    <t>EXIT BME2 TRACIE DOOR_MAIN x1</t>
  </si>
  <si>
    <t>EXIT ACC STUDENT x1</t>
  </si>
  <si>
    <t>EXIT GOO HFLOT1441W x1</t>
  </si>
  <si>
    <t>ENTRY WPR LOT 12 REMAKE x1</t>
  </si>
  <si>
    <t>ENTRY KARTCHNER RMK x1</t>
  </si>
  <si>
    <t>ENTRY SP639 x1</t>
  </si>
  <si>
    <t>ENTRY 2NDS LATTITUDE x27</t>
  </si>
  <si>
    <t>ALTA VISTA ADD WIND</t>
  </si>
  <si>
    <t>ENTRY WESTERLY FITNESS x14</t>
  </si>
  <si>
    <t>LGI DE6</t>
  </si>
  <si>
    <t>ENTRY ELKWOOD 3 x4</t>
  </si>
  <si>
    <t>ENTRY ELKWOOD 4 x1</t>
  </si>
  <si>
    <t>ENTRY WPR UNIT 12 BASEMENT x2</t>
  </si>
  <si>
    <t>ALTA VISTA B3</t>
  </si>
  <si>
    <t>ENTRY SMW6 x1</t>
  </si>
  <si>
    <t>WHI PR220</t>
  </si>
  <si>
    <t>ENTRY KUNA G106 x1</t>
  </si>
  <si>
    <t>ENTRY SPENCER HALFORDE x1</t>
  </si>
  <si>
    <t>CG JUAN</t>
  </si>
  <si>
    <t>EXIT SPENCER HALFORDE x1</t>
  </si>
  <si>
    <t>ENTRY JJF 105 x21</t>
  </si>
  <si>
    <t>CG MARK</t>
  </si>
  <si>
    <t>Row 651 | Reason: ADDING SUPPLIER</t>
  </si>
  <si>
    <t>Date: "Fri Jun 19 2026 00:00:00 GMT-0600 (hora de verano de la montaña)" → "2026-06-19" | Supplier: "" → "AMSCO"</t>
  </si>
  <si>
    <t>HOLBROOK 2 B7</t>
  </si>
  <si>
    <t>ENTRY J&amp;J FARMS 112 x21</t>
  </si>
  <si>
    <t>Row 653 | Reason: CHANGE IN NAME</t>
  </si>
  <si>
    <t>Name: "J&amp;J FARMS 112" → "JJF 112" | GC: "WHI" → "" | PO #: "06-526" → "" | Date: "Fri Jun 19 2026 00:00:00 GMT-0600 (hora de verano de la montaña)" → "2026-06-19" | Comments: "2 BIG PATIO DOOR, 2 SASHES, 18 WINDOWS" → ""</t>
  </si>
  <si>
    <t>RAVARA BL;DG H</t>
  </si>
  <si>
    <t>RAVARA PARK</t>
  </si>
  <si>
    <t>ENTRY JJF 112 x8</t>
  </si>
  <si>
    <t>Row 654 | Reason: CHANGE IN QTY</t>
  </si>
  <si>
    <t>KUNA BH</t>
  </si>
  <si>
    <t>Qty: "8" → "10" | Date: "Fri Jun 19 2026 00:00:00 GMT-0600 (hora de verano de la montaña)" → "2026-06-19"</t>
  </si>
  <si>
    <t>ENTRY JJF 105 x11</t>
  </si>
  <si>
    <t>KARTCHNER</t>
  </si>
  <si>
    <t>SEAVERS</t>
  </si>
  <si>
    <t>ENTRY CNT WEST LAKE GLASS x3</t>
  </si>
  <si>
    <t>ENTRY SANCTUARY BATH SEC B x4</t>
  </si>
  <si>
    <t>ENTRY OX BOW BLDNG 23 x12</t>
  </si>
  <si>
    <t>LIBWELLS 6&amp;8</t>
  </si>
  <si>
    <t>ENTRY CITIZEN WEST 4 x1</t>
  </si>
  <si>
    <t>ENTRY ACC STUDENT HOUSING x1</t>
  </si>
  <si>
    <t>TRENTBJAMESANDERSON</t>
  </si>
  <si>
    <t>JAMES ANDERSON</t>
  </si>
  <si>
    <t>Row 660 | Reason: CHANGE IN COMMENTS</t>
  </si>
  <si>
    <t>Date: "Thu Jun 18 2026 00:00:00 GMT-0600 (hora de verano de la montaña)" → "2026-06-18" | Comments: "1 WHITE SASH" → "1 WHITE SASH AND 1 BOX OF HARDWARE"</t>
  </si>
  <si>
    <t>EXIT ACC STUDENT HOUSING x1</t>
  </si>
  <si>
    <t>ENTRY TIMP VALLEY CONSTRUCTION x6</t>
  </si>
  <si>
    <t>ENTRY BRIAN HARPER VAL 228 x1</t>
  </si>
  <si>
    <t>HIGHLAND ROW</t>
  </si>
  <si>
    <t>ENTRY EDISON 606 REORDER x1</t>
  </si>
  <si>
    <t>DAYBREAK 310</t>
  </si>
  <si>
    <t>DAYBREAK</t>
  </si>
  <si>
    <t>ENTRY WESTERLY FITNESS x1</t>
  </si>
  <si>
    <t>DAYBREAK 304</t>
  </si>
  <si>
    <t>ENTRY SANCTUARY x2</t>
  </si>
  <si>
    <t>ENTRY JJF 105 x2; ENTRY JJF 112 x2</t>
  </si>
  <si>
    <t>TVC ORCHARD GROVE</t>
  </si>
  <si>
    <t>Row 668 | Reason: CHANGE IN PROYECT NAME AND PO</t>
  </si>
  <si>
    <t>PO #: "06-528" → "06-526" | Date: "Fri Jun 19 2026 00:00:00 GMT-0600 (hora de verano de la montaña)" → "2026-06-19" | Project: "J&amp;J FARMS 105" → "J&amp;J FARMS 112"</t>
  </si>
  <si>
    <t>ALTA VISTA ADDITIONAL WINDOW</t>
  </si>
  <si>
    <t>Row 668 | Reason: ADDING COMMENT</t>
  </si>
  <si>
    <t>Date: "Fri Jun 19 2026 00:00:00 GMT-0600 (hora de verano de la montaña)" → "2026-06-19" | Comments: "" → "WHITE DOOR SCREENS"</t>
  </si>
  <si>
    <t>DAY POOL HOUSE</t>
  </si>
  <si>
    <t>Row 667 | Reason: ADDING COMMENT</t>
  </si>
  <si>
    <t>ENTRY RAIN BUSTER 440 x12</t>
  </si>
  <si>
    <t>SV STUDIO</t>
  </si>
  <si>
    <t>ENTRY ACC W3107 x1</t>
  </si>
  <si>
    <t>ENTRY LIBERTY WELLS B5 x10</t>
  </si>
  <si>
    <t>MARCUS LUNT SCRN</t>
  </si>
  <si>
    <t>MARCUS LUNT</t>
  </si>
  <si>
    <t>ENTRY LIBERTYWELLS B5M x17</t>
  </si>
  <si>
    <t>BJC DAYPOOL 9080</t>
  </si>
  <si>
    <t>ENTRY WESTERLY UNIT 114 x1</t>
  </si>
  <si>
    <t>TRANSFER | TIMP VALLEY CONSTRUCTION x6</t>
  </si>
  <si>
    <t>TRANSFER | STUDIO RESIDENCE CLEARFIELD x8</t>
  </si>
  <si>
    <t>TRANSFER | PAT SP 638 x2</t>
  </si>
  <si>
    <t>TRANSFER | SP 647 x2</t>
  </si>
  <si>
    <t>Row 649 | Reason: Change loc</t>
  </si>
  <si>
    <t>Date: "Fri Jun 19 2026 00:00:00 GMT-0600 (hora de verano de la montaña)" → "2026-06-19" | Dest Loc: "B5A" → "B6A"</t>
  </si>
  <si>
    <t>Row 598 | Reason: CHNAGE LOC</t>
  </si>
  <si>
    <t>Date: "Fri Jun 12 2026 00:00:00 GMT-0600 (hora de verano de la montaña)" → "2026-06-12" | Dest Loc: "B6A" → "C6A"</t>
  </si>
  <si>
    <t>EDISON 606</t>
  </si>
  <si>
    <t>Row 652 | Reason: CHANGE LOC</t>
  </si>
  <si>
    <t>Date: "Fri Jun 19 2026 00:00:00 GMT-0600 (hora de verano de la montaña)" → "2026-06-19" | Dest Loc: "C2A" → "C1A"</t>
  </si>
  <si>
    <t>BRYSON NICKELS</t>
  </si>
  <si>
    <t>Row 653 | Reason: CHANGE LOC</t>
  </si>
  <si>
    <t>BRYAON NICKEL</t>
  </si>
  <si>
    <t>Date: "Fri Jun 19 2026 00:00:00 GMT-0600 (hora de verano de la montaña)" → "2026-06-19" | Dest Loc: "B2A" → "B1A"</t>
  </si>
  <si>
    <t>SP 638</t>
  </si>
  <si>
    <t xml:space="preserve"> → SHOWROOM</t>
  </si>
  <si>
    <t>LEVATA CHANNEL CAP</t>
  </si>
  <si>
    <t xml:space="preserve"> → OTHER</t>
  </si>
  <si>
    <t>LANE ALLRED</t>
  </si>
  <si>
    <t>ENTRY POP DISPLAY x2</t>
  </si>
  <si>
    <t>ENTRY JJF 112 x1</t>
  </si>
  <si>
    <t>PAT SP 638</t>
  </si>
  <si>
    <t>ENTRY SP 648 TRACIE x1; ENTRY SP 648 TRACIE x1</t>
  </si>
  <si>
    <t>ENTRY BME2 SASH REPLACEMENT x1</t>
  </si>
  <si>
    <t>SMW6</t>
  </si>
  <si>
    <t>ENTRY MH305 SCREENS x4</t>
  </si>
  <si>
    <t>ENTRY SR108 CHOI RES REORDER x1</t>
  </si>
  <si>
    <t>ENTRY MISC KYLE JENSON x10</t>
  </si>
  <si>
    <t>ENTRY MISC KYLE JENSON x1</t>
  </si>
  <si>
    <t>ENTRY MH 145 x41; ENTRY MH 145 x10; ENTRY MH 145 x29</t>
  </si>
  <si>
    <t>ENTRY MH 159 x48; ENTRY MH 159 x23</t>
  </si>
  <si>
    <t>ENTRY SCENIC MOUNTAIN 4PLEX PHASE2 x20; ENTRY SCENIC MOUNTAIN 4PLEX PHASE2 x29; ENTRY SCENIC MOUNTAIN 4PLEX PHASE2 x39</t>
  </si>
  <si>
    <t>ENTRY MH 160 x31; ENTRY MH 160 x18</t>
  </si>
  <si>
    <t>ENTRY BS10 x15; ENTRY BS10 x12</t>
  </si>
  <si>
    <t>ENTRY BS10 x9</t>
  </si>
  <si>
    <t>ENTRY CLIFTON PLACE BI x15; ENTRY CLIFTON PLACE BL x10; ENTRY DEER VALLEY SKI BUTL x4; ENTRY DEER VALLEY SKI BUTL x4; ENTRY CLIFTON PLACE BL x10; ENTRY CLIFTON PLACE BI x15</t>
  </si>
  <si>
    <t>STUDIO RES</t>
  </si>
  <si>
    <t>CLIFTON PLACE BI</t>
  </si>
  <si>
    <t>STUDIO RESIDENCE</t>
  </si>
  <si>
    <t>row 710 — ["2026-06-29T21:51:43.409Z","MIRROR","CLIFTON PLACE BI","","",15,"UNIT","2026-06-26T06:00:00.000Z"]</t>
  </si>
  <si>
    <t>CLIFTON PLACE BL</t>
  </si>
  <si>
    <t>LGI_444546</t>
  </si>
  <si>
    <t>row 709 — ["2026-06-29T21:51:43.409Z","SHOWER","CLIFTON PLACE BL","","",10,"UNIT","2026-06-26T06:00:00.000Z"]</t>
  </si>
  <si>
    <t>EXIT JJF 112 x21</t>
  </si>
  <si>
    <t>EXIT JJF 105 x21</t>
  </si>
  <si>
    <t>SR PIONEER215</t>
  </si>
  <si>
    <t>TRANSFER | SMW6 x1</t>
  </si>
  <si>
    <t>WPR LOT 12 REMAKE</t>
  </si>
  <si>
    <t>ENTRY MH 145 x1</t>
  </si>
  <si>
    <t>KARTCHNER RMK</t>
  </si>
  <si>
    <t>ENTRY MH 160 x2</t>
  </si>
  <si>
    <t>SP639</t>
  </si>
  <si>
    <t>ENTRY SCENIC MOUNTAIN 4PLEX PHASE2 x4</t>
  </si>
  <si>
    <t>2NDS LATTITUDE</t>
  </si>
  <si>
    <t>ENTRY SP 648 SGD x1</t>
  </si>
  <si>
    <t>WESTERLY FITNESS</t>
  </si>
  <si>
    <t>ENTRY MH 159 x1</t>
  </si>
  <si>
    <t>ELKWOOD 3</t>
  </si>
  <si>
    <t>SP 648 SGD</t>
  </si>
  <si>
    <t>row 716 — ["2026-07-01T15:01:51.004Z","WINDOW","SP 648 SGD","PAT","06-3060",1,"UNIT","2026-06-26T06:00:00.000Z"]</t>
  </si>
  <si>
    <t>ELKWOOD 4</t>
  </si>
  <si>
    <t>Row 683 | Reason: CHANGE IN NAME</t>
  </si>
  <si>
    <t>Name: "SP 648 TRACIE" → "SP 648 SGD" | Date: "Fri Jun 26 2026 00:00:00 GMT-0600 (hora de verano de la montaña)" → "2026-06-26"</t>
  </si>
  <si>
    <t>ENTRY DE 042 PROVO x5; ENTRY DE 042 PROVO x10</t>
  </si>
  <si>
    <t>WPR UNIT 12 BASEMENT</t>
  </si>
  <si>
    <t>ENTRY DE 008 MILLARD x3; ENTRY DE 008 MILLARD x6</t>
  </si>
  <si>
    <t>KUNA G106</t>
  </si>
  <si>
    <t>ENTRY DE 043 MILLARD x3; ENTRY DE 043 MILLARD x6</t>
  </si>
  <si>
    <t>J&amp;J FARMS 112</t>
  </si>
  <si>
    <t>ENTRY SP648 TRACIE x10; ENTRY SP648 TRACIE x20</t>
  </si>
  <si>
    <t>ENTRY OQU 181 NAOMI x4; ENTRY OQU 181 NAOMI x10</t>
  </si>
  <si>
    <t>ENTRY OQU 173 MILLARD x1; ENTRY OQU 173 MILLARD x16</t>
  </si>
  <si>
    <t>J&amp;J FARMS 105</t>
  </si>
  <si>
    <t>Row 727 | Reason: CHANGE IN QTY</t>
  </si>
  <si>
    <t>Qty: "1" → "8" | Date: "Fri Jun 26 2026 00:00:00 GMT-0600 (hora de verano de la montaña)" → "2026-06-26"</t>
  </si>
  <si>
    <t>CNT-WEST LAKE GLASS</t>
  </si>
  <si>
    <t>Row 726 | Reason: CHANGE IN DATE</t>
  </si>
  <si>
    <t>Date: "Wed Jul 01 2026 00:00:00 GMT-0600 (hora de verano de la montaña)" → "2026-06-26"</t>
  </si>
  <si>
    <t>CNT WEST LAKE GLASS</t>
  </si>
  <si>
    <t>Row 725 | Reason: CHANGE IN DATE</t>
  </si>
  <si>
    <t>SANCTUARY BATH SEC B</t>
  </si>
  <si>
    <t>SANCTUARY</t>
  </si>
  <si>
    <t>ENTRY OQU 201 GLENWOOD x4; ENTRY OQU 201 GLENWOOD x1</t>
  </si>
  <si>
    <t>OX BOW BLDNG 23</t>
  </si>
  <si>
    <t>Row 730 | Reason: CHANGE IN QTY</t>
  </si>
  <si>
    <t>Qty: "1" → "6" | Date: "Fri Jun 26 2026 00:00:00 GMT-0600 (hora de verano de la montaña)" → "2026-06-26"</t>
  </si>
  <si>
    <t>CITIZEN WEST 4</t>
  </si>
  <si>
    <t>Row 727 | Reason: CHANGE IN NAME</t>
  </si>
  <si>
    <t>Name: "OQU 173 MILLARD" → "OQU 173 HILGARD" | Date: "Fri Jun 26 2026 00:00:00 GMT-0600 (hora de verano de la montaña)" → "2026-06-26"</t>
  </si>
  <si>
    <t>BRIAN HARPER VAL 228</t>
  </si>
  <si>
    <t>Row 728 | Reason: CHANGE IN NAME</t>
  </si>
  <si>
    <t>TRANSFER | PAT PVS4 x15</t>
  </si>
  <si>
    <t>EDISON 606 REORDER</t>
  </si>
  <si>
    <t>ENTRY SR MM 104 x21; ENTRY SR MM 104 x4; ENTRY SR MM 104 x20</t>
  </si>
  <si>
    <t>ENTRY SR MM 104 x1</t>
  </si>
  <si>
    <t>ENTRY DE 042 PROVO x1</t>
  </si>
  <si>
    <t>ENTRY DE 008 MILLARD x1</t>
  </si>
  <si>
    <t>ENTRY OQU 201 GLENWOOD x1</t>
  </si>
  <si>
    <t>ACC W3107</t>
  </si>
  <si>
    <t>ENTRY OQU 181 NAOMI x1</t>
  </si>
  <si>
    <t>LIBERTY WELLS B5</t>
  </si>
  <si>
    <t>ENTRY DE 043 MILLARD x1</t>
  </si>
  <si>
    <t>ENTRY OQU 173 HILGARD x1</t>
  </si>
  <si>
    <t>LIBERTYWELLS B5M</t>
  </si>
  <si>
    <t>Row 741 | Reason: CHANGE IN QTY</t>
  </si>
  <si>
    <t>Qty: "1" → "2" | Date: "Fri Jun 26 2026 00:00:00 GMT-0600 (hora de verano de la montaña)" → "2026-06-26"</t>
  </si>
  <si>
    <t>WESTERLY UNIT 114</t>
  </si>
  <si>
    <t>ENTRY BULLOCK 11 (ELOISE) x30</t>
  </si>
  <si>
    <t>ENTRY CNT WESTLAKE x2</t>
  </si>
  <si>
    <t>POP DISPLAY</t>
  </si>
  <si>
    <t>ENTRY WOOD SPRINGS SUITES x2</t>
  </si>
  <si>
    <t>PAT SP648 TRACIE</t>
  </si>
  <si>
    <t>ENTRY FIX MY DOOR x8</t>
  </si>
  <si>
    <t>BME2 SASH REPLACEMENT</t>
  </si>
  <si>
    <t>ENTRY BRYSON NICKELS REORDER x1</t>
  </si>
  <si>
    <t>MH305-SCREENS</t>
  </si>
  <si>
    <t>PAT MH305</t>
  </si>
  <si>
    <t>Row 591 | Reason: CHANGE IN NAME</t>
  </si>
  <si>
    <t>Name: "BRYSON NICKEL" → "BRYSON NICKELS" | Date: "Thu Jun 11 2026 00:00:00 GMT-0600 (hora de verano de la montaña)" → "2026-06-11"</t>
  </si>
  <si>
    <t>SR108 CHOI RES REORDER</t>
  </si>
  <si>
    <t>PAT SR108 CHOI RES REORDER</t>
  </si>
  <si>
    <t>ENTRY JULIA STUART IGU x2</t>
  </si>
  <si>
    <t>MISC KYLE JENSON</t>
  </si>
  <si>
    <t>ENTRY KARTCHNER SD HEADER RE x1</t>
  </si>
  <si>
    <t>ENTRY JULIE STUART SHOWER x3</t>
  </si>
  <si>
    <t>MH 145</t>
  </si>
  <si>
    <t>TOL MH 145</t>
  </si>
  <si>
    <t>ENTRY MAYE HOUSE x1</t>
  </si>
  <si>
    <t>ENTRY GEM MIRROR 1 x8</t>
  </si>
  <si>
    <t>TOL MH 159</t>
  </si>
  <si>
    <t>ENTRY WESTERLY FITNESS ROO x3</t>
  </si>
  <si>
    <t>EXIT SCENIC MOUNTAIN 4PLEX PHASE2 x29; EXIT SCENIC MOUNTAIN 4PLEX PHASE2 x20</t>
  </si>
  <si>
    <t>EXIT SR MM 104 x21; EXIT SR MM 104 x4</t>
  </si>
  <si>
    <t>GHH SCENIC MOUNTAIN 4PLEX PHASE2</t>
  </si>
  <si>
    <t>TRANSFER | SP 647 x13</t>
  </si>
  <si>
    <t>ENTRY SP 647 REORDER x5</t>
  </si>
  <si>
    <t>TOLL MH 160</t>
  </si>
  <si>
    <t>Row 758 | Reason: CHANGE IN NAME</t>
  </si>
  <si>
    <t>Name: "SP 647" → "SP 647 REORDER" | Date: "Mon Jul 06 2026 00:00:00 GMT-0600 (hora de verano de la montaña)" → "2026-07-06" | Project: "PAT SP 647" → "PAT SP 647 REORDER"</t>
  </si>
  <si>
    <t>ENTRY DE 10 CASCADE x8; ENTRY DE 10 CASCADE x4; ENTRY DE 10 CASCADE x1</t>
  </si>
  <si>
    <t>BS10</t>
  </si>
  <si>
    <t>PAT BS 10</t>
  </si>
  <si>
    <t>ENTRY LGI DE 11 DELANO x11; ENTRY LGI DE 11 DELANO x3; ENTRY LGI DE 11 DELANO x1</t>
  </si>
  <si>
    <t>ENTRY LGI DE 12 GRANITE x10; ENTRY LGI DE 12 GRANITE x4; ENTRY LGI DE 12 GRANITE x1</t>
  </si>
  <si>
    <t>RETURN | TOL MH146 x39</t>
  </si>
  <si>
    <t>Row 278 | Reason: CHANGE IN PM</t>
  </si>
  <si>
    <t>Date: "Thu Apr 23 2026 00:00:00 GMT-0600 (hora de verano de la montaña)" → "2026-04-23" | Dest Loc: "JOE LUMUS BAY" → "JOE L. BAY"</t>
  </si>
  <si>
    <t>Row 277 | Reason: CHANGE IN PM</t>
  </si>
  <si>
    <t>Qty: "-2" → "2" | Date: "Thu Apr 23 2026 00:00:00 GMT-0600 (hora de verano de la montaña)" → "2026-04-23" | Dest Loc: "JOE LUMUS BAY" → "JOE L. BAY"</t>
  </si>
  <si>
    <t>DEER VALLEY SKI BUTL</t>
  </si>
  <si>
    <t>Row 430 | Reason: CHANGE IN PM</t>
  </si>
  <si>
    <t>Date: "Wed May 20 2026 00:00:00 GMT-0600 (hora de verano de la montaña)" → "2026-05-20" | Dest Loc: "JOE L CART" → "JOE L. CART"</t>
  </si>
  <si>
    <t>ENTRY 959E 3300S x12</t>
  </si>
  <si>
    <t>LGI DE 042 PROVO</t>
  </si>
  <si>
    <t>ENTRY SUMMIT 301 x13; ENTRY BRIAN HARPER VAL 228 x1</t>
  </si>
  <si>
    <t>Row 724 | Reason: Change in location</t>
  </si>
  <si>
    <t>Date: "Fri Jun 26 2026 00:00:00 GMT-0600 (hora de verano de la montaña)" → "2026-06-26" | Dest Loc: "WINDOW WAREHOUSE" → "A3A"</t>
  </si>
  <si>
    <t>DE 008 MILLARD</t>
  </si>
  <si>
    <t>LGI DE 008 MILLARD</t>
  </si>
  <si>
    <t>Row 718 | Reason: Change in location</t>
  </si>
  <si>
    <t>Date: "Fri Jun 26 2026 00:00:00 GMT-0600 (hora de verano de la montaña)" → "2026-06-26" | Dest Loc: "WINDOW WAREHOUSE" → "B4A" | PM: "" → "JOE L."</t>
  </si>
  <si>
    <t>Row 760 | Reason: Change in location</t>
  </si>
  <si>
    <t>Date: "Mon Jul 06 2026 00:00:00 GMT-0600 (hora de verano de la montaña)" → "2026-07-06" | Dest Loc: "B6A" → "B4A"</t>
  </si>
  <si>
    <t>DE 043 MILLARD</t>
  </si>
  <si>
    <t>LGI DE 043 MILLARD</t>
  </si>
  <si>
    <t>Row 728 | Reason: Change in location and quantity</t>
  </si>
  <si>
    <t>Date: "Fri Jun 26 2026 00:00:00 GMT-0600 (hora de verano de la montaña)" → "2026-06-26" | Dest Loc: "WINDOW WAREHOUSE" → "B5A"</t>
  </si>
  <si>
    <t>Row 720 | Reason: Change in location</t>
  </si>
  <si>
    <t>TRANSFER DE 008 MILLARD x6</t>
  </si>
  <si>
    <t>OQU 181 NAOMI</t>
  </si>
  <si>
    <t>LGI OQU 181 NAOMI</t>
  </si>
  <si>
    <t>Row 774 | Reason: Change in project and other</t>
  </si>
  <si>
    <t>GC: "" → "LGI" | Date: "Tue Jul 07 2026 00:00:00 GMT-0600 (hora de verano de la montaña)" → "2026-07-07" | Supplier: "" → "ALSIDE" | Responsible: "Jose" → "JOSE" | Project: "GENERIC" → "LGI DE 008 MILLARD"</t>
  </si>
  <si>
    <t>LGI OQU 173 MILLARD</t>
  </si>
  <si>
    <t>joseisrael5101@gmail.com → ADMIN</t>
  </si>
  <si>
    <t>Row 686 | Reason: Adding location</t>
  </si>
  <si>
    <t>Date: "Fri Jun 26 2026 00:00:00 GMT-0600 (hora de verano de la montaña)" → "2026-06-26" | Dest Loc: "" → "B6A"</t>
  </si>
  <si>
    <t xml:space="preserve"> white SEALANT</t>
  </si>
  <si>
    <t>IN STOCK</t>
  </si>
  <si>
    <t>Row 598 | Reason: Change in location</t>
  </si>
  <si>
    <t>LGI OQU 201 GLENWOOD</t>
  </si>
  <si>
    <t>Date: "Fri Jun 12 2026 00:00:00 GMT-0600 (hora de verano de la montaña)" → "2026-06-12" | Dest Loc: "C6A" → "B6A"</t>
  </si>
  <si>
    <t>Row 686 | Reason: CHANGE IN COMMENTS</t>
  </si>
  <si>
    <t>Qty: "1" → "2" | Date: "Fri Jun 26 2026 00:00:00 GMT-0600 (hora de verano de la montaña)" → "2026-06-26" | Comments: "DOOR AND SASH" → "2 DOORS AND 2 SASHES"</t>
  </si>
  <si>
    <t>FLASHING_CAULK|||RAIN BUSTER 450</t>
  </si>
  <si>
    <t>TRANSFER SP 648 TRACIE x1</t>
  </si>
  <si>
    <t>TRANSFER MH 160 x31</t>
  </si>
  <si>
    <t>TRANSFER BULLOCK 11 (ELOISE) x15</t>
  </si>
  <si>
    <t>BULLOCK 11 (ELOISE)</t>
  </si>
  <si>
    <t>Row 726 | Reason: CHANGE IN LOC</t>
  </si>
  <si>
    <t>PAT BULLOCK 11 (ELOISE)</t>
  </si>
  <si>
    <t>Date: "Fri Jun 26 2026 00:00:00 GMT-0600 (hora de verano de la montaña)" → "2026-06-26" | Dest Loc: "WINDOW WAREHOUSE" → "C1A"</t>
  </si>
  <si>
    <t>TYVEK</t>
  </si>
  <si>
    <t>Boxes of 16 each, one box not complete</t>
  </si>
  <si>
    <t>Row 722 | Reason: CHANGE IN LOC</t>
  </si>
  <si>
    <t>FLASHING_CAULK|||FLASHING PAPER 9</t>
  </si>
  <si>
    <t>Row 690 | Reason: CHANGE IN LOCATION</t>
  </si>
  <si>
    <t>Date: "Fri Jun 26 2026 00:00:00 GMT-0600 (hora de verano de la montaña)" → "2026-06-26" | Dest Loc: "C2A" → "B2A"</t>
  </si>
  <si>
    <t>CNT-WESTLAKE</t>
  </si>
  <si>
    <t>CNT WESTLAKE</t>
  </si>
  <si>
    <t>Row 776 | Reason: Wrong location</t>
  </si>
  <si>
    <t>Date: "Tue Jul 07 2026 00:00:00 GMT-0600 (hora de verano de la montaña)" → "2026-07-07" | Dest Loc: "C2B" → "C2A"</t>
  </si>
  <si>
    <t>WOOD SPRINGS SUITES</t>
  </si>
  <si>
    <t>Row 730 | Reason: CHANGE IN LOC</t>
  </si>
  <si>
    <t>IGU KART</t>
  </si>
  <si>
    <t>only 7 and a half box left</t>
  </si>
  <si>
    <t>Row 767 | Reason: CHANGE IN LOC</t>
  </si>
  <si>
    <t>FIX MY DOOR</t>
  </si>
  <si>
    <t>Date: "Mon Jul 06 2026 00:00:00 GMT-0600 (hora de verano de la montaña)" → "2026-07-06" | Dest Loc: "B4A" → "C4A"</t>
  </si>
  <si>
    <t>Row 773 | Reason: ADDING PM</t>
  </si>
  <si>
    <t>Date: "Tue Jul 07 2026 00:00:00 GMT-0600 (hora de verano de la montaña)" → "2026-07-07" | PM: "" → "TERRY T."</t>
  </si>
  <si>
    <t>BRYSON NICKELS REORDER</t>
  </si>
  <si>
    <t>Row 772 | Reason: ADDING PM</t>
  </si>
  <si>
    <t>Date: "Tue Jul 07 2026 00:00:00 GMT-0600 (hora de verano de la montaña)" → "2026-07-07" | PM: "" → "TREVOR"</t>
  </si>
  <si>
    <t>JULIA STUART IGU</t>
  </si>
  <si>
    <t>EXIT WHILOT219 x12; EXIT WHILOT219 x1; EXIT WHIPR220 x11; EXIT WHIPR220 x1; EXIT WHI 222 x12; EXIT WHILOT224POPPY x12; EXIT WHILOT224POPPY x1</t>
  </si>
  <si>
    <t>GOO</t>
  </si>
  <si>
    <t>KARTCHNER SD HEADER RE</t>
  </si>
  <si>
    <t>ENTRY WHI 222 x1</t>
  </si>
  <si>
    <t>white</t>
  </si>
  <si>
    <t>EXIT WHI 222 x1</t>
  </si>
  <si>
    <t>JULIE STUART SHOWER</t>
  </si>
  <si>
    <t>WINDOW|||GOO HFLOT1441W</t>
  </si>
  <si>
    <t>ENTRY FLASHING TAPE 6_ x216</t>
  </si>
  <si>
    <t>ENTRY</t>
  </si>
  <si>
    <t>ENTRY SUMMIT 301 x3</t>
  </si>
  <si>
    <t>MAYE HOUSE</t>
  </si>
  <si>
    <t>ENTRY CAMDEN COMMONS 23_24 x26; ENTRY CAMDEN COMMONS 23_24 x24</t>
  </si>
  <si>
    <t>GEM MIRROR 1</t>
  </si>
  <si>
    <t>ENTRY WESTERLY UNIT 414 W09 x2</t>
  </si>
  <si>
    <t>clay</t>
  </si>
  <si>
    <t>ENTRY SKYVIEW REORDER x1</t>
  </si>
  <si>
    <t>WESTERLY FITNESS ROO</t>
  </si>
  <si>
    <t>WINDOW|||HFLOT153</t>
  </si>
  <si>
    <t>ENTRY MISC JONES RES x7</t>
  </si>
  <si>
    <t>SP 647 REORDER</t>
  </si>
  <si>
    <t>PAT SP 647 REORDER</t>
  </si>
  <si>
    <t>ENTRY LIBERTY WELLS FITNESS x9</t>
  </si>
  <si>
    <t>ENTRY TOL MH 146 (W REORDER) x40; ENTRY TOL MH 146 (W REORDER) x29; ENTRY TOL MH 146 (W REORDER) x1</t>
  </si>
  <si>
    <t>ENTRY TOL MH 145 (REORDER) x49; ENTRY TOL MH 145 (REORDER) x1; ENTRY TOL MH 145 (REORDER) x29</t>
  </si>
  <si>
    <t>ENTRY TOL MH 159 (REORDER) x46; ENTRY TOL MH 159 (REORDER) x1; ENTRY TOL MH 159 (REORDER) x23; ENTRY TOL MH 159 (REORDER) x1</t>
  </si>
  <si>
    <t>DE 10 CASCADE</t>
  </si>
  <si>
    <t>LGI DE 10 CASCADE</t>
  </si>
  <si>
    <t>WINDOW|||HFLOT135</t>
  </si>
  <si>
    <t>ENTRY TOL MH 145 (REORDER) x1</t>
  </si>
  <si>
    <t>ENTRY TOL MH 146 (W REORDER) x1</t>
  </si>
  <si>
    <t>Row 802 | Reason: CHANGE IN LOC</t>
  </si>
  <si>
    <t>Date: "Fri Jul 10 2026 00:00:00 GMT-0600 (hora de verano de la montaña)" → "2026-07-10" | Dest Loc: "P1C" → "P4C"</t>
  </si>
  <si>
    <t>PAT</t>
  </si>
  <si>
    <t>Row 799 | Reason: CHANGE IN LOC</t>
  </si>
  <si>
    <t>LGI DE 11 DELANO</t>
  </si>
  <si>
    <t>Row 797 | Reason: CHANGE IN LOC</t>
  </si>
  <si>
    <t>White WINDOWS</t>
  </si>
  <si>
    <t xml:space="preserve"> PATTERSON HOMES</t>
  </si>
  <si>
    <t>WINDOW|||PAT PVS4</t>
  </si>
  <si>
    <t>ENTRY SP 654 x1</t>
  </si>
  <si>
    <t>ENTRY MISC LEVI DARGER (MATERIAL ONLY) x3; ENTRY MISC LEVI DARGER (MATERIAL ONLY) x1</t>
  </si>
  <si>
    <t>ENTRY HIGHLAND REMODEL ARCHED REORDER x1; ENTRY HIGHLAND REMODEL ARCHED REORDER x1</t>
  </si>
  <si>
    <t>LGI DE 12 GRANITE</t>
  </si>
  <si>
    <t>LGI DE 12 DELANO</t>
  </si>
  <si>
    <t>ENTRY MISC SPENCER HALFORDE x1</t>
  </si>
  <si>
    <t>Row 810 | Reason: CHANGE IN QTY</t>
  </si>
  <si>
    <t>Qty: "1" → "2" | Date: "Fri Jul 10 2026 00:00:00 GMT-0600 (hora de verano de la montaña)" → "2026-07-10"</t>
  </si>
  <si>
    <t>Allside-white</t>
  </si>
  <si>
    <t>Row 811 | Reason: CHANGE IN QTY</t>
  </si>
  <si>
    <t>WINDOW|||HFLOT154</t>
  </si>
  <si>
    <t>EXIT HIGHLAND REMODEL ARCHED REORDER x2</t>
  </si>
  <si>
    <t xml:space="preserve"> → ANDERSEN (WINDOWS AND DOORS)</t>
  </si>
  <si>
    <t>ENTRY WILLIAMS x29; ENTRY WILLIAMS x14</t>
  </si>
  <si>
    <t>ENTRY OX GLASS LGI x1</t>
  </si>
  <si>
    <t>959E 3300S</t>
  </si>
  <si>
    <t>ENTRY PAT BME3 x1</t>
  </si>
  <si>
    <t>ENTRY SP 654 BROOKE x12; ENTRY SP 654 BROOKE x12</t>
  </si>
  <si>
    <t>SUMMIT 301</t>
  </si>
  <si>
    <t>ENTRY HOLBROOK 2 B6 SD x8</t>
  </si>
  <si>
    <t>unloaded by the window installers, they previously unloaded windows at ---- from the same semi truck</t>
  </si>
  <si>
    <t>ENTRY CHASE STAUFFER SD x1; ENTRY SEAVERS RESIDENCE M x2</t>
  </si>
  <si>
    <t>Row 822 | Reason: CHANGE IN PROJECT NAME</t>
  </si>
  <si>
    <t>Date: "Mon Jul 13 2026 00:00:00 GMT-0600 (hora de verano de la montaña)" → "2026-07-13" | Project: "GENERIC" → "SEAVERS RESIDENCE M"</t>
  </si>
  <si>
    <t>WINDOW|||LGI REDROCK DISCOUNT</t>
  </si>
  <si>
    <t>Row 821 | Reason: CHANGE IN PROJECT NAME</t>
  </si>
  <si>
    <t>Date: "Mon Jul 13 2026 00:00:00 GMT-0600 (hora de verano de la montaña)" → "2026-07-13" | Project: "GENERIC" → "CHASE STAUFFER - SD"</t>
  </si>
  <si>
    <t>GOO CAMDEN COMMONS 23_24</t>
  </si>
  <si>
    <t>EXIT DAL BARNES x4</t>
  </si>
  <si>
    <t>WESTERLY UNIT 414 W09</t>
  </si>
  <si>
    <t>Row 807 | Reason: Change in location</t>
  </si>
  <si>
    <t>Date: "Fri Jul 10 2026 00:00:00 GMT-0600 (hora de verano de la montaña)" → "2026-07-10" | Dest Loc: "C6A" → "C1A"</t>
  </si>
  <si>
    <t>Row 819 | Reason: Change in loc</t>
  </si>
  <si>
    <t>Date: "Mon Jul 13 2026 00:00:00 GMT-0600 (hora de verano de la montaña)" → "2026-07-13" | Dest Loc: "A3A" → "A3B"</t>
  </si>
  <si>
    <t>SKYVIEW REORDER</t>
  </si>
  <si>
    <t>EXIT TOL MH 146 (W REORDER) x40; EXIT TOL MH 146 (W REORDER) x1</t>
  </si>
  <si>
    <t>TRANSFER TOL MH 159 (REORDER) x1</t>
  </si>
  <si>
    <t>MISC JONES RES</t>
  </si>
  <si>
    <t>TRANSFER TOL MH 145 (REORDER) x1</t>
  </si>
  <si>
    <t>Row 815 | Reason: CHANGE IN NAME AND PROJECT NAME.</t>
  </si>
  <si>
    <t>Name: "WILLIAMS" → "ELK RIDGE LME 32" | GC: "" → "SYMPHONY HOMES" | Date: "Mon Jul 13 2026 00:00:00 GMT-0600 (hora de verano de la montaña)" → "2026-07-13" | Project: "WILLIAMS" → "ELK RIDGE LME 32" | PM: "" → "TERRY"</t>
  </si>
  <si>
    <t>LIBERTY WELLS FITNESS</t>
  </si>
  <si>
    <t>Row 814 | Reason: CHANGE IN NAME AND PROJECT</t>
  </si>
  <si>
    <t>Name: "WILLIAMS" → "ELK RIDGE LME 32" | GC: "" → "SYMPHONY HOMES" | Date: "Mon Jul 13 2026 00:00:00 GMT-0600 (hora de verano de la montaña)" → "2026-07-13" | Project: "WILLIAMS" → "ELK RIDGE LME 32"</t>
  </si>
  <si>
    <t>EXIT CAMDEN COMMONS 23_24 x26</t>
  </si>
  <si>
    <t>TOL MH 146 W REORDER</t>
  </si>
  <si>
    <t>EXIT DE 042 PROVO x11</t>
  </si>
  <si>
    <t>TRANSFER LGI OM159 x19</t>
  </si>
  <si>
    <t>Row 830 | Reason: CHANGE IN DESTINATION AND DATE</t>
  </si>
  <si>
    <t>GC: "" → "LGI" | Date: "Tue Jul 14 2026 00:00:00 GMT-0600 (hora de verano de la montaña)" → "2026-06-22" | Dest Loc: "19" → "LGI OM159"</t>
  </si>
  <si>
    <t>TOL MH 145 (REORDER)</t>
  </si>
  <si>
    <t>EXIT TIMP VALLEY CONSTRUCTION x6</t>
  </si>
  <si>
    <t>Row 758 | Reason: Change in loc</t>
  </si>
  <si>
    <t>Date: "Mon Jul 06 2026 00:00:00 GMT-0600 (hora de verano de la montaña)" → "2026-07-06" | Dest Loc: "B4A" → "A5A"</t>
  </si>
  <si>
    <t>EXIT SP 647 x13; EXIT SP 647 x2</t>
  </si>
  <si>
    <t>TRANSFER BS10 x15; TRANSFER BS10 x12</t>
  </si>
  <si>
    <t>Row 793 | Reason: CHANGE IN LOC</t>
  </si>
  <si>
    <t>Date: "Thu Jul 09 2026 00:00:00 GMT-0600 (hora de verano de la montaña)" → "2026-07-09" | Dest Loc: "A2B" → "A3B"</t>
  </si>
  <si>
    <t>EXIT TOL MH 159 (REORDER) x46; EXIT TOL MH 159 (REORDER) x1</t>
  </si>
  <si>
    <t>EXIT BMW3 x1</t>
  </si>
  <si>
    <t>UPDATE_MIN_STOCK_BULK</t>
  </si>
  <si>
    <t>1 material(s)</t>
  </si>
  <si>
    <t>WINDOW|||PAT AC64 EXTRA</t>
  </si>
  <si>
    <t>10 material(s)</t>
  </si>
  <si>
    <t>LOCK_MATERIAL</t>
  </si>
  <si>
    <t>TOL MH146 @ B</t>
  </si>
  <si>
    <t>5 material(s)</t>
  </si>
  <si>
    <t>SP 654</t>
  </si>
  <si>
    <t>PAT SP 654</t>
  </si>
  <si>
    <t>WASTE | WESTERLY x100</t>
  </si>
  <si>
    <t>MISC LEVI DARGER (MATERIAL ONLY)</t>
  </si>
  <si>
    <t>EXIT OQU 201 GLENWOOD x6</t>
  </si>
  <si>
    <t>LEVI DARGER</t>
  </si>
  <si>
    <t>EXIT OQU 173 HILGARD x16</t>
  </si>
  <si>
    <t>TRANSFER LGI DE 11 DELANO x11</t>
  </si>
  <si>
    <t>Row 842 | Reason: Change in destination</t>
  </si>
  <si>
    <t>Date: "Thu Jul 16 2026 00:00:00 GMT-0600 (hora de verano de la montaña)" → "2026-07-16" | Dest Loc: "11" → "C6A"</t>
  </si>
  <si>
    <t>DISPATCHED</t>
  </si>
  <si>
    <t>TRANSFER LGI DE 12 GRANITE x10</t>
  </si>
  <si>
    <t>HIGHLAND REMODEL</t>
  </si>
  <si>
    <t>TRANSFER DE 10 CASCADE x8</t>
  </si>
  <si>
    <t>MISC SPENCER HALFORDE</t>
  </si>
  <si>
    <t>ENTRY KENTKAY SAUNA&amp;SHOWER x5</t>
  </si>
  <si>
    <t>EXIT</t>
  </si>
  <si>
    <t>ENTRY KARTCHNERSD x1</t>
  </si>
  <si>
    <t>Row 845 | Reason: CHANGE IN CATEGORY</t>
  </si>
  <si>
    <t>ELK RIDGE LME 32</t>
  </si>
  <si>
    <t>Category: "WINDOW" → "MIRROR" | Date: "Wed Jul 15 2026 00:00:00 GMT-0600 (hora de verano de la montaña)" → "2026-07-15"</t>
  </si>
  <si>
    <t>ENTRY HOLBROOK 2 B6 M x32</t>
  </si>
  <si>
    <t>ENTRY ALTA VISTA x15</t>
  </si>
  <si>
    <t>Row 848 | Reason: CHANGE IN QTY</t>
  </si>
  <si>
    <t>Qty: "15" → "63" | Date: "Wed Jul 15 2026 00:00:00 GMT-0600 (hora de verano de la montaña)" → "2026-07-15"</t>
  </si>
  <si>
    <t>OX GLASS LGI</t>
  </si>
  <si>
    <t>SGD SCRN TRACK</t>
  </si>
  <si>
    <t>ENTRY HF 156 x79</t>
  </si>
  <si>
    <t>ENTRY 3500 RESIDENCES 1 x68</t>
  </si>
  <si>
    <t>SCREEN|||HFLOT135</t>
  </si>
  <si>
    <t>SP 654 BROOKE</t>
  </si>
  <si>
    <t>PAT SP 654 BROOKE</t>
  </si>
  <si>
    <t>ENTRY CG JUAN x1; ENTRY GC LUIS x2</t>
  </si>
  <si>
    <t>ENTRY TYVEK 9_ INTGRATION WRAP x16</t>
  </si>
  <si>
    <t>ENTRY LGI OQU175183185 x4</t>
  </si>
  <si>
    <t>EXIT LGI OQU175183185 x4</t>
  </si>
  <si>
    <t>HOLBROOK 2 B6 - SD</t>
  </si>
  <si>
    <t>HOLBROOK 2 B6 SD</t>
  </si>
  <si>
    <t>ENTRY JULIE STUARTS REORDER x1</t>
  </si>
  <si>
    <t>ENTRY ALTA VISTA x6</t>
  </si>
  <si>
    <t>CHASE STAUFFER - SD</t>
  </si>
  <si>
    <t>ENTRY LGI OQU 175 183 185 x3</t>
  </si>
  <si>
    <t>ENTRY BLUEJAY DAY POOL 7303 x1</t>
  </si>
  <si>
    <t>SEAVERS RESIDENCE M</t>
  </si>
  <si>
    <t>ENTRY LGI 46 SASH x1; ENTRY LGI 44 SASH x1</t>
  </si>
  <si>
    <t>SCREEN|||HFLOT153</t>
  </si>
  <si>
    <t>ENTRY ELKWOOD SCREENS S845 x1; ENTRY ELKWOOD SCREENS T284 x1</t>
  </si>
  <si>
    <t>KENTKAY-SAUNA&amp;SHOWER</t>
  </si>
  <si>
    <t>KENTKAY SAUNA&amp;SHOWER</t>
  </si>
  <si>
    <t>ENTRY MH 304 SCREENS#2 x1</t>
  </si>
  <si>
    <t>KARTCHNERSD</t>
  </si>
  <si>
    <t>EXIT MH 304 SCREENS#2 x1</t>
  </si>
  <si>
    <t>HOLBROOK 2 B6 - M</t>
  </si>
  <si>
    <t>HOLBROOK 2 B6 M</t>
  </si>
  <si>
    <t>EXIT ELKWOOD SCREENS S845 x1</t>
  </si>
  <si>
    <t>HF 156</t>
  </si>
  <si>
    <t>EXIT ELKWOOD SCREENS T284 x1</t>
  </si>
  <si>
    <t>GOO HF 156</t>
  </si>
  <si>
    <t>Row 867 | Reason: CHANGE IN DATE</t>
  </si>
  <si>
    <t>Date: "Fri Jul 17 2026 00:00:00 GMT-0600 (hora de verano de la montaña)" → "2026-07-15"</t>
  </si>
  <si>
    <t>GHH3500 RESIDENCES</t>
  </si>
  <si>
    <t>SCREEN|||PAT SC17</t>
  </si>
  <si>
    <t>ENTRY PROVO REMODEL x15</t>
  </si>
  <si>
    <t>GC LUIS</t>
  </si>
  <si>
    <t>ENTRY VINEYARD BLACK 13C MOCKUP x2</t>
  </si>
  <si>
    <t>ENTRY MM210 x32</t>
  </si>
  <si>
    <t>ENTRY FELT AMILY DENTAL x1</t>
  </si>
  <si>
    <t>JULIE STUARTS REORDER</t>
  </si>
  <si>
    <t>ENTRY CODY RESIDENCE x17; ENTRY CODY RESIDENCE x10</t>
  </si>
  <si>
    <t>ENTRY JJFARMS LOT 106 x14</t>
  </si>
  <si>
    <t>LGI-OQU 175, 183, 185</t>
  </si>
  <si>
    <t>LGI OQU 175 183 185</t>
  </si>
  <si>
    <t>ENTRY PAO223 x12</t>
  </si>
  <si>
    <t>ENTRY PAO225 x9</t>
  </si>
  <si>
    <t>SCREEN|||HFLOT147</t>
  </si>
  <si>
    <t>BLUEJAY-DAY POOL 7303</t>
  </si>
  <si>
    <t>BLUEJAY DAY POOL 7303</t>
  </si>
  <si>
    <t>EXIT LGI OQU67 x4; EXIT LGI OQU67 x1; EXIT LGI OQU66 x4; EXIT LGI OQU66 x1; EXIT LGI OQU60 x4; EXIT LGI OQU60 x1</t>
  </si>
  <si>
    <t>LGI 46 SASH</t>
  </si>
  <si>
    <t>ENTRY SP 638 REORDER x1; ENTRY SP 638 REORDER x2</t>
  </si>
  <si>
    <t>EXIT CODY RESIDENCE x17; EXIT CODY RESIDENCE x10</t>
  </si>
  <si>
    <t>LGI 44 SASH</t>
  </si>
  <si>
    <t>EXIT MH 160 x31</t>
  </si>
  <si>
    <t>EXIT FLEX WRAP 9 x1; EXIT RAIN BUSTER 450 x2; EXIT FLASHING TAPE 6 x1; EXIT FLASHINGTAPE 9 x1; EXIT TYVEK 9_ INTGRATION WRAP x1</t>
  </si>
  <si>
    <t>PROVO REMODEL</t>
  </si>
  <si>
    <t>HH PROVO REMODEL</t>
  </si>
  <si>
    <t>ENTRY PAO223 x9</t>
  </si>
  <si>
    <t>ENTRY PAO225 x6</t>
  </si>
  <si>
    <t>VINEYARD BLACK 13C MOCKUP</t>
  </si>
  <si>
    <t>Row 894 | Reason: CHANGE IN PROJECT NAME</t>
  </si>
  <si>
    <t>Date: "Fri Jul 17 2026 00:00:00 GMT-0600 (hora de verano de la montaña)" → "2026-07-17" | Project: "WHI PAO223" → "WHI PAO225"</t>
  </si>
  <si>
    <t>SCREEN|||HFLOT154</t>
  </si>
  <si>
    <t>MM210</t>
  </si>
  <si>
    <t>ENTRY VINEYARD BLACK 13C MOCKUP x3</t>
  </si>
  <si>
    <t>SWE MM210</t>
  </si>
  <si>
    <t>ENTRY PROVO REMODEL x16</t>
  </si>
  <si>
    <t>FELT AMILY DENTAL</t>
  </si>
  <si>
    <t>ENTRY HF 156 x13</t>
  </si>
  <si>
    <t>JJFARMS LOT 106</t>
  </si>
  <si>
    <t>WHI JJFARMS LOT 104</t>
  </si>
  <si>
    <t>ENTRY HF 156 x23</t>
  </si>
  <si>
    <t>ENTRY JJFARMS LOT 106 x10</t>
  </si>
  <si>
    <t>PAO223</t>
  </si>
  <si>
    <t>WHI PAO223</t>
  </si>
  <si>
    <t>ENTRY MM210 x28</t>
  </si>
  <si>
    <t>ENTRY CODY RESIDENCE x17</t>
  </si>
  <si>
    <t>PAO225</t>
  </si>
  <si>
    <t>WHI PAO225</t>
  </si>
  <si>
    <t>ENTRY BRYLEE 7 (A C E B C B D) x17; ENTRY BRYLEE 7 (A C E B C B D) x18; ENTRY BRYLEE 7 (A C E B C B D) x18</t>
  </si>
  <si>
    <t>SP 638 REORDER</t>
  </si>
  <si>
    <t>ENTRY 3500 RESIDENCES 1 x4; ENTRY 3500 RESIDENCES 1 x2; ENTRY 3500 RESIDENCES 1 x10; ENTRY 3500 RESIDENCES 1 x10</t>
  </si>
  <si>
    <t>PAT SP 638 REORDER</t>
  </si>
  <si>
    <t>SCREEN|||PAT PVS4</t>
  </si>
  <si>
    <t>ENTRY 3500 RESIDENCES 1 x2</t>
  </si>
  <si>
    <t>ENTRY PAO225 x1; ENTRY PAO223 x1</t>
  </si>
  <si>
    <t>Row 912 | Reason: CHANGE IN PROJECT NAME</t>
  </si>
  <si>
    <t>Date: "Fri Jul 17 2026 00:00:00 GMT-0600 (hora de verano de la montaña)" → "2026-07-17" | Project: "WHI PAO225" → "WHI PAO223"</t>
  </si>
  <si>
    <t>ENTRY FAIRFIELD INN &amp; SUITES x3; ENTRY FAIRFIELD INN &amp; SUITES x1</t>
  </si>
  <si>
    <t>rename</t>
  </si>
  <si>
    <t>A1A - A2A - A3A</t>
  </si>
  <si>
    <t>QWAKER → QUAKER</t>
  </si>
  <si>
    <t>AMSCO BLACK/WHITE</t>
  </si>
  <si>
    <t>ENTRY BRYLEE 7 (A C E B C B D) x7</t>
  </si>
  <si>
    <t>ENTRY JJFARMS LOT 106 x2</t>
  </si>
  <si>
    <t>WINDOW|||OLAYAN RESIDENCE</t>
  </si>
  <si>
    <t>ENTRY EM STORAGE IGU x1; ENTRY SUMMIT 301 x4; ENTRY PAT 0 SP 647 IGU x1; ENTRY PAT 0 SP 648 IGU x2</t>
  </si>
  <si>
    <t>ENTRY SKYVIEW IGU x1</t>
  </si>
  <si>
    <t>Row 126 | Reason: CHANGE IN LOC</t>
  </si>
  <si>
    <t>Dest Loc: "A1B" → "B1B"</t>
  </si>
  <si>
    <t>EXIT 3500 RESIDENCES x68</t>
  </si>
  <si>
    <t>Row 744 | Reason: CHANGE IN LOC</t>
  </si>
  <si>
    <t>WHI JJFARMS LOT 106</t>
  </si>
  <si>
    <t>Date: "Thu Jul 02 2026 00:00:00 GMT-0600 (hora de verano de la montaña)" → "2026-07-02" | Dest Loc: "MIRRORS/SHOWERS WAREHOUSE" → "IGU KART"</t>
  </si>
  <si>
    <t>ENTRY ACC STUDENT x1</t>
  </si>
  <si>
    <t>ENTRY 44 N x8</t>
  </si>
  <si>
    <t>ENTRY JOSE CASTRO x1</t>
  </si>
  <si>
    <t>SCREEN|||ALVIN JENSON</t>
  </si>
  <si>
    <t>row 925 — ["2026-07-23T14:51:38.195Z","WINDOW","JOSE CASTRO","","",1,"UNIT","2026-07-22T06:00:00.000Z"]</t>
  </si>
  <si>
    <t>ENTRY 3500 RESIDENCES x1</t>
  </si>
  <si>
    <t>ENTRY FREEMAN #2 REORDER x1</t>
  </si>
  <si>
    <t>BRYLEE 7 (A, C, E, B, C, B, D)</t>
  </si>
  <si>
    <t>BRYLEE 7 (A C E B C B D)</t>
  </si>
  <si>
    <t>ENTRY PROVO REMODEL x1</t>
  </si>
  <si>
    <t>ENTRY BRYLEE 7 (REORDER SGD) x7</t>
  </si>
  <si>
    <t>ENTRY TRENT B JAMES ANDERSON (FX REORDERE) x2</t>
  </si>
  <si>
    <t>EXIT BRYLEE 7 (REORDER SGD) x7; EXIT TRENT B JAMES ANDERSON (FX REORDERE) x2</t>
  </si>
  <si>
    <t>Row 931 | Reason: CHANGE IN DESTINATION</t>
  </si>
  <si>
    <t>FAIRFIELD INN &amp; SUITES</t>
  </si>
  <si>
    <t>Date: "Thu Jul 23 2026 00:00:00 GMT-0600 (hora de verano de la montaña)" → "2026-07-23" | Dest Loc: "ELE BRYLEE 7 (A C E B C B D)" → "JAMES ANDERSON"</t>
  </si>
  <si>
    <t>TRANSFER FAIRFIELD INN &amp; SUITES x3</t>
  </si>
  <si>
    <t>SCREEN|||44 NORTH</t>
  </si>
  <si>
    <t>archiveCutoffMonths</t>
  </si>
  <si>
    <t>set</t>
  </si>
  <si>
    <t>12mo</t>
  </si>
  <si>
    <t>ELE BRYLEE 7 (A C E B C B D)</t>
  </si>
  <si>
    <t>6mo</t>
  </si>
  <si>
    <t>EM STORAGE IGU</t>
  </si>
  <si>
    <t>UPLOAD_RACK_PHOTO</t>
  </si>
  <si>
    <t>PAT 0 SP 647 IGU</t>
  </si>
  <si>
    <t>PAT 0 SP 648 IGU</t>
  </si>
  <si>
    <t>SKYVIEW IGU</t>
  </si>
  <si>
    <t>FREEMAN #2 REORDER</t>
  </si>
  <si>
    <t>DAYBREAK UNIT 614 - IGU</t>
  </si>
  <si>
    <t>VALO ON VINE</t>
  </si>
  <si>
    <t>2ND SOUTH LATTITUDE</t>
  </si>
  <si>
    <t>ENTRY 11111111111111111111 x111</t>
  </si>
  <si>
    <t>ENTRY 11111111111111111111 x1</t>
  </si>
  <si>
    <t>KUNA 205, 104 - IGU</t>
  </si>
  <si>
    <t>11111111111111111111</t>
  </si>
  <si>
    <t>TIMP VALLEY CONTRUCTION</t>
  </si>
  <si>
    <t>row 934 — ["2026-07-24T19:59:08.416Z","WINDOW","11111111111111111111",11,"111",1,"UNIT","2026-07-24T06:00:00.000Z"]</t>
  </si>
  <si>
    <t>row 933 — ["2026-07-24T19:48:31.211Z","WINDOW","11111111111111111111",11,"111",111,"UNIT","2026-07-24T06:00:00.000Z"]</t>
  </si>
  <si>
    <t>DE TH 21 - IGU</t>
  </si>
  <si>
    <t>DE TH 21 IGU</t>
  </si>
  <si>
    <t>ENTRY 11111111111111111111 x5</t>
  </si>
  <si>
    <t>EXIT 565 REDWOOD x264; EXIT WESTERLY x282</t>
  </si>
  <si>
    <t>row 938 — ["2026-07-27T20:48:08.149Z","WINDOW","11111111111111111111",1111,"1111",1,"UNIT","2026-07-27T06:00:00.000Z"]</t>
  </si>
  <si>
    <t>row 937 — ["2026-07-27T20:47:18.591Z","WINDOW","11111111111111111111",1111,"1111",1,"UNIT","2026-07-27T06:00:00.000Z"]</t>
  </si>
  <si>
    <t>row 936 — ["2026-07-27T20:37:01.717Z","WINDOW","11111111111111111111",1111,"1111",5,"UNIT","2026-07-27T06:00:00.000Z"]</t>
  </si>
  <si>
    <t>row 934 — ["2026-07-27T19:53:26.287Z","WINDOW","11111111111111111111",1111,"1111",1,"UNIT","2026-07-27T06:00:00.000Z"]</t>
  </si>
  <si>
    <t>row 935 — ["2026-07-27T19:58:05.977Z","WINDOW","11111111111111111111",1111,"1111",1,"UNIT","2026-07-27T06:00:00.000Z"]</t>
  </si>
  <si>
    <t>row 933 — ["2026-07-27T18:43:15.314Z","WINDOW","11111111111111111111",1111,"1111",1,"UNIT","2026-07-27T06:00:00.000Z"]</t>
  </si>
  <si>
    <t>row 933 — ["2026-07-27T19:58:05.977Z","WINDOW","11111111111111111111",1111,"1111",1,"UNIT","2026-07-27T06:00:00.000Z"]</t>
  </si>
  <si>
    <t>EXIT 565 REDWOOD x264</t>
  </si>
  <si>
    <t>EXIT LGI OQU183 x4; EXIT LGI OQU183 x1</t>
  </si>
  <si>
    <t>row 355 — ["2026-05-12T14:47:05.812Z","SCREEN","LGI OQU185","","6940",4,"UNIT","2026-05-08T06:00:00.000Z"]</t>
  </si>
  <si>
    <t>EXIT LGI OQU185 x4; EXIT LGI OQU185 x1</t>
  </si>
  <si>
    <t>EXIT LGI OQU175 x4; EXIT LGI OQU175 x1; EXIT LGI OQM175 SUPP x2; EXIT LGI OQM175 SUPP x1</t>
  </si>
  <si>
    <t>ENTRY DAYBREAK UNIT 614 IGU x1; ENTRY VALO ON VINE x1</t>
  </si>
  <si>
    <t>ENTRY 2ND SOUTH LATTITUDE x26; ENTRY KUNA 205 104 IGU x2</t>
  </si>
  <si>
    <t>ENTRY TIMP VALLEY CONTRUCTION x2</t>
  </si>
  <si>
    <t>ENTRY DE TH 21 IGU x1</t>
  </si>
  <si>
    <t>ENTRY MM 104(3060 REORDER) x2</t>
  </si>
  <si>
    <t>EXIT MM 104(3060 REORDER) x2</t>
  </si>
  <si>
    <t>MANAGE_PM_DIRECTORY</t>
  </si>
  <si>
    <t>EXIT SP648 TRACIE x20; EXIT SP 648 TRACIE x1</t>
  </si>
  <si>
    <t>MH 159 @ A4A</t>
  </si>
  <si>
    <t>Row 725 | Reason: Change in loc</t>
  </si>
  <si>
    <t>Date: "Fri Jun 26 2026 00:00:00 GMT-0600 (hora de verano de la montaña)" → "2026-06-26" | Dest Loc: "C1A" → "B1A"</t>
  </si>
  <si>
    <t>EXIT HIGHLAND REMODEL_MAIN OFFICE x1</t>
  </si>
  <si>
    <t>AUTO_REPAIR_MATID</t>
  </si>
  <si>
    <t>system</t>
  </si>
  <si>
    <t>362 row(s) had a stale MatID, corrected automatically</t>
  </si>
  <si>
    <t>BACKUP_CREATED</t>
  </si>
  <si>
    <t>OX Inventory — Backup 2026-08-03_0912</t>
  </si>
  <si>
    <t>1I8WzYlOMXLsI3bZ1VNj856Bv1aCS3qa20HlMOq0DhwM</t>
  </si>
  <si>
    <t>joseisrael5101@gmail.com → WAREHOUSE</t>
  </si>
  <si>
    <t>EXIT TRENT B JAMES ANDERSON x4</t>
  </si>
  <si>
    <t>EXIT SWE SC2REORDERSLIDER x1</t>
  </si>
  <si>
    <t>EXIT JACKLING WAY x12</t>
  </si>
  <si>
    <t>EXIT HIGHLAND A&amp;R x10</t>
  </si>
  <si>
    <t>DAL</t>
  </si>
  <si>
    <t>ENTRY EXAMPLE WINDOW MODEL x25; ENTRY JHON SMITH x20; ENTRY JOSE CASTRO x21; ENTRY ALPINE MEDOWS x10; ENTRY WHITE WINDOW SCREENS x1</t>
  </si>
  <si>
    <t>BULK_IMPORT</t>
  </si>
  <si>
    <t>5 row(s) imported</t>
  </si>
  <si>
    <t>EXAMPLE WINDOW MODEL</t>
  </si>
  <si>
    <t>row 957 — ["2026-08-03T18:44:04.981Z","WINDOW","EXAMPLE WINDOW MODEL","","1234",25,"UNIT","2026-08-03T06:00:00.000Z"]</t>
  </si>
  <si>
    <t>row 958 — ["2026-08-03T18:44:04.981Z","SHOWER","JOSE CASTRO","","3456",21,"UNIT","2026-08-03T06:00:00.000Z"]</t>
  </si>
  <si>
    <t>WHITE WINDOW SCREENS</t>
  </si>
  <si>
    <t>SCREEN|||DAL WOODLAND</t>
  </si>
  <si>
    <t>row 959 — ["2026-08-03T18:44:04.981Z","BONEYARD","WHITE WINDOW SCREENS","","56783",1,"BOX","2026-08-03T06:00:00.000Z"]</t>
  </si>
  <si>
    <t>row 960 — ["","","","","","","",""]</t>
  </si>
  <si>
    <t>row 961 — ["","","","","","","",""]</t>
  </si>
  <si>
    <t>Row 958 | Reason: CHANGE IN COMMENTS</t>
  </si>
  <si>
    <t>Date: "Mon Aug 03 2026 00:00:00 GMT-0600 (Mountain Daylight Time)" → "2026-08-03" | Comments: "Imported from file — HOY NO HAY COMIDA" → "&lt;img src=x onerror=alert('XSS')&gt;"</t>
  </si>
  <si>
    <t>JHON SMITH</t>
  </si>
  <si>
    <t>row 957 — ["2026-08-03T18:44:04.981Z","SCREEN","JHON SMITH","","2345",20,"UNIT","2026-08-03T06:00:00.000Z"]</t>
  </si>
  <si>
    <t>Row 957 | Reason: &lt;img src=x onerror=alert('XSS')&gt;</t>
  </si>
  <si>
    <t>Name: "ALPINE MEDOWS" → "&lt;IMG SRC=X ONERROR=ALERT('XSS')&gt;" | GC: "" → "&lt;img src=x onerror=alert('XSS')&gt;" | PO #: "4567" → "&lt;img src=x onerror=alert('XSS')&gt;" | Date: "Mon Aug 03 2026 00:00:00 GMT-0600 (Mountain Daylight Time)" → "2026-08-03" | Source Loc: "" → "&lt;IMG SRC=X ONERROR=ALERT('XSS')&gt;" | Supplier: "Example Supplier3" → "&lt;img src=x onerror=alert('XSS')&gt;" | Responsible: "jose@ox-glass.com" → "&lt;img src=x onerror=alert('XSS')&gt;" | Project: "HELLO1" → "&lt;img src=x onerror=alert('XSS')&gt;" | PM: "" → "&lt;img src=x onerror=alert('XSS')&gt;"</t>
  </si>
  <si>
    <t>SCREEN|||PAT PV129</t>
  </si>
  <si>
    <t>Row 957 | Reason: QQQQQQQQ</t>
  </si>
  <si>
    <t>Name: "&lt;IMG SRC=X ONERROR=ALERT('XSS')&gt;" → "SWEET WATER" | GC: "&lt;img src=x onerror=alert('XSS')&gt;" → "BBBBBB" | PO #: "&lt;img src=x onerror=alert('XSS')&gt;" → "CCCCCC" | Date: "Mon Aug 03 2026 00:00:00 GMT-0600 (Mountain Daylight Time)" → "2026-08-03" | Source Loc: "&lt;IMG SRC=X ONERROR=ALERT('XSS')&gt;" → "A1A" | Supplier: "&lt;img src=x onerror=alert('XSS')&gt;" → "DDDDD" | Comments: "&lt;img src=x onerror=alert('XSS')&gt;" → "FFFFFFFFF" | Responsible: "&lt;img src=x onerror=alert('XSS')&gt;" → "JOSE" | Project: "&lt;img src=x onerror=alert('XSS')&gt;" → "AAAAAA" | Dest Loc: "A1A" → "B1A" | PM: "&lt;img src=x onerror=alert('XSS')&gt;" → ""</t>
  </si>
  <si>
    <t>ENTRY JOSE CASTRO x1000000</t>
  </si>
  <si>
    <t>ENTRY _IMG SRC=X ONERROR=ALERT(XSS)_ x5</t>
  </si>
  <si>
    <t>&lt;IMG SRC=X ONERROR=ALERT('XSS')&gt;</t>
  </si>
  <si>
    <t>row 959 — ["2026-08-03T20:19:30.899Z","WINDOW","&lt;IMG SRC=X ONERROR=ALERT('XSS')&gt;","&lt;img src=x onerror=alert('XSS')&gt;","&lt;img src=x onerror=alert('XSS')&gt;",5,"UNIT","2026-08-03T06:00:00.000Z"]</t>
  </si>
  <si>
    <t>row 958 — ["2026-08-03T20:15:16.791Z","WINDOW","JOSE CASTRO","JOSE","JOSE",1000000,"UNIT","2026-08-03T06:00:00.000Z"]</t>
  </si>
  <si>
    <t>SCREEN|||PAT PV138 MARNI</t>
  </si>
  <si>
    <t>SWEET WATER</t>
  </si>
  <si>
    <t>row 957 — ["2026-08-03T18:44:04.981Z","MIRROR","SWEET WATER","BBBBBB","CCCCCC",10,"UNIT","2026-08-03T06:00:00.000Z"]</t>
  </si>
  <si>
    <t>ENTRY _IMG SRC=X ONERROR=ALERT(XSS)_ x50</t>
  </si>
  <si>
    <t>row 957 — ["2026-08-03T21:20:57.457Z","WINDOW","&lt;IMG SRC=X ONERROR=ALERT('XSS')&gt;","&lt;img src=x onerror=alert('XSS')&gt;","&lt;img src=x onerror=alert('XSS')&gt;",50,"UNIT","2026-08-03T06:00:00.000Z"]</t>
  </si>
  <si>
    <t>SCREEN|||DAL WOODLAND HILLS</t>
  </si>
  <si>
    <t>SWE</t>
  </si>
  <si>
    <t>SCREEN|||SWE WHITING FIELDS</t>
  </si>
  <si>
    <t>SCREEN|||DAL CLINTON</t>
  </si>
  <si>
    <t>SCREEN|||GOO HFLOT161</t>
  </si>
  <si>
    <t xml:space="preserve">JANNAE THOMAS </t>
  </si>
  <si>
    <t>SCREEN|||JANNAE THOMAS</t>
  </si>
  <si>
    <t>ICO</t>
  </si>
  <si>
    <t>SCREEN|||ICO BONNELL RESIDENCE</t>
  </si>
  <si>
    <t>SCREEN|||PAT SP516</t>
  </si>
  <si>
    <t>SCREEN|||LGILOT1001 2W</t>
  </si>
  <si>
    <t>SCREEN|||WESTERLY W15</t>
  </si>
  <si>
    <t>SCREEN|||DAL MAD RES 3050</t>
  </si>
  <si>
    <t>SCREEN|||DAL BARNES</t>
  </si>
  <si>
    <t>SCREEN|||CAMDEN COMMONS</t>
  </si>
  <si>
    <t>FLASHING_CAULK|||FLASHINGTAPE 9</t>
  </si>
  <si>
    <t>FLASHING_CAULK|||FLASHING TAPE</t>
  </si>
  <si>
    <t>FLASHING_CAULK|||FLASHING TAPE 6</t>
  </si>
  <si>
    <t>Flashing Tape 6''</t>
  </si>
  <si>
    <t>FLASHING_CAULK|||FLEX WRAP 9</t>
  </si>
  <si>
    <t>FLASHING_CAULK|||STRAIGHT FLASH 9</t>
  </si>
  <si>
    <t>FLASHING_CAULK|||STRAIGHT FLASH 4</t>
  </si>
  <si>
    <t xml:space="preserve">PATIO SCREEN DOOR </t>
  </si>
  <si>
    <t>SCREEN|||MAXWELL</t>
  </si>
  <si>
    <t>6212</t>
  </si>
  <si>
    <t>DOOR SCREEN, CHARCOAL WHITE, 30X77 3/4</t>
  </si>
  <si>
    <t>SCREEN|||REDROCK1001</t>
  </si>
  <si>
    <t>6213</t>
  </si>
  <si>
    <t>SCREEN|||PROVO1002</t>
  </si>
  <si>
    <t>6214</t>
  </si>
  <si>
    <t>SCREEN|||MILLARD1003</t>
  </si>
  <si>
    <t>6059</t>
  </si>
  <si>
    <t>SCREEN|||CASCADE</t>
  </si>
  <si>
    <t>6061</t>
  </si>
  <si>
    <t>SCREEN|||GRANITE</t>
  </si>
  <si>
    <t>6060</t>
  </si>
  <si>
    <t>SCREEN|||DELANO</t>
  </si>
  <si>
    <t>I392</t>
  </si>
  <si>
    <t>DOOR SCREEN, CHARCOAL WHITE, 36X93 3/4</t>
  </si>
  <si>
    <t>SCREEN|||SHERWOOD EST</t>
  </si>
  <si>
    <t>5280</t>
  </si>
  <si>
    <t>DOOR SCREEN, BRONZE, 48X77 3/4</t>
  </si>
  <si>
    <t>SCREEN|||ELKWOOD</t>
  </si>
  <si>
    <t>BRONZE, DOOR SCREEN, 48X93 3/4</t>
  </si>
  <si>
    <t>SCREEN|||PRATT</t>
  </si>
  <si>
    <t>4548</t>
  </si>
  <si>
    <t>DOOR SCREEN, BLACK, 36X93 3/4</t>
  </si>
  <si>
    <t>SCREEN|||LUCILLE COVE &amp; D</t>
  </si>
  <si>
    <t>WHITE, DOOR SCREEN, 30X77 3/4</t>
  </si>
  <si>
    <t>N316</t>
  </si>
  <si>
    <t>SCREEN|||SCARLET RIDGE 102</t>
  </si>
  <si>
    <t>3597</t>
  </si>
  <si>
    <t>WHITE, DOOR SCREEN, 36X79 3/4</t>
  </si>
  <si>
    <t>SCREEN|||LOST SPRINGS APARTMENT</t>
  </si>
  <si>
    <t>Q601</t>
  </si>
  <si>
    <t>WHITE, DOOR SCREEN, 36X93 3/4</t>
  </si>
  <si>
    <t>SCREEN|||</t>
  </si>
  <si>
    <t>3695</t>
  </si>
  <si>
    <t>WHITE DOOR SCREEN, 36X93 3/4</t>
  </si>
  <si>
    <t>SCREEN|||LH6</t>
  </si>
  <si>
    <t>BLACK/WHITE WINDOW</t>
  </si>
  <si>
    <t>BONEYARD|||DOWNTOWN DAYBREAK BLDG 6</t>
  </si>
  <si>
    <t>TRANSFER</t>
  </si>
  <si>
    <t>6636</t>
  </si>
  <si>
    <t>DOOR SCREEN, WHITE, 30X77 3/4</t>
  </si>
  <si>
    <t>SCREEN|||MILLARD</t>
  </si>
  <si>
    <t>6634</t>
  </si>
  <si>
    <t>SCREEN|||1044GRANITE</t>
  </si>
  <si>
    <t>6635</t>
  </si>
  <si>
    <t>SCREEN|||LOT1005DELANO</t>
  </si>
  <si>
    <t>DOOR SCREEN, BLACK, 36 3/8 X93 3/4</t>
  </si>
  <si>
    <t>SCREEN|||PV126</t>
  </si>
  <si>
    <t>Material ID</t>
  </si>
  <si>
    <t>DOOR SCREEN, BLACK, 36 3/8 X 93 3/4</t>
  </si>
  <si>
    <t>SCREEN|||BHS12</t>
  </si>
  <si>
    <t>ALMOND WINDOW SCREEN, 45 3/8 X 16</t>
  </si>
  <si>
    <t>DOOR SCREEN, BLACK, 48 3/8 X 93 3/4</t>
  </si>
  <si>
    <t>SCREEN|||TOWERYSD</t>
  </si>
  <si>
    <t>3694</t>
  </si>
  <si>
    <t>ALMOND WINDOW SCREEN, 43 1/8 X 16 3/8</t>
  </si>
  <si>
    <t>WHITE, 21 5/8 X 56 3/4</t>
  </si>
  <si>
    <t>SCREEN|||RIVER POINT 17 E</t>
  </si>
  <si>
    <t>3722</t>
  </si>
  <si>
    <t>WHITE, 21 5/8 X 44 3/4</t>
  </si>
  <si>
    <t>SCREEN|||CC8</t>
  </si>
  <si>
    <t>WHITE WINDOW SCREEN, 57 3/8 X 21 15/16</t>
  </si>
  <si>
    <t>L723</t>
  </si>
  <si>
    <t>WHITE, 21 11/16 X 56 7/8</t>
  </si>
  <si>
    <t>SCREEN|||JENNAE THOMAS</t>
  </si>
  <si>
    <t>MISC</t>
  </si>
  <si>
    <t>4859</t>
  </si>
  <si>
    <t>BLACK WINDOW SCREEN, 56 1/2 X 33 5/8</t>
  </si>
  <si>
    <t>WHITE, 21 15/16 X 45 3/8</t>
  </si>
  <si>
    <t>5176</t>
  </si>
  <si>
    <t>ALMOND, 21 3/4 X 45 1/8</t>
  </si>
  <si>
    <t>SCREEN|||INCLINE 4040</t>
  </si>
  <si>
    <t>BLACK DOOR SCREEN, 36X93 3/4</t>
  </si>
  <si>
    <t>5112</t>
  </si>
  <si>
    <t>BRONZE, 27 3/4 X 56 5/8, 27 5/8 X 57 1/8, 26X54 1/8</t>
  </si>
  <si>
    <t>SCREEN|||MINDT HALLADAY</t>
  </si>
  <si>
    <t>BLACK WINDOW SCREEN, 34X69 5/8</t>
  </si>
  <si>
    <t>M658Z</t>
  </si>
  <si>
    <t>WHITE, 30 9-/16 X 42 9/16</t>
  </si>
  <si>
    <t>BLACK WINDOW SCREEN, 31 5/8 X 57 1/8</t>
  </si>
  <si>
    <t>3535</t>
  </si>
  <si>
    <t>WHITE, 30 9/16 X 42 9/16</t>
  </si>
  <si>
    <t>BLACK WINDOW SCREEN, 62 1/2 X 25 3/4</t>
  </si>
  <si>
    <t>1072A</t>
  </si>
  <si>
    <t>BLACK WINDOW SCREEN, 62 9/16 X 29 7/8</t>
  </si>
  <si>
    <t>WHITE, 25 1/16 X 55 1/16</t>
  </si>
  <si>
    <t>SCREEN|||CLOUDVEIL A</t>
  </si>
  <si>
    <t>WINDOW SCRENS, WHITE, 27 15/16 X 69 3/8</t>
  </si>
  <si>
    <t>2952A</t>
  </si>
  <si>
    <t>WHITE, 21 1/16 X 55 1/16</t>
  </si>
  <si>
    <t>WHITE WINDOW SCREENS 25 1/16 X 55 1/16</t>
  </si>
  <si>
    <t>SCREEN|||CLOUDVEIL E</t>
  </si>
  <si>
    <t>1073</t>
  </si>
  <si>
    <t>ALMOND WINDOW SCREEN, 21 15/16 X 57 3/8</t>
  </si>
  <si>
    <t>BLACK, 34X69 5/8</t>
  </si>
  <si>
    <t>SCREEN|||CLOUDVEIL B</t>
  </si>
  <si>
    <t>ALMOND WINDOW SCREEN, 21 15/16 X 56 15/16</t>
  </si>
  <si>
    <t>1073A</t>
  </si>
  <si>
    <t>BLACK WINDOW SCREEN, 68 1/12 X 33 3/4</t>
  </si>
  <si>
    <t xml:space="preserve">BRONZE WINDOW SCREEN, 27 ¾ X 57 1/8 </t>
  </si>
  <si>
    <t>ALMOND WINDOW SCREEN, 21 15/16 x 45 3/8</t>
  </si>
  <si>
    <t>1628A</t>
  </si>
  <si>
    <t>SCREEN|||CLOUDVEIL C</t>
  </si>
  <si>
    <t>WINDOW SCRENS, WHITE, 27 15/15 X 57 3/8</t>
  </si>
  <si>
    <t>WHITE WINDOW SCREENS, 33 3/8 X 21 15/16</t>
  </si>
  <si>
    <t>1629A</t>
  </si>
  <si>
    <t>BLACK WINDOW SCREEN, 57 9/16 X 21 3/8</t>
  </si>
  <si>
    <t>SCREEN|||CLOUDVEIL D</t>
  </si>
  <si>
    <t>WHITE WINDOW SCREENS, 27 15/16 X 57 3/8</t>
  </si>
  <si>
    <t>4014</t>
  </si>
  <si>
    <t>WINDOW SCRENS, CLAY, DIFFERENT SIZES</t>
  </si>
  <si>
    <t>WHITE, 42 5/16 X 18 5/16</t>
  </si>
  <si>
    <t>SCREEN|||WESTERY ASI 007</t>
  </si>
  <si>
    <t>D583Z</t>
  </si>
  <si>
    <t>WHITE, 27 5/8 X 44 3/4</t>
  </si>
  <si>
    <t>K754</t>
  </si>
  <si>
    <t>SCREEN|||HF LOT 145</t>
  </si>
  <si>
    <t>WHITE, DIFFERENT SIZES</t>
  </si>
  <si>
    <t>B962Z</t>
  </si>
  <si>
    <t>ALSIDE WINDOW SCREENS, 27 15/16 X 57 3/8</t>
  </si>
  <si>
    <t>WHITE WINDOW SCREENS, 21 5/8 X 57 1/8</t>
  </si>
  <si>
    <t>2951A</t>
  </si>
  <si>
    <t>WHITE WINDOW SCREENS 39 1/8 X 30 3/4</t>
  </si>
  <si>
    <t>SCREEN|||CLOUDVEIL F</t>
  </si>
  <si>
    <t>4478</t>
  </si>
  <si>
    <t>BLACK WINDOW SCREENS, 33 3/4 X 45 1/8</t>
  </si>
  <si>
    <t>WHITE, 15 15/16 X 33 3/8</t>
  </si>
  <si>
    <t>SCREEN|||CANYON VIEW CROSSING</t>
  </si>
  <si>
    <t>P596</t>
  </si>
  <si>
    <t>WHITE, 33 1/8 X 27 3/4</t>
  </si>
  <si>
    <t>SCREEN|||MADIGAN RES</t>
  </si>
  <si>
    <t>WHITE WINDOW SCREENS, 15 3/4 X 57 1/8</t>
  </si>
  <si>
    <t xml:space="preserve">MARVEL </t>
  </si>
  <si>
    <t>4719</t>
  </si>
  <si>
    <t>WHITE, 21 15/16 X 33 3/8</t>
  </si>
  <si>
    <t>SCREEN|||MARVEL</t>
  </si>
  <si>
    <t>5233</t>
  </si>
  <si>
    <t>BLACK WINDOW SCREENS, 31 5/8 X 57 1/8</t>
  </si>
  <si>
    <t>WHITE, 13 7/16 X 37 7/8</t>
  </si>
  <si>
    <t>SCREEN|||TIM MOLINE SIL</t>
  </si>
  <si>
    <t>J712Z</t>
  </si>
  <si>
    <t>WHITE, 34 9/16 X 37 1/16</t>
  </si>
  <si>
    <t>SCREEN|||EDAN</t>
  </si>
  <si>
    <t xml:space="preserve">RIVER MEADOWS 3060 S </t>
  </si>
  <si>
    <t>4402</t>
  </si>
  <si>
    <t>WHITE, 33 3/8 X 33 15/16</t>
  </si>
  <si>
    <t>SCREEN|||RIVER MEADOWS 3060 S</t>
  </si>
  <si>
    <t>WHITE WINDOW SCREENS, 25 3/4 X 57 3/8</t>
  </si>
  <si>
    <t>SCREEN|||REDD HANGER</t>
  </si>
  <si>
    <t>4351</t>
  </si>
  <si>
    <t>WHITE, 21 5/8 X 33 3/4</t>
  </si>
  <si>
    <t>SCREEN|||WESTERLY</t>
  </si>
  <si>
    <t>BLACK, 21 5/8 X 33 3/4</t>
  </si>
  <si>
    <t>4353</t>
  </si>
  <si>
    <t>WHITE, 24 5/16 X 15 13/16</t>
  </si>
  <si>
    <t>SCREEN|||W8 WEST</t>
  </si>
  <si>
    <t>5275</t>
  </si>
  <si>
    <t>WHITE, 34 9/16 X 18 5/16</t>
  </si>
  <si>
    <t>SCREEN|||WESTERLY W 15 T</t>
  </si>
  <si>
    <t>02-3595*30</t>
  </si>
  <si>
    <t>21 WINDOWS, 6 WHITE, 15 BLACK</t>
  </si>
  <si>
    <t>SCREEN|||OLAYAN</t>
  </si>
  <si>
    <t>02-3605*19</t>
  </si>
  <si>
    <t>BLACK, DIFFERENT SIZES, 2 BAGS</t>
  </si>
  <si>
    <t>SCREEN|||PV137</t>
  </si>
  <si>
    <t>12-970*26</t>
  </si>
  <si>
    <t>1 BAG, 1 WHITE WINDOW, 16 BLACK WINDOWS</t>
  </si>
  <si>
    <t>SCREEN|||BMW5</t>
  </si>
  <si>
    <t>10-2948*50</t>
  </si>
  <si>
    <t>BLACK, 1 BAG</t>
  </si>
  <si>
    <t>12-2179*16</t>
  </si>
  <si>
    <t>BLACK, DIFFERENT SIZES</t>
  </si>
  <si>
    <t>SCREEN|||BME8</t>
  </si>
  <si>
    <t>WINDOW|||PV126</t>
  </si>
  <si>
    <t>QXO/WATERPROOFING PRODUCTS</t>
  </si>
  <si>
    <t>WINDOW_PARTS|||BACKER ROD</t>
  </si>
  <si>
    <t>3087</t>
  </si>
  <si>
    <t>BLACK DOOR SCREENS, 30X77 3/4</t>
  </si>
  <si>
    <t>SCREEN|||HIGHLAND ROW TOWNHOMES</t>
  </si>
  <si>
    <t>BLACK DOOR SCREENS, 36X77 3/4</t>
  </si>
  <si>
    <t>3087B</t>
  </si>
  <si>
    <t>BLACK DOOR SCREENS, 36X93 3/4</t>
  </si>
  <si>
    <t>3087A</t>
  </si>
  <si>
    <t>BLACK, 21 1/8 X 33 3/4</t>
  </si>
  <si>
    <t>3087C</t>
  </si>
  <si>
    <t>BLACK, 33 3/4 X 45 1/8</t>
  </si>
  <si>
    <t>2950</t>
  </si>
  <si>
    <t xml:space="preserve">BLACK DOOR SCREEN, </t>
  </si>
  <si>
    <t>SCREEN|||CLOUDVEIL ADDITTIONAL</t>
  </si>
  <si>
    <t>1629</t>
  </si>
  <si>
    <t>BLACK DOOR SCREEN, 36X79 3/4</t>
  </si>
  <si>
    <t>1628</t>
  </si>
  <si>
    <t>3650</t>
  </si>
  <si>
    <t>SCREEN|||CLOUDVEIL H</t>
  </si>
  <si>
    <t>1072</t>
  </si>
  <si>
    <t>BLACK SCREEN DOOR, 36X79 3/4</t>
  </si>
  <si>
    <t>2855</t>
  </si>
  <si>
    <t>BLACK DOOR SCREEN, 36X77 3/4</t>
  </si>
  <si>
    <t>SCREEN|||CC12</t>
  </si>
  <si>
    <t>RWK</t>
  </si>
  <si>
    <t>Y942</t>
  </si>
  <si>
    <t>SCREEN|||SNYDER</t>
  </si>
  <si>
    <t>3240</t>
  </si>
  <si>
    <t>SCREEN|||CLOUDVEIL WARPED</t>
  </si>
  <si>
    <t>X954</t>
  </si>
  <si>
    <t>SCREEN|||CENTRAL 9 LOFTS</t>
  </si>
  <si>
    <t>5004</t>
  </si>
  <si>
    <t>CLAY, DIFFERENT SIZES</t>
  </si>
  <si>
    <t>SCREEN|||WES HOGAN</t>
  </si>
  <si>
    <t>5019</t>
  </si>
  <si>
    <t>BONEYARD|||WINDOW SCREEN</t>
  </si>
  <si>
    <t>WHITE, 27 15/16 X 69 3/8</t>
  </si>
  <si>
    <t>SCREEN|||RIVER MEADOWS CLUBHO</t>
  </si>
  <si>
    <t>4384</t>
  </si>
  <si>
    <t>WHITE, 27 15/15 X 57 3/8</t>
  </si>
  <si>
    <t>SCREEN|||RIVER MEADOWS W2</t>
  </si>
  <si>
    <t>WHITE, DIFFERENT SIZES - ALTA VUE</t>
  </si>
  <si>
    <t>SCREEN|||VUE</t>
  </si>
  <si>
    <t>WHITE WINDOWS</t>
  </si>
  <si>
    <t>WINDOW|||WHILOT224POPPY</t>
  </si>
  <si>
    <t>WINDOW|||FELT FAMILY DENTAL</t>
  </si>
  <si>
    <t>LOT 211</t>
  </si>
  <si>
    <t>WINDOW|||WHIASPEN</t>
  </si>
  <si>
    <t>WINDOW|||WHILOT219</t>
  </si>
  <si>
    <t>WINDOW SCREENS, 27 15/16 X 57 3/8</t>
  </si>
  <si>
    <t>WHITE WINDOW SCREEN, DIFFERENTE SIZES</t>
  </si>
  <si>
    <t>SCREEN|||PV138</t>
  </si>
  <si>
    <t>BONEYARD|||DOOR SCREEN</t>
  </si>
  <si>
    <t>03-2782*10</t>
  </si>
  <si>
    <t>LOT 211, WHITE WINDOW SCREEN, DIFFERENTE SIZES</t>
  </si>
  <si>
    <t>SCREEN|||WHIASPEN</t>
  </si>
  <si>
    <t>03-2822*10</t>
  </si>
  <si>
    <t>SCREEN|||WHILOT224POPPY</t>
  </si>
  <si>
    <t>SCREEN|||WHILOT219</t>
  </si>
  <si>
    <t xml:space="preserve">BRADY </t>
  </si>
  <si>
    <t>WINDOW SCREENS, DIFFERENT SIZES</t>
  </si>
  <si>
    <t>SCREEN|||BRADY</t>
  </si>
  <si>
    <t>DEL</t>
  </si>
  <si>
    <t>WINDOW|||KUNA APTS A</t>
  </si>
  <si>
    <t>WINDOW|||KUNA APTS B</t>
  </si>
  <si>
    <t>WHITE DOOR SCREEN, 36 3/8 X 77 3/4</t>
  </si>
  <si>
    <t xml:space="preserve">  </t>
  </si>
  <si>
    <t>WHITE/BLACK SASH 39 1/2 X 79 1/2</t>
  </si>
  <si>
    <t>JOSE C.</t>
  </si>
  <si>
    <t>WINDOW|||ACC STUDENT HOUSING</t>
  </si>
  <si>
    <t>BUDA TEAM</t>
  </si>
  <si>
    <t>MIRROR|||KUNA APTS</t>
  </si>
  <si>
    <t>SHOWER DOORS, 10@ 30 W X 71 H, 10@ 30 W X 70 1/2 H</t>
  </si>
  <si>
    <t xml:space="preserve">SPENCER </t>
  </si>
  <si>
    <t>SHOWER|||LIBERTY WELLS TOWNHOMES</t>
  </si>
  <si>
    <t>ROUND MIRRORS: 9W X 9H X 1/4 T</t>
  </si>
  <si>
    <t>MIRROR|||HOLBROOK CLUBHOUSE</t>
  </si>
  <si>
    <t xml:space="preserve">ENTRY </t>
  </si>
  <si>
    <t>QUANTITIES &amp; SIZES:
5@36x42
2@70x42
4@40-1/2x42
4@24x42</t>
  </si>
  <si>
    <t>SPENCER</t>
  </si>
  <si>
    <t>MIRROR|||LIBERTY WELLS TOWNHOMES</t>
  </si>
  <si>
    <t>QUANTITIES &amp; SIZES:
Unit 321 - 8 x 80        
Unit 421 - 29 3/4 x 80        
Unit 521 - 8 13/16 x 80        
Unit 619 -  29 7/8 x 80</t>
  </si>
  <si>
    <t>SHOWER|||WESTERLY SHOWER</t>
  </si>
  <si>
    <t>IGU, 
QUANTITIES &amp; SIZES:
36 5/8" x 19 5/8"</t>
  </si>
  <si>
    <t>IGU|||BRIX CONSTRUCTION_ STUDY CENTER</t>
  </si>
  <si>
    <t>1@52 1/4 X 42,
1@49 1/4X 42</t>
  </si>
  <si>
    <t>MIRROR|||CLOUDVEIL (EAGLE RIDGE)</t>
  </si>
  <si>
    <t>5@24X42,
7@36X42,
4@40 1/2 X 42,
2@70X42</t>
  </si>
  <si>
    <t>ROUND MIRRORS:
1@ 20"
2@ 14"</t>
  </si>
  <si>
    <t>MIRROR|||HOLBROOK2</t>
  </si>
  <si>
    <t xml:space="preserve">LEHI TOWNHOMES </t>
  </si>
  <si>
    <t>1@36 1/4 W X 82 H
1@35 3/16 W X 82 H
1@35 13/16 W X 82 H
1@37 1/8 W X 82 H
1@35 1/16 W X 82 H
3@28 1/2 W X 66 3/4 H</t>
  </si>
  <si>
    <t>SHOWER|||LEHI TOWNHOMES</t>
  </si>
  <si>
    <t>QUANTITIES &amp; SIZES: 
1@36x42,
1@24x42</t>
  </si>
  <si>
    <t>10 SETS OF:
SINGLE SLIDER SQUARE TRACK 2 ROLLERSETS, CHROME
TUBULAR BACK TO BACK 8X8 HANDLE/WASHER, CHROME
SINGLE SLIDER SQUARE TRACK 65L-PACKAGE, CHROME</t>
  </si>
  <si>
    <t>1@9 5/8 W X 80 H,
3@28 W X 79 9/16 H</t>
  </si>
  <si>
    <t>SHOWER|||WESTERLY</t>
  </si>
  <si>
    <t>1@30 3/8 X 80</t>
  </si>
  <si>
    <t>HIGHLAND ROW, SALT LAKE CITY</t>
  </si>
  <si>
    <t>DOOR SCREENS</t>
  </si>
  <si>
    <t>BRANDON AND ALEX</t>
  </si>
  <si>
    <t>WINDOW SCREENS</t>
  </si>
  <si>
    <t>7@ 33 7/8 W X 34 H X 3/4 T</t>
  </si>
  <si>
    <t>ELIJAH</t>
  </si>
  <si>
    <t>IGU|||EDISON</t>
  </si>
  <si>
    <t>WHITE, 1@47 1/2 X 47 1/2
Received WITH 3 MORE BOXES</t>
  </si>
  <si>
    <t>LGILOT10419</t>
  </si>
  <si>
    <t>WINDOW|||LGILOT1049</t>
  </si>
  <si>
    <t>ALL WINDOWS WERE TAKEN.</t>
  </si>
  <si>
    <t>DANE'S TEAM</t>
  </si>
  <si>
    <t>56 WHITE WINDOWS</t>
  </si>
  <si>
    <t>WINDOW|||LGI DESERT EDGE TOWNHOMES B1</t>
  </si>
  <si>
    <t>WINDOW SCREENS:20@27 15/16 X 57 3/8, 2@15 15/16 X 33 3/8</t>
  </si>
  <si>
    <t>SCREEN|||LGI DESERT EDGE TOWNHOMES B1</t>
  </si>
  <si>
    <t>ALEX AND BRANDON</t>
  </si>
  <si>
    <t>1@72 3/4 X 34 1/4</t>
  </si>
  <si>
    <t>IGU|||TETON CENTER</t>
  </si>
  <si>
    <t>X343</t>
  </si>
  <si>
    <t>1@30 1/8 X 31 11/16</t>
  </si>
  <si>
    <t>IGU|||WESTERLY Y 201</t>
  </si>
  <si>
    <t>1@21 1/2 X 39 7/8</t>
  </si>
  <si>
    <t>IGU|||MARVL</t>
  </si>
  <si>
    <t>1@25 1/2 X 34 1/16</t>
  </si>
  <si>
    <t>IGU|||UTAH CITY</t>
  </si>
  <si>
    <t>U179Z</t>
  </si>
  <si>
    <t>1@18 11/16 X 54 9/16</t>
  </si>
  <si>
    <t>IGU|||MICHAEL HOPKING</t>
  </si>
  <si>
    <t>1@21 3/4 X 58 1/8</t>
  </si>
  <si>
    <t>IGU|||COL CRANDALL</t>
  </si>
  <si>
    <t>124Z</t>
  </si>
  <si>
    <t>1@24 7/16 X 54 7/16</t>
  </si>
  <si>
    <t>IGU|||SNOW FARM</t>
  </si>
  <si>
    <t>R501</t>
  </si>
  <si>
    <t>1@18 1/16 X 54 9/16
1@17 9/16 X 26 7/8</t>
  </si>
  <si>
    <t>IGU|||DRIVE BY</t>
  </si>
  <si>
    <t>K587</t>
  </si>
  <si>
    <t>1@33 3/4 X 46 1/4</t>
  </si>
  <si>
    <t>IGU|||44 NORTH</t>
  </si>
  <si>
    <t>1@27 3/4 X 46 1/4</t>
  </si>
  <si>
    <t>IGU|||MONSEN</t>
  </si>
  <si>
    <t>L067</t>
  </si>
  <si>
    <t>1@ 30 1/8 X 25 11/16</t>
  </si>
  <si>
    <t>IGU|||MINT HOLBROOK</t>
  </si>
  <si>
    <t>T316</t>
  </si>
  <si>
    <t>1@33 3/16 X 68 15/16</t>
  </si>
  <si>
    <t>IGU|||JARIS</t>
  </si>
  <si>
    <t>1@ 34 3/4 X 68 13/16</t>
  </si>
  <si>
    <t>IGU|||MURRAY TOWNHOMES</t>
  </si>
  <si>
    <t>IGU DE STORE FRONT</t>
  </si>
  <si>
    <t>IGU|||ALTA VISTA</t>
  </si>
  <si>
    <t>WHI</t>
  </si>
  <si>
    <t>WHITE WINDOWS, DIFFERENT SIZES</t>
  </si>
  <si>
    <t>WINDOW|||WHI STRATTON MEADOWS LOT214</t>
  </si>
  <si>
    <t>WINDOW|||WHI STRATTON MEADOWS LOT216</t>
  </si>
  <si>
    <t>WINDOW|||BYRON ALLRED</t>
  </si>
  <si>
    <t>WINDOW|||SAL BUSHMAN FARMS 2</t>
  </si>
  <si>
    <t>HIG</t>
  </si>
  <si>
    <t>WINDOW|||HIG CANNON RESIDENCE</t>
  </si>
  <si>
    <t>A-FRAMES WITH:
3@48 W X 48 H
1@60 W X 48 H
132@18 W X 48 H
2@42 W X 48 H
52@50 W X 48 H
118@24 W X 48 H
1@40 W X 48 H
3@54 W X 48 H
15@52 W X 48 H
54@44 W X 48 H
1@56 W X 48 H</t>
  </si>
  <si>
    <t>MIRROR|||WESTERLY</t>
  </si>
  <si>
    <t>TOMMY AND PRESTON</t>
  </si>
  <si>
    <t>03-6761*9</t>
  </si>
  <si>
    <t>WHITE WINDOW SCREENS, DIFFERENT SIZES</t>
  </si>
  <si>
    <t>JOSE  C.</t>
  </si>
  <si>
    <t>SCREEN|||BYRON ALLRED</t>
  </si>
  <si>
    <t>04-519*15</t>
  </si>
  <si>
    <t>SCREEN|||SAL BUSHMAN FARMS</t>
  </si>
  <si>
    <t>03-5685*10</t>
  </si>
  <si>
    <t>WHITE WINDOW SCREENS, DIFFERENT SIZES.</t>
  </si>
  <si>
    <t>SCREEN|||WHI STRATTON MEADOWS LOT216</t>
  </si>
  <si>
    <t>03-5686*10</t>
  </si>
  <si>
    <t>SCREEN|||WHI STRATTON MEADOWS LOT214</t>
  </si>
  <si>
    <t>04-502*19</t>
  </si>
  <si>
    <t>BLACK AND WHITE WINDOW SCREENS, DIFFERENT SIZES</t>
  </si>
  <si>
    <t>SCREEN|||HIG CANNON RESIDENCE</t>
  </si>
  <si>
    <t>A-FRAME WITH:
1@63 W X 42 H,
5@66 W X 42 H,
6@72 W X 38 H</t>
  </si>
  <si>
    <t>MIRROR|||KUNA</t>
  </si>
  <si>
    <t>A-FRAME, 2@70 W X 42 H</t>
  </si>
  <si>
    <t>MIRROR|||LIBERTY WELLS BUILDING 2</t>
  </si>
  <si>
    <t>1@44 7/8 W X 89 H X 1T</t>
  </si>
  <si>
    <t>IGU|||VAL VT 228 HARPER</t>
  </si>
  <si>
    <t>1@23 1/2 W X 17 1/2 H X 3/4 T</t>
  </si>
  <si>
    <t>IGU|||WESERTLY</t>
  </si>
  <si>
    <t>SPENCER TOOK 2 WINDOW SCREENS FOR RESIZING AND MAKING NEW ONES FOR HIGHLAND ROW.</t>
  </si>
  <si>
    <t>BLACK DOOR SCREEN, 36 3/8 X 93 3/4</t>
  </si>
  <si>
    <t>BLACK WINDOW SCREEN, 33 1/2 X 68 1/2</t>
  </si>
  <si>
    <t>WINDOW|||LANE ALLRED HOME</t>
  </si>
  <si>
    <t>02-1833*12</t>
  </si>
  <si>
    <t>SCREEN|||LANE ALLRED HOME</t>
  </si>
  <si>
    <t>ELIJAH AND SPENCER</t>
  </si>
  <si>
    <t>JOSE AND SPENCER</t>
  </si>
  <si>
    <t xml:space="preserve">A6A </t>
  </si>
  <si>
    <t>10@24 W X 42 H,
2@81 W X 42 H,
2@63 W X 42 H,
8@35 W X 42 H,
2@30 W X 42 H,
2@47 W X 42 H</t>
  </si>
  <si>
    <t>MIRROR|||HOLBROOK BUILDING 2</t>
  </si>
  <si>
    <t>2@25 W X 26 1/2 H X 1 T,
2@36 3/8 W X 26 5/8 H X 1 T</t>
  </si>
  <si>
    <t>IGU|||DAYBREAK</t>
  </si>
  <si>
    <t>JOE LUMUS BAY</t>
  </si>
  <si>
    <t>1@30 7/8 W X 67 3/8 H</t>
  </si>
  <si>
    <t>MIRROR|||STUDIO RESIDENCE SF</t>
  </si>
  <si>
    <t>1@41 7/8 W X 28 5/8 H X 1 T,
1@41 7/8 W X 25 1/8 H X 1 T</t>
  </si>
  <si>
    <t>IGU|||WASATCH SPRINGS</t>
  </si>
  <si>
    <t xml:space="preserve">MISC </t>
  </si>
  <si>
    <t>D005</t>
  </si>
  <si>
    <t xml:space="preserve">BRONZE WINDOW SCREEN, DIFFERENT SIZES
</t>
  </si>
  <si>
    <t>SCREEN|||MARCUS LUNT WIN</t>
  </si>
  <si>
    <t>WHITE WINDOW, 48 X 42</t>
  </si>
  <si>
    <t>WINDOW|||DRIVE BY</t>
  </si>
  <si>
    <t>02-2137*2</t>
  </si>
  <si>
    <t>WHITE WINDOW SCREEN, 22 3/4 X 40 5/16</t>
  </si>
  <si>
    <t>SCREEN|||DRIVE BY</t>
  </si>
  <si>
    <t>WHITE WINDOW, 47 1/2 X 47 1/2</t>
  </si>
  <si>
    <t>WINDOW|||ANDREW AAGARD</t>
  </si>
  <si>
    <t>TAUPE COLOR WINDOWS, 1@71 1/2 x 47 1/2,
1@59 1/2 x 71 1/2,
5@47 1/2 x 71 1/2,
1@59 1/2 x 59 1/2,
2@35 1/2 x 35 1/2,
1@47 1/2 x 47 1/2,
2@35 1/2 x 71 1/2</t>
  </si>
  <si>
    <t xml:space="preserve">KENT KAY </t>
  </si>
  <si>
    <t>WINDOW|||KENT KAY</t>
  </si>
  <si>
    <t>04-2207*8</t>
  </si>
  <si>
    <t xml:space="preserve">TAUPE COLOR SCREENS, DIFFERENT SIZES. </t>
  </si>
  <si>
    <t>SCREEN|||KENT KAY</t>
  </si>
  <si>
    <t>6852</t>
  </si>
  <si>
    <t>WHITE WINDOW SCREEN, 21 15/16 X 45 3/8</t>
  </si>
  <si>
    <t>SCREEN|||ANDREW AAGARD</t>
  </si>
  <si>
    <t>PIPEKNIFE DEGLAZING TOOL WITH CIRCULAR BLADE</t>
  </si>
  <si>
    <t>TOOLS|||PIPE KNIFE DEGLAZING</t>
  </si>
  <si>
    <t>HARDWARE, SINGLE SLIDER SQUARE TRACK 65L-PACKAGE, CHROME COLOR</t>
  </si>
  <si>
    <t>SHOWER|||HOLBROOK BUILDING 2_1</t>
  </si>
  <si>
    <t>HARDWARE, SINGLE SLIDER SQUARE TRACK 2 ROLLERSETS, CHROME COLOR</t>
  </si>
  <si>
    <t>HARDWARE,TUBULAR BACK TO BACK 8X8 HANDLE/WASHER, CHROME COLOR</t>
  </si>
  <si>
    <t>HARDWARE, SHOWER HEAVY HINGE, WALL MOUNTED SHORT BACK, CHROME COLOR (VIK185-CH)</t>
  </si>
  <si>
    <t>HARDWARE, SINGLE SLIDER SQUARE TRACK 65L - PACKAGE, CHROME COLOR. (SQT65-PK-CH)</t>
  </si>
  <si>
    <t>HARDWARE, SINGLE SLIDER SQUARE TRACK 2 ROLLERSETS, CHROME COLOR (SQ2R-CH)</t>
  </si>
  <si>
    <t>HARDWARE, TUBULAR BACK TO BACK 8X8 HANDLE-WASHER, CHROME COLOR (CP8X8-CH)</t>
  </si>
  <si>
    <t>2@58W X 42H X 1/4 T</t>
  </si>
  <si>
    <t>MIRROR|||KUNA CLUBHOUSE</t>
  </si>
  <si>
    <t>6884</t>
  </si>
  <si>
    <t>WINDOW|||JEFF WATSON</t>
  </si>
  <si>
    <t>PRESTON</t>
  </si>
  <si>
    <t>WHITE WINDOW SCREEN, DIFERENT SIZES</t>
  </si>
  <si>
    <t>SCREEN|||JEFF WATSON</t>
  </si>
  <si>
    <t>FOX</t>
  </si>
  <si>
    <t>B - C</t>
  </si>
  <si>
    <t>WINDOW|||JACKLING WAY</t>
  </si>
  <si>
    <t>04-3192*13</t>
  </si>
  <si>
    <t>SCREEN|||JACKLING WAY</t>
  </si>
  <si>
    <t>WINDOW|||SPRING CANYON 2</t>
  </si>
  <si>
    <t>04-3205*33</t>
  </si>
  <si>
    <t>SCREEN|||SPRING CANYON 2</t>
  </si>
  <si>
    <t>WHITE/BLACK WINDOWS</t>
  </si>
  <si>
    <t>WINDOW|||STUDIO RESIDENCE CLEARFIELD</t>
  </si>
  <si>
    <t>WINDOW|||HIGHLAND A&amp;R</t>
  </si>
  <si>
    <t>04-2884*16</t>
  </si>
  <si>
    <t>SCREEN|||HIGHLAND A&amp;R</t>
  </si>
  <si>
    <t>A-FRAME,
1@63 W X 42 H,
1@29 W X 42 H,
5@66 W X 42 H,
17@27 W X 42 H,
12@48 W X 42 H,
6@72 W X 38 H</t>
  </si>
  <si>
    <t>KUNABG</t>
  </si>
  <si>
    <t>A-FRAME, 1@27 5/16 W X 67 7/16 H</t>
  </si>
  <si>
    <t>IGU|||PAT BME8</t>
  </si>
  <si>
    <t>A-FRAME, 4@29 1/4 W X 72 H,
4@29 1/4 W X 71 3/8 H,
5@29 1/4 W X 72 H,
5@29 1/4 W X 71 3/8 H,
2@26 W X 71 9/16 H,
2@11 7/8 W X 72 H</t>
  </si>
  <si>
    <t>MIRROR|||HOLBROOK</t>
  </si>
  <si>
    <t>A-FRAME, 1@46 3/4 W X 80 H,
1@36 W X 79 5/8 H,
1@8 W X 80 H,
1@11 7/8 W X 80 H,
1@27 7/8 W X 41 1/4 H,
1@36 W X 79 H</t>
  </si>
  <si>
    <t>MIRROR|||2 ANDY TOWERY SH</t>
  </si>
  <si>
    <t>A-FRAME, 3@24 W X 42 H,
6@36 W X 42 H,
2@70 W X 42 H,
1@30 W X 71 H,
1@30 W X 70 1/2 H</t>
  </si>
  <si>
    <t>MIRROR|||LIBERTY WELLS</t>
  </si>
  <si>
    <t>A-FRAME, 1@30 W X 59 H,
1@30 W X 58 1/2 H,
1@29 W X 61 1/2 H,
1@29 W X 61 H.</t>
  </si>
  <si>
    <t>MIRROR|||2 PATRICK SH</t>
  </si>
  <si>
    <t>A-FRAME, 1@46 W X 42 H,
10@47 1/2 W X 42 H</t>
  </si>
  <si>
    <t>LIBWGYMR</t>
  </si>
  <si>
    <t>6853</t>
  </si>
  <si>
    <t>SLIDING DOOR, 2@95 1/2 X 79 1/2</t>
  </si>
  <si>
    <t>WINDOW|||ELKWOOD ADDITIONAL</t>
  </si>
  <si>
    <t>BRONZE DOOR SCREEN, 2@48X77 3/4</t>
  </si>
  <si>
    <t>SCREEN|||ELKWOOD ADDITIONAL</t>
  </si>
  <si>
    <t>6906</t>
  </si>
  <si>
    <t>WHITE WINDOW, 1@35 1/2 X 59 1/2</t>
  </si>
  <si>
    <t>WINDOW|||ALVIN JENSON ADDITIONAL</t>
  </si>
  <si>
    <t>WHITE WINDOW SCREEN, 15 15/16 X 57 3/8</t>
  </si>
  <si>
    <t>SCREEN|||ALVIN JENSON ADDITIONAL</t>
  </si>
  <si>
    <t>IGU|||WESTERLY IGU</t>
  </si>
  <si>
    <t>1@44 7/8 X 89 H X 1T</t>
  </si>
  <si>
    <t>(SECOND SOUTH) A-FRAME, 25@42 W X 44 H, 1@42 W X 42 1/2 H</t>
  </si>
  <si>
    <t>MIRROR|||2ND S LVL6</t>
  </si>
  <si>
    <t>1@32 13/16 W X 33 5/8 H X 1 T,
1@30 W X 31 9/16 H X 1 T</t>
  </si>
  <si>
    <t>IGU|||EM STORAGE</t>
  </si>
  <si>
    <t>1@18 1/2 W X 36 5/8 H X 1 T</t>
  </si>
  <si>
    <t>IGU|||BRIX STUDY</t>
  </si>
  <si>
    <t>BRANDON</t>
  </si>
  <si>
    <t>JOSE AND ASTAN</t>
  </si>
  <si>
    <t>JOSE AND ELIJAH</t>
  </si>
  <si>
    <t>JOSH</t>
  </si>
  <si>
    <t>COLLIN'S CREW</t>
  </si>
  <si>
    <t>1@32 1/16 W X 59 7/8 H X 3/4 T</t>
  </si>
  <si>
    <t>IGU|||HIGCANGLUG</t>
  </si>
  <si>
    <t>A-FRAME, 1@23 1/2 W X 17 1/2 H X 1 T</t>
  </si>
  <si>
    <t>MIRROR|||WESTERLYREORDER</t>
  </si>
  <si>
    <t>A-FRAME, 3@40 W X 42 H,
3@25 W X 42 H,
4@34 W X 42 H,
3@36 W X 42 H</t>
  </si>
  <si>
    <t>MIRROR|||HOL2 B1&amp;2M</t>
  </si>
  <si>
    <t>A-FRAME, 7@29 1/2 W X 71 H,
7@29 1/2 W X 70 1/2 H</t>
  </si>
  <si>
    <t>MIRROR|||LIBERTY WELLS 2</t>
  </si>
  <si>
    <t>BLACK/WHITE WINDOWS</t>
  </si>
  <si>
    <t>WINDOW|||EPJ 420 JACKIE</t>
  </si>
  <si>
    <t>04-4785_8</t>
  </si>
  <si>
    <t>BLACK WINDOW SCREENS, DIFFERENT SIZEZ</t>
  </si>
  <si>
    <t>SCREEN|||EPJ 420 JACKIE</t>
  </si>
  <si>
    <t>04-3954</t>
  </si>
  <si>
    <t>WINDOW|||PAT BMW 3</t>
  </si>
  <si>
    <t>04-3955</t>
  </si>
  <si>
    <t>BLACK WINDOW SCREENS, DIFFERENT SIZES</t>
  </si>
  <si>
    <t>SCREEN|||PAT BMW 3</t>
  </si>
  <si>
    <t>WHITE WINDOWS.</t>
  </si>
  <si>
    <t>WINDOW|||PAT BME2</t>
  </si>
  <si>
    <t>04-3944_17</t>
  </si>
  <si>
    <t>SCREEN|||PAT BME2</t>
  </si>
  <si>
    <t>6940</t>
  </si>
  <si>
    <t>2LGIOQU185-GLENWOOD, WHITE WINDOWS</t>
  </si>
  <si>
    <t>WINDOW|||LGI OQU185</t>
  </si>
  <si>
    <t>2LGIOQU185-GLENWOOD, WHITE DOOR SCREEN</t>
  </si>
  <si>
    <t>SCREEN|||LGI OQU185</t>
  </si>
  <si>
    <t>6938</t>
  </si>
  <si>
    <t>WINDOW|||LGI OQU175</t>
  </si>
  <si>
    <t>WHITE DOOR SCRREN</t>
  </si>
  <si>
    <t>JOSE</t>
  </si>
  <si>
    <t>LGI OQM175</t>
  </si>
  <si>
    <t>SCREEN|||LGI OQU175</t>
  </si>
  <si>
    <t>6939</t>
  </si>
  <si>
    <t>WHITE DOOR SCREEN</t>
  </si>
  <si>
    <t>SCREEN|||LGI OQU183</t>
  </si>
  <si>
    <t>WINDOW|||LGI OQU183</t>
  </si>
  <si>
    <t>6936</t>
  </si>
  <si>
    <t>WHITE DOOR SCREENS</t>
  </si>
  <si>
    <t>SCREEN|||LGI OQU66</t>
  </si>
  <si>
    <t>6937</t>
  </si>
  <si>
    <t>SCREEN|||LGI OQU67</t>
  </si>
  <si>
    <t>6935</t>
  </si>
  <si>
    <t>WHITE DOOR SCREN</t>
  </si>
  <si>
    <t>SCREEN|||LGI OQU60</t>
  </si>
  <si>
    <t>2LGIOQU185-GLENWOOD, WHITE WINDOW SCREENS</t>
  </si>
  <si>
    <t>JOSE C. AND SPENCER</t>
  </si>
  <si>
    <t>6@33 7/8 W X 34 H X 3/4 T</t>
  </si>
  <si>
    <t>IGU|||EDISON IGU RE</t>
  </si>
  <si>
    <t>E809</t>
  </si>
  <si>
    <t>WHITE WINDOW SCREENS, 5@41 1/16 X 30 5/16,
8@35 1/16 X 30 5/16</t>
  </si>
  <si>
    <t>SCREEN|||WASATCH SPRINGS</t>
  </si>
  <si>
    <t>6923</t>
  </si>
  <si>
    <t>WHITE WINDOW SCREENS, REORDER FOR JOE L. LGI DE</t>
  </si>
  <si>
    <t>SCREEN|||LGI44_49 REORDER</t>
  </si>
  <si>
    <t>6 IGU'S WERE RECEIVED ON MONDAY.</t>
  </si>
  <si>
    <t>IGU|||EDISON IGU REORDER</t>
  </si>
  <si>
    <t>SIZES:
3@33 W X 15 5/8 H,
6@15 15/16 W X 11 1/8 H,
3@15 15/16 W X 15 5/8 H,
3@33 1/16 W X 15 5/8 H,
3@16 W X 15 5/8 H,
3@16 W X 11 1/8 H</t>
  </si>
  <si>
    <t>SHOWER|||STUDIO RES W3</t>
  </si>
  <si>
    <t>https://drive.google.com/file/d/1KA70tUWGjpjOFjj4T6BfgnmOEZ5xKdVJ/view?usp=drivesdk</t>
  </si>
  <si>
    <t>STAN T.</t>
  </si>
  <si>
    <t>87 BOXES OF WINDOW SCREENS IN A PALLET IN THE WINDOW WAREHOUSE.</t>
  </si>
  <si>
    <t>SCREEN|||NO NAME</t>
  </si>
  <si>
    <t>https://drive.google.com/file/d/1LwhY7S7PZ-RkJtdHDzpyC_OqtlklqW8V/view?usp=drivesdk</t>
  </si>
  <si>
    <t>44 big boxes with window screens, in pallets in the window warehouse</t>
  </si>
  <si>
    <t>SCREEN|||ACC STUDENT HOUSING</t>
  </si>
  <si>
    <t>https://drive.google.com/file/d/1mDgNjEjLAt8mpsw4GO3w_riveq53lyCu/view?usp=drivesdk</t>
  </si>
  <si>
    <t>WINDOW|||PRI LOVELESS3PLEXTH</t>
  </si>
  <si>
    <t>Sage@CompassPoint Order1 24 Plex [Perry-Sage at Compass Poi</t>
  </si>
  <si>
    <t>WINDOW|||2PER SAGE@COMPASS</t>
  </si>
  <si>
    <t>PAT SP 639</t>
  </si>
  <si>
    <t>WINDOW|||2PATSP639</t>
  </si>
  <si>
    <t>WINDOW|||MISCLEVATA</t>
  </si>
  <si>
    <t>WINDOW|||MISCKENTADD</t>
  </si>
  <si>
    <t>WINDOW|||MISCKK4060</t>
  </si>
  <si>
    <t>SALT RIVER</t>
  </si>
  <si>
    <t>WINDOW|||SAL BF2 PARTS</t>
  </si>
  <si>
    <t>WINDOW|||WHI 222</t>
  </si>
  <si>
    <t>WINDOW|||WHIPR220</t>
  </si>
  <si>
    <t>WHITE STAR STRATTON MEADOWS LOT 214</t>
  </si>
  <si>
    <t>WHITE STAR STRATTON MEADOWS LOT 216</t>
  </si>
  <si>
    <t>TOO MANY, SOME WINDOWS WERE DELIVERED IN A TRAILER</t>
  </si>
  <si>
    <t>JOSE, BUDDHA AND TEAM</t>
  </si>
  <si>
    <t>MISC LEVATA</t>
  </si>
  <si>
    <t>GENERAL ELECTRIC</t>
  </si>
  <si>
    <t>GE2000.SS*BL / SEALANT, SAUSAGE - BLACK</t>
  </si>
  <si>
    <t>FLASHING_CAULK|||GE SILPRUF SC2000</t>
  </si>
  <si>
    <t>BRM DENVER FOAM</t>
  </si>
  <si>
    <t>FLASHING_CAULK|||OPEN CELL BACKER ROD 7_8 X 350</t>
  </si>
  <si>
    <t>2LGIOQU66</t>
  </si>
  <si>
    <t>WINDOW|||LGI OQU66</t>
  </si>
  <si>
    <t>2LGIOQU60</t>
  </si>
  <si>
    <t>WINDOW|||LGI OQU60</t>
  </si>
  <si>
    <t>2LGIOQU67</t>
  </si>
  <si>
    <t>WINDOW|||LGI OQU67</t>
  </si>
  <si>
    <t>6941</t>
  </si>
  <si>
    <t>7003</t>
  </si>
  <si>
    <t>WINDOW|||1143 HOUSING AUTHORITY</t>
  </si>
  <si>
    <t>7004</t>
  </si>
  <si>
    <t>WINDOW|||1167 HOUSING AUTHORITY</t>
  </si>
  <si>
    <t>7005</t>
  </si>
  <si>
    <t>WINDOW|||1147 HOUSING AUTHORITY</t>
  </si>
  <si>
    <t>7006</t>
  </si>
  <si>
    <t>7007</t>
  </si>
  <si>
    <t>WINDOW|||1187 HOUSING AUTHORITY</t>
  </si>
  <si>
    <t>7008</t>
  </si>
  <si>
    <t>WINDOW|||1181 HOUSING AUTHORITY</t>
  </si>
  <si>
    <t>7009</t>
  </si>
  <si>
    <t>WINDOW|||1173 HOUSING AUTHORITY</t>
  </si>
  <si>
    <t>04-5811*2</t>
  </si>
  <si>
    <t>GRAY WINDOW SCREEN</t>
  </si>
  <si>
    <t>SCREEN|||MISCKK4060</t>
  </si>
  <si>
    <t>04-5488*15</t>
  </si>
  <si>
    <t>SCREEN|||2PATSP639</t>
  </si>
  <si>
    <t>04-6718*8</t>
  </si>
  <si>
    <t>SCREEN|||PRI LOVELESS3PLEXTH</t>
  </si>
  <si>
    <t>WHITE WHINDOW SCREENS</t>
  </si>
  <si>
    <t>SCREEN|||2PER SAGE@COMPASS</t>
  </si>
  <si>
    <t>SCREEN|||MISCLEVATA</t>
  </si>
  <si>
    <t>04-6621</t>
  </si>
  <si>
    <t>SCREEN|||WHI 222</t>
  </si>
  <si>
    <t>04-6623*9</t>
  </si>
  <si>
    <t>WHITE WINDOW SRCEENS</t>
  </si>
  <si>
    <t>SCREEN|||WHIPR220</t>
  </si>
  <si>
    <t>THE DELIVERY WAS MADE TO A WAREHOUSE IN AMERICAN FORK</t>
  </si>
  <si>
    <t>DALIVERY MADE TO A WAREHOUSE IN AMERICAN FORK</t>
  </si>
  <si>
    <t>SPENCER AND ELIJAH</t>
  </si>
  <si>
    <t>WHITE STAR PROPERTY 220</t>
  </si>
  <si>
    <t>WHITE STAR PROPERTY 222</t>
  </si>
  <si>
    <t>CALEB</t>
  </si>
  <si>
    <t>KENT KAY RESIDENCE</t>
  </si>
  <si>
    <t>WINDOWS NOT FOUND</t>
  </si>
  <si>
    <t>DAMAGED</t>
  </si>
  <si>
    <t>WASTE</t>
  </si>
  <si>
    <t>PATTERNSON HOMES PVS4</t>
  </si>
  <si>
    <t>3 PANELS AND 1 FRAME, Bushman Lot 2|Main Office</t>
  </si>
  <si>
    <t>WINDOW|||LIBERTYWELLS B4</t>
  </si>
  <si>
    <t>Elijah</t>
  </si>
  <si>
    <t>WINDOW|||TVC ORCHARDGROVESL</t>
  </si>
  <si>
    <r>
      <rPr/>
      <t>Shipping doc||</t>
    </r>
    <r>
      <rPr>
        <color rgb="FF1155CC"/>
        <u/>
      </rPr>
      <t>https://drive.google.com/file/d/1qlWURIJPRtYT0XX8prq3_J0kwecXOjCo/view?usp=drivesdk</t>
    </r>
  </si>
  <si>
    <t>BALANCE TRING, ROLLER  &amp; HOUSING</t>
  </si>
  <si>
    <t>WINDOW_PARTS|||PARTSFORADAM</t>
  </si>
  <si>
    <r>
      <rPr/>
      <t>Document||</t>
    </r>
    <r>
      <rPr>
        <color rgb="FF1155CC"/>
        <u/>
      </rPr>
      <t>https://drive.google.com/file/d/16ASDQ2cG_Zq2SpP2a3ng2tUwFqJHlqP3/view?usp=drivesdk</t>
    </r>
  </si>
  <si>
    <t>IGU|||PVS3</t>
  </si>
  <si>
    <r>
      <rPr/>
      <t>Document||</t>
    </r>
    <r>
      <rPr>
        <color rgb="FF1155CC"/>
        <u/>
      </rPr>
      <t>https://drive.google.com/file/d/1EHWhwlVm_m8uUhrBZ1EfzkL62QyduDC6/view?usp=drivesdk</t>
    </r>
  </si>
  <si>
    <t>WINDOW|||MISCJAKEBARLOW</t>
  </si>
  <si>
    <r>
      <rPr/>
      <t>Document||</t>
    </r>
    <r>
      <rPr>
        <color rgb="FF1155CC"/>
        <u/>
      </rPr>
      <t>https://drive.google.com/file/d/1zwi06uMTs-8nRrTgfUkU8aFl0SdIGA45/view?usp=drivesdk</t>
    </r>
  </si>
  <si>
    <t>WHITE SMALL SCREENS</t>
  </si>
  <si>
    <t>SCREEN|||MISCJAKEBARLOW</t>
  </si>
  <si>
    <r>
      <rPr/>
      <t>Document||</t>
    </r>
    <r>
      <rPr>
        <color rgb="FF1155CC"/>
        <u/>
      </rPr>
      <t>https://drive.google.com/file/d/1P-wivUiL61jbfZ1HcR4J3e_l4t19AbIl/view?usp=drivesdk</t>
    </r>
  </si>
  <si>
    <t>WHITE WINDOW</t>
  </si>
  <si>
    <t>WINDOW|||KUNA 2640</t>
  </si>
  <si>
    <r>
      <rPr/>
      <t>Document||</t>
    </r>
    <r>
      <rPr>
        <color rgb="FF1155CC"/>
        <u/>
      </rPr>
      <t>https://drive.google.com/file/d/1pX07XN0I5Ps7XQ4DfUnLj3ii9CF-E2ir/view?usp=drivesdk</t>
    </r>
  </si>
  <si>
    <t>WHITE SASH</t>
  </si>
  <si>
    <t>KUNA G102</t>
  </si>
  <si>
    <t>WINDOW|||KUNA OXSASHG102</t>
  </si>
  <si>
    <r>
      <rPr/>
      <t>Document||</t>
    </r>
    <r>
      <rPr>
        <color rgb="FF1155CC"/>
        <u/>
      </rPr>
      <t>https://drive.google.com/file/d/1rEu6qXgctzuzrJdGsFtMoW30YX1NaIrq/view?usp=drivesdk</t>
    </r>
  </si>
  <si>
    <t>KUNA F106</t>
  </si>
  <si>
    <t>WINDOW|||KUNA XOSASHF106</t>
  </si>
  <si>
    <r>
      <rPr/>
      <t>Document||</t>
    </r>
    <r>
      <rPr>
        <color rgb="FF1155CC"/>
        <u/>
      </rPr>
      <t>https://drive.google.com/file/d/1tYnJWHbtPVnkgCn1d5R0_U_tOj-0v_y4/view?usp=drivesdk</t>
    </r>
  </si>
  <si>
    <t>IN AN A-FRAME</t>
  </si>
  <si>
    <t>IGU|||ALEX SULS</t>
  </si>
  <si>
    <r>
      <rPr/>
      <t>Document||</t>
    </r>
    <r>
      <rPr>
        <color rgb="FF1155CC"/>
        <u/>
      </rPr>
      <t>https://drive.google.com/file/d/1cqENEn83NWLH4I7xj0jEViOjLuUCtfEA/view?usp=drivesdk</t>
    </r>
  </si>
  <si>
    <t>2GOOCC1112,  BORO CAMDEN COMMONS 11&amp;12 - TWIN TOWNHOME, CLAY COLOR WINDOWS.</t>
  </si>
  <si>
    <t>WINDOW|||CAMDEN COMMONS 11_12</t>
  </si>
  <si>
    <r>
      <rPr/>
      <t>Document||</t>
    </r>
    <r>
      <rPr>
        <color rgb="FF1155CC"/>
        <u/>
      </rPr>
      <t>https://drive.google.com/file/d/1F3w9wVJ5LZs3YdV9fPzRyP0T1XSl9USl/view?usp=drivesdk</t>
    </r>
  </si>
  <si>
    <t>IGU|||KATIE ALLRED IGU</t>
  </si>
  <si>
    <r>
      <rPr/>
      <t>Document||</t>
    </r>
    <r>
      <rPr>
        <color rgb="FF1155CC"/>
        <u/>
      </rPr>
      <t>https://drive.google.com/file/d/13Gl7oHYzOx5wx5cm89VBeiwCTPKPJeNN/view?usp=drivesdk</t>
    </r>
  </si>
  <si>
    <t>IGU|||CITIZENLIFTRESIDENTIAL</t>
  </si>
  <si>
    <r>
      <rPr/>
      <t>Document||</t>
    </r>
    <r>
      <rPr>
        <color rgb="FF1155CC"/>
        <u/>
      </rPr>
      <t>https://drive.google.com/file/d/1LTdwdB1gVgbn1bBPJvkQd4lOFwPgvm3P/view?usp=drivesdk</t>
    </r>
  </si>
  <si>
    <t>IGU|||KUNA 104_106</t>
  </si>
  <si>
    <r>
      <rPr/>
      <t>Document||</t>
    </r>
    <r>
      <rPr>
        <color rgb="FF1155CC"/>
        <u/>
      </rPr>
      <t>https://drive.google.com/file/d/1H_4sAPIuPk_HRPeq4I8habhi6seqnb7h/view?usp=drivesdk</t>
    </r>
  </si>
  <si>
    <t>IGU|||WASATCHSPRINGSB2</t>
  </si>
  <si>
    <r>
      <rPr/>
      <t>Document||</t>
    </r>
    <r>
      <rPr>
        <color rgb="FF1155CC"/>
        <u/>
      </rPr>
      <t>https://drive.google.com/file/d/1DbouyiCwt7K-q5GTVfXRdzkT5ceQFvyC/view?usp=drivesdk</t>
    </r>
  </si>
  <si>
    <t>IGU|||WASATCHSPRINGSBV3(V)</t>
  </si>
  <si>
    <r>
      <rPr/>
      <t>Document||</t>
    </r>
    <r>
      <rPr>
        <color rgb="FF1155CC"/>
        <u/>
      </rPr>
      <t>https://drive.google.com/file/d/1_gBEHhUciQrPzH8oC_V0uXqHAxH0nrfK/view?usp=drivesdk</t>
    </r>
  </si>
  <si>
    <t>IGU|||1&amp;2 REORDER LIBERTY WELLS</t>
  </si>
  <si>
    <r>
      <rPr/>
      <t>Document||</t>
    </r>
    <r>
      <rPr>
        <color rgb="FF1155CC"/>
        <u/>
      </rPr>
      <t>https://drive.google.com/file/d/1XmYCMwp7d4AB6o0LZfM05LOvT_-Xrc50/view?usp=drivesdk</t>
    </r>
  </si>
  <si>
    <t>CLAY WINDOW SCREENS, DIFFERENT SIZES</t>
  </si>
  <si>
    <t>SCREEN|||CAMDEN COMMONS 11_12</t>
  </si>
  <si>
    <t>7034</t>
  </si>
  <si>
    <t>SCREEN|||TVC ORCHARDGROVESL</t>
  </si>
  <si>
    <t>frameless hardware company</t>
  </si>
  <si>
    <t>POLISHED NICKEL, QTY: 5</t>
  </si>
  <si>
    <t>SHOWER_HARDWARE|||PREMIUM SHOWER DOOR HEADER 95 LONG</t>
  </si>
  <si>
    <t>K842</t>
  </si>
  <si>
    <t>SCREEN|||MISC JONES RESIDENCE</t>
  </si>
  <si>
    <t>Dispatched</t>
  </si>
  <si>
    <t>TREVOR B.</t>
  </si>
  <si>
    <t>K012Z</t>
  </si>
  <si>
    <t>WINDOW_PARTS|||WASATCH SPRINGS KEEPER</t>
  </si>
  <si>
    <t>K045</t>
  </si>
  <si>
    <t>1@57 3/16 X 57 3/16</t>
  </si>
  <si>
    <t>IGU|||CENTRAL HEIGHTS</t>
  </si>
  <si>
    <t>IGU|||ELKWOOD</t>
  </si>
  <si>
    <r>
      <rPr/>
      <t>Document||</t>
    </r>
    <r>
      <rPr>
        <color rgb="FF1155CC"/>
        <u/>
      </rPr>
      <t>https://drive.google.com/file/d/1gb-dA6Bt3MVsXE0uXcjmxpqBhzMMLNUp/view?usp=drivesdk</t>
    </r>
  </si>
  <si>
    <t>IGU|||EDISON IGU REORDE</t>
  </si>
  <si>
    <r>
      <rPr/>
      <t>Packing slip||</t>
    </r>
    <r>
      <rPr>
        <color rgb="FF1155CC"/>
        <u/>
      </rPr>
      <t>https://drive.google.com/file/d/1cNcW-R7d41NSTly2UsIThTsVxdiUSmxs/view?usp=drivesdk</t>
    </r>
  </si>
  <si>
    <t>WHITE PICTURE WINDOWS 23 1/2 X 47 1/2</t>
  </si>
  <si>
    <t>BONEYARD|||WINDOW</t>
  </si>
  <si>
    <t>SCREEN|||TOL MH146</t>
  </si>
  <si>
    <t>WINDOW|||TOL MH169</t>
  </si>
  <si>
    <t>SCREEN|||TOL MH169</t>
  </si>
  <si>
    <t>WINDOW|||REARDEN</t>
  </si>
  <si>
    <t>1 LONG BOX</t>
  </si>
  <si>
    <t>WINDOW_PARTS|||LEVATACHANNELCAP</t>
  </si>
  <si>
    <t>WINDOW|||SWE SC2REORDERSLIDER</t>
  </si>
  <si>
    <t>SCREEN|||SWE SC2REORDERSLIDER</t>
  </si>
  <si>
    <t>1 SCREEN AND 1 LONG BOX</t>
  </si>
  <si>
    <t>WINDOW|||TOWERYSCREEN_SCREENTRACK</t>
  </si>
  <si>
    <t>WINDOW_PARTS|||TOWERYSCREEN_SCREENTRACK</t>
  </si>
  <si>
    <t>MIRROR|||LIBERTYWELLSBSMNT</t>
  </si>
  <si>
    <t>MIRROR|||UNITS1J&amp;UNIT1D</t>
  </si>
  <si>
    <t>MIRROR|||LIBERTYWELLSLVL3</t>
  </si>
  <si>
    <t>MIRROR|||OXBOWAPTS</t>
  </si>
  <si>
    <t>MIRROR|||CLIFTONPLACEBLDNGH</t>
  </si>
  <si>
    <t>MIRROR|||BBY 2337964</t>
  </si>
  <si>
    <t>SHOWER|||LEHI MEDICAL</t>
  </si>
  <si>
    <t>SHOWER|||CLIFTONPLACE SD</t>
  </si>
  <si>
    <t>SHOWER|||WPR UNIT 12</t>
  </si>
  <si>
    <t>BIG SLIDING DOOR, 4 SASH PANELS</t>
  </si>
  <si>
    <t>WINDOW|||HIGHLAND REMODEL_MAIN OFFICE</t>
  </si>
  <si>
    <t>1 BIG DOOR FRAME AND 3 DOOR PANELS</t>
  </si>
  <si>
    <t>WINDOW|||DAY POOL HOUSE_MAIN OFICCE</t>
  </si>
  <si>
    <t>1 DOOR FRAME AND 2 DOOR PANELS.</t>
  </si>
  <si>
    <t>WINDOW|||BME2 TRACIE DOOR_MAIN</t>
  </si>
  <si>
    <t>WINDOW|||ACC STUDENT</t>
  </si>
  <si>
    <t>HFLOT154</t>
  </si>
  <si>
    <t>DANE'S CREW</t>
  </si>
  <si>
    <t>HFLOT153</t>
  </si>
  <si>
    <t>POL CHROME, IN JOE L. DESK</t>
  </si>
  <si>
    <t>TERRY</t>
  </si>
  <si>
    <t>SHOWER_HARDWARE|||TUBULAR SINGLE SLIDER TOWL BAR</t>
  </si>
  <si>
    <t>SCREEN|||LGI OQM177</t>
  </si>
  <si>
    <t>SCREEN|||LGI OQM184</t>
  </si>
  <si>
    <t>SCREEN|||LGI OQM174</t>
  </si>
  <si>
    <t>SCREEN|||LGI DE007 CASCADE</t>
  </si>
  <si>
    <t>SCREEN|||LGI DE041 GRANITE</t>
  </si>
  <si>
    <t>SCREEN|||LGI DE009 DELANO</t>
  </si>
  <si>
    <t>SCREEN|||LGI OM171</t>
  </si>
  <si>
    <t>WINDOW|||LGI OQM177</t>
  </si>
  <si>
    <t>WINDOW|||LGI OQM174</t>
  </si>
  <si>
    <t>WINDOW|||LGI OQM184</t>
  </si>
  <si>
    <t>WINDOW|||LGI DE007 CASCADE</t>
  </si>
  <si>
    <t>WINDOW|||LGI DE041 GRANITE</t>
  </si>
  <si>
    <t>WINDOW|||LGI DE009 DELANO</t>
  </si>
  <si>
    <t>WINDOW|||LGI OM171</t>
  </si>
  <si>
    <t>WINDOW|||LGI OM159</t>
  </si>
  <si>
    <t>SCREEN|||LGI OM159</t>
  </si>
  <si>
    <t>WINDOW|||LGI OQM175 SUPP</t>
  </si>
  <si>
    <t>SCREEN|||LGI OQM175 SUPP</t>
  </si>
  <si>
    <t>WINDOW|||ALTA VISTA ADD WIND</t>
  </si>
  <si>
    <t>REINA'S TEAM</t>
  </si>
  <si>
    <t>MIRROR|||LGI DE6</t>
  </si>
  <si>
    <t>IGU|||ALTA VISTA B3</t>
  </si>
  <si>
    <t>IGU|||WHI PR220</t>
  </si>
  <si>
    <t>IGU|||CG JUAN</t>
  </si>
  <si>
    <t>IGU|||CG MARK</t>
  </si>
  <si>
    <t>SHOWER|||HOLBROOK 2 B7</t>
  </si>
  <si>
    <t>Delivery||https://drive.google.com/file/d/1UoIaiTM_OSkT6hxfKNoz28HjyV-qwHPa/view?usp=drivesdk</t>
  </si>
  <si>
    <t>BIG WINDOWS COVERED IN CARDBOARD.</t>
  </si>
  <si>
    <t>WINDOW|||CRC COX</t>
  </si>
  <si>
    <t>MIRROR|||RAVARA BL;DG H</t>
  </si>
  <si>
    <t>Delivery||https://drive.google.com/file/d/1vBa9tqg869U3k0D1qbwt9oKiHI8KL7I3/view?usp=drivesdk</t>
  </si>
  <si>
    <t>MIRROR|||KUNA BH</t>
  </si>
  <si>
    <t>Delivery||https://drive.google.com/file/d/1ldb12KdVORfZUYmA2VrUo8zWly2qU9xY/view?usp=drivesdk</t>
  </si>
  <si>
    <t>SHOWER|||KARTCHNER</t>
  </si>
  <si>
    <t>Delivery||https://drive.google.com/file/d/1Br1-GAK1iJ_saf2pSQIlFSbh8VsN4wYn/view?usp=drivesdk</t>
  </si>
  <si>
    <t>MIRROR|||SEAVERS</t>
  </si>
  <si>
    <t>Delivery||https://drive.google.com/file/d/16SETlb_q-pC426ZUBfB1z6Oxmt_X4mOT/view?usp=drivesdk</t>
  </si>
  <si>
    <t>MIRROR|||HOLBROOK 2 B7</t>
  </si>
  <si>
    <t>Delivery||https://drive.google.com/file/d/15DqOc0DLBFLeNojQY5kl8JA8vgM5vQGC/view?usp=drivesdk</t>
  </si>
  <si>
    <t>SHOWER|||LIBWELLS 6&amp;8</t>
  </si>
  <si>
    <t>Document||https://drive.google.com/file/d/10Mofc8sKhNxAaEPasH2-JN0T8e_Uk02_/view?usp=drivesdk</t>
  </si>
  <si>
    <t>TRENTB. RU103 JAMES ANDERSON</t>
  </si>
  <si>
    <t>WINDOW|||TRENTBJAMESANDERSON</t>
  </si>
  <si>
    <t>Delivery||https://drive.google.com/file/d/14S3QHqzmrX49W1m12G8uDCqKXx2khonA/view?usp=drivesdk</t>
  </si>
  <si>
    <t>WINDOW|||WHI SM215</t>
  </si>
  <si>
    <t>Delivery||https://drive.google.com/file/d/1w_HTbNtqkkkA2XC73tn1AS3QgTJl4FGz/view?usp=drivesdk</t>
  </si>
  <si>
    <t>WINDOW|||WHI SM213</t>
  </si>
  <si>
    <t>Delivery||https://drive.google.com/file/d/1KQv3S4ocTCY2cDmmb8tQXz0MqcDdSryj/view?usp=drivesdk</t>
  </si>
  <si>
    <t>FLASHING_CAULK</t>
  </si>
  <si>
    <t>WINDOW AND DOOR SEALANT</t>
  </si>
  <si>
    <t>Delivery||https://drive.google.com/file/d/18Qzks5yJHQr_hr7NKdMzSsdr6dY2pMaY/view?usp=drivesdk</t>
  </si>
  <si>
    <t>BIG DOOR</t>
  </si>
  <si>
    <t>DAYPOOL 9080</t>
  </si>
  <si>
    <t>WINDOW|||BJC DAYPOOL 9080 DOO</t>
  </si>
  <si>
    <t>Delivery||https://drive.google.com/file/d/1SkOMgh53ubNP9hy8Sm2mfLwTKHHv1dd1/view?usp=drivesdk</t>
  </si>
  <si>
    <t>Delivery||https://drive.google.com/file/d/1W55qEiIdGr_AKoY8NLEiv7wRRskYnEaC/view?usp=drivesdk</t>
  </si>
  <si>
    <t>ALL 3 PANEL WERE TAKEN TOO.</t>
  </si>
  <si>
    <t>PRESTON AND TOMMY</t>
  </si>
  <si>
    <t>DELIVERED TO BILL MOORE HOUSE</t>
  </si>
  <si>
    <t>MIRROR|||565 REDWOOD</t>
  </si>
  <si>
    <t>Delivery||https://drive.google.com/file/d/1dwPfo85PdeXVFTOtqz61yVNEJky7JVRP/view?usp=drivesdk</t>
  </si>
  <si>
    <t>MIRROR|||SPENCER HALFORDE</t>
  </si>
  <si>
    <t>Delivery||https://drive.google.com/file/d/1qsLNjTEP5_oXj8cmabKI1oUZnWJgQI33/view?usp=drivesdk</t>
  </si>
  <si>
    <t>NIC LAJUENES</t>
  </si>
  <si>
    <t>IGU|||NIC LAJUENES IGU</t>
  </si>
  <si>
    <t>Delivery||https://drive.google.com/file/d/1SlKYNSi-7Q_zaMNKcPrAFNbSZGD00AiZ/view?usp=drivesdk</t>
  </si>
  <si>
    <t>I666</t>
  </si>
  <si>
    <t>BLACK WINDOW SCREEN, 33 3/4 X 45 1/8</t>
  </si>
  <si>
    <t>SCREEN|||HIGHLAND ROW</t>
  </si>
  <si>
    <t>Delivery||https://drive.google.com/file/d/1VmNFXNJasF9THrh4fL0tI9J-P5gdG5Qc/view?usp=drivesdk</t>
  </si>
  <si>
    <t>ALEX SULS PICKED IT UP</t>
  </si>
  <si>
    <t>IGU|||DAYBREAK 310</t>
  </si>
  <si>
    <t>Delivery||https://drive.google.com/file/d/1yLUcePgujGXiVGE_TrUB1Chp4i3wQATf/view?usp=drivesdk</t>
  </si>
  <si>
    <t>IGU|||DAYBREAK 304</t>
  </si>
  <si>
    <t>Document||https://drive.google.com/file/d/17eKFyDiCYJJkHNPkeGlpwRYWBGJ2E648/view?usp=drivesdk</t>
  </si>
  <si>
    <t>O329Z</t>
  </si>
  <si>
    <t>2 SASHES, LEFT AND RIGHT</t>
  </si>
  <si>
    <t>WINDOW|||TVC ORCHARD GROVE</t>
  </si>
  <si>
    <t>2 WHITE WINDOW SCREENS</t>
  </si>
  <si>
    <t>7037</t>
  </si>
  <si>
    <t>1 WHITE WINDOW SCREEN</t>
  </si>
  <si>
    <t>SCREEN|||ALTA VISTA ADDITIONAL WINDOW</t>
  </si>
  <si>
    <t>WITHE WINDOW SCREENS.</t>
  </si>
  <si>
    <t>SCREEN|||TRENT B JAMES ANDERSON</t>
  </si>
  <si>
    <t>6992</t>
  </si>
  <si>
    <t>SCREEN|||DAY POOL HOUSE</t>
  </si>
  <si>
    <t>HFLOT135</t>
  </si>
  <si>
    <t>IGU|||SV STUDIO</t>
  </si>
  <si>
    <t>SPENCER AND JOSE</t>
  </si>
  <si>
    <t>N315Z</t>
  </si>
  <si>
    <t>BRONZE WINDOW SCREENS.</t>
  </si>
  <si>
    <t>SCREEN|||MARCUS LUNT SCRN</t>
  </si>
  <si>
    <t>7035</t>
  </si>
  <si>
    <t>BLACK DOOR SCREEN</t>
  </si>
  <si>
    <t>SCREEN|||BJC DAYPOOL 9080</t>
  </si>
  <si>
    <t>05-3019</t>
  </si>
  <si>
    <t>SCREEN|||WHI SM215</t>
  </si>
  <si>
    <t>05-3018</t>
  </si>
  <si>
    <t>SCREEN|||WHI SM213</t>
  </si>
  <si>
    <t>WHITE WINDOWS SCREENS</t>
  </si>
  <si>
    <t>WHITE WINDOW SCREEN</t>
  </si>
  <si>
    <t>WHITE DOOR SCREEN.</t>
  </si>
  <si>
    <t>SCREEN|||BME2 TRACIE DOOR_MAIN</t>
  </si>
  <si>
    <t>7103</t>
  </si>
  <si>
    <t>7104</t>
  </si>
  <si>
    <t>CLIFTONBUILDING H</t>
  </si>
  <si>
    <t>SHOWER|||CLIFTON BUILDING H</t>
  </si>
  <si>
    <t>Delivery||https://drive.google.com/file/d/1yPVJ9QCuyDBv2fi5Po0YXctucME0LYfb/view?usp=drivesdk</t>
  </si>
  <si>
    <t>MIRROR|||EDISON 606</t>
  </si>
  <si>
    <t>Delivery||https://drive.google.com/file/d/18GjWF__QKkk7a5flCKEJLTCA3NwbDRdN/view?usp=drivesdk</t>
  </si>
  <si>
    <t>SHOWER|||BRYSON NICKELS</t>
  </si>
  <si>
    <t>Delivery||https://drive.google.com/file/d/1_QKOPYXcfxJQUdm80vzNP195K1YtrxON/view?usp=drivesdk</t>
  </si>
  <si>
    <t>WINDOW|||SP 647</t>
  </si>
  <si>
    <t>TRACIE PLANS</t>
  </si>
  <si>
    <t>WINDOW|||SP 638</t>
  </si>
  <si>
    <t>WINDOW|||LGI OQM186</t>
  </si>
  <si>
    <t>IGU|||PAT PVS3</t>
  </si>
  <si>
    <t>1 LONG BOX IN FRONT OF DOOR 5</t>
  </si>
  <si>
    <t>WINDOW_PARTS|||LEVATA CHANNEL CAP</t>
  </si>
  <si>
    <t>05-6168</t>
  </si>
  <si>
    <t>WINDOW|||LANE ALLRED</t>
  </si>
  <si>
    <t>SCREEN|||LANE ALLRED</t>
  </si>
  <si>
    <t>DELUX PATIO DOOR WITH THE SASH</t>
  </si>
  <si>
    <t>WINDOW|||PAT SP 638</t>
  </si>
  <si>
    <t>WINDOW|||SMW6</t>
  </si>
  <si>
    <t>SCREEN|||SMW6</t>
  </si>
  <si>
    <t>Buddha team</t>
  </si>
  <si>
    <t>Dane's team</t>
  </si>
  <si>
    <t>7105</t>
  </si>
  <si>
    <t>7102</t>
  </si>
  <si>
    <t>7094</t>
  </si>
  <si>
    <t>7106</t>
  </si>
  <si>
    <t>7095</t>
  </si>
  <si>
    <t>7096</t>
  </si>
  <si>
    <t>SCREEN|||SP 647</t>
  </si>
  <si>
    <t>7185</t>
  </si>
  <si>
    <t>SCREEN|||LGI OQM186</t>
  </si>
  <si>
    <t>7184</t>
  </si>
  <si>
    <t>SCREEN|||SP 638</t>
  </si>
  <si>
    <t>05-5331</t>
  </si>
  <si>
    <t>WINDOW|||MISC CHASE</t>
  </si>
  <si>
    <t>HARWARE KIT, OX FRAME WITH SASH NON OP OX, SASH.</t>
  </si>
  <si>
    <t>WINDOW|||PAT EPJ420</t>
  </si>
  <si>
    <t>ALL THE ITEMS WERE TAKEN</t>
  </si>
  <si>
    <t>SHOWER|||STUDIO RES</t>
  </si>
  <si>
    <t>MIRROR|||LGI_444546</t>
  </si>
  <si>
    <t>SHOWER|||LGI_444546</t>
  </si>
  <si>
    <t>MIRROR|||SR PIONEER215</t>
  </si>
  <si>
    <t>IGU|||STUDIO RES</t>
  </si>
  <si>
    <t>CALEB AND VICTOR</t>
  </si>
  <si>
    <t>GOO - HFLOT1441W</t>
  </si>
  <si>
    <t>SHOWER|||WPR LOT 12 REMAKE</t>
  </si>
  <si>
    <t>Delivery||https://drive.google.com/file/d/1UzOLjxERD-Qo6sL8v3hSw98Q6_KI6TQ2/view?usp=drivesdk</t>
  </si>
  <si>
    <t>SHOWER|||KARTCHNER RMK</t>
  </si>
  <si>
    <t>Delivery||https://drive.google.com/file/d/15seLPAc2fakp5jhP7mIGRLm4qkIHSE6-/view?usp=drivesdk</t>
  </si>
  <si>
    <t>IGU|||SP639</t>
  </si>
  <si>
    <t>Delivery||https://drive.google.com/file/d/1dCZ7F1D8ya0_3bxBC4N3ZjFy0WUNbf3-/view?usp=drivesdk</t>
  </si>
  <si>
    <t>MIRROR|||2NDS LATTITUDE</t>
  </si>
  <si>
    <t>Delivery||https://drive.google.com/file/d/1Aslc7vwu7NUNIkfi0_Q8JFmfHo2LIaZU/view?usp=drivesdk</t>
  </si>
  <si>
    <t>MIRROR|||WESTERLY FITNESS</t>
  </si>
  <si>
    <t>Delivery||https://drive.google.com/file/d/1VN6MPvOfx65ILOaRYxaM6hPYZokDAai2/view?usp=drivesdk</t>
  </si>
  <si>
    <t>IGU|||ELKWOOD 3</t>
  </si>
  <si>
    <t>Delivery||https://drive.google.com/file/d/1BVPaMOuijdKPLaWMQMIhC49tBbDB16AA/view?usp=drivesdk</t>
  </si>
  <si>
    <t>IGU|||ELKWOOD 4</t>
  </si>
  <si>
    <t>Delivery||https://drive.google.com/file/d/1mJMKMbwEMxbpvcxlQMJ8i5kapVd_NS_D/view?usp=drivesdk</t>
  </si>
  <si>
    <t>SHOWER|||WPR UNIT 12 BASEMENT</t>
  </si>
  <si>
    <t>Delivery||https://drive.google.com/file/d/1G-uOKnaXTzOlObd19XoYycGiyWWbAWXZ/view?usp=drivesdk</t>
  </si>
  <si>
    <t>05-6164</t>
  </si>
  <si>
    <t>ONLY SASH</t>
  </si>
  <si>
    <t>WINDOW|||KUNA G106</t>
  </si>
  <si>
    <t>WINDOW|||SPENCER HALFORDE</t>
  </si>
  <si>
    <t>JOSH W</t>
  </si>
  <si>
    <t>06-528</t>
  </si>
  <si>
    <t>1 BIG PATIO DOOR, 2 SASHES, 18 WINDOWS</t>
  </si>
  <si>
    <t>WINDOW|||JJF 105</t>
  </si>
  <si>
    <t>06-526</t>
  </si>
  <si>
    <t>2 BIG PATIO DOOR, 2 SASHES, 18 WINDOWS</t>
  </si>
  <si>
    <t>WINDOW|||JJF 112</t>
  </si>
  <si>
    <t>SCREEN|||JJF 112</t>
  </si>
  <si>
    <t>SCREEN|||JJF 105</t>
  </si>
  <si>
    <t>SHOWER|||CNT WEST LAKE GLASS</t>
  </si>
  <si>
    <t>ON AN A-FRAME</t>
  </si>
  <si>
    <t>MIRROR|||SANCTUARY BATH SEC B</t>
  </si>
  <si>
    <t>MIRROR|||OX BOW BLDNG 23</t>
  </si>
  <si>
    <t>IGU|||CITIZEN WEST 4</t>
  </si>
  <si>
    <t>1 WHITE SASH AND 1 BOX OF HARDWARE</t>
  </si>
  <si>
    <t>SOMEONE CAME AND TOOK IT, JOE ALLRED WAS INFORMED.</t>
  </si>
  <si>
    <t>VPI GUY</t>
  </si>
  <si>
    <t>WINDOW|||TIMP VALLEY CONSTRUCTION</t>
  </si>
  <si>
    <t>IGU|||BRIAN HARPER VAL 228</t>
  </si>
  <si>
    <t>IGU|||EDISON 606 REORDER</t>
  </si>
  <si>
    <t>SHOWER|||SANCTUARY</t>
  </si>
  <si>
    <t>6 inch width</t>
  </si>
  <si>
    <t>Jose</t>
  </si>
  <si>
    <t>FLASHING_CAULK|||RAIN BUSTER 440</t>
  </si>
  <si>
    <r>
      <rPr/>
      <t>Invoice||</t>
    </r>
    <r>
      <rPr>
        <color rgb="FF1155CC"/>
        <u/>
      </rPr>
      <t>https://drive.google.com/file/d/1O25n1Mr_DeeL0wcvPAS9gfaEbIzfOke8/view?usp=drivesdk</t>
    </r>
  </si>
  <si>
    <t>36 5/8 W x 61 9/16 H</t>
  </si>
  <si>
    <t>IGU|||ACC W3107</t>
  </si>
  <si>
    <r>
      <rPr/>
      <t>Invoice||</t>
    </r>
    <r>
      <rPr>
        <color rgb="FF1155CC"/>
        <u/>
      </rPr>
      <t>https://drive.google.com/file/d/1xB1M6jIZzwEwE_ninZ6x2KQLrr9kgXmS/view?usp=drivesdk</t>
    </r>
  </si>
  <si>
    <t>29 1/2 W 71 H</t>
  </si>
  <si>
    <t>SHOWER|||LIBERTY WELLS B5</t>
  </si>
  <si>
    <t>Invoice||https://drive.google.com/file/d/1KVLTAqB68Y9YnxSNs9GykfuwuTbZqdOE/view?usp=drivesdk</t>
  </si>
  <si>
    <t>MIRROR|||LIBERTYWELLS B5M</t>
  </si>
  <si>
    <t>Invoice||https://drive.google.com/file/d/1efO1CU7NI31y9LMQ9WzFcuvJNoxI4uWp/view?usp=drivesdk</t>
  </si>
  <si>
    <t>43 1/2 W 82 H</t>
  </si>
  <si>
    <t>IGU|||WESTERLY UNIT 114</t>
  </si>
  <si>
    <t>Invoice||https://drive.google.com/file/d/1a3I8omCC5ZD7UwNCaDCTrQRQsBYBbGny/view?usp=drivesdk</t>
  </si>
  <si>
    <t>FANCY WINDOWS WITH WOODEN COVER FOR THE SHOWROOM</t>
  </si>
  <si>
    <t>OTHER|||POP DISPLAY</t>
  </si>
  <si>
    <t>ONLY ONE SCREEN</t>
  </si>
  <si>
    <t>06-3060</t>
  </si>
  <si>
    <t>PATIO DOOR AND PATIO DOOR SCREEN, 1@ 71 1/2 X 95 1/2, 1@ 36 3/8 X 93 3/4</t>
  </si>
  <si>
    <t>WINDOW|||SP 648 TRACIE</t>
  </si>
  <si>
    <t>SCREEN|||SP 648 SGD</t>
  </si>
  <si>
    <t>06-2955</t>
  </si>
  <si>
    <t>WHITE SASH 1@33 5/16 X 67 7/16</t>
  </si>
  <si>
    <t>WINDOW|||BME2 SASH REPLACEMENT</t>
  </si>
  <si>
    <t>06-2656</t>
  </si>
  <si>
    <t>1@27 3/8 X 57,
3@33 5/8 X 69</t>
  </si>
  <si>
    <t>SCREEN|||MH305 SCREENS</t>
  </si>
  <si>
    <t>06-1954</t>
  </si>
  <si>
    <t>2 DOORS AND 2 SASHES</t>
  </si>
  <si>
    <t>WINDOW|||SR108 CHOI RES REORDER</t>
  </si>
  <si>
    <t>06-1843</t>
  </si>
  <si>
    <t>WINDOW|||MISC KYLE JENSON</t>
  </si>
  <si>
    <t>SCREEN|||MISC KYLE JENSON</t>
  </si>
  <si>
    <t>TOL</t>
  </si>
  <si>
    <t>06-1483</t>
  </si>
  <si>
    <t>WINDOW|||MH 145</t>
  </si>
  <si>
    <t>SCREEN|||MH 145</t>
  </si>
  <si>
    <t>06-1495</t>
  </si>
  <si>
    <t>SCREEN|||MH 159</t>
  </si>
  <si>
    <t>GHH</t>
  </si>
  <si>
    <t>06-2193</t>
  </si>
  <si>
    <t>WINDOW|||SCENIC MOUNTAIN 4PLEX PHASE2</t>
  </si>
  <si>
    <t>SCREEN|||SCENIC MOUNTAIN 4PLEX PHASE2</t>
  </si>
  <si>
    <t>TOLL</t>
  </si>
  <si>
    <t>06-1489</t>
  </si>
  <si>
    <t>WINDOW|||MH 160</t>
  </si>
  <si>
    <t>SCREEN|||MH 160</t>
  </si>
  <si>
    <t>06-2345</t>
  </si>
  <si>
    <t>WINDOW|||BS10</t>
  </si>
  <si>
    <t>BLACK WINDOW SCEENS</t>
  </si>
  <si>
    <t>SCREEN|||BS10</t>
  </si>
  <si>
    <t>MIRROR|||CLIFTON PLACE BI</t>
  </si>
  <si>
    <t>SHOWER|||CLIFTON PLACE BL</t>
  </si>
  <si>
    <t>SF1</t>
  </si>
  <si>
    <t>SHOWER|||DEER VALLEY SKI BUTL</t>
  </si>
  <si>
    <t>SF2</t>
  </si>
  <si>
    <t>SF3</t>
  </si>
  <si>
    <t>SF4</t>
  </si>
  <si>
    <t>SF5</t>
  </si>
  <si>
    <t>WHITE SCREEN DOORS</t>
  </si>
  <si>
    <t>7271</t>
  </si>
  <si>
    <t>SCREEN|||DE 042 PROVO</t>
  </si>
  <si>
    <t>WINDOW|||DE 042 PROVO</t>
  </si>
  <si>
    <t>7269</t>
  </si>
  <si>
    <t>SCREEN|||DE 008 MILLARD</t>
  </si>
  <si>
    <t>WINDOW|||DE 008 MILLARD</t>
  </si>
  <si>
    <t>7270</t>
  </si>
  <si>
    <t>SCREEN|||DE 043 MILLARD</t>
  </si>
  <si>
    <t>WINDOW|||DE 043 MILLARD</t>
  </si>
  <si>
    <t>7285</t>
  </si>
  <si>
    <t>SCREEN|||SP648 TRACIE</t>
  </si>
  <si>
    <t>WINDOW|||SP648 TRACIE</t>
  </si>
  <si>
    <t>7274</t>
  </si>
  <si>
    <t>SCREEN|||OQU 181 NAOMI</t>
  </si>
  <si>
    <t>WINDOW|||OQU 181 NAOMI</t>
  </si>
  <si>
    <t>7273</t>
  </si>
  <si>
    <t>SCREEN|||OQU 173 HILGARD</t>
  </si>
  <si>
    <t>WINDOW|||OQU 173 HILGARD</t>
  </si>
  <si>
    <t>7272</t>
  </si>
  <si>
    <t>SCREEN|||OQU 201 GLENWOOD</t>
  </si>
  <si>
    <t>WINDOW|||OQU 201 GLENWOOD</t>
  </si>
  <si>
    <t>SR</t>
  </si>
  <si>
    <t>06-4041</t>
  </si>
  <si>
    <t>INCLUDES 1 BOX AND 1 BAG OF HARDWARE TAPED TO A WINDOW.</t>
  </si>
  <si>
    <t>WINDOW|||SR MM 104</t>
  </si>
  <si>
    <t>SCREEN|||SR MM 104</t>
  </si>
  <si>
    <t>06-4035</t>
  </si>
  <si>
    <t>WINDOW|||BULLOCK 11 (ELOISE)</t>
  </si>
  <si>
    <t>SD-REORDER</t>
  </si>
  <si>
    <t>SHOWER|||CNT WESTLAKE</t>
  </si>
  <si>
    <t>IGU|||WOOD SPRINGS SUITES</t>
  </si>
  <si>
    <t>FLAT GLASS</t>
  </si>
  <si>
    <t>MISCELLANEOUS GLASS|||FIX MY DOOR</t>
  </si>
  <si>
    <t>SHOWER|||BRYSON NICKELS REORDER</t>
  </si>
  <si>
    <t>IGU|||JULIA STUART IGU</t>
  </si>
  <si>
    <t>SHOWER|||KARTCHNER SD HEADER RE</t>
  </si>
  <si>
    <t>SHOWER|||JULIE STUART SHOWER</t>
  </si>
  <si>
    <t>PRECISION FRAMEWORKS</t>
  </si>
  <si>
    <t>FRAMED MIRROR</t>
  </si>
  <si>
    <t>MIRROR|||MAYE HOUSE</t>
  </si>
  <si>
    <t>MIRROR|||GEM MIRROR 1</t>
  </si>
  <si>
    <t>MIRROR|||WESTERLY FITNESS ROO</t>
  </si>
  <si>
    <t>DANE AND TEAM</t>
  </si>
  <si>
    <t>7342</t>
  </si>
  <si>
    <t>WINDOW|||SP 647 REORDER</t>
  </si>
  <si>
    <t>SCREEN|||SP 647 REORDER</t>
  </si>
  <si>
    <t>7330</t>
  </si>
  <si>
    <t>WINDOW|||DE 10 CASCADE</t>
  </si>
  <si>
    <t>SCREEN|||DE 10 CASCADE</t>
  </si>
  <si>
    <t>7331</t>
  </si>
  <si>
    <t>WINDOW|||LGI DE 11 DELANO</t>
  </si>
  <si>
    <t>SCREEN|||LGI DE 11 DELANO</t>
  </si>
  <si>
    <t>7343</t>
  </si>
  <si>
    <t>WINDOW|||LGI DE 12 GRANITE</t>
  </si>
  <si>
    <t>SCREEN|||LGI DE 12 GRANITE</t>
  </si>
  <si>
    <t>RETURN</t>
  </si>
  <si>
    <t>IN A-FRAME</t>
  </si>
  <si>
    <t>IGU|||959E 3300S</t>
  </si>
  <si>
    <t>A-FRAME</t>
  </si>
  <si>
    <t>SHOWER|||SUMMIT 301</t>
  </si>
  <si>
    <t>TREVOR</t>
  </si>
  <si>
    <t>1 DOOR, 1 SASH</t>
  </si>
  <si>
    <t>THEY ALL WERE TAKEN, EACH ONE TO ITS JOB SITE</t>
  </si>
  <si>
    <t>TYVEK 6" X 75", 8 ROLLS PER BOX, 27 BOXES.</t>
  </si>
  <si>
    <t>FLASHING_CAULK|||FLASHING TAPE 6_</t>
  </si>
  <si>
    <t>Document||https://drive.google.com/file/d/1OEnxs2Ui5uEet-ZfHAdzR-0d1CvKDtgK/view?usp=drivesdk</t>
  </si>
  <si>
    <t>WINDOW|||CAMDEN COMMONS 23_24</t>
  </si>
  <si>
    <t>Delivery||https://drive.google.com/file/d/1Ywvl1AiLPztIG0cuDKb5R5ONotlOTuWS/view?usp=drivesdk</t>
  </si>
  <si>
    <t>SCREEN|||CAMDEN COMMONS 23_24</t>
  </si>
  <si>
    <t>7199</t>
  </si>
  <si>
    <t>SCREEN|||WESTERLY UNIT 414 W09</t>
  </si>
  <si>
    <t>Q268</t>
  </si>
  <si>
    <t>IGU|||SKYVIEW REORDER</t>
  </si>
  <si>
    <t>Delivery||https://drive.google.com/file/d/1SGrLUAmT2iiFYZtKcAkNaRjWT4la2d_j/view?usp=drivesdk</t>
  </si>
  <si>
    <t>N722Z</t>
  </si>
  <si>
    <t>SCREEN|||MISC JONES RES</t>
  </si>
  <si>
    <t>Delivery||https://drive.google.com/file/d/1G91iD4ErnV_IiSOPKFlzfQfI_k0XL5S3/view?usp=drivesdk</t>
  </si>
  <si>
    <t>IN AN L- FRAME.</t>
  </si>
  <si>
    <t>MIRROR|||LIBERTY WELLS FITNESS</t>
  </si>
  <si>
    <t>Delivery||https://drive.google.com/file/d/1f9r3MBvVno1al35DwNgO24TK-WVncLsV/view?usp=drivesdk</t>
  </si>
  <si>
    <t>06-4847</t>
  </si>
  <si>
    <t>WINDOW|||TOL MH 146 (W REORDER)</t>
  </si>
  <si>
    <t>SCREEN|||TOL MH 146 (W REORDER)</t>
  </si>
  <si>
    <t>06-4872</t>
  </si>
  <si>
    <t>WINDOW|||TOL MH 145 (REORDER)</t>
  </si>
  <si>
    <t>SCREEN|||TOL MH 145 (REORDER)</t>
  </si>
  <si>
    <t>06-4871</t>
  </si>
  <si>
    <t>WINDOW|||TOL MH 159 (REORDER)</t>
  </si>
  <si>
    <t>SCREEN|||TOL MH 159 (REORDER)</t>
  </si>
  <si>
    <t>Document||https://drive.google.com/file/d/1TUvb7Jw7FL6eZ-zv4KynC5cWqUh47Cwi/view?usp=drivesdk</t>
  </si>
  <si>
    <t>DOOR AND SASH</t>
  </si>
  <si>
    <t>Document||https://drive.google.com/file/d/12m5fVFLYSloKn0qAgriDXk4Lyan1Cme8/view?usp=drivesdk
Document||https://drive.google.com/file/d/1uYtUwNlnLd1C5WWvOkHdq1SrJFyFIEbq/view?usp=drivesdk</t>
  </si>
  <si>
    <t>Document||https://drive.google.com/file/d/142513Zyy0zuxnz6QKQImWY7o0l6b_cbR/view?usp=drivesdk
Document||https://drive.google.com/file/d/1lwnaWATrnJCfWP9oopGgUtDYdvGog--K/view?usp=drivesdk</t>
  </si>
  <si>
    <t>06-6823</t>
  </si>
  <si>
    <t>WINDOW|||SP 654</t>
  </si>
  <si>
    <t>Document||https://drive.google.com/file/d/1mDLNgVykN6rxwbNg3v08S35cDPG04wsP/view?usp=drivesdk</t>
  </si>
  <si>
    <t>06-5581</t>
  </si>
  <si>
    <t>WINDOW|||MISC LEVI DARGER (MATERIAL ONLY)</t>
  </si>
  <si>
    <t>Document||https://drive.google.com/file/d/1BNj9Lq2D8-hzZgRfWIcLpOtmqno_TIs-/view?usp=drivesdk</t>
  </si>
  <si>
    <t>SCREEN|||MISC LEVI DARGER (MATERIAL ONLY)</t>
  </si>
  <si>
    <t>06-5218</t>
  </si>
  <si>
    <t>WINDOW|||HIGHLAND REMODEL ARCHED REORDER</t>
  </si>
  <si>
    <t>Document||https://drive.google.com/file/d/1zD3zd8yRvj04MZddNf7iY8cwWZPfiFNA/view?usp=drivesdk</t>
  </si>
  <si>
    <t>SCREEN|||HIGHLAND REMODEL ARCHED REORDER</t>
  </si>
  <si>
    <t>06-5101</t>
  </si>
  <si>
    <t>WINDOW|||MISC SPENCER HALFORDE</t>
  </si>
  <si>
    <t>Document||https://drive.google.com/file/d/1s3QoaNEIwWQY8i0t19-EbKedE7dwaaH1/view?usp=drivesdk</t>
  </si>
  <si>
    <t>SYMPHONY HOMES</t>
  </si>
  <si>
    <t>17518188</t>
  </si>
  <si>
    <t>ANDERSEN</t>
  </si>
  <si>
    <t>BOXED WINDOWS</t>
  </si>
  <si>
    <t>WINDOW|||ELK RIDGE LME 32</t>
  </si>
  <si>
    <r>
      <rPr/>
      <t>Document||</t>
    </r>
    <r>
      <rPr>
        <color rgb="FF1155CC"/>
        <u/>
      </rPr>
      <t>https://drive.google.com/file/d/1lO0bhiXh-SbUtiDu40dKyH5N2G0JZ7UL/view?usp=drivesdk</t>
    </r>
  </si>
  <si>
    <t>T800Z</t>
  </si>
  <si>
    <t>SGD 170 SCRN TRACK, 1 LONG BOX</t>
  </si>
  <si>
    <t>WINDOW_PARTS|||OX GLASS LGI</t>
  </si>
  <si>
    <t>Document||https://drive.google.com/file/d/1tjMQ-KaC2jHe810im2UYxGj4bsOfxiOP/view?usp=drivesdk</t>
  </si>
  <si>
    <t>3 PANELS, 1 FRAME, 1 BOX OF HARDWARE, MAIN OFFICE</t>
  </si>
  <si>
    <t>PAT BMW3</t>
  </si>
  <si>
    <t>WINDOW|||BMW3</t>
  </si>
  <si>
    <t>Document||https://drive.google.com/file/d/1DDFkXUwKC_ibTkfXGknFkkjJplWkfduQ/view?usp=drivesdk</t>
  </si>
  <si>
    <t>7382</t>
  </si>
  <si>
    <t>WINDOW|||SP 654 BROOKE</t>
  </si>
  <si>
    <t>Document||https://drive.google.com/file/d/1Y27sOAVxHcKe2AeaLIBeTOtTEvImGA0k/view?usp=drivesdk</t>
  </si>
  <si>
    <t>SCREEN|||SP 654 BROOKE</t>
  </si>
  <si>
    <t>Document||https://drive.google.com/file/d/1udshDhV_7fzTrbvaFyqRFN3ftvT1sazJ/view?usp=drivesdk</t>
  </si>
  <si>
    <t>SHOWER|||HOLBROOK 2 B6 SD</t>
  </si>
  <si>
    <t>Document||https://drive.google.com/file/d/1OBUv7_RtkXGxJL5JYF1dhyK8NVA2EGij/view?usp=drivesdk</t>
  </si>
  <si>
    <t>SHOWER|||CHASE STAUFFER SD</t>
  </si>
  <si>
    <t>Document||https://drive.google.com/file/d/133vWPSMLGxXcBhPoeo3-xZc2Zwo_QxFG/view?usp=drivesdk</t>
  </si>
  <si>
    <t>WINDOW|||SEAVERS RESIDENCE M</t>
  </si>
  <si>
    <t>Document||https://drive.google.com/file/d/1eh7-dAAX_WmeYb8qbZcfvIqRX7Fo9EnJ/view?usp=drivesdk</t>
  </si>
  <si>
    <t>CALEB, BRANDON</t>
  </si>
  <si>
    <t>3 PANELS AN 1 FRAME</t>
  </si>
  <si>
    <t>NOT FOUND</t>
  </si>
  <si>
    <t>Damaged</t>
  </si>
  <si>
    <t>CALEB, BRANDON AND TEAM</t>
  </si>
  <si>
    <t>CALEB, BRANDO AND TEAM</t>
  </si>
  <si>
    <t>LGI OQU 173 HILGARD</t>
  </si>
  <si>
    <t>MIRROR|||KENTKAY SAUNA&amp;SHOWER</t>
  </si>
  <si>
    <t>SHOWER|||KARTCHNERSD</t>
  </si>
  <si>
    <t>MIRROR|||HOLBROOK 2 B6 M</t>
  </si>
  <si>
    <t>CLAY WINDOWS IN FRONT OF THE MIRROR PALLETS.</t>
  </si>
  <si>
    <t>WINDOW|||HF 156</t>
  </si>
  <si>
    <t>BOX RAPED WINDOWS</t>
  </si>
  <si>
    <t>WINDOW|||3500 RESIDENCES</t>
  </si>
  <si>
    <t>IGU IN THE IGU CART.</t>
  </si>
  <si>
    <t>TERRY T</t>
  </si>
  <si>
    <t>IGU|||GC LUIS</t>
  </si>
  <si>
    <t>4 BIG BOXES IN A PALLET</t>
  </si>
  <si>
    <t>FLASHING_CAULK|||TYVEK 9_ INTGRATION WRAP</t>
  </si>
  <si>
    <t>LGI OQU175183185</t>
  </si>
  <si>
    <t>SHOWER|||LGI OQU175183185</t>
  </si>
  <si>
    <t>CREW C</t>
  </si>
  <si>
    <t>SHOWER|||JULIE STUARTS REORDER</t>
  </si>
  <si>
    <t>MIRROR|||LGI OQU 175 183 185</t>
  </si>
  <si>
    <t>WINDOW|||BLUEJAY DAY POOL 7303</t>
  </si>
  <si>
    <t>WINDOW|||LGI 46 SASH</t>
  </si>
  <si>
    <t>WINDOW|||LGI 44 SASH</t>
  </si>
  <si>
    <t>SCREENS NEEDED BY TERRY T.</t>
  </si>
  <si>
    <t>SCREEN|||ELKWOOD SCREENS S845</t>
  </si>
  <si>
    <t>WINDOW|||ELKWOOD SCREENS T284</t>
  </si>
  <si>
    <t>U178Z</t>
  </si>
  <si>
    <t>SCREEN|||MH 304 SCREENS#2</t>
  </si>
  <si>
    <t>TAKEN BY DANE'S TEAM</t>
  </si>
  <si>
    <t>HH</t>
  </si>
  <si>
    <t>06-7016</t>
  </si>
  <si>
    <t>1 WINDOW WAS REJECTED BECAUSE IT WAS BROKEN (NOT INCLUDED IN THE QTY)</t>
  </si>
  <si>
    <t>WINDOW|||PROVO REMODEL</t>
  </si>
  <si>
    <t>06-6480</t>
  </si>
  <si>
    <t>WINDOW MISSING THE OPENING CONTROL DEVICE WAS RETURNED, BUT LATER DANE WENT TO PICK IT UP.</t>
  </si>
  <si>
    <t>WINDOW|||VINEYARD BLACK 13C MOCKUP</t>
  </si>
  <si>
    <t>06-5800</t>
  </si>
  <si>
    <t>WINDOW|||MM210</t>
  </si>
  <si>
    <t>06-6650</t>
  </si>
  <si>
    <t>IGU|||FELT AMILY DENTAL</t>
  </si>
  <si>
    <t>06-5807</t>
  </si>
  <si>
    <t>SWE CODY RESIDENCE</t>
  </si>
  <si>
    <t>WINDOW|||CODY RESIDENCE</t>
  </si>
  <si>
    <t>06-786</t>
  </si>
  <si>
    <t>WINDOW|||JJFARMS LOT 106</t>
  </si>
  <si>
    <t>07-733</t>
  </si>
  <si>
    <t>WINDOW|||PAO223</t>
  </si>
  <si>
    <t>07-758</t>
  </si>
  <si>
    <t>WINDOW|||PAO225</t>
  </si>
  <si>
    <t>2 WINDOWS, 2 SCREENS, TAKEN BY JOE L.</t>
  </si>
  <si>
    <t>WINDOW|||SP 638 REORDER</t>
  </si>
  <si>
    <t>SCREEN|||SP 638 REORDER</t>
  </si>
  <si>
    <t>BRANDON AND TEAM</t>
  </si>
  <si>
    <t>SCREEN|||PAO223</t>
  </si>
  <si>
    <t>SCREEN|||PAO225</t>
  </si>
  <si>
    <t>RIM</t>
  </si>
  <si>
    <t>SCREEN|||VINEYARD BLACK 13C MOCKUP</t>
  </si>
  <si>
    <t>SCREEN|||PROVO REMODEL</t>
  </si>
  <si>
    <t>SCREEN|||HF 156</t>
  </si>
  <si>
    <t>SCREEN|||JJFARMS LOT 106</t>
  </si>
  <si>
    <t>SCREEN|||MM210</t>
  </si>
  <si>
    <t>SCREEN|||CODY RESIDENCE</t>
  </si>
  <si>
    <t>ELE</t>
  </si>
  <si>
    <t>06-6263</t>
  </si>
  <si>
    <t>SCREEN|||BRYLEE 7 (A C E B C B D)</t>
  </si>
  <si>
    <t>SCREEN|||3500 RESIDENCES</t>
  </si>
  <si>
    <t>WINDOW|||FAIRFIELD INN &amp; SUITES</t>
  </si>
  <si>
    <t>WINDOW_PARTS|||FAIRFIELD INN &amp; SUITES</t>
  </si>
  <si>
    <t>WINDOW|||BRYLEE 7 (A C E B C B D)</t>
  </si>
  <si>
    <t>Flashing</t>
  </si>
  <si>
    <t>IGU|||EM STORAGE IGU</t>
  </si>
  <si>
    <t xml:space="preserve"> white</t>
  </si>
  <si>
    <t xml:space="preserve"> Tyvek </t>
  </si>
  <si>
    <t>IGU|||PAT 0 SP 647 IGU</t>
  </si>
  <si>
    <t>IGU|||PAT 0 SP 648 IGU</t>
  </si>
  <si>
    <t xml:space="preserve"> Rain Buster</t>
  </si>
  <si>
    <t>U353</t>
  </si>
  <si>
    <t>IGU|||SKYVIEW IGU</t>
  </si>
  <si>
    <t>Dupont</t>
  </si>
  <si>
    <t>JOSHUA AND TEAM, AND DANE AND TEAM.</t>
  </si>
  <si>
    <t>Flashing tape 9''</t>
  </si>
  <si>
    <t>IGU, 50, 34 3/8 X 13 17/32</t>
  </si>
  <si>
    <t>IGU|||ACC STUDENT</t>
  </si>
  <si>
    <t>IGU|||44 N</t>
  </si>
  <si>
    <t>MISSING SASH FROM 3500 RESIDENCES</t>
  </si>
  <si>
    <t>ONLY ONE WINDOW</t>
  </si>
  <si>
    <t>WINDOW|||FREEMAN #2 REORDER</t>
  </si>
  <si>
    <t>THE WINDOW WAS BROKEN AND RETURNED TO THE SUPPLIER LAST WEEK, NOW IT'S WITH THE REST OF PROVO WINDOWS.</t>
  </si>
  <si>
    <t>7 DOOR FRAMES AND SASHES, IN FRONT OF RACK "A"</t>
  </si>
  <si>
    <t>WINDOW|||BRYLEE 7 (REORDER SGD)</t>
  </si>
  <si>
    <t>BOXES OF 4 EACH</t>
  </si>
  <si>
    <t>07-1903</t>
  </si>
  <si>
    <t>2 WINDOWS, BLACK ON WHITE.</t>
  </si>
  <si>
    <t>BOXES OF 12 EACH</t>
  </si>
  <si>
    <t>WINDOW|||TRENT B JAMES ANDERSON (FX REORDERE)</t>
  </si>
  <si>
    <t>NOT SURE WHEN THEY WERE TAKEN.</t>
  </si>
  <si>
    <t>DON'T KNOW THE DATE IT WAS TAKEN</t>
  </si>
  <si>
    <t>IGU|||DAYBREAK UNIT 614 IGU</t>
  </si>
  <si>
    <t>IGU|||VALO ON VINE</t>
  </si>
  <si>
    <t>MIRROR|||2ND SOUTH LATTITUDE</t>
  </si>
  <si>
    <t>IGU|||KUNA 205 104 IGU</t>
  </si>
  <si>
    <t>7444</t>
  </si>
  <si>
    <t>WINDOW|||TIMP VALLEY CONTRUCTION</t>
  </si>
  <si>
    <t>IGU|||DE TH 21 IGU</t>
  </si>
  <si>
    <t>07-1239</t>
  </si>
  <si>
    <t>SR MM 104(3060 REORDER)</t>
  </si>
  <si>
    <t>WINDOW|||MM 104(3060 REORDER)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</si>
</sst>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yy h:mm:ss"/>
    <numFmt numFmtId="165" formatCode="mm-yyyy"/>
    <numFmt numFmtId="166" formatCode="M/d/yyyy H:mm:ss"/>
    <numFmt numFmtId="167" formatCode="M/d/yyyy"/>
    <numFmt numFmtId="168" formatCode="yyyy-mm-dd"/>
    <numFmt numFmtId="169" formatCode="mm/dd/yyyy hh:mm"/>
    <numFmt numFmtId="170" formatCode="mm/dd/yyyy hh:mm:ss"/>
  </numFmts>
  <fonts count="9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sz val="12.0"/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2" numFmtId="165" xfId="0" applyAlignment="1" applyFont="1" applyNumberFormat="1">
      <alignment readingOrder="0"/>
    </xf>
    <xf borderId="1" fillId="2" fontId="1" numFmtId="49" xfId="0" applyAlignment="1" applyBorder="1" applyFont="1" applyNumberFormat="1">
      <alignment readingOrder="0"/>
    </xf>
    <xf borderId="0" fillId="3" fontId="2" numFmtId="166" xfId="0" applyAlignment="1" applyFill="1" applyFont="1" applyNumberFormat="1">
      <alignment horizontal="right" shrinkToFit="0" vertical="bottom" wrapText="0"/>
    </xf>
    <xf borderId="0" fillId="3" fontId="2" numFmtId="0" xfId="0" applyAlignment="1" applyFont="1">
      <alignment horizontal="right" readingOrder="0" shrinkToFit="0" vertical="bottom" wrapText="0"/>
    </xf>
    <xf borderId="0" fillId="3" fontId="2" numFmtId="0" xfId="0" applyAlignment="1" applyFont="1">
      <alignment horizontal="right" shrinkToFit="0" vertical="bottom" wrapText="0"/>
    </xf>
    <xf borderId="0" fillId="3" fontId="2" numFmtId="49" xfId="0" applyAlignment="1" applyFont="1" applyNumberFormat="1">
      <alignment horizontal="right" shrinkToFit="0" vertical="bottom" wrapText="0"/>
    </xf>
    <xf borderId="0" fillId="3" fontId="2" numFmtId="167" xfId="0" applyAlignment="1" applyFont="1" applyNumberFormat="1">
      <alignment horizontal="right" shrinkToFit="0" vertical="bottom" wrapText="0"/>
    </xf>
    <xf borderId="0" fillId="3" fontId="2" numFmtId="0" xfId="0" applyAlignment="1" applyFont="1">
      <alignment horizontal="right" readingOrder="0" shrinkToFit="0" wrapText="0"/>
    </xf>
    <xf borderId="0" fillId="3" fontId="2" numFmtId="0" xfId="0" applyAlignment="1" applyFont="1">
      <alignment horizontal="right" shrinkToFit="0" wrapText="0"/>
    </xf>
    <xf borderId="0" fillId="3" fontId="2" numFmtId="0" xfId="0" applyAlignment="1" applyFont="1">
      <alignment horizontal="left" shrinkToFit="0" wrapText="0"/>
    </xf>
    <xf borderId="0" fillId="3" fontId="2" numFmtId="166" xfId="0" applyAlignment="1" applyFont="1" applyNumberFormat="1">
      <alignment horizontal="right" readingOrder="0" shrinkToFit="0" vertical="bottom" wrapText="0"/>
    </xf>
    <xf borderId="0" fillId="3" fontId="2" numFmtId="0" xfId="0" applyAlignment="1" applyFont="1">
      <alignment horizontal="right" readingOrder="0" shrinkToFit="0" vertical="bottom" wrapText="0"/>
    </xf>
    <xf borderId="0" fillId="3" fontId="2" numFmtId="167" xfId="0" applyAlignment="1" applyFont="1" applyNumberFormat="1">
      <alignment horizontal="right" readingOrder="0" shrinkToFit="0" vertical="bottom" wrapText="0"/>
    </xf>
    <xf borderId="0" fillId="4" fontId="4" numFmtId="0" xfId="0" applyAlignment="1" applyFill="1" applyFont="1">
      <alignment readingOrder="0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bottom" wrapText="1"/>
    </xf>
    <xf borderId="0" fillId="0" fontId="2" numFmtId="0" xfId="0" applyAlignment="1" applyFont="1">
      <alignment horizontal="right" shrinkToFit="0" vertical="bottom" wrapText="1"/>
    </xf>
    <xf borderId="0" fillId="0" fontId="2" numFmtId="0" xfId="0" applyAlignment="1" applyFont="1">
      <alignment horizontal="right" readingOrder="0" vertical="bottom"/>
    </xf>
    <xf borderId="0" fillId="0" fontId="2" numFmtId="14" xfId="0" applyAlignment="1" applyFont="1" applyNumberFormat="1">
      <alignment horizontal="right" readingOrder="0" vertical="bottom"/>
    </xf>
    <xf borderId="0" fillId="0" fontId="2" numFmtId="0" xfId="0" applyFont="1"/>
    <xf borderId="0" fillId="3" fontId="2" numFmtId="49" xfId="0" applyAlignment="1" applyFont="1" applyNumberFormat="1">
      <alignment horizontal="right" shrinkToFit="0" wrapText="0"/>
    </xf>
    <xf borderId="1" fillId="4" fontId="4" numFmtId="0" xfId="0" applyAlignment="1" applyBorder="1" applyFont="1">
      <alignment readingOrder="0"/>
    </xf>
    <xf borderId="1" fillId="4" fontId="4" numFmtId="0" xfId="0" applyAlignment="1" applyBorder="1" applyFont="1">
      <alignment horizontal="center" readingOrder="0"/>
    </xf>
    <xf borderId="0" fillId="3" fontId="2" numFmtId="0" xfId="0" applyAlignment="1" applyFont="1">
      <alignment horizontal="left" readingOrder="0" shrinkToFit="0" wrapText="0"/>
    </xf>
    <xf borderId="0" fillId="0" fontId="2" numFmtId="166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167" xfId="0" applyAlignment="1" applyFont="1" applyNumberFormat="1">
      <alignment horizontal="right" readingOrder="0" vertical="bottom"/>
    </xf>
    <xf borderId="0" fillId="3" fontId="2" numFmtId="166" xfId="0" applyAlignment="1" applyFont="1" applyNumberFormat="1">
      <alignment horizontal="right" readingOrder="0" shrinkToFit="0" wrapText="0"/>
    </xf>
    <xf borderId="0" fillId="3" fontId="2" numFmtId="0" xfId="0" applyAlignment="1" applyFont="1">
      <alignment horizontal="right" readingOrder="0" shrinkToFit="0" wrapText="0"/>
    </xf>
    <xf borderId="0" fillId="3" fontId="2" numFmtId="167" xfId="0" applyAlignment="1" applyFont="1" applyNumberFormat="1">
      <alignment horizontal="right" shrinkToFit="0" wrapText="0"/>
    </xf>
    <xf borderId="0" fillId="3" fontId="2" numFmtId="164" xfId="0" applyAlignment="1" applyFont="1" applyNumberFormat="1">
      <alignment horizontal="right" readingOrder="0" shrinkToFit="0" wrapText="0"/>
    </xf>
    <xf borderId="0" fillId="3" fontId="2" numFmtId="49" xfId="0" applyAlignment="1" applyFont="1" applyNumberFormat="1">
      <alignment horizontal="right" readingOrder="0" shrinkToFit="0" wrapText="0"/>
    </xf>
    <xf borderId="0" fillId="4" fontId="4" numFmtId="0" xfId="0" applyAlignment="1" applyFont="1">
      <alignment horizontal="center" readingOrder="0"/>
    </xf>
    <xf borderId="2" fillId="0" fontId="2" numFmtId="166" xfId="0" applyAlignment="1" applyBorder="1" applyFont="1" applyNumberFormat="1">
      <alignment horizontal="right" vertical="bottom"/>
    </xf>
    <xf borderId="3" fillId="0" fontId="2" numFmtId="0" xfId="0" applyAlignment="1" applyBorder="1" applyFont="1">
      <alignment horizontal="right" vertical="bottom"/>
    </xf>
    <xf borderId="3" fillId="0" fontId="2" numFmtId="0" xfId="0" applyAlignment="1" applyBorder="1" applyFont="1">
      <alignment horizontal="right" readingOrder="0" shrinkToFit="0" vertical="bottom" wrapText="1"/>
    </xf>
    <xf borderId="3" fillId="0" fontId="2" numFmtId="0" xfId="0" applyAlignment="1" applyBorder="1" applyFont="1">
      <alignment horizontal="right" shrinkToFit="0" vertical="bottom" wrapText="1"/>
    </xf>
    <xf borderId="3" fillId="0" fontId="2" numFmtId="167" xfId="0" applyAlignment="1" applyBorder="1" applyFont="1" applyNumberFormat="1">
      <alignment horizontal="right" vertical="bottom"/>
    </xf>
    <xf borderId="3" fillId="0" fontId="2" numFmtId="0" xfId="0" applyBorder="1" applyFont="1"/>
    <xf borderId="0" fillId="0" fontId="2" numFmtId="0" xfId="0" applyAlignment="1" applyFont="1">
      <alignment shrinkToFit="0" wrapText="1"/>
    </xf>
    <xf borderId="0" fillId="3" fontId="2" numFmtId="167" xfId="0" applyAlignment="1" applyFont="1" applyNumberFormat="1">
      <alignment horizontal="right" readingOrder="0" shrinkToFit="0" wrapText="0"/>
    </xf>
    <xf borderId="0" fillId="3" fontId="2" numFmtId="168" xfId="0" applyAlignment="1" applyFont="1" applyNumberFormat="1">
      <alignment horizontal="right" readingOrder="0" shrinkToFit="0" wrapText="0"/>
    </xf>
    <xf borderId="0" fillId="0" fontId="5" numFmtId="0" xfId="0" applyAlignment="1" applyFont="1">
      <alignment horizontal="right" readingOrder="0" shrinkToFit="0" vertical="bottom" wrapText="1"/>
    </xf>
    <xf borderId="0" fillId="3" fontId="2" numFmtId="169" xfId="0" applyAlignment="1" applyFont="1" applyNumberFormat="1">
      <alignment horizontal="right" readingOrder="0" shrinkToFit="0" wrapText="0"/>
    </xf>
    <xf borderId="0" fillId="3" fontId="2" numFmtId="170" xfId="0" applyAlignment="1" applyFont="1" applyNumberFormat="1">
      <alignment horizontal="right" readingOrder="0" shrinkToFit="0" wrapText="0"/>
    </xf>
    <xf borderId="0" fillId="3" fontId="6" numFmtId="0" xfId="0" applyAlignment="1" applyFont="1">
      <alignment horizontal="left" readingOrder="0" shrinkToFit="0" wrapText="0"/>
    </xf>
    <xf borderId="0" fillId="3" fontId="7" numFmtId="0" xfId="0" applyAlignment="1" applyFont="1">
      <alignment horizontal="left" readingOrder="0" shrinkToFit="0" wrapText="0"/>
    </xf>
    <xf borderId="0" fillId="0" fontId="2" numFmtId="0" xfId="0" applyAlignment="1" applyFont="1">
      <alignment horizontal="right" shrinkToFit="0" vertical="bottom" wrapText="0"/>
    </xf>
    <xf borderId="0" fillId="0" fontId="2" numFmtId="167" xfId="0" applyAlignment="1" applyFont="1" applyNumberFormat="1">
      <alignment horizontal="right" vertical="bottom"/>
    </xf>
    <xf borderId="0" fillId="3" fontId="8" numFmtId="169" xfId="0" applyAlignment="1" applyFont="1" applyNumberFormat="1">
      <alignment horizontal="right" vertical="bottom"/>
    </xf>
    <xf borderId="0" fillId="3" fontId="8" numFmtId="0" xfId="0" applyAlignment="1" applyFont="1">
      <alignment horizontal="right" vertical="bottom"/>
    </xf>
    <xf borderId="0" fillId="3" fontId="8" numFmtId="0" xfId="0" applyAlignment="1" applyFont="1">
      <alignment vertical="bottom"/>
    </xf>
    <xf borderId="0" fillId="3" fontId="8" numFmtId="49" xfId="0" applyAlignment="1" applyFont="1" applyNumberFormat="1">
      <alignment vertical="bottom"/>
    </xf>
    <xf borderId="0" fillId="3" fontId="8" numFmtId="0" xfId="0" applyAlignment="1" applyFont="1">
      <alignment horizontal="right" readingOrder="0" vertical="bottom"/>
    </xf>
    <xf borderId="0" fillId="3" fontId="8" numFmtId="167" xfId="0" applyAlignment="1" applyFont="1" applyNumberFormat="1">
      <alignment horizontal="right" vertical="bottom"/>
    </xf>
    <xf borderId="0" fillId="3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2" numFmtId="0" xfId="0" applyAlignment="1" applyFont="1">
      <alignment shrinkToFit="0" wrapText="0"/>
    </xf>
    <xf borderId="0" fillId="0" fontId="2" numFmtId="167" xfId="0" applyFont="1" applyNumberFormat="1"/>
    <xf borderId="0" fillId="3" fontId="2" numFmtId="166" xfId="0" applyAlignment="1" applyFont="1" applyNumberFormat="1">
      <alignment horizontal="right" shrinkToFit="0" wrapText="0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1">
    <dxf>
      <font>
        <color rgb="FFFFFFFF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WVMkDiWHHcbUPt68OCmAMk2CtWhIdnKt/view?usp=drivesdk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NPJzKvkhVvn3D81yTIVco9noC1cdl6Lq/view?usp=drivesdk" TargetMode="External"/><Relationship Id="rId2" Type="http://schemas.openxmlformats.org/officeDocument/2006/relationships/hyperlink" Target="https://drive.google.com/file/d/1oLiBJSUM2K9ueisqsMckESGYPSQjFxuK/view?usp=drivesdk" TargetMode="External"/><Relationship Id="rId3" Type="http://schemas.openxmlformats.org/officeDocument/2006/relationships/hyperlink" Target="https://drive.google.com/file/d/198dk81_eTKtyLkVxJVmqmoR5QsvE6wyK/view?usp=drivesdk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WVMkDiWHHcbUPt68OCmAMk2CtWhIdnKt/view?usp=drivesdk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gb-dA6Bt3MVsXE0uXcjmxpqBhzMMLNUp/view?usp=drivesdk" TargetMode="External"/><Relationship Id="rId22" Type="http://schemas.openxmlformats.org/officeDocument/2006/relationships/hyperlink" Target="https://drive.google.com/file/d/1O25n1Mr_DeeL0wcvPAS9gfaEbIzfOke8/view?usp=drivesdk" TargetMode="External"/><Relationship Id="rId21" Type="http://schemas.openxmlformats.org/officeDocument/2006/relationships/hyperlink" Target="https://drive.google.com/file/d/1cNcW-R7d41NSTly2UsIThTsVxdiUSmxs/view?usp=drivesdk" TargetMode="External"/><Relationship Id="rId24" Type="http://schemas.openxmlformats.org/officeDocument/2006/relationships/hyperlink" Target="https://drive.google.com/file/d/1lO0bhiXh-SbUtiDu40dKyH5N2G0JZ7UL/view?usp=drivesdk" TargetMode="External"/><Relationship Id="rId23" Type="http://schemas.openxmlformats.org/officeDocument/2006/relationships/hyperlink" Target="https://drive.google.com/file/d/1xB1M6jIZzwEwE_ninZ6x2KQLrr9kgXmS/view?usp=drivesdk" TargetMode="External"/><Relationship Id="rId1" Type="http://schemas.openxmlformats.org/officeDocument/2006/relationships/hyperlink" Target="https://drive.google.com/file/d/1KA70tUWGjpjOFjj4T6BfgnmOEZ5xKdVJ/view?usp=drivesdk" TargetMode="External"/><Relationship Id="rId2" Type="http://schemas.openxmlformats.org/officeDocument/2006/relationships/hyperlink" Target="https://drive.google.com/file/d/1LwhY7S7PZ-RkJtdHDzpyC_OqtlklqW8V/view?usp=drivesdk" TargetMode="External"/><Relationship Id="rId3" Type="http://schemas.openxmlformats.org/officeDocument/2006/relationships/hyperlink" Target="https://drive.google.com/file/d/1mDgNjEjLAt8mpsw4GO3w_riveq53lyCu/view?usp=drivesdk" TargetMode="External"/><Relationship Id="rId4" Type="http://schemas.openxmlformats.org/officeDocument/2006/relationships/hyperlink" Target="https://drive.google.com/file/d/1qlWURIJPRtYT0XX8prq3_J0kwecXOjCo/view?usp=drivesdk" TargetMode="External"/><Relationship Id="rId9" Type="http://schemas.openxmlformats.org/officeDocument/2006/relationships/hyperlink" Target="https://drive.google.com/file/d/1pX07XN0I5Ps7XQ4DfUnLj3ii9CF-E2ir/view?usp=drivesdk" TargetMode="External"/><Relationship Id="rId25" Type="http://schemas.openxmlformats.org/officeDocument/2006/relationships/drawing" Target="../drawings/drawing14.xml"/><Relationship Id="rId5" Type="http://schemas.openxmlformats.org/officeDocument/2006/relationships/hyperlink" Target="https://drive.google.com/file/d/16ASDQ2cG_Zq2SpP2a3ng2tUwFqJHlqP3/view?usp=drivesdk" TargetMode="External"/><Relationship Id="rId6" Type="http://schemas.openxmlformats.org/officeDocument/2006/relationships/hyperlink" Target="https://drive.google.com/file/d/1EHWhwlVm_m8uUhrBZ1EfzkL62QyduDC6/view?usp=drivesdk" TargetMode="External"/><Relationship Id="rId7" Type="http://schemas.openxmlformats.org/officeDocument/2006/relationships/hyperlink" Target="https://drive.google.com/file/d/1zwi06uMTs-8nRrTgfUkU8aFl0SdIGA45/view?usp=drivesdk" TargetMode="External"/><Relationship Id="rId8" Type="http://schemas.openxmlformats.org/officeDocument/2006/relationships/hyperlink" Target="https://drive.google.com/file/d/1P-wivUiL61jbfZ1HcR4J3e_l4t19AbIl/view?usp=drivesdk" TargetMode="External"/><Relationship Id="rId11" Type="http://schemas.openxmlformats.org/officeDocument/2006/relationships/hyperlink" Target="https://drive.google.com/file/d/1tYnJWHbtPVnkgCn1d5R0_U_tOj-0v_y4/view?usp=drivesdk" TargetMode="External"/><Relationship Id="rId10" Type="http://schemas.openxmlformats.org/officeDocument/2006/relationships/hyperlink" Target="https://drive.google.com/file/d/1rEu6qXgctzuzrJdGsFtMoW30YX1NaIrq/view?usp=drivesdk" TargetMode="External"/><Relationship Id="rId13" Type="http://schemas.openxmlformats.org/officeDocument/2006/relationships/hyperlink" Target="https://drive.google.com/file/d/1F3w9wVJ5LZs3YdV9fPzRyP0T1XSl9USl/view?usp=drivesdk" TargetMode="External"/><Relationship Id="rId12" Type="http://schemas.openxmlformats.org/officeDocument/2006/relationships/hyperlink" Target="https://drive.google.com/file/d/1cqENEn83NWLH4I7xj0jEViOjLuUCtfEA/view?usp=drivesdk" TargetMode="External"/><Relationship Id="rId15" Type="http://schemas.openxmlformats.org/officeDocument/2006/relationships/hyperlink" Target="https://drive.google.com/file/d/1LTdwdB1gVgbn1bBPJvkQd4lOFwPgvm3P/view?usp=drivesdk" TargetMode="External"/><Relationship Id="rId14" Type="http://schemas.openxmlformats.org/officeDocument/2006/relationships/hyperlink" Target="https://drive.google.com/file/d/13Gl7oHYzOx5wx5cm89VBeiwCTPKPJeNN/view?usp=drivesdk" TargetMode="External"/><Relationship Id="rId17" Type="http://schemas.openxmlformats.org/officeDocument/2006/relationships/hyperlink" Target="https://drive.google.com/file/d/1DbouyiCwt7K-q5GTVfXRdzkT5ceQFvyC/view?usp=drivesdk" TargetMode="External"/><Relationship Id="rId16" Type="http://schemas.openxmlformats.org/officeDocument/2006/relationships/hyperlink" Target="https://drive.google.com/file/d/1H_4sAPIuPk_HRPeq4I8habhi6seqnb7h/view?usp=drivesdk" TargetMode="External"/><Relationship Id="rId19" Type="http://schemas.openxmlformats.org/officeDocument/2006/relationships/hyperlink" Target="https://drive.google.com/file/d/1XmYCMwp7d4AB6o0LZfM05LOvT_-Xrc50/view?usp=drivesdk" TargetMode="External"/><Relationship Id="rId18" Type="http://schemas.openxmlformats.org/officeDocument/2006/relationships/hyperlink" Target="https://drive.google.com/file/d/1_gBEHhUciQrPzH8oC_V0uXqHAxH0nrfK/view?usp=drivesdk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mDgNjEjLAt8mpsw4GO3w_riveq53lyCu/view?usp=drivesdk" TargetMode="External"/><Relationship Id="rId2" Type="http://schemas.openxmlformats.org/officeDocument/2006/relationships/hyperlink" Target="https://drive.google.com/file/d/1LwhY7S7PZ-RkJtdHDzpyC_OqtlklqW8V/view?usp=drivesdk" TargetMode="External"/><Relationship Id="rId3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1.13"/>
    <col customWidth="1" min="3" max="3" width="40.88"/>
    <col customWidth="1" min="4" max="4" width="29.25"/>
    <col customWidth="1" min="5" max="5" width="15.5"/>
    <col customWidth="1" min="6" max="6" width="24.13"/>
    <col customWidth="1" min="7" max="7" width="11.88"/>
  </cols>
  <sheetData>
    <row r="1">
      <c r="A1" s="1" t="s">
        <v>0</v>
      </c>
      <c r="B1" s="1" t="s">
        <v>3</v>
      </c>
      <c r="C1" s="1" t="s">
        <v>6</v>
      </c>
      <c r="D1" s="1" t="s">
        <v>10</v>
      </c>
      <c r="E1" s="1" t="s">
        <v>16</v>
      </c>
      <c r="F1" s="1" t="s">
        <v>22</v>
      </c>
      <c r="G1" s="1" t="s">
        <v>26</v>
      </c>
    </row>
    <row r="2">
      <c r="A2" s="3" t="s">
        <v>30</v>
      </c>
      <c r="B2" s="3" t="s">
        <v>34</v>
      </c>
      <c r="C2" s="3" t="s">
        <v>35</v>
      </c>
      <c r="D2" s="3" t="s">
        <v>17</v>
      </c>
      <c r="E2" s="2" t="s">
        <v>38</v>
      </c>
      <c r="F2" s="2" t="s">
        <v>40</v>
      </c>
      <c r="G2" s="2" t="s">
        <v>38</v>
      </c>
      <c r="N2" s="4">
        <v>6.0</v>
      </c>
    </row>
    <row r="3">
      <c r="A3" s="3" t="s">
        <v>47</v>
      </c>
      <c r="B3" s="3" t="s">
        <v>49</v>
      </c>
      <c r="C3" s="3" t="s">
        <v>51</v>
      </c>
      <c r="D3" s="3" t="s">
        <v>53</v>
      </c>
      <c r="E3" s="2" t="s">
        <v>38</v>
      </c>
      <c r="F3" s="2" t="s">
        <v>45</v>
      </c>
      <c r="G3" s="2" t="s">
        <v>58</v>
      </c>
    </row>
    <row r="4">
      <c r="A4" s="3" t="s">
        <v>59</v>
      </c>
      <c r="B4" s="3" t="s">
        <v>61</v>
      </c>
      <c r="C4" s="3" t="s">
        <v>62</v>
      </c>
      <c r="D4" s="3" t="s">
        <v>63</v>
      </c>
      <c r="E4" s="2" t="s">
        <v>38</v>
      </c>
      <c r="F4" s="2" t="s">
        <v>21</v>
      </c>
      <c r="G4" s="2" t="s">
        <v>65</v>
      </c>
    </row>
    <row r="5">
      <c r="A5" s="3" t="s">
        <v>66</v>
      </c>
      <c r="B5" s="3" t="s">
        <v>68</v>
      </c>
      <c r="C5" s="3" t="s">
        <v>69</v>
      </c>
      <c r="D5" s="3" t="s">
        <v>70</v>
      </c>
      <c r="E5" s="2" t="s">
        <v>71</v>
      </c>
      <c r="F5" s="2" t="s">
        <v>25</v>
      </c>
      <c r="G5" s="2" t="s">
        <v>65</v>
      </c>
    </row>
    <row r="6">
      <c r="A6" s="3" t="s">
        <v>73</v>
      </c>
      <c r="B6" s="3" t="s">
        <v>75</v>
      </c>
      <c r="C6" s="3" t="s">
        <v>76</v>
      </c>
      <c r="D6" s="3" t="s">
        <v>77</v>
      </c>
      <c r="E6" s="2" t="s">
        <v>71</v>
      </c>
      <c r="F6" s="2" t="s">
        <v>29</v>
      </c>
      <c r="G6" s="2" t="s">
        <v>65</v>
      </c>
    </row>
    <row r="7">
      <c r="A7" s="3" t="s">
        <v>80</v>
      </c>
      <c r="B7" s="3" t="s">
        <v>81</v>
      </c>
      <c r="C7" s="3" t="s">
        <v>82</v>
      </c>
      <c r="D7" s="3" t="s">
        <v>83</v>
      </c>
      <c r="E7" s="2" t="s">
        <v>84</v>
      </c>
      <c r="F7" s="2" t="s">
        <v>9</v>
      </c>
      <c r="G7" s="2" t="s">
        <v>58</v>
      </c>
    </row>
    <row r="8">
      <c r="A8" s="3" t="s">
        <v>85</v>
      </c>
      <c r="B8" s="3" t="s">
        <v>86</v>
      </c>
      <c r="C8" s="2" t="s">
        <v>87</v>
      </c>
      <c r="D8" s="3" t="s">
        <v>88</v>
      </c>
      <c r="E8" s="3" t="s">
        <v>89</v>
      </c>
      <c r="F8" s="2" t="s">
        <v>33</v>
      </c>
      <c r="G8" s="2" t="s">
        <v>65</v>
      </c>
    </row>
    <row r="9">
      <c r="A9" s="3" t="s">
        <v>90</v>
      </c>
      <c r="B9" s="3" t="s">
        <v>91</v>
      </c>
      <c r="C9" s="3" t="s">
        <v>92</v>
      </c>
      <c r="D9" s="3" t="s">
        <v>93</v>
      </c>
      <c r="E9" s="3" t="s">
        <v>89</v>
      </c>
      <c r="F9" s="2" t="s">
        <v>94</v>
      </c>
      <c r="G9" s="2" t="s">
        <v>58</v>
      </c>
    </row>
    <row r="10">
      <c r="A10" s="3" t="s">
        <v>95</v>
      </c>
      <c r="B10" s="2" t="s">
        <v>96</v>
      </c>
      <c r="C10" s="3" t="s">
        <v>97</v>
      </c>
      <c r="D10" s="3" t="s">
        <v>98</v>
      </c>
      <c r="E10" s="3" t="s">
        <v>89</v>
      </c>
      <c r="F10" s="2" t="s">
        <v>52</v>
      </c>
      <c r="G10" s="2" t="s">
        <v>58</v>
      </c>
    </row>
    <row r="11">
      <c r="A11" s="3" t="s">
        <v>99</v>
      </c>
      <c r="B11" s="3" t="s">
        <v>100</v>
      </c>
      <c r="C11" s="3" t="s">
        <v>101</v>
      </c>
      <c r="D11" s="3" t="s">
        <v>102</v>
      </c>
      <c r="E11" s="3" t="s">
        <v>89</v>
      </c>
      <c r="F11" s="2" t="s">
        <v>42</v>
      </c>
      <c r="G11" s="2" t="s">
        <v>58</v>
      </c>
    </row>
    <row r="12">
      <c r="A12" s="3" t="s">
        <v>103</v>
      </c>
      <c r="B12" s="3" t="s">
        <v>104</v>
      </c>
      <c r="C12" s="3" t="s">
        <v>105</v>
      </c>
      <c r="D12" s="3" t="s">
        <v>106</v>
      </c>
      <c r="E12" s="3" t="s">
        <v>89</v>
      </c>
      <c r="F12" s="2" t="s">
        <v>107</v>
      </c>
      <c r="G12" s="2" t="s">
        <v>65</v>
      </c>
    </row>
    <row r="13" ht="15.0" customHeight="1">
      <c r="A13" s="3" t="s">
        <v>108</v>
      </c>
      <c r="B13" s="2" t="s">
        <v>109</v>
      </c>
      <c r="C13" s="3" t="s">
        <v>110</v>
      </c>
      <c r="D13" s="3" t="s">
        <v>111</v>
      </c>
      <c r="E13" s="3" t="s">
        <v>89</v>
      </c>
      <c r="F13" s="2" t="s">
        <v>112</v>
      </c>
      <c r="G13" s="2" t="s">
        <v>38</v>
      </c>
    </row>
    <row r="14">
      <c r="A14" s="3" t="s">
        <v>113</v>
      </c>
      <c r="B14" s="2" t="s">
        <v>114</v>
      </c>
      <c r="C14" s="2" t="s">
        <v>115</v>
      </c>
      <c r="D14" s="3" t="s">
        <v>116</v>
      </c>
      <c r="E14" s="3" t="s">
        <v>89</v>
      </c>
      <c r="F14" s="2" t="s">
        <v>56</v>
      </c>
      <c r="G14" s="2" t="s">
        <v>58</v>
      </c>
    </row>
    <row r="15">
      <c r="A15" s="3" t="s">
        <v>117</v>
      </c>
      <c r="B15" s="2" t="s">
        <v>118</v>
      </c>
      <c r="C15" s="2" t="s">
        <v>119</v>
      </c>
      <c r="D15" s="3" t="s">
        <v>120</v>
      </c>
      <c r="E15" s="3" t="s">
        <v>89</v>
      </c>
      <c r="F15" s="2" t="s">
        <v>39</v>
      </c>
      <c r="G15" s="2" t="s">
        <v>58</v>
      </c>
    </row>
    <row r="16">
      <c r="A16" s="3" t="s">
        <v>121</v>
      </c>
      <c r="C16" s="2" t="s">
        <v>122</v>
      </c>
      <c r="D16" s="3" t="s">
        <v>123</v>
      </c>
      <c r="E16" s="3" t="s">
        <v>89</v>
      </c>
      <c r="F16" s="2" t="s">
        <v>124</v>
      </c>
      <c r="G16" s="2" t="s">
        <v>38</v>
      </c>
    </row>
    <row r="17">
      <c r="A17" s="3" t="s">
        <v>125</v>
      </c>
      <c r="D17" s="3" t="s">
        <v>126</v>
      </c>
      <c r="E17" s="3" t="s">
        <v>89</v>
      </c>
      <c r="F17" s="2" t="s">
        <v>15</v>
      </c>
      <c r="G17" s="2" t="s">
        <v>58</v>
      </c>
    </row>
    <row r="18">
      <c r="A18" s="3" t="s">
        <v>127</v>
      </c>
      <c r="D18" s="3" t="s">
        <v>128</v>
      </c>
      <c r="E18" s="3" t="s">
        <v>89</v>
      </c>
      <c r="F18" s="2" t="s">
        <v>130</v>
      </c>
      <c r="G18" s="2" t="s">
        <v>65</v>
      </c>
    </row>
    <row r="19">
      <c r="A19" s="3" t="s">
        <v>131</v>
      </c>
      <c r="D19" s="3" t="s">
        <v>133</v>
      </c>
      <c r="E19" s="3" t="s">
        <v>89</v>
      </c>
    </row>
    <row r="20">
      <c r="D20" s="3" t="s">
        <v>134</v>
      </c>
      <c r="E20" s="3" t="s">
        <v>89</v>
      </c>
    </row>
    <row r="21">
      <c r="D21" s="3" t="s">
        <v>136</v>
      </c>
      <c r="E21" s="3" t="s">
        <v>89</v>
      </c>
    </row>
    <row r="22">
      <c r="D22" s="3" t="s">
        <v>138</v>
      </c>
      <c r="E22" s="3" t="s">
        <v>89</v>
      </c>
    </row>
    <row r="23">
      <c r="D23" s="3" t="s">
        <v>140</v>
      </c>
      <c r="E23" s="3" t="s">
        <v>89</v>
      </c>
    </row>
    <row r="24">
      <c r="D24" s="3" t="s">
        <v>142</v>
      </c>
      <c r="E24" s="3" t="s">
        <v>89</v>
      </c>
    </row>
    <row r="25">
      <c r="D25" s="3" t="s">
        <v>144</v>
      </c>
      <c r="E25" s="3" t="s">
        <v>89</v>
      </c>
    </row>
    <row r="26">
      <c r="D26" s="3" t="s">
        <v>146</v>
      </c>
      <c r="E26" s="3" t="s">
        <v>89</v>
      </c>
    </row>
    <row r="27">
      <c r="D27" s="3" t="s">
        <v>150</v>
      </c>
      <c r="E27" s="3" t="s">
        <v>89</v>
      </c>
    </row>
    <row r="28">
      <c r="D28" s="3" t="s">
        <v>153</v>
      </c>
      <c r="E28" s="3" t="s">
        <v>89</v>
      </c>
    </row>
    <row r="29">
      <c r="D29" s="3" t="s">
        <v>154</v>
      </c>
      <c r="E29" s="3" t="s">
        <v>89</v>
      </c>
    </row>
    <row r="30">
      <c r="D30" s="3" t="s">
        <v>158</v>
      </c>
      <c r="E30" s="3" t="s">
        <v>89</v>
      </c>
    </row>
    <row r="31">
      <c r="D31" s="3" t="s">
        <v>161</v>
      </c>
      <c r="E31" s="3" t="s">
        <v>89</v>
      </c>
    </row>
    <row r="32">
      <c r="D32" s="3" t="s">
        <v>162</v>
      </c>
      <c r="E32" s="3" t="s">
        <v>89</v>
      </c>
    </row>
    <row r="33">
      <c r="D33" s="3" t="s">
        <v>164</v>
      </c>
      <c r="E33" s="3" t="s">
        <v>89</v>
      </c>
    </row>
    <row r="34">
      <c r="D34" s="3" t="s">
        <v>165</v>
      </c>
      <c r="E34" s="3" t="s">
        <v>89</v>
      </c>
    </row>
    <row r="35">
      <c r="D35" s="3" t="s">
        <v>167</v>
      </c>
      <c r="E35" s="3" t="s">
        <v>89</v>
      </c>
    </row>
    <row r="36">
      <c r="D36" s="3" t="s">
        <v>170</v>
      </c>
      <c r="E36" s="3" t="s">
        <v>89</v>
      </c>
    </row>
    <row r="37">
      <c r="D37" s="3" t="s">
        <v>171</v>
      </c>
      <c r="E37" s="3" t="s">
        <v>89</v>
      </c>
    </row>
    <row r="38">
      <c r="D38" s="3" t="s">
        <v>172</v>
      </c>
      <c r="E38" s="3" t="s">
        <v>89</v>
      </c>
    </row>
    <row r="39">
      <c r="D39" s="3" t="s">
        <v>174</v>
      </c>
      <c r="E39" s="3" t="s">
        <v>89</v>
      </c>
    </row>
    <row r="40">
      <c r="D40" s="3" t="s">
        <v>175</v>
      </c>
      <c r="E40" s="3" t="s">
        <v>89</v>
      </c>
    </row>
    <row r="41">
      <c r="D41" s="3" t="s">
        <v>176</v>
      </c>
      <c r="E41" s="3" t="s">
        <v>89</v>
      </c>
    </row>
    <row r="42">
      <c r="D42" s="3" t="s">
        <v>177</v>
      </c>
      <c r="E42" s="3" t="s">
        <v>89</v>
      </c>
    </row>
    <row r="43">
      <c r="D43" s="3" t="s">
        <v>179</v>
      </c>
      <c r="E43" s="3" t="s">
        <v>89</v>
      </c>
    </row>
    <row r="44">
      <c r="D44" s="3" t="s">
        <v>182</v>
      </c>
      <c r="E44" s="3" t="s">
        <v>89</v>
      </c>
    </row>
    <row r="45">
      <c r="D45" s="3" t="s">
        <v>183</v>
      </c>
      <c r="E45" s="3" t="s">
        <v>89</v>
      </c>
    </row>
    <row r="46">
      <c r="D46" s="3" t="s">
        <v>185</v>
      </c>
      <c r="E46" s="3" t="s">
        <v>89</v>
      </c>
    </row>
    <row r="47">
      <c r="D47" s="3" t="s">
        <v>186</v>
      </c>
      <c r="E47" s="3" t="s">
        <v>89</v>
      </c>
    </row>
    <row r="48">
      <c r="D48" s="3" t="s">
        <v>187</v>
      </c>
      <c r="E48" s="3" t="s">
        <v>89</v>
      </c>
    </row>
    <row r="49">
      <c r="D49" s="3" t="s">
        <v>189</v>
      </c>
      <c r="E49" s="3" t="s">
        <v>89</v>
      </c>
    </row>
    <row r="50">
      <c r="D50" s="3" t="s">
        <v>190</v>
      </c>
      <c r="E50" s="3" t="s">
        <v>89</v>
      </c>
    </row>
    <row r="51">
      <c r="D51" s="3" t="s">
        <v>191</v>
      </c>
      <c r="E51" s="3" t="s">
        <v>89</v>
      </c>
    </row>
    <row r="52">
      <c r="D52" s="3" t="s">
        <v>192</v>
      </c>
      <c r="E52" s="3" t="s">
        <v>89</v>
      </c>
    </row>
    <row r="53">
      <c r="D53" s="3" t="s">
        <v>194</v>
      </c>
      <c r="E53" s="3" t="s">
        <v>89</v>
      </c>
    </row>
    <row r="54">
      <c r="D54" s="3" t="s">
        <v>195</v>
      </c>
      <c r="E54" s="3" t="s">
        <v>89</v>
      </c>
    </row>
    <row r="55">
      <c r="D55" s="3" t="s">
        <v>196</v>
      </c>
      <c r="E55" s="3" t="s">
        <v>89</v>
      </c>
    </row>
    <row r="56">
      <c r="D56" s="3" t="s">
        <v>197</v>
      </c>
      <c r="E56" s="3" t="s">
        <v>89</v>
      </c>
    </row>
    <row r="57">
      <c r="D57" s="3" t="s">
        <v>199</v>
      </c>
      <c r="E57" s="3" t="s">
        <v>89</v>
      </c>
    </row>
    <row r="58">
      <c r="D58" s="3" t="s">
        <v>200</v>
      </c>
      <c r="E58" s="3" t="s">
        <v>89</v>
      </c>
    </row>
    <row r="59">
      <c r="D59" s="3" t="s">
        <v>201</v>
      </c>
      <c r="E59" s="3" t="s">
        <v>89</v>
      </c>
    </row>
    <row r="60">
      <c r="D60" s="3" t="s">
        <v>202</v>
      </c>
      <c r="E60" s="3" t="s">
        <v>89</v>
      </c>
    </row>
    <row r="61">
      <c r="D61" s="3" t="s">
        <v>203</v>
      </c>
      <c r="E61" s="3" t="s">
        <v>89</v>
      </c>
    </row>
    <row r="62">
      <c r="D62" s="3" t="s">
        <v>205</v>
      </c>
      <c r="E62" s="3" t="s">
        <v>89</v>
      </c>
    </row>
    <row r="63">
      <c r="D63" s="3" t="s">
        <v>206</v>
      </c>
      <c r="E63" s="3" t="s">
        <v>89</v>
      </c>
    </row>
    <row r="64">
      <c r="D64" s="3" t="s">
        <v>207</v>
      </c>
      <c r="E64" s="3" t="s">
        <v>89</v>
      </c>
    </row>
    <row r="65">
      <c r="D65" s="3" t="s">
        <v>208</v>
      </c>
      <c r="E65" s="3" t="s">
        <v>89</v>
      </c>
    </row>
    <row r="66">
      <c r="D66" s="3" t="s">
        <v>209</v>
      </c>
      <c r="E66" s="3" t="s">
        <v>89</v>
      </c>
    </row>
    <row r="67">
      <c r="D67" s="3" t="s">
        <v>211</v>
      </c>
      <c r="E67" s="3" t="s">
        <v>89</v>
      </c>
    </row>
    <row r="68">
      <c r="D68" s="3" t="s">
        <v>212</v>
      </c>
      <c r="E68" s="3" t="s">
        <v>89</v>
      </c>
    </row>
    <row r="69">
      <c r="D69" s="3" t="s">
        <v>213</v>
      </c>
      <c r="E69" s="3" t="s">
        <v>89</v>
      </c>
    </row>
    <row r="70">
      <c r="D70" s="3" t="s">
        <v>214</v>
      </c>
      <c r="E70" s="3" t="s">
        <v>89</v>
      </c>
    </row>
    <row r="71">
      <c r="D71" s="3" t="s">
        <v>216</v>
      </c>
      <c r="E71" s="3" t="s">
        <v>89</v>
      </c>
    </row>
    <row r="72">
      <c r="D72" s="3" t="s">
        <v>217</v>
      </c>
      <c r="E72" s="3" t="s">
        <v>89</v>
      </c>
    </row>
    <row r="73">
      <c r="D73" s="3" t="s">
        <v>218</v>
      </c>
      <c r="E73" s="3" t="s">
        <v>89</v>
      </c>
    </row>
    <row r="74">
      <c r="D74" s="3" t="s">
        <v>219</v>
      </c>
      <c r="E74" s="3" t="s">
        <v>89</v>
      </c>
    </row>
    <row r="75">
      <c r="D75" s="3" t="s">
        <v>221</v>
      </c>
      <c r="E75" s="3" t="s">
        <v>89</v>
      </c>
    </row>
    <row r="76">
      <c r="D76" s="3" t="s">
        <v>223</v>
      </c>
      <c r="E76" s="3" t="s">
        <v>89</v>
      </c>
    </row>
    <row r="77">
      <c r="D77" s="3" t="s">
        <v>224</v>
      </c>
      <c r="E77" s="3" t="s">
        <v>89</v>
      </c>
    </row>
    <row r="78">
      <c r="D78" s="3" t="s">
        <v>226</v>
      </c>
      <c r="E78" s="3" t="s">
        <v>89</v>
      </c>
    </row>
    <row r="79">
      <c r="D79" s="3" t="s">
        <v>228</v>
      </c>
      <c r="E79" s="3" t="s">
        <v>89</v>
      </c>
    </row>
    <row r="80">
      <c r="D80" s="3" t="s">
        <v>231</v>
      </c>
      <c r="E80" s="3" t="s">
        <v>89</v>
      </c>
    </row>
    <row r="81">
      <c r="D81" s="3" t="s">
        <v>233</v>
      </c>
      <c r="E81" s="3" t="s">
        <v>89</v>
      </c>
    </row>
    <row r="82">
      <c r="D82" s="3" t="s">
        <v>234</v>
      </c>
      <c r="E82" s="3" t="s">
        <v>89</v>
      </c>
    </row>
    <row r="83">
      <c r="D83" s="3" t="s">
        <v>236</v>
      </c>
      <c r="E83" s="3" t="s">
        <v>89</v>
      </c>
    </row>
    <row r="84">
      <c r="D84" s="3" t="s">
        <v>237</v>
      </c>
      <c r="E84" s="3" t="s">
        <v>89</v>
      </c>
    </row>
    <row r="85">
      <c r="D85" s="3" t="s">
        <v>240</v>
      </c>
      <c r="E85" s="3" t="s">
        <v>89</v>
      </c>
    </row>
    <row r="86">
      <c r="D86" s="3" t="s">
        <v>243</v>
      </c>
      <c r="E86" s="3" t="s">
        <v>89</v>
      </c>
    </row>
    <row r="87">
      <c r="D87" s="3" t="s">
        <v>245</v>
      </c>
      <c r="E87" s="3" t="s">
        <v>89</v>
      </c>
    </row>
    <row r="88">
      <c r="D88" s="3" t="s">
        <v>247</v>
      </c>
      <c r="E88" s="3" t="s">
        <v>89</v>
      </c>
    </row>
    <row r="89">
      <c r="D89" s="3" t="s">
        <v>251</v>
      </c>
      <c r="E89" s="3" t="s">
        <v>89</v>
      </c>
    </row>
    <row r="90">
      <c r="D90" s="3" t="s">
        <v>256</v>
      </c>
      <c r="E90" s="3" t="s">
        <v>89</v>
      </c>
    </row>
    <row r="91">
      <c r="D91" s="3" t="s">
        <v>259</v>
      </c>
      <c r="E91" s="3" t="s">
        <v>89</v>
      </c>
    </row>
    <row r="92">
      <c r="D92" s="3" t="s">
        <v>263</v>
      </c>
      <c r="E92" s="3" t="s">
        <v>89</v>
      </c>
    </row>
    <row r="93">
      <c r="D93" s="3" t="s">
        <v>267</v>
      </c>
      <c r="E93" s="3" t="s">
        <v>71</v>
      </c>
    </row>
    <row r="94">
      <c r="D94" s="3" t="s">
        <v>272</v>
      </c>
      <c r="E94" s="3" t="s">
        <v>71</v>
      </c>
    </row>
    <row r="95">
      <c r="D95" s="2" t="s">
        <v>278</v>
      </c>
      <c r="E95" s="2" t="s">
        <v>280</v>
      </c>
    </row>
    <row r="96">
      <c r="D96" s="3" t="s">
        <v>284</v>
      </c>
      <c r="E96" s="3" t="s">
        <v>71</v>
      </c>
    </row>
    <row r="97">
      <c r="D97" s="2" t="s">
        <v>288</v>
      </c>
      <c r="E97" s="2" t="s">
        <v>280</v>
      </c>
    </row>
    <row r="98">
      <c r="D98" s="3" t="s">
        <v>292</v>
      </c>
      <c r="E98" s="3" t="s">
        <v>71</v>
      </c>
    </row>
    <row r="99">
      <c r="D99" s="2" t="s">
        <v>294</v>
      </c>
      <c r="E99" s="2" t="s">
        <v>280</v>
      </c>
    </row>
    <row r="100">
      <c r="D100" s="3" t="s">
        <v>297</v>
      </c>
      <c r="E100" s="2" t="s">
        <v>71</v>
      </c>
    </row>
    <row r="101">
      <c r="D101" s="2" t="s">
        <v>301</v>
      </c>
      <c r="E101" s="2" t="s">
        <v>280</v>
      </c>
    </row>
    <row r="102">
      <c r="D102" s="2" t="s">
        <v>303</v>
      </c>
    </row>
    <row r="103">
      <c r="D103" s="2" t="s">
        <v>304</v>
      </c>
    </row>
    <row r="104">
      <c r="L104" s="2" t="s">
        <v>306</v>
      </c>
      <c r="M104" s="4">
        <v>16.0</v>
      </c>
    </row>
    <row r="105">
      <c r="L105" s="2" t="s">
        <v>311</v>
      </c>
      <c r="M105" s="4">
        <v>20.0</v>
      </c>
    </row>
    <row r="106">
      <c r="L106" s="2" t="s">
        <v>314</v>
      </c>
      <c r="M106" s="4">
        <v>20.0</v>
      </c>
    </row>
    <row r="107">
      <c r="L107" s="2" t="s">
        <v>316</v>
      </c>
      <c r="M107" s="4">
        <v>20.0</v>
      </c>
    </row>
    <row r="108">
      <c r="L108" s="2" t="s">
        <v>317</v>
      </c>
      <c r="M108" s="4">
        <v>1.0</v>
      </c>
    </row>
    <row r="109">
      <c r="L109" s="2" t="s">
        <v>320</v>
      </c>
      <c r="M109" s="4">
        <v>10.0</v>
      </c>
    </row>
    <row r="110">
      <c r="L110" s="2" t="s">
        <v>322</v>
      </c>
      <c r="M110" s="4">
        <v>20.0</v>
      </c>
    </row>
    <row r="111">
      <c r="L111" s="2" t="s">
        <v>326</v>
      </c>
      <c r="M111" s="4">
        <v>20.0</v>
      </c>
    </row>
    <row r="112">
      <c r="L112" s="2" t="s">
        <v>327</v>
      </c>
      <c r="M112" s="4">
        <v>20.0</v>
      </c>
    </row>
    <row r="113">
      <c r="L113" s="2" t="s">
        <v>332</v>
      </c>
      <c r="M113" s="4">
        <v>20.0</v>
      </c>
    </row>
    <row r="114">
      <c r="L114" s="2" t="s">
        <v>335</v>
      </c>
      <c r="M114" s="4">
        <v>5.0</v>
      </c>
    </row>
    <row r="115">
      <c r="L115" s="2" t="s">
        <v>337</v>
      </c>
      <c r="M115" s="4">
        <v>20.0</v>
      </c>
    </row>
    <row r="116">
      <c r="L116" s="2" t="s">
        <v>339</v>
      </c>
      <c r="M116" s="4">
        <v>20.0</v>
      </c>
    </row>
    <row r="117">
      <c r="L117" s="2" t="s">
        <v>340</v>
      </c>
      <c r="M117" s="4">
        <v>20.0</v>
      </c>
    </row>
    <row r="118">
      <c r="L118" s="2" t="s">
        <v>344</v>
      </c>
      <c r="M118" s="4">
        <v>20.0</v>
      </c>
    </row>
    <row r="119">
      <c r="L119" s="2" t="s">
        <v>346</v>
      </c>
      <c r="M119" s="4">
        <v>5.0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19.25"/>
  </cols>
  <sheetData>
    <row r="1">
      <c r="A1" s="1" t="s">
        <v>1</v>
      </c>
      <c r="B1" s="1" t="s">
        <v>2</v>
      </c>
    </row>
    <row r="2">
      <c r="A2" s="2" t="s">
        <v>7</v>
      </c>
      <c r="B2" s="2" t="s">
        <v>9</v>
      </c>
    </row>
    <row r="3">
      <c r="A3" s="2" t="s">
        <v>13</v>
      </c>
      <c r="B3" s="2" t="s">
        <v>15</v>
      </c>
    </row>
    <row r="4">
      <c r="A4" s="2" t="s">
        <v>18</v>
      </c>
      <c r="B4" s="2" t="s">
        <v>21</v>
      </c>
    </row>
    <row r="5">
      <c r="A5" s="2" t="s">
        <v>23</v>
      </c>
      <c r="B5" s="2" t="s">
        <v>25</v>
      </c>
    </row>
    <row r="6">
      <c r="A6" s="2" t="s">
        <v>27</v>
      </c>
      <c r="B6" s="2" t="s">
        <v>29</v>
      </c>
    </row>
    <row r="7">
      <c r="A7" s="2" t="s">
        <v>31</v>
      </c>
      <c r="B7" s="2" t="s">
        <v>33</v>
      </c>
    </row>
    <row r="8">
      <c r="A8" s="2" t="s">
        <v>36</v>
      </c>
      <c r="B8" s="2" t="s">
        <v>39</v>
      </c>
    </row>
    <row r="9">
      <c r="A9" s="2" t="s">
        <v>41</v>
      </c>
      <c r="B9" s="2" t="s">
        <v>42</v>
      </c>
    </row>
    <row r="10">
      <c r="A10" s="2" t="s">
        <v>44</v>
      </c>
      <c r="B10" s="2" t="s">
        <v>45</v>
      </c>
    </row>
    <row r="11">
      <c r="A11" s="2" t="s">
        <v>48</v>
      </c>
      <c r="B11" s="2" t="s">
        <v>52</v>
      </c>
    </row>
    <row r="12">
      <c r="A12" s="2" t="s">
        <v>55</v>
      </c>
      <c r="B12" s="2" t="s">
        <v>56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25"/>
    <col customWidth="1" min="2" max="2" width="71.75"/>
    <col customWidth="1" min="3" max="3" width="15.63"/>
    <col customWidth="1" min="4" max="4" width="15.38"/>
  </cols>
  <sheetData>
    <row r="1">
      <c r="A1" s="1" t="s">
        <v>5</v>
      </c>
      <c r="B1" s="1" t="s">
        <v>8</v>
      </c>
      <c r="C1" s="1" t="s">
        <v>12</v>
      </c>
      <c r="D1" s="1" t="s">
        <v>14</v>
      </c>
    </row>
    <row r="2">
      <c r="A2" s="2" t="s">
        <v>17</v>
      </c>
      <c r="B2" s="5" t="s">
        <v>20</v>
      </c>
      <c r="C2" s="2" t="s">
        <v>52</v>
      </c>
      <c r="D2" s="6">
        <v>46227.56926372685</v>
      </c>
    </row>
  </sheetData>
  <hyperlinks>
    <hyperlink r:id="rId1" ref="B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4</v>
      </c>
      <c r="B1" s="1" t="s">
        <v>11</v>
      </c>
      <c r="C1" s="1" t="s">
        <v>1</v>
      </c>
      <c r="D1" s="1" t="s">
        <v>19</v>
      </c>
      <c r="E1" s="1" t="s">
        <v>24</v>
      </c>
      <c r="F1" s="1" t="s">
        <v>28</v>
      </c>
      <c r="G1" s="1" t="s">
        <v>32</v>
      </c>
      <c r="H1" s="1" t="s">
        <v>37</v>
      </c>
      <c r="I1" s="1" t="s">
        <v>43</v>
      </c>
      <c r="J1" s="1" t="s">
        <v>46</v>
      </c>
      <c r="K1" s="1" t="s">
        <v>50</v>
      </c>
      <c r="L1" s="1" t="s">
        <v>54</v>
      </c>
      <c r="M1" s="1" t="s">
        <v>57</v>
      </c>
      <c r="N1" s="1" t="s">
        <v>60</v>
      </c>
      <c r="O1" s="1" t="s">
        <v>64</v>
      </c>
      <c r="P1" s="1" t="s">
        <v>67</v>
      </c>
      <c r="Q1" s="1" t="s">
        <v>72</v>
      </c>
      <c r="R1" s="1" t="s">
        <v>74</v>
      </c>
      <c r="S1" s="1" t="s">
        <v>78</v>
      </c>
      <c r="T1" s="1" t="s">
        <v>79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9.38"/>
    <col customWidth="1" min="3" max="3" width="21.0"/>
    <col customWidth="1" min="4" max="4" width="8.38"/>
    <col customWidth="1" min="5" max="5" width="15.13"/>
    <col customWidth="1" min="6" max="6" width="120.5"/>
    <col customWidth="1" min="7" max="7" width="807.63"/>
    <col customWidth="1" min="8" max="8" width="11.5"/>
  </cols>
  <sheetData>
    <row r="1">
      <c r="A1" s="1" t="s">
        <v>129</v>
      </c>
      <c r="B1" s="1" t="s">
        <v>132</v>
      </c>
      <c r="C1" s="1" t="s">
        <v>72</v>
      </c>
      <c r="D1" s="1" t="s">
        <v>135</v>
      </c>
      <c r="E1" s="1" t="s">
        <v>137</v>
      </c>
      <c r="F1" s="1" t="s">
        <v>139</v>
      </c>
      <c r="G1" s="1" t="s">
        <v>141</v>
      </c>
      <c r="H1" s="1" t="s">
        <v>143</v>
      </c>
    </row>
    <row r="2">
      <c r="A2" s="6">
        <v>46226.408082187496</v>
      </c>
      <c r="B2" s="2" t="s">
        <v>145</v>
      </c>
      <c r="C2" s="2" t="s">
        <v>52</v>
      </c>
      <c r="D2" s="2" t="s">
        <v>147</v>
      </c>
      <c r="E2" s="2" t="s">
        <v>148</v>
      </c>
      <c r="F2" s="2" t="s">
        <v>149</v>
      </c>
      <c r="G2" s="2" t="s">
        <v>151</v>
      </c>
      <c r="H2" s="2" t="s">
        <v>152</v>
      </c>
    </row>
    <row r="3">
      <c r="A3" s="6">
        <v>46226.542133194445</v>
      </c>
      <c r="B3" s="2" t="s">
        <v>145</v>
      </c>
      <c r="C3" s="2" t="s">
        <v>52</v>
      </c>
      <c r="D3" s="2" t="s">
        <v>155</v>
      </c>
      <c r="E3" s="2" t="s">
        <v>156</v>
      </c>
      <c r="F3" s="2" t="s">
        <v>157</v>
      </c>
      <c r="G3" s="2" t="s">
        <v>159</v>
      </c>
      <c r="H3" s="2" t="s">
        <v>160</v>
      </c>
    </row>
    <row r="4">
      <c r="A4" s="6">
        <v>46226.54313513889</v>
      </c>
      <c r="B4" s="2" t="s">
        <v>145</v>
      </c>
      <c r="C4" s="2" t="s">
        <v>52</v>
      </c>
      <c r="D4" s="2" t="s">
        <v>155</v>
      </c>
      <c r="E4" s="2" t="s">
        <v>156</v>
      </c>
      <c r="F4" s="2" t="s">
        <v>157</v>
      </c>
      <c r="G4" s="2" t="s">
        <v>163</v>
      </c>
      <c r="H4" s="2">
        <v>3.355668E7</v>
      </c>
    </row>
    <row r="5">
      <c r="A5" s="6">
        <v>46226.54324079861</v>
      </c>
      <c r="B5" s="2" t="s">
        <v>145</v>
      </c>
      <c r="C5" s="2" t="s">
        <v>52</v>
      </c>
      <c r="D5" s="2" t="s">
        <v>155</v>
      </c>
      <c r="E5" s="2" t="s">
        <v>156</v>
      </c>
      <c r="F5" s="2" t="s">
        <v>157</v>
      </c>
      <c r="G5" s="2" t="s">
        <v>166</v>
      </c>
      <c r="H5" s="2" t="s">
        <v>169</v>
      </c>
    </row>
    <row r="6">
      <c r="A6" s="6">
        <v>46226.59498628472</v>
      </c>
      <c r="B6" s="2" t="s">
        <v>145</v>
      </c>
      <c r="C6" s="2" t="s">
        <v>52</v>
      </c>
      <c r="D6" s="2" t="s">
        <v>155</v>
      </c>
      <c r="E6" s="2" t="s">
        <v>156</v>
      </c>
      <c r="F6" s="2" t="s">
        <v>157</v>
      </c>
      <c r="G6" s="2" t="s">
        <v>178</v>
      </c>
      <c r="H6" s="2" t="s">
        <v>180</v>
      </c>
    </row>
    <row r="7">
      <c r="A7" s="6">
        <v>46226.59513436342</v>
      </c>
      <c r="B7" s="2" t="s">
        <v>145</v>
      </c>
      <c r="C7" s="2" t="s">
        <v>52</v>
      </c>
      <c r="D7" s="2" t="s">
        <v>155</v>
      </c>
      <c r="E7" s="2" t="s">
        <v>156</v>
      </c>
      <c r="F7" s="2" t="s">
        <v>157</v>
      </c>
      <c r="G7" s="2" t="s">
        <v>163</v>
      </c>
      <c r="H7" s="2" t="s">
        <v>188</v>
      </c>
    </row>
    <row r="8">
      <c r="A8" s="6">
        <v>46226.59671670139</v>
      </c>
      <c r="B8" s="2" t="s">
        <v>145</v>
      </c>
      <c r="C8" s="2" t="s">
        <v>52</v>
      </c>
      <c r="D8" s="2" t="s">
        <v>155</v>
      </c>
      <c r="E8" s="2" t="s">
        <v>156</v>
      </c>
      <c r="F8" s="2" t="s">
        <v>157</v>
      </c>
      <c r="G8" s="2" t="s">
        <v>159</v>
      </c>
      <c r="H8" s="2" t="s">
        <v>193</v>
      </c>
    </row>
    <row r="9">
      <c r="A9" s="6">
        <v>46226.59683618056</v>
      </c>
      <c r="B9" s="2" t="s">
        <v>145</v>
      </c>
      <c r="C9" s="2" t="s">
        <v>52</v>
      </c>
      <c r="D9" s="2" t="s">
        <v>155</v>
      </c>
      <c r="E9" s="2" t="s">
        <v>156</v>
      </c>
      <c r="F9" s="2" t="s">
        <v>157</v>
      </c>
      <c r="G9" s="2" t="s">
        <v>163</v>
      </c>
      <c r="H9" s="2" t="s">
        <v>198</v>
      </c>
    </row>
    <row r="10">
      <c r="A10" s="6">
        <v>46226.59909768519</v>
      </c>
      <c r="B10" s="2" t="s">
        <v>145</v>
      </c>
      <c r="C10" s="2" t="s">
        <v>52</v>
      </c>
      <c r="D10" s="2" t="s">
        <v>155</v>
      </c>
      <c r="E10" s="2" t="s">
        <v>156</v>
      </c>
      <c r="F10" s="2" t="s">
        <v>157</v>
      </c>
      <c r="G10" s="2" t="s">
        <v>159</v>
      </c>
      <c r="H10" s="2" t="s">
        <v>204</v>
      </c>
    </row>
    <row r="11">
      <c r="A11" s="6">
        <v>46226.59923457176</v>
      </c>
      <c r="B11" s="2" t="s">
        <v>145</v>
      </c>
      <c r="C11" s="2" t="s">
        <v>52</v>
      </c>
      <c r="D11" s="2" t="s">
        <v>155</v>
      </c>
      <c r="E11" s="2" t="s">
        <v>156</v>
      </c>
      <c r="F11" s="2" t="s">
        <v>157</v>
      </c>
      <c r="G11" s="2" t="s">
        <v>163</v>
      </c>
      <c r="H11" s="2" t="s">
        <v>210</v>
      </c>
    </row>
    <row r="12">
      <c r="A12" s="6">
        <v>46226.622814386574</v>
      </c>
      <c r="B12" s="2" t="s">
        <v>145</v>
      </c>
      <c r="C12" s="2" t="s">
        <v>52</v>
      </c>
      <c r="D12" s="2" t="s">
        <v>155</v>
      </c>
      <c r="E12" s="2" t="s">
        <v>156</v>
      </c>
      <c r="F12" s="2" t="s">
        <v>157</v>
      </c>
      <c r="G12" s="2" t="s">
        <v>178</v>
      </c>
      <c r="H12" s="2" t="s">
        <v>215</v>
      </c>
    </row>
    <row r="13">
      <c r="A13" s="6">
        <v>46227.56081170139</v>
      </c>
      <c r="B13" s="2" t="s">
        <v>145</v>
      </c>
      <c r="C13" s="2" t="s">
        <v>52</v>
      </c>
      <c r="D13" s="2" t="s">
        <v>147</v>
      </c>
      <c r="E13" s="2" t="s">
        <v>148</v>
      </c>
      <c r="F13" s="2" t="s">
        <v>220</v>
      </c>
      <c r="G13" s="2" t="s">
        <v>151</v>
      </c>
      <c r="H13" s="2" t="s">
        <v>222</v>
      </c>
    </row>
    <row r="14">
      <c r="A14" s="6">
        <v>46230.579147488424</v>
      </c>
      <c r="B14" s="2" t="s">
        <v>225</v>
      </c>
      <c r="C14" s="2" t="s">
        <v>52</v>
      </c>
      <c r="D14" s="2" t="s">
        <v>155</v>
      </c>
      <c r="E14" s="2" t="s">
        <v>227</v>
      </c>
      <c r="F14" s="2" t="s">
        <v>229</v>
      </c>
      <c r="G14" s="2" t="s">
        <v>230</v>
      </c>
      <c r="H14" s="2" t="s">
        <v>232</v>
      </c>
    </row>
    <row r="15">
      <c r="A15" s="6">
        <v>46230.579451655096</v>
      </c>
      <c r="B15" s="2" t="s">
        <v>225</v>
      </c>
      <c r="C15" s="2" t="s">
        <v>52</v>
      </c>
      <c r="D15" s="2" t="s">
        <v>155</v>
      </c>
      <c r="E15" s="2" t="s">
        <v>227</v>
      </c>
      <c r="F15" s="2" t="s">
        <v>239</v>
      </c>
      <c r="G15" s="2" t="s">
        <v>241</v>
      </c>
      <c r="H15" s="2" t="s">
        <v>242</v>
      </c>
    </row>
    <row r="16">
      <c r="A16" s="6">
        <v>46230.580737303244</v>
      </c>
      <c r="B16" s="2" t="s">
        <v>225</v>
      </c>
      <c r="C16" s="2" t="s">
        <v>52</v>
      </c>
      <c r="D16" s="2" t="s">
        <v>155</v>
      </c>
      <c r="E16" s="2" t="s">
        <v>227</v>
      </c>
      <c r="F16" s="2" t="s">
        <v>249</v>
      </c>
      <c r="G16" s="2" t="s">
        <v>252</v>
      </c>
      <c r="H16" s="2" t="s">
        <v>255</v>
      </c>
    </row>
    <row r="17">
      <c r="A17" s="6">
        <v>46230.58262459491</v>
      </c>
      <c r="B17" s="2" t="s">
        <v>225</v>
      </c>
      <c r="C17" s="2" t="s">
        <v>52</v>
      </c>
      <c r="D17" s="2" t="s">
        <v>155</v>
      </c>
      <c r="E17" s="2" t="s">
        <v>227</v>
      </c>
      <c r="F17" s="2" t="s">
        <v>268</v>
      </c>
      <c r="G17" s="2" t="s">
        <v>270</v>
      </c>
      <c r="H17" s="2" t="s">
        <v>273</v>
      </c>
    </row>
    <row r="18">
      <c r="A18" s="6">
        <v>46230.616416122684</v>
      </c>
      <c r="B18" s="2" t="s">
        <v>225</v>
      </c>
      <c r="C18" s="2" t="s">
        <v>52</v>
      </c>
      <c r="D18" s="2" t="s">
        <v>155</v>
      </c>
      <c r="E18" s="2" t="s">
        <v>227</v>
      </c>
      <c r="F18" s="2" t="s">
        <v>285</v>
      </c>
      <c r="G18" s="2" t="s">
        <v>287</v>
      </c>
      <c r="H18" s="2" t="s">
        <v>290</v>
      </c>
    </row>
    <row r="19">
      <c r="A19" s="6">
        <v>46230.61661466435</v>
      </c>
      <c r="B19" s="2" t="s">
        <v>225</v>
      </c>
      <c r="C19" s="2" t="s">
        <v>52</v>
      </c>
      <c r="D19" s="2" t="s">
        <v>155</v>
      </c>
      <c r="E19" s="2" t="s">
        <v>227</v>
      </c>
      <c r="F19" s="2" t="s">
        <v>296</v>
      </c>
      <c r="G19" s="2" t="s">
        <v>299</v>
      </c>
      <c r="H19" s="2" t="s">
        <v>300</v>
      </c>
    </row>
    <row r="20">
      <c r="A20" s="6">
        <v>46232.311141666665</v>
      </c>
      <c r="B20" s="2" t="s">
        <v>145</v>
      </c>
      <c r="C20" s="2" t="s">
        <v>40</v>
      </c>
      <c r="D20" s="2" t="s">
        <v>147</v>
      </c>
      <c r="E20" s="2" t="s">
        <v>307</v>
      </c>
      <c r="F20" s="2" t="s">
        <v>309</v>
      </c>
      <c r="G20" s="2" t="s">
        <v>312</v>
      </c>
      <c r="H20" s="2" t="s">
        <v>313</v>
      </c>
    </row>
    <row r="21">
      <c r="A21" s="6">
        <v>46232.31116136574</v>
      </c>
      <c r="B21" s="2" t="s">
        <v>145</v>
      </c>
      <c r="C21" s="2" t="s">
        <v>40</v>
      </c>
      <c r="D21" s="2" t="s">
        <v>147</v>
      </c>
      <c r="E21" s="2" t="s">
        <v>307</v>
      </c>
      <c r="F21" s="2" t="s">
        <v>309</v>
      </c>
      <c r="G21" s="2" t="s">
        <v>312</v>
      </c>
      <c r="H21" s="2" t="s">
        <v>324</v>
      </c>
    </row>
    <row r="22">
      <c r="A22" s="6">
        <v>46232.500415752314</v>
      </c>
      <c r="B22" s="2" t="s">
        <v>225</v>
      </c>
      <c r="C22" s="2" t="s">
        <v>52</v>
      </c>
      <c r="D22" s="2" t="s">
        <v>155</v>
      </c>
      <c r="E22" s="2" t="s">
        <v>328</v>
      </c>
      <c r="F22" s="2" t="s">
        <v>330</v>
      </c>
      <c r="G22" s="2" t="s">
        <v>331</v>
      </c>
      <c r="H22" s="2" t="s">
        <v>333</v>
      </c>
    </row>
    <row r="23">
      <c r="A23" s="6">
        <v>46232.500663506944</v>
      </c>
      <c r="B23" s="2" t="s">
        <v>225</v>
      </c>
      <c r="C23" s="2" t="s">
        <v>52</v>
      </c>
      <c r="D23" s="2" t="s">
        <v>155</v>
      </c>
      <c r="E23" s="2" t="s">
        <v>328</v>
      </c>
      <c r="F23" s="2" t="s">
        <v>330</v>
      </c>
      <c r="G23" s="2" t="s">
        <v>342</v>
      </c>
      <c r="H23" s="2" t="s">
        <v>345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0"/>
  </cols>
  <sheetData>
    <row r="1">
      <c r="A1" s="1" t="s">
        <v>168</v>
      </c>
      <c r="B1" s="1" t="s">
        <v>1</v>
      </c>
      <c r="C1" s="1" t="s">
        <v>28</v>
      </c>
      <c r="D1" s="1" t="s">
        <v>32</v>
      </c>
      <c r="E1" s="1" t="s">
        <v>173</v>
      </c>
    </row>
    <row r="2">
      <c r="A2" s="2" t="s">
        <v>75</v>
      </c>
      <c r="B2" s="2" t="s">
        <v>121</v>
      </c>
      <c r="C2" s="4">
        <v>100.0</v>
      </c>
      <c r="D2" s="2" t="s">
        <v>181</v>
      </c>
      <c r="E2" s="7">
        <v>46237.65963270833</v>
      </c>
    </row>
    <row r="3">
      <c r="A3" s="2" t="s">
        <v>34</v>
      </c>
      <c r="B3" s="2" t="s">
        <v>184</v>
      </c>
      <c r="C3" s="4">
        <v>2.0</v>
      </c>
      <c r="D3" s="2" t="s">
        <v>181</v>
      </c>
      <c r="E3" s="7">
        <v>46237.65963270833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63"/>
    <col customWidth="1" min="3" max="3" width="10.38"/>
    <col customWidth="1" min="4" max="4" width="10.0"/>
    <col customWidth="1" min="5" max="5" width="6.13"/>
  </cols>
  <sheetData>
    <row r="1">
      <c r="A1" s="1" t="s">
        <v>235</v>
      </c>
      <c r="B1" s="1" t="s">
        <v>238</v>
      </c>
      <c r="C1" s="1" t="s">
        <v>168</v>
      </c>
      <c r="D1" s="1" t="s">
        <v>1</v>
      </c>
      <c r="E1" s="1" t="s">
        <v>244</v>
      </c>
      <c r="F1" s="1" t="s">
        <v>246</v>
      </c>
      <c r="G1" s="1" t="s">
        <v>248</v>
      </c>
      <c r="H1" s="1" t="s">
        <v>254</v>
      </c>
      <c r="I1" s="1" t="s">
        <v>258</v>
      </c>
      <c r="J1" s="1" t="s">
        <v>261</v>
      </c>
      <c r="K1" s="1" t="s">
        <v>264</v>
      </c>
      <c r="L1" s="1" t="s">
        <v>266</v>
      </c>
    </row>
    <row r="2">
      <c r="A2" s="2" t="s">
        <v>269</v>
      </c>
      <c r="B2" s="2" t="s">
        <v>271</v>
      </c>
      <c r="C2" s="2" t="s">
        <v>34</v>
      </c>
      <c r="D2" s="2" t="s">
        <v>275</v>
      </c>
      <c r="E2" s="2" t="s">
        <v>93</v>
      </c>
      <c r="G2" s="2" t="s">
        <v>276</v>
      </c>
      <c r="H2" s="2" t="s">
        <v>52</v>
      </c>
      <c r="I2" s="6">
        <v>46218.43418319445</v>
      </c>
      <c r="J2" s="2" t="s">
        <v>260</v>
      </c>
    </row>
    <row r="3">
      <c r="A3" s="2" t="s">
        <v>279</v>
      </c>
      <c r="B3" s="2" t="s">
        <v>281</v>
      </c>
      <c r="C3" s="2" t="s">
        <v>34</v>
      </c>
      <c r="D3" s="2" t="s">
        <v>283</v>
      </c>
      <c r="E3" s="2" t="s">
        <v>136</v>
      </c>
      <c r="G3" s="2" t="s">
        <v>286</v>
      </c>
      <c r="H3" s="2" t="s">
        <v>52</v>
      </c>
      <c r="I3" s="6">
        <v>46232.496831666664</v>
      </c>
      <c r="J3" s="2" t="s">
        <v>260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24.13"/>
    <col customWidth="1" min="3" max="3" width="15.63"/>
    <col customWidth="1" min="5" max="5" width="15.63"/>
    <col customWidth="1" min="6" max="6" width="15.38"/>
    <col customWidth="1" min="7" max="7" width="7.5"/>
  </cols>
  <sheetData>
    <row r="1">
      <c r="A1" s="1" t="s">
        <v>235</v>
      </c>
      <c r="B1" s="1" t="s">
        <v>2</v>
      </c>
      <c r="C1" s="1" t="s">
        <v>1</v>
      </c>
      <c r="D1" s="1" t="s">
        <v>250</v>
      </c>
      <c r="E1" s="1" t="s">
        <v>253</v>
      </c>
      <c r="F1" s="1" t="s">
        <v>257</v>
      </c>
      <c r="G1" s="1" t="s">
        <v>260</v>
      </c>
    </row>
    <row r="2">
      <c r="A2" s="2" t="s">
        <v>262</v>
      </c>
      <c r="B2" s="2" t="s">
        <v>40</v>
      </c>
      <c r="C2" s="2" t="s">
        <v>265</v>
      </c>
      <c r="D2" s="2" t="s">
        <v>38</v>
      </c>
      <c r="E2" s="2" t="s">
        <v>52</v>
      </c>
      <c r="F2" s="6">
        <v>46155.544541400464</v>
      </c>
      <c r="G2" s="2" t="b">
        <v>1</v>
      </c>
    </row>
    <row r="3">
      <c r="A3" s="2" t="s">
        <v>274</v>
      </c>
      <c r="B3" s="2" t="s">
        <v>45</v>
      </c>
      <c r="C3" s="2" t="s">
        <v>277</v>
      </c>
      <c r="D3" s="2" t="s">
        <v>58</v>
      </c>
      <c r="E3" s="2" t="s">
        <v>52</v>
      </c>
      <c r="F3" s="6">
        <v>46155.54780774306</v>
      </c>
      <c r="G3" s="2" t="b">
        <v>1</v>
      </c>
    </row>
    <row r="4">
      <c r="A4" s="2" t="s">
        <v>282</v>
      </c>
      <c r="B4" s="2" t="s">
        <v>21</v>
      </c>
      <c r="C4" s="2" t="s">
        <v>18</v>
      </c>
      <c r="D4" s="2" t="s">
        <v>65</v>
      </c>
      <c r="E4" s="2" t="s">
        <v>52</v>
      </c>
      <c r="F4" s="6">
        <v>46155.54855743056</v>
      </c>
      <c r="G4" s="2" t="b">
        <v>1</v>
      </c>
    </row>
    <row r="5">
      <c r="A5" s="2" t="s">
        <v>289</v>
      </c>
      <c r="B5" s="2" t="s">
        <v>25</v>
      </c>
      <c r="C5" s="2" t="s">
        <v>291</v>
      </c>
      <c r="D5" s="2" t="s">
        <v>65</v>
      </c>
      <c r="E5" s="2" t="s">
        <v>52</v>
      </c>
      <c r="F5" s="6">
        <v>46155.54887976852</v>
      </c>
      <c r="G5" s="2" t="b">
        <v>1</v>
      </c>
    </row>
    <row r="6">
      <c r="A6" s="2" t="s">
        <v>293</v>
      </c>
      <c r="B6" s="2" t="s">
        <v>29</v>
      </c>
      <c r="C6" s="2" t="s">
        <v>27</v>
      </c>
      <c r="D6" s="2" t="s">
        <v>65</v>
      </c>
      <c r="E6" s="2" t="s">
        <v>52</v>
      </c>
      <c r="F6" s="6">
        <v>46155.54933489583</v>
      </c>
      <c r="G6" s="2" t="b">
        <v>1</v>
      </c>
    </row>
    <row r="7">
      <c r="A7" s="2" t="s">
        <v>295</v>
      </c>
      <c r="B7" s="2" t="s">
        <v>9</v>
      </c>
      <c r="C7" s="2" t="s">
        <v>298</v>
      </c>
      <c r="D7" s="2" t="s">
        <v>58</v>
      </c>
      <c r="E7" s="2" t="s">
        <v>52</v>
      </c>
      <c r="F7" s="6">
        <v>46155.5502772801</v>
      </c>
      <c r="G7" s="2" t="b">
        <v>1</v>
      </c>
    </row>
    <row r="8">
      <c r="A8" s="2" t="s">
        <v>302</v>
      </c>
      <c r="B8" s="2" t="s">
        <v>33</v>
      </c>
      <c r="C8" s="2" t="s">
        <v>31</v>
      </c>
      <c r="D8" s="2" t="s">
        <v>65</v>
      </c>
      <c r="E8" s="2" t="s">
        <v>52</v>
      </c>
      <c r="F8" s="6">
        <v>46155.550837013885</v>
      </c>
      <c r="G8" s="2" t="b">
        <v>1</v>
      </c>
    </row>
    <row r="9">
      <c r="A9" s="2" t="s">
        <v>305</v>
      </c>
      <c r="B9" s="2" t="s">
        <v>94</v>
      </c>
      <c r="C9" s="2" t="s">
        <v>308</v>
      </c>
      <c r="D9" s="2" t="s">
        <v>58</v>
      </c>
      <c r="E9" s="2" t="s">
        <v>52</v>
      </c>
      <c r="F9" s="6">
        <v>46155.55167892361</v>
      </c>
      <c r="G9" s="2" t="b">
        <v>1</v>
      </c>
    </row>
    <row r="10">
      <c r="A10" s="2" t="s">
        <v>310</v>
      </c>
      <c r="B10" s="2" t="s">
        <v>52</v>
      </c>
      <c r="C10" s="2" t="s">
        <v>265</v>
      </c>
      <c r="D10" s="2" t="s">
        <v>58</v>
      </c>
      <c r="E10" s="2" t="s">
        <v>52</v>
      </c>
      <c r="F10" s="6">
        <v>46155.552368993056</v>
      </c>
      <c r="G10" s="2" t="b">
        <v>1</v>
      </c>
    </row>
    <row r="11">
      <c r="A11" s="2" t="s">
        <v>315</v>
      </c>
      <c r="B11" s="2" t="s">
        <v>42</v>
      </c>
      <c r="C11" s="2" t="s">
        <v>41</v>
      </c>
      <c r="D11" s="2" t="s">
        <v>58</v>
      </c>
      <c r="E11" s="2" t="s">
        <v>52</v>
      </c>
      <c r="F11" s="6">
        <v>46155.55301149306</v>
      </c>
      <c r="G11" s="2" t="b">
        <v>1</v>
      </c>
    </row>
    <row r="12">
      <c r="A12" s="2" t="s">
        <v>318</v>
      </c>
      <c r="B12" s="2" t="s">
        <v>107</v>
      </c>
      <c r="C12" s="2" t="s">
        <v>319</v>
      </c>
      <c r="D12" s="2" t="s">
        <v>65</v>
      </c>
      <c r="E12" s="2" t="s">
        <v>52</v>
      </c>
      <c r="F12" s="6">
        <v>46155.55371846065</v>
      </c>
      <c r="G12" s="2" t="b">
        <v>1</v>
      </c>
    </row>
    <row r="13">
      <c r="A13" s="2" t="s">
        <v>321</v>
      </c>
      <c r="B13" s="2" t="s">
        <v>112</v>
      </c>
      <c r="C13" s="2" t="s">
        <v>323</v>
      </c>
      <c r="D13" s="2" t="s">
        <v>38</v>
      </c>
      <c r="E13" s="2" t="s">
        <v>52</v>
      </c>
      <c r="F13" s="6">
        <v>46155.56432230324</v>
      </c>
      <c r="G13" s="2" t="b">
        <v>0</v>
      </c>
    </row>
    <row r="14">
      <c r="A14" s="2" t="s">
        <v>325</v>
      </c>
      <c r="B14" s="2" t="s">
        <v>56</v>
      </c>
      <c r="C14" s="2" t="s">
        <v>55</v>
      </c>
      <c r="D14" s="2" t="s">
        <v>58</v>
      </c>
      <c r="E14" s="2" t="s">
        <v>52</v>
      </c>
      <c r="F14" s="6">
        <v>46156.609409212964</v>
      </c>
      <c r="G14" s="2" t="b">
        <v>1</v>
      </c>
    </row>
    <row r="15">
      <c r="A15" s="2" t="s">
        <v>329</v>
      </c>
      <c r="B15" s="2" t="s">
        <v>39</v>
      </c>
      <c r="C15" s="2" t="s">
        <v>36</v>
      </c>
      <c r="D15" s="2" t="s">
        <v>58</v>
      </c>
      <c r="E15" s="2" t="s">
        <v>52</v>
      </c>
      <c r="F15" s="6">
        <v>46164.40262922454</v>
      </c>
      <c r="G15" s="2" t="b">
        <v>1</v>
      </c>
    </row>
    <row r="16">
      <c r="A16" s="2" t="s">
        <v>334</v>
      </c>
      <c r="B16" s="2" t="s">
        <v>124</v>
      </c>
      <c r="C16" s="2" t="s">
        <v>336</v>
      </c>
      <c r="D16" s="2" t="s">
        <v>38</v>
      </c>
      <c r="E16" s="2" t="s">
        <v>52</v>
      </c>
      <c r="F16" s="6">
        <v>46175.41746327546</v>
      </c>
      <c r="G16" s="2" t="b">
        <v>0</v>
      </c>
    </row>
    <row r="17">
      <c r="A17" s="2" t="s">
        <v>338</v>
      </c>
      <c r="B17" s="2" t="s">
        <v>15</v>
      </c>
      <c r="C17" s="2" t="s">
        <v>13</v>
      </c>
      <c r="D17" s="2" t="s">
        <v>58</v>
      </c>
      <c r="E17" s="2" t="s">
        <v>52</v>
      </c>
      <c r="F17" s="6">
        <v>46177.4131572801</v>
      </c>
      <c r="G17" s="2" t="b">
        <v>1</v>
      </c>
    </row>
    <row r="18">
      <c r="A18" s="2" t="s">
        <v>341</v>
      </c>
      <c r="B18" s="2" t="s">
        <v>130</v>
      </c>
      <c r="C18" s="2" t="s">
        <v>343</v>
      </c>
      <c r="D18" s="2" t="s">
        <v>65</v>
      </c>
      <c r="E18" s="2" t="s">
        <v>52</v>
      </c>
      <c r="F18" s="6">
        <v>46183.38812962963</v>
      </c>
      <c r="G18" s="2" t="b"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13"/>
    <col customWidth="1" min="2" max="2" width="16.88"/>
    <col customWidth="1" min="3" max="3" width="14.63"/>
    <col customWidth="1" min="4" max="4" width="23.88"/>
    <col customWidth="1" min="5" max="5" width="9.25"/>
    <col customWidth="1" min="6" max="6" width="6.13"/>
    <col customWidth="1" min="7" max="7" width="9.25"/>
    <col customWidth="1" min="9" max="9" width="53.13"/>
    <col customWidth="1" min="10" max="10" width="7.13"/>
    <col customWidth="1" min="11" max="11" width="15.63"/>
    <col customWidth="1" min="12" max="12" width="15.38"/>
    <col customWidth="1" min="14" max="14" width="71.25"/>
  </cols>
  <sheetData>
    <row r="1">
      <c r="A1" s="1" t="s">
        <v>235</v>
      </c>
      <c r="B1" s="1" t="s">
        <v>347</v>
      </c>
      <c r="C1" s="1" t="s">
        <v>168</v>
      </c>
      <c r="D1" s="1" t="s">
        <v>1</v>
      </c>
      <c r="E1" s="1" t="s">
        <v>28</v>
      </c>
      <c r="F1" s="1" t="s">
        <v>32</v>
      </c>
      <c r="G1" s="1" t="s">
        <v>46</v>
      </c>
      <c r="H1" s="1" t="s">
        <v>348</v>
      </c>
      <c r="I1" s="1" t="s">
        <v>349</v>
      </c>
      <c r="J1" s="1" t="s">
        <v>261</v>
      </c>
      <c r="K1" s="1" t="s">
        <v>253</v>
      </c>
      <c r="L1" s="1" t="s">
        <v>257</v>
      </c>
      <c r="M1" s="1" t="s">
        <v>79</v>
      </c>
      <c r="N1" s="1" t="s">
        <v>350</v>
      </c>
    </row>
    <row r="2">
      <c r="A2" s="2" t="s">
        <v>351</v>
      </c>
      <c r="B2" s="6">
        <v>46156.5</v>
      </c>
      <c r="C2" s="2" t="s">
        <v>68</v>
      </c>
      <c r="D2" s="2" t="s">
        <v>352</v>
      </c>
      <c r="E2" s="4">
        <v>7.0</v>
      </c>
      <c r="F2" s="2" t="s">
        <v>181</v>
      </c>
      <c r="G2" s="2" t="s">
        <v>92</v>
      </c>
      <c r="H2" s="2">
        <v>2340919.0</v>
      </c>
      <c r="I2" s="2" t="s">
        <v>353</v>
      </c>
      <c r="J2" s="2" t="s">
        <v>354</v>
      </c>
      <c r="K2" s="2" t="s">
        <v>52</v>
      </c>
      <c r="L2" s="6">
        <v>46154.610541435184</v>
      </c>
    </row>
    <row r="3">
      <c r="A3" s="2" t="s">
        <v>355</v>
      </c>
      <c r="B3" s="6">
        <v>46156.5</v>
      </c>
      <c r="C3" s="2" t="s">
        <v>68</v>
      </c>
      <c r="D3" s="2" t="s">
        <v>356</v>
      </c>
      <c r="E3" s="4">
        <v>1.0</v>
      </c>
      <c r="F3" s="2" t="s">
        <v>181</v>
      </c>
      <c r="G3" s="2" t="s">
        <v>92</v>
      </c>
      <c r="H3" s="2">
        <v>2340409.0</v>
      </c>
      <c r="J3" s="2" t="s">
        <v>354</v>
      </c>
      <c r="K3" s="2" t="s">
        <v>52</v>
      </c>
      <c r="L3" s="6">
        <v>46154.611769490744</v>
      </c>
    </row>
    <row r="4">
      <c r="A4" s="2" t="s">
        <v>357</v>
      </c>
      <c r="B4" s="6">
        <v>46156.5</v>
      </c>
      <c r="C4" s="2" t="s">
        <v>104</v>
      </c>
      <c r="D4" s="2" t="s">
        <v>358</v>
      </c>
      <c r="E4" s="4">
        <v>1.0</v>
      </c>
      <c r="F4" s="2" t="s">
        <v>181</v>
      </c>
      <c r="G4" s="2" t="s">
        <v>92</v>
      </c>
      <c r="H4" s="2">
        <v>2334577.0</v>
      </c>
      <c r="J4" s="2" t="s">
        <v>354</v>
      </c>
      <c r="K4" s="2" t="s">
        <v>52</v>
      </c>
      <c r="L4" s="6">
        <v>46154.614835</v>
      </c>
    </row>
    <row r="5">
      <c r="A5" s="2" t="s">
        <v>359</v>
      </c>
      <c r="B5" s="6">
        <v>46156.5</v>
      </c>
      <c r="C5" s="2" t="s">
        <v>68</v>
      </c>
      <c r="D5" s="2" t="s">
        <v>360</v>
      </c>
      <c r="E5" s="4">
        <v>10.0</v>
      </c>
      <c r="F5" s="2" t="s">
        <v>181</v>
      </c>
      <c r="G5" s="2" t="s">
        <v>92</v>
      </c>
      <c r="H5" s="2">
        <v>2339708.0</v>
      </c>
      <c r="J5" s="2" t="s">
        <v>354</v>
      </c>
      <c r="K5" s="2" t="s">
        <v>52</v>
      </c>
      <c r="L5" s="6">
        <v>46154.61588215278</v>
      </c>
    </row>
    <row r="6">
      <c r="A6" s="2" t="s">
        <v>365</v>
      </c>
      <c r="B6" s="6">
        <v>46164.5</v>
      </c>
      <c r="C6" s="2" t="s">
        <v>104</v>
      </c>
      <c r="D6" s="2" t="s">
        <v>366</v>
      </c>
      <c r="E6" s="4">
        <v>1.0</v>
      </c>
      <c r="F6" s="2" t="s">
        <v>181</v>
      </c>
      <c r="G6" s="2" t="s">
        <v>92</v>
      </c>
      <c r="H6" s="2">
        <v>2339728.0</v>
      </c>
      <c r="J6" s="2" t="s">
        <v>354</v>
      </c>
      <c r="K6" s="2" t="s">
        <v>52</v>
      </c>
      <c r="L6" s="6">
        <v>46154.61658744213</v>
      </c>
    </row>
    <row r="7">
      <c r="A7" s="2" t="s">
        <v>369</v>
      </c>
      <c r="B7" s="6">
        <v>46157.5</v>
      </c>
      <c r="C7" s="2" t="s">
        <v>34</v>
      </c>
      <c r="D7" s="2" t="s">
        <v>370</v>
      </c>
      <c r="E7" s="4">
        <v>19.0</v>
      </c>
      <c r="F7" s="2" t="s">
        <v>181</v>
      </c>
      <c r="G7" s="2" t="s">
        <v>35</v>
      </c>
      <c r="H7" s="2">
        <v>1310583.0</v>
      </c>
      <c r="I7" s="2" t="s">
        <v>372</v>
      </c>
      <c r="J7" s="2" t="s">
        <v>354</v>
      </c>
      <c r="K7" s="2" t="s">
        <v>52</v>
      </c>
      <c r="L7" s="6">
        <v>46154.61747755787</v>
      </c>
    </row>
    <row r="8">
      <c r="A8" s="2" t="s">
        <v>373</v>
      </c>
      <c r="B8" s="6">
        <v>46157.5</v>
      </c>
      <c r="C8" s="2" t="s">
        <v>34</v>
      </c>
      <c r="D8" s="2" t="s">
        <v>374</v>
      </c>
      <c r="E8" s="4">
        <v>1.0</v>
      </c>
      <c r="F8" s="2" t="s">
        <v>181</v>
      </c>
      <c r="G8" s="2" t="s">
        <v>35</v>
      </c>
      <c r="H8" s="2">
        <v>1310948.0</v>
      </c>
      <c r="I8" s="2" t="s">
        <v>377</v>
      </c>
      <c r="J8" s="2" t="s">
        <v>354</v>
      </c>
      <c r="K8" s="2" t="s">
        <v>52</v>
      </c>
      <c r="L8" s="6">
        <v>46154.61806405093</v>
      </c>
    </row>
    <row r="9">
      <c r="A9" s="2" t="s">
        <v>378</v>
      </c>
      <c r="B9" s="6">
        <v>46157.5</v>
      </c>
      <c r="C9" s="2" t="s">
        <v>34</v>
      </c>
      <c r="D9" s="2" t="s">
        <v>379</v>
      </c>
      <c r="E9" s="4">
        <v>115.0</v>
      </c>
      <c r="F9" s="2" t="s">
        <v>181</v>
      </c>
      <c r="G9" s="2" t="s">
        <v>35</v>
      </c>
      <c r="H9" s="2">
        <v>745917.0</v>
      </c>
      <c r="I9" s="2" t="s">
        <v>382</v>
      </c>
      <c r="J9" s="2" t="s">
        <v>354</v>
      </c>
      <c r="K9" s="2" t="s">
        <v>52</v>
      </c>
      <c r="L9" s="6">
        <v>46154.62214247685</v>
      </c>
    </row>
    <row r="10">
      <c r="A10" s="2" t="s">
        <v>383</v>
      </c>
      <c r="B10" s="6">
        <v>46164.5</v>
      </c>
      <c r="C10" s="2" t="s">
        <v>104</v>
      </c>
      <c r="D10" s="2" t="s">
        <v>386</v>
      </c>
      <c r="E10" s="4">
        <v>1.0</v>
      </c>
      <c r="F10" s="2" t="s">
        <v>181</v>
      </c>
      <c r="G10" s="2" t="s">
        <v>92</v>
      </c>
      <c r="H10" s="2">
        <v>2342588.0</v>
      </c>
      <c r="J10" s="2" t="s">
        <v>354</v>
      </c>
      <c r="K10" s="2" t="s">
        <v>52</v>
      </c>
      <c r="L10" s="6">
        <v>46154.64315751157</v>
      </c>
      <c r="M10" s="2" t="s">
        <v>388</v>
      </c>
    </row>
    <row r="11">
      <c r="A11" s="2" t="s">
        <v>389</v>
      </c>
      <c r="B11" s="6">
        <v>46164.5</v>
      </c>
      <c r="C11" s="2" t="s">
        <v>104</v>
      </c>
      <c r="D11" s="2" t="s">
        <v>390</v>
      </c>
      <c r="E11" s="4">
        <v>2.0</v>
      </c>
      <c r="F11" s="2" t="s">
        <v>181</v>
      </c>
      <c r="G11" s="2" t="s">
        <v>92</v>
      </c>
      <c r="H11" s="2">
        <v>2342343.0</v>
      </c>
      <c r="J11" s="2" t="s">
        <v>354</v>
      </c>
      <c r="K11" s="2" t="s">
        <v>52</v>
      </c>
      <c r="L11" s="6">
        <v>46154.64429765046</v>
      </c>
      <c r="M11" s="2" t="s">
        <v>393</v>
      </c>
    </row>
    <row r="12">
      <c r="A12" s="2" t="s">
        <v>394</v>
      </c>
      <c r="B12" s="6">
        <v>46164.5</v>
      </c>
      <c r="C12" s="2" t="s">
        <v>104</v>
      </c>
      <c r="D12" s="2" t="s">
        <v>396</v>
      </c>
      <c r="E12" s="4">
        <v>2.0</v>
      </c>
      <c r="F12" s="2" t="s">
        <v>181</v>
      </c>
      <c r="G12" s="2" t="s">
        <v>92</v>
      </c>
      <c r="H12" s="2">
        <v>2340402.0</v>
      </c>
      <c r="J12" s="2" t="s">
        <v>354</v>
      </c>
      <c r="K12" s="2" t="s">
        <v>52</v>
      </c>
      <c r="L12" s="6">
        <v>46154.645938368056</v>
      </c>
      <c r="M12" s="2" t="s">
        <v>398</v>
      </c>
    </row>
    <row r="13">
      <c r="A13" s="2" t="s">
        <v>399</v>
      </c>
      <c r="B13" s="6">
        <v>46164.5</v>
      </c>
      <c r="C13" s="2" t="s">
        <v>104</v>
      </c>
      <c r="D13" s="2" t="s">
        <v>400</v>
      </c>
      <c r="E13" s="4">
        <v>1.0</v>
      </c>
      <c r="F13" s="2" t="s">
        <v>181</v>
      </c>
      <c r="G13" s="2" t="s">
        <v>92</v>
      </c>
      <c r="H13" s="2">
        <v>2339725.0</v>
      </c>
      <c r="J13" s="2" t="s">
        <v>354</v>
      </c>
      <c r="K13" s="2" t="s">
        <v>52</v>
      </c>
      <c r="L13" s="6">
        <v>46154.64824570602</v>
      </c>
    </row>
    <row r="14">
      <c r="A14" s="2" t="s">
        <v>404</v>
      </c>
      <c r="B14" s="6">
        <v>46169.5</v>
      </c>
      <c r="C14" s="2" t="s">
        <v>104</v>
      </c>
      <c r="D14" s="2" t="s">
        <v>406</v>
      </c>
      <c r="E14" s="4">
        <v>9.0</v>
      </c>
      <c r="F14" s="2" t="s">
        <v>181</v>
      </c>
      <c r="G14" s="2" t="s">
        <v>92</v>
      </c>
      <c r="H14" s="2">
        <v>2339721.0</v>
      </c>
      <c r="J14" s="2" t="s">
        <v>354</v>
      </c>
      <c r="K14" s="2" t="s">
        <v>52</v>
      </c>
      <c r="L14" s="6">
        <v>46154.649790324074</v>
      </c>
      <c r="M14" s="2" t="s">
        <v>393</v>
      </c>
    </row>
    <row r="15">
      <c r="A15" s="2" t="s">
        <v>408</v>
      </c>
      <c r="B15" s="6">
        <v>46171.5</v>
      </c>
      <c r="C15" s="2" t="s">
        <v>81</v>
      </c>
      <c r="D15" s="2" t="s">
        <v>410</v>
      </c>
      <c r="E15" s="4">
        <v>29.0</v>
      </c>
      <c r="F15" s="2" t="s">
        <v>181</v>
      </c>
      <c r="G15" s="2" t="s">
        <v>92</v>
      </c>
      <c r="H15" s="8" t="s">
        <v>411</v>
      </c>
      <c r="I15" s="2" t="s">
        <v>413</v>
      </c>
      <c r="J15" s="2" t="s">
        <v>414</v>
      </c>
      <c r="K15" s="2" t="s">
        <v>52</v>
      </c>
      <c r="L15" s="6">
        <v>46154.65396597222</v>
      </c>
    </row>
    <row r="16">
      <c r="A16" s="2" t="s">
        <v>417</v>
      </c>
      <c r="B16" s="6">
        <v>46171.5</v>
      </c>
      <c r="C16" s="2" t="s">
        <v>34</v>
      </c>
      <c r="D16" s="2" t="s">
        <v>418</v>
      </c>
      <c r="E16" s="4">
        <v>1.0</v>
      </c>
      <c r="F16" s="2" t="s">
        <v>181</v>
      </c>
      <c r="G16" s="2" t="s">
        <v>115</v>
      </c>
      <c r="H16" s="2"/>
      <c r="I16" s="2" t="s">
        <v>419</v>
      </c>
      <c r="J16" s="2" t="s">
        <v>414</v>
      </c>
      <c r="K16" s="2" t="s">
        <v>52</v>
      </c>
      <c r="L16" s="6">
        <v>46154.65515002314</v>
      </c>
    </row>
    <row r="17">
      <c r="A17" s="2" t="s">
        <v>421</v>
      </c>
      <c r="B17" s="6">
        <v>46174.5</v>
      </c>
      <c r="C17" s="2" t="s">
        <v>34</v>
      </c>
      <c r="D17" s="2" t="s">
        <v>423</v>
      </c>
      <c r="E17" s="4">
        <v>1.0</v>
      </c>
      <c r="F17" s="2" t="s">
        <v>181</v>
      </c>
      <c r="G17" s="2" t="s">
        <v>115</v>
      </c>
      <c r="H17" s="2"/>
      <c r="I17" s="2" t="s">
        <v>419</v>
      </c>
      <c r="J17" s="2" t="s">
        <v>354</v>
      </c>
      <c r="K17" s="2" t="s">
        <v>52</v>
      </c>
      <c r="L17" s="6">
        <v>46154.655766446755</v>
      </c>
    </row>
    <row r="18">
      <c r="A18" s="2" t="s">
        <v>425</v>
      </c>
      <c r="B18" s="6">
        <v>46171.5</v>
      </c>
      <c r="C18" s="2" t="s">
        <v>34</v>
      </c>
      <c r="D18" s="2" t="s">
        <v>427</v>
      </c>
      <c r="E18" s="4">
        <v>1.0</v>
      </c>
      <c r="F18" s="2" t="s">
        <v>181</v>
      </c>
      <c r="G18" s="2" t="s">
        <v>115</v>
      </c>
      <c r="H18" s="2"/>
      <c r="I18" s="2" t="s">
        <v>419</v>
      </c>
      <c r="J18" s="2" t="s">
        <v>414</v>
      </c>
      <c r="K18" s="2" t="s">
        <v>52</v>
      </c>
      <c r="L18" s="6">
        <v>46154.65618518519</v>
      </c>
    </row>
    <row r="19">
      <c r="A19" s="2" t="s">
        <v>430</v>
      </c>
      <c r="B19" s="6">
        <v>46174.5</v>
      </c>
      <c r="C19" s="2" t="s">
        <v>34</v>
      </c>
      <c r="D19" s="2" t="s">
        <v>431</v>
      </c>
      <c r="E19" s="4">
        <v>1.0</v>
      </c>
      <c r="F19" s="2" t="s">
        <v>181</v>
      </c>
      <c r="G19" s="2" t="s">
        <v>115</v>
      </c>
      <c r="H19" s="2"/>
      <c r="I19" s="2" t="s">
        <v>419</v>
      </c>
      <c r="J19" s="2" t="s">
        <v>354</v>
      </c>
      <c r="K19" s="2" t="s">
        <v>52</v>
      </c>
      <c r="L19" s="6">
        <v>46154.657057442135</v>
      </c>
    </row>
    <row r="20">
      <c r="A20" s="2" t="s">
        <v>433</v>
      </c>
      <c r="B20" s="6">
        <v>46160.5</v>
      </c>
      <c r="C20" s="2" t="s">
        <v>34</v>
      </c>
      <c r="D20" s="2" t="s">
        <v>435</v>
      </c>
      <c r="E20" s="4">
        <v>49.0</v>
      </c>
      <c r="F20" s="2" t="s">
        <v>181</v>
      </c>
      <c r="G20" s="2" t="s">
        <v>51</v>
      </c>
      <c r="H20" s="2"/>
      <c r="I20" s="2" t="s">
        <v>437</v>
      </c>
      <c r="J20" s="2" t="s">
        <v>354</v>
      </c>
      <c r="K20" s="2" t="s">
        <v>52</v>
      </c>
      <c r="L20" s="6">
        <v>46155.64342759259</v>
      </c>
    </row>
    <row r="21">
      <c r="A21" s="2" t="s">
        <v>439</v>
      </c>
      <c r="B21" s="6">
        <v>46164.5</v>
      </c>
      <c r="C21" s="2" t="s">
        <v>34</v>
      </c>
      <c r="D21" s="2" t="s">
        <v>440</v>
      </c>
      <c r="E21" s="4">
        <v>1.0</v>
      </c>
      <c r="F21" s="2" t="s">
        <v>181</v>
      </c>
      <c r="G21" s="2" t="s">
        <v>35</v>
      </c>
      <c r="H21" s="2"/>
      <c r="I21" s="2" t="s">
        <v>443</v>
      </c>
      <c r="J21" s="2" t="s">
        <v>354</v>
      </c>
      <c r="K21" s="2" t="s">
        <v>52</v>
      </c>
      <c r="L21" s="6">
        <v>46155.66351732639</v>
      </c>
      <c r="M21" s="2" t="s">
        <v>398</v>
      </c>
    </row>
    <row r="22">
      <c r="A22" s="2" t="s">
        <v>447</v>
      </c>
      <c r="B22" s="6">
        <v>46164.5</v>
      </c>
      <c r="C22" s="2" t="s">
        <v>34</v>
      </c>
      <c r="D22" s="2" t="s">
        <v>450</v>
      </c>
      <c r="E22" s="4">
        <v>1.0</v>
      </c>
      <c r="F22" s="2" t="s">
        <v>181</v>
      </c>
      <c r="G22" s="2" t="s">
        <v>35</v>
      </c>
      <c r="H22" s="2"/>
      <c r="I22" s="2" t="s">
        <v>454</v>
      </c>
      <c r="J22" s="2" t="s">
        <v>354</v>
      </c>
      <c r="K22" s="2" t="s">
        <v>52</v>
      </c>
      <c r="L22" s="6">
        <v>46155.66397008102</v>
      </c>
      <c r="M22" s="2" t="s">
        <v>398</v>
      </c>
    </row>
    <row r="23">
      <c r="A23" s="2" t="s">
        <v>461</v>
      </c>
      <c r="B23" s="6">
        <v>46164.5</v>
      </c>
      <c r="C23" s="2" t="s">
        <v>34</v>
      </c>
      <c r="D23" s="2" t="s">
        <v>464</v>
      </c>
      <c r="E23" s="4">
        <v>2.0</v>
      </c>
      <c r="F23" s="2" t="s">
        <v>181</v>
      </c>
      <c r="G23" s="2" t="s">
        <v>35</v>
      </c>
      <c r="H23" s="2"/>
      <c r="I23" s="2" t="s">
        <v>466</v>
      </c>
      <c r="J23" s="2" t="s">
        <v>354</v>
      </c>
      <c r="K23" s="2" t="s">
        <v>52</v>
      </c>
      <c r="L23" s="6">
        <v>46155.66530217593</v>
      </c>
    </row>
    <row r="24">
      <c r="A24" s="2" t="s">
        <v>469</v>
      </c>
      <c r="B24" s="6">
        <v>46164.5</v>
      </c>
      <c r="C24" s="2" t="s">
        <v>104</v>
      </c>
      <c r="D24" s="2" t="s">
        <v>471</v>
      </c>
      <c r="E24" s="4">
        <v>1.0</v>
      </c>
      <c r="F24" s="2" t="s">
        <v>181</v>
      </c>
      <c r="G24" s="2" t="s">
        <v>35</v>
      </c>
      <c r="H24" s="2"/>
      <c r="I24" s="2" t="s">
        <v>474</v>
      </c>
      <c r="J24" s="2" t="s">
        <v>354</v>
      </c>
      <c r="K24" s="2" t="s">
        <v>52</v>
      </c>
      <c r="L24" s="6">
        <v>46155.66586087963</v>
      </c>
    </row>
    <row r="25">
      <c r="A25" s="2" t="s">
        <v>477</v>
      </c>
      <c r="B25" s="6">
        <v>46157.5</v>
      </c>
      <c r="C25" s="2" t="s">
        <v>34</v>
      </c>
      <c r="D25" s="2" t="s">
        <v>479</v>
      </c>
      <c r="E25" s="4">
        <v>1.0</v>
      </c>
      <c r="F25" s="2" t="s">
        <v>181</v>
      </c>
      <c r="G25" s="2" t="s">
        <v>35</v>
      </c>
      <c r="H25" s="2"/>
      <c r="I25" s="2" t="s">
        <v>482</v>
      </c>
      <c r="J25" s="2" t="s">
        <v>354</v>
      </c>
      <c r="K25" s="2" t="s">
        <v>52</v>
      </c>
      <c r="L25" s="6">
        <v>46155.66787989583</v>
      </c>
    </row>
    <row r="26">
      <c r="A26" s="2" t="s">
        <v>485</v>
      </c>
      <c r="B26" s="6">
        <v>46157.5</v>
      </c>
      <c r="C26" s="2" t="s">
        <v>34</v>
      </c>
      <c r="D26" s="2" t="s">
        <v>487</v>
      </c>
      <c r="E26" s="4">
        <v>2.0</v>
      </c>
      <c r="F26" s="2" t="s">
        <v>181</v>
      </c>
      <c r="G26" s="2" t="s">
        <v>35</v>
      </c>
      <c r="H26" s="2"/>
      <c r="I26" s="2" t="s">
        <v>492</v>
      </c>
      <c r="J26" s="2" t="s">
        <v>354</v>
      </c>
      <c r="K26" s="2" t="s">
        <v>52</v>
      </c>
      <c r="L26" s="6">
        <v>46155.66847451389</v>
      </c>
    </row>
    <row r="27">
      <c r="A27" s="2" t="s">
        <v>495</v>
      </c>
      <c r="B27" s="6">
        <v>46157.5</v>
      </c>
      <c r="C27" s="2" t="s">
        <v>34</v>
      </c>
      <c r="D27" s="2" t="s">
        <v>497</v>
      </c>
      <c r="E27" s="4">
        <v>31.0</v>
      </c>
      <c r="F27" s="2" t="s">
        <v>181</v>
      </c>
      <c r="G27" s="2" t="s">
        <v>35</v>
      </c>
      <c r="H27" s="2"/>
      <c r="I27" s="2" t="s">
        <v>501</v>
      </c>
      <c r="J27" s="2" t="s">
        <v>354</v>
      </c>
      <c r="K27" s="2" t="s">
        <v>52</v>
      </c>
      <c r="L27" s="6">
        <v>46155.66890628472</v>
      </c>
    </row>
    <row r="28">
      <c r="A28" s="2" t="s">
        <v>502</v>
      </c>
      <c r="B28" s="6">
        <v>46157.5</v>
      </c>
      <c r="C28" s="2" t="s">
        <v>34</v>
      </c>
      <c r="D28" s="2" t="s">
        <v>505</v>
      </c>
      <c r="E28" s="4">
        <v>2.0</v>
      </c>
      <c r="F28" s="2" t="s">
        <v>181</v>
      </c>
      <c r="G28" s="2" t="s">
        <v>35</v>
      </c>
      <c r="H28" s="2"/>
      <c r="I28" s="2" t="s">
        <v>508</v>
      </c>
      <c r="J28" s="2" t="s">
        <v>354</v>
      </c>
      <c r="K28" s="2" t="s">
        <v>52</v>
      </c>
      <c r="L28" s="6">
        <v>46155.66929417824</v>
      </c>
    </row>
    <row r="29">
      <c r="A29" s="2" t="s">
        <v>511</v>
      </c>
      <c r="B29" s="6">
        <v>46157.5</v>
      </c>
      <c r="C29" s="2" t="s">
        <v>34</v>
      </c>
      <c r="D29" s="2" t="s">
        <v>513</v>
      </c>
      <c r="E29" s="4">
        <v>17.0</v>
      </c>
      <c r="F29" s="2" t="s">
        <v>181</v>
      </c>
      <c r="G29" s="2" t="s">
        <v>35</v>
      </c>
      <c r="H29" s="2"/>
      <c r="I29" s="2" t="s">
        <v>519</v>
      </c>
      <c r="J29" s="2" t="s">
        <v>354</v>
      </c>
      <c r="K29" s="2" t="s">
        <v>52</v>
      </c>
      <c r="L29" s="6">
        <v>46155.66978123842</v>
      </c>
    </row>
    <row r="30">
      <c r="A30" s="2" t="s">
        <v>521</v>
      </c>
      <c r="B30" s="6">
        <v>46157.5</v>
      </c>
      <c r="C30" s="2" t="s">
        <v>34</v>
      </c>
      <c r="D30" s="2" t="s">
        <v>523</v>
      </c>
      <c r="E30" s="4">
        <v>16.0</v>
      </c>
      <c r="F30" s="2" t="s">
        <v>181</v>
      </c>
      <c r="G30" s="2" t="s">
        <v>35</v>
      </c>
      <c r="H30" s="2"/>
      <c r="I30" s="2" t="s">
        <v>525</v>
      </c>
      <c r="J30" s="2" t="s">
        <v>354</v>
      </c>
      <c r="K30" s="2" t="s">
        <v>52</v>
      </c>
      <c r="L30" s="6">
        <v>46155.67025241898</v>
      </c>
    </row>
    <row r="31">
      <c r="A31" s="2" t="s">
        <v>527</v>
      </c>
      <c r="B31" s="6">
        <v>46162.5</v>
      </c>
      <c r="C31" s="2" t="s">
        <v>34</v>
      </c>
      <c r="D31" s="2" t="s">
        <v>528</v>
      </c>
      <c r="E31" s="4">
        <v>1.0</v>
      </c>
      <c r="F31" s="2" t="s">
        <v>181</v>
      </c>
      <c r="G31" s="2" t="s">
        <v>115</v>
      </c>
      <c r="H31" s="2"/>
      <c r="I31" s="2" t="s">
        <v>530</v>
      </c>
      <c r="J31" s="2" t="s">
        <v>354</v>
      </c>
      <c r="K31" s="2" t="s">
        <v>52</v>
      </c>
      <c r="L31" s="6">
        <v>46161.33518673611</v>
      </c>
    </row>
    <row r="32">
      <c r="A32" s="2" t="s">
        <v>532</v>
      </c>
      <c r="B32" s="6">
        <v>46164.5</v>
      </c>
      <c r="C32" s="2" t="s">
        <v>34</v>
      </c>
      <c r="D32" s="2" t="s">
        <v>535</v>
      </c>
      <c r="E32" s="4">
        <v>1.0</v>
      </c>
      <c r="F32" s="2" t="s">
        <v>181</v>
      </c>
      <c r="G32" s="2" t="s">
        <v>35</v>
      </c>
      <c r="H32" s="2"/>
      <c r="I32" s="2" t="s">
        <v>537</v>
      </c>
      <c r="J32" s="2" t="s">
        <v>354</v>
      </c>
      <c r="K32" s="2" t="s">
        <v>52</v>
      </c>
      <c r="L32" s="6">
        <v>46164.389084814815</v>
      </c>
      <c r="M32" s="2" t="s">
        <v>538</v>
      </c>
    </row>
    <row r="33">
      <c r="A33" s="2" t="s">
        <v>539</v>
      </c>
      <c r="B33" s="6">
        <v>46164.5</v>
      </c>
      <c r="C33" s="2" t="s">
        <v>49</v>
      </c>
      <c r="D33" s="2" t="s">
        <v>464</v>
      </c>
      <c r="E33" s="4">
        <v>4.0</v>
      </c>
      <c r="F33" s="2" t="s">
        <v>181</v>
      </c>
      <c r="G33" s="2" t="s">
        <v>35</v>
      </c>
      <c r="H33" s="2"/>
      <c r="I33" s="2" t="s">
        <v>466</v>
      </c>
      <c r="J33" s="2" t="s">
        <v>354</v>
      </c>
      <c r="K33" s="2" t="s">
        <v>52</v>
      </c>
      <c r="L33" s="6">
        <v>46164.39032560185</v>
      </c>
    </row>
    <row r="34">
      <c r="A34" s="2" t="s">
        <v>543</v>
      </c>
      <c r="B34" s="6">
        <v>46164.5</v>
      </c>
      <c r="C34" s="2" t="s">
        <v>61</v>
      </c>
      <c r="D34" s="2" t="s">
        <v>544</v>
      </c>
      <c r="E34" s="4">
        <v>2.0</v>
      </c>
      <c r="F34" s="2" t="s">
        <v>181</v>
      </c>
      <c r="G34" s="2" t="s">
        <v>35</v>
      </c>
      <c r="H34" s="2"/>
      <c r="I34" s="2" t="s">
        <v>547</v>
      </c>
      <c r="J34" s="2" t="s">
        <v>354</v>
      </c>
      <c r="K34" s="2" t="s">
        <v>52</v>
      </c>
      <c r="L34" s="6">
        <v>46164.39280123843</v>
      </c>
    </row>
    <row r="35">
      <c r="A35" s="2" t="s">
        <v>551</v>
      </c>
      <c r="B35" s="6">
        <v>46164.5</v>
      </c>
      <c r="C35" s="2" t="s">
        <v>68</v>
      </c>
      <c r="D35" s="2" t="s">
        <v>553</v>
      </c>
      <c r="E35" s="4">
        <v>5.0</v>
      </c>
      <c r="F35" s="2" t="s">
        <v>181</v>
      </c>
      <c r="G35" s="2" t="s">
        <v>119</v>
      </c>
      <c r="H35" s="2"/>
      <c r="I35" s="2" t="s">
        <v>556</v>
      </c>
      <c r="J35" s="2" t="s">
        <v>354</v>
      </c>
      <c r="K35" s="2" t="s">
        <v>52</v>
      </c>
      <c r="L35" s="6">
        <v>46164.668258645834</v>
      </c>
      <c r="M35" s="2" t="s">
        <v>398</v>
      </c>
    </row>
    <row r="36">
      <c r="A36" s="2" t="s">
        <v>560</v>
      </c>
      <c r="B36" s="6">
        <v>46171.5</v>
      </c>
      <c r="C36" s="2" t="s">
        <v>34</v>
      </c>
      <c r="D36" s="2" t="s">
        <v>561</v>
      </c>
      <c r="E36" s="4">
        <v>83.0</v>
      </c>
      <c r="F36" s="2" t="s">
        <v>181</v>
      </c>
      <c r="G36" s="2" t="s">
        <v>35</v>
      </c>
      <c r="H36" s="9"/>
      <c r="J36" s="2" t="s">
        <v>354</v>
      </c>
      <c r="K36" s="2" t="s">
        <v>52</v>
      </c>
      <c r="L36" s="6">
        <v>46168.49839201389</v>
      </c>
      <c r="M36" s="2" t="s">
        <v>398</v>
      </c>
    </row>
    <row r="37">
      <c r="A37" s="2" t="s">
        <v>568</v>
      </c>
      <c r="B37" s="6">
        <v>46171.5</v>
      </c>
      <c r="C37" s="2" t="s">
        <v>34</v>
      </c>
      <c r="D37" s="2" t="s">
        <v>570</v>
      </c>
      <c r="E37" s="4">
        <v>42.0</v>
      </c>
      <c r="F37" s="2" t="s">
        <v>181</v>
      </c>
      <c r="G37" s="2" t="s">
        <v>35</v>
      </c>
      <c r="H37" s="9"/>
      <c r="J37" s="2" t="s">
        <v>354</v>
      </c>
      <c r="K37" s="2" t="s">
        <v>52</v>
      </c>
      <c r="L37" s="6">
        <v>46168.499096307874</v>
      </c>
      <c r="M37" s="2" t="s">
        <v>398</v>
      </c>
    </row>
    <row r="38">
      <c r="A38" s="2" t="s">
        <v>578</v>
      </c>
      <c r="B38" s="6">
        <v>46171.5</v>
      </c>
      <c r="C38" s="2" t="s">
        <v>34</v>
      </c>
      <c r="D38" s="2" t="s">
        <v>580</v>
      </c>
      <c r="E38" s="4">
        <v>25.0</v>
      </c>
      <c r="F38" s="2" t="s">
        <v>181</v>
      </c>
      <c r="G38" s="2" t="s">
        <v>35</v>
      </c>
      <c r="H38" s="9"/>
      <c r="J38" s="2" t="s">
        <v>354</v>
      </c>
      <c r="K38" s="2" t="s">
        <v>52</v>
      </c>
      <c r="L38" s="6">
        <v>46168.499449166666</v>
      </c>
      <c r="M38" s="2" t="s">
        <v>398</v>
      </c>
    </row>
    <row r="39">
      <c r="A39" s="2" t="s">
        <v>588</v>
      </c>
      <c r="B39" s="6">
        <v>46171.5</v>
      </c>
      <c r="C39" s="2" t="s">
        <v>34</v>
      </c>
      <c r="D39" s="2" t="s">
        <v>590</v>
      </c>
      <c r="E39" s="4">
        <v>2.0</v>
      </c>
      <c r="F39" s="2" t="s">
        <v>181</v>
      </c>
      <c r="G39" s="2" t="s">
        <v>35</v>
      </c>
      <c r="H39" s="9"/>
      <c r="I39" s="2" t="s">
        <v>595</v>
      </c>
      <c r="J39" s="2" t="s">
        <v>354</v>
      </c>
      <c r="K39" s="2" t="s">
        <v>52</v>
      </c>
      <c r="L39" s="6">
        <v>46168.500257893524</v>
      </c>
      <c r="M39" s="2" t="s">
        <v>393</v>
      </c>
    </row>
    <row r="40">
      <c r="A40" s="2" t="s">
        <v>598</v>
      </c>
      <c r="B40" s="6">
        <v>46171.5</v>
      </c>
      <c r="C40" s="2" t="s">
        <v>49</v>
      </c>
      <c r="D40" s="2" t="s">
        <v>602</v>
      </c>
      <c r="E40" s="4">
        <v>2.0</v>
      </c>
      <c r="F40" s="2" t="s">
        <v>181</v>
      </c>
      <c r="G40" s="2" t="s">
        <v>35</v>
      </c>
      <c r="H40" s="9"/>
      <c r="J40" s="2" t="s">
        <v>354</v>
      </c>
      <c r="K40" s="2" t="s">
        <v>52</v>
      </c>
      <c r="L40" s="6">
        <v>46168.50137916667</v>
      </c>
      <c r="M40" s="2" t="s">
        <v>393</v>
      </c>
    </row>
    <row r="41">
      <c r="A41" s="2" t="s">
        <v>609</v>
      </c>
      <c r="B41" s="6">
        <v>46171.5</v>
      </c>
      <c r="C41" s="2" t="s">
        <v>34</v>
      </c>
      <c r="D41" s="2" t="s">
        <v>464</v>
      </c>
      <c r="E41" s="4">
        <v>2.0</v>
      </c>
      <c r="F41" s="2" t="s">
        <v>181</v>
      </c>
      <c r="G41" s="2" t="s">
        <v>35</v>
      </c>
      <c r="H41" s="9"/>
      <c r="I41" s="2" t="s">
        <v>595</v>
      </c>
      <c r="J41" s="2" t="s">
        <v>354</v>
      </c>
      <c r="K41" s="2" t="s">
        <v>52</v>
      </c>
      <c r="L41" s="6">
        <v>46168.504553148145</v>
      </c>
      <c r="M41" s="2" t="s">
        <v>614</v>
      </c>
    </row>
    <row r="42">
      <c r="A42" s="2" t="s">
        <v>615</v>
      </c>
      <c r="B42" s="6">
        <v>46178.5</v>
      </c>
      <c r="C42" s="2" t="s">
        <v>34</v>
      </c>
      <c r="D42" s="2" t="s">
        <v>617</v>
      </c>
      <c r="E42" s="4">
        <v>7.0</v>
      </c>
      <c r="F42" s="2" t="s">
        <v>181</v>
      </c>
      <c r="G42" s="2" t="s">
        <v>35</v>
      </c>
      <c r="H42" s="9"/>
      <c r="J42" s="2" t="s">
        <v>354</v>
      </c>
      <c r="K42" s="2" t="s">
        <v>52</v>
      </c>
      <c r="L42" s="6">
        <v>46168.50720342592</v>
      </c>
      <c r="M42" s="2" t="s">
        <v>393</v>
      </c>
    </row>
    <row r="43">
      <c r="A43" s="2" t="s">
        <v>620</v>
      </c>
      <c r="B43" s="6">
        <v>46178.5</v>
      </c>
      <c r="C43" s="2" t="s">
        <v>34</v>
      </c>
      <c r="D43" s="2" t="s">
        <v>622</v>
      </c>
      <c r="E43" s="4">
        <v>16.0</v>
      </c>
      <c r="F43" s="2" t="s">
        <v>181</v>
      </c>
      <c r="G43" s="2" t="s">
        <v>35</v>
      </c>
      <c r="H43" s="9"/>
      <c r="J43" s="2" t="s">
        <v>354</v>
      </c>
      <c r="K43" s="2" t="s">
        <v>52</v>
      </c>
      <c r="L43" s="6">
        <v>46168.50776287037</v>
      </c>
      <c r="M43" s="2" t="s">
        <v>625</v>
      </c>
    </row>
    <row r="44">
      <c r="A44" s="2" t="s">
        <v>627</v>
      </c>
      <c r="B44" s="6">
        <v>46178.5</v>
      </c>
      <c r="C44" s="2" t="s">
        <v>34</v>
      </c>
      <c r="D44" s="2" t="s">
        <v>629</v>
      </c>
      <c r="E44" s="4">
        <v>16.0</v>
      </c>
      <c r="F44" s="2" t="s">
        <v>181</v>
      </c>
      <c r="G44" s="2" t="s">
        <v>35</v>
      </c>
      <c r="H44" s="9"/>
      <c r="J44" s="2" t="s">
        <v>354</v>
      </c>
      <c r="K44" s="2" t="s">
        <v>52</v>
      </c>
      <c r="L44" s="6">
        <v>46168.50829633102</v>
      </c>
      <c r="M44" s="2" t="s">
        <v>625</v>
      </c>
    </row>
    <row r="45">
      <c r="A45" s="2" t="s">
        <v>633</v>
      </c>
      <c r="B45" s="6">
        <v>46171.5</v>
      </c>
      <c r="C45" s="2" t="s">
        <v>68</v>
      </c>
      <c r="D45" s="2" t="s">
        <v>635</v>
      </c>
      <c r="E45" s="4">
        <v>20.0</v>
      </c>
      <c r="F45" s="2" t="s">
        <v>181</v>
      </c>
      <c r="G45" s="2" t="s">
        <v>92</v>
      </c>
      <c r="H45" s="2"/>
      <c r="J45" s="2" t="s">
        <v>354</v>
      </c>
      <c r="K45" s="2" t="s">
        <v>52</v>
      </c>
      <c r="L45" s="6">
        <v>46168.52521895833</v>
      </c>
      <c r="M45" s="2" t="s">
        <v>398</v>
      </c>
    </row>
    <row r="46">
      <c r="A46" s="2" t="s">
        <v>639</v>
      </c>
      <c r="B46" s="6">
        <v>46174.5</v>
      </c>
      <c r="C46" s="2" t="s">
        <v>75</v>
      </c>
      <c r="D46" s="2" t="s">
        <v>642</v>
      </c>
      <c r="E46" s="4">
        <v>36.0</v>
      </c>
      <c r="F46" s="2" t="s">
        <v>181</v>
      </c>
      <c r="G46" s="2" t="s">
        <v>92</v>
      </c>
      <c r="H46" s="2"/>
      <c r="J46" s="2" t="s">
        <v>354</v>
      </c>
      <c r="K46" s="2" t="s">
        <v>52</v>
      </c>
      <c r="L46" s="6">
        <v>46168.5262194213</v>
      </c>
      <c r="M46" s="2" t="s">
        <v>398</v>
      </c>
    </row>
    <row r="47">
      <c r="A47" s="2" t="s">
        <v>646</v>
      </c>
      <c r="B47" s="6">
        <v>46171.5</v>
      </c>
      <c r="C47" s="2" t="s">
        <v>75</v>
      </c>
      <c r="D47" s="2" t="s">
        <v>648</v>
      </c>
      <c r="E47" s="4">
        <v>2.0</v>
      </c>
      <c r="F47" s="2" t="s">
        <v>181</v>
      </c>
      <c r="G47" s="2" t="s">
        <v>92</v>
      </c>
      <c r="H47" s="2"/>
      <c r="I47" s="2" t="s">
        <v>650</v>
      </c>
      <c r="J47" s="2" t="s">
        <v>354</v>
      </c>
      <c r="K47" s="2" t="s">
        <v>52</v>
      </c>
      <c r="L47" s="6">
        <v>46168.527190243054</v>
      </c>
      <c r="M47" s="2" t="s">
        <v>625</v>
      </c>
    </row>
    <row r="48">
      <c r="A48" s="2" t="s">
        <v>654</v>
      </c>
      <c r="B48" s="6">
        <v>46171.5</v>
      </c>
      <c r="C48" s="2" t="s">
        <v>61</v>
      </c>
      <c r="D48" s="2" t="s">
        <v>656</v>
      </c>
      <c r="E48" s="4">
        <v>1.0</v>
      </c>
      <c r="F48" s="2" t="s">
        <v>181</v>
      </c>
      <c r="G48" s="2" t="s">
        <v>35</v>
      </c>
      <c r="H48" s="9"/>
      <c r="J48" s="2" t="s">
        <v>354</v>
      </c>
      <c r="K48" s="2" t="s">
        <v>52</v>
      </c>
      <c r="L48" s="6">
        <v>46168.5296325</v>
      </c>
      <c r="M48" s="2" t="s">
        <v>388</v>
      </c>
    </row>
    <row r="49">
      <c r="A49" s="2" t="s">
        <v>658</v>
      </c>
      <c r="B49" s="6">
        <v>46176.5</v>
      </c>
      <c r="C49" s="2" t="s">
        <v>104</v>
      </c>
      <c r="D49" s="2" t="s">
        <v>659</v>
      </c>
      <c r="E49" s="4">
        <v>2.0</v>
      </c>
      <c r="F49" s="2" t="s">
        <v>181</v>
      </c>
      <c r="G49" s="2" t="s">
        <v>92</v>
      </c>
      <c r="H49" s="2"/>
      <c r="J49" s="2" t="s">
        <v>354</v>
      </c>
      <c r="K49" s="2" t="s">
        <v>52</v>
      </c>
      <c r="L49" s="6">
        <v>46168.53086646991</v>
      </c>
    </row>
    <row r="50">
      <c r="A50" s="2" t="s">
        <v>663</v>
      </c>
      <c r="B50" s="6">
        <v>46176.5</v>
      </c>
      <c r="C50" s="2" t="s">
        <v>104</v>
      </c>
      <c r="D50" s="2" t="s">
        <v>664</v>
      </c>
      <c r="E50" s="4">
        <v>1.0</v>
      </c>
      <c r="F50" s="2" t="s">
        <v>181</v>
      </c>
      <c r="G50" s="2" t="s">
        <v>92</v>
      </c>
      <c r="H50" s="2"/>
      <c r="J50" s="2" t="s">
        <v>354</v>
      </c>
      <c r="K50" s="2" t="s">
        <v>52</v>
      </c>
      <c r="L50" s="6">
        <v>46168.53131096065</v>
      </c>
    </row>
    <row r="51">
      <c r="A51" s="2" t="s">
        <v>668</v>
      </c>
      <c r="B51" s="6">
        <v>46174.5</v>
      </c>
      <c r="C51" s="2" t="s">
        <v>61</v>
      </c>
      <c r="D51" s="2" t="s">
        <v>671</v>
      </c>
      <c r="E51" s="4">
        <v>1.0</v>
      </c>
      <c r="F51" s="2" t="s">
        <v>181</v>
      </c>
      <c r="G51" s="2" t="s">
        <v>672</v>
      </c>
      <c r="H51" s="2"/>
      <c r="I51" s="2" t="s">
        <v>673</v>
      </c>
      <c r="J51" s="2" t="s">
        <v>354</v>
      </c>
      <c r="K51" s="2" t="s">
        <v>52</v>
      </c>
      <c r="L51" s="6">
        <v>46168.5345196875</v>
      </c>
      <c r="M51" s="2" t="s">
        <v>398</v>
      </c>
    </row>
    <row r="52">
      <c r="A52" s="2" t="s">
        <v>677</v>
      </c>
      <c r="B52" s="6">
        <v>46175.5</v>
      </c>
      <c r="C52" s="2" t="s">
        <v>34</v>
      </c>
      <c r="D52" s="2" t="s">
        <v>680</v>
      </c>
      <c r="E52" s="4">
        <v>157.0</v>
      </c>
      <c r="F52" s="2" t="s">
        <v>181</v>
      </c>
      <c r="G52" s="2" t="s">
        <v>51</v>
      </c>
      <c r="H52" s="2"/>
      <c r="I52" s="2" t="s">
        <v>682</v>
      </c>
      <c r="J52" s="2" t="s">
        <v>354</v>
      </c>
      <c r="K52" s="2" t="s">
        <v>52</v>
      </c>
      <c r="L52" s="6">
        <v>46174.612923865745</v>
      </c>
    </row>
    <row r="53">
      <c r="A53" s="2" t="s">
        <v>684</v>
      </c>
      <c r="B53" s="6">
        <v>46183.5</v>
      </c>
      <c r="C53" s="2" t="s">
        <v>104</v>
      </c>
      <c r="D53" s="2" t="s">
        <v>689</v>
      </c>
      <c r="E53" s="4">
        <v>1.0</v>
      </c>
      <c r="F53" s="2" t="s">
        <v>181</v>
      </c>
      <c r="G53" s="2" t="s">
        <v>51</v>
      </c>
      <c r="H53" s="2"/>
      <c r="I53" s="2" t="s">
        <v>691</v>
      </c>
      <c r="J53" s="2" t="s">
        <v>354</v>
      </c>
      <c r="K53" s="2" t="s">
        <v>52</v>
      </c>
      <c r="L53" s="6">
        <v>46176.57626479167</v>
      </c>
    </row>
    <row r="54">
      <c r="A54" s="2" t="s">
        <v>694</v>
      </c>
      <c r="B54" s="6">
        <v>46181.5</v>
      </c>
      <c r="C54" s="2" t="s">
        <v>34</v>
      </c>
      <c r="D54" s="2" t="s">
        <v>680</v>
      </c>
      <c r="E54" s="4">
        <v>3.0</v>
      </c>
      <c r="F54" s="2" t="s">
        <v>181</v>
      </c>
      <c r="G54" s="2" t="s">
        <v>696</v>
      </c>
      <c r="H54" s="2"/>
      <c r="I54" s="2" t="s">
        <v>698</v>
      </c>
      <c r="J54" s="2" t="s">
        <v>354</v>
      </c>
      <c r="K54" s="2" t="s">
        <v>52</v>
      </c>
      <c r="L54" s="6">
        <v>46176.57765009259</v>
      </c>
    </row>
    <row r="55">
      <c r="A55" s="2" t="s">
        <v>701</v>
      </c>
      <c r="B55" s="6">
        <v>46185.5</v>
      </c>
      <c r="C55" s="2" t="s">
        <v>34</v>
      </c>
      <c r="D55" s="2" t="s">
        <v>680</v>
      </c>
      <c r="E55" s="4">
        <v>1.0</v>
      </c>
      <c r="F55" s="2" t="s">
        <v>181</v>
      </c>
      <c r="G55" s="2" t="s">
        <v>51</v>
      </c>
      <c r="H55" s="2"/>
      <c r="I55" s="2" t="s">
        <v>705</v>
      </c>
      <c r="J55" s="2" t="s">
        <v>414</v>
      </c>
      <c r="K55" s="2" t="s">
        <v>52</v>
      </c>
      <c r="L55" s="6">
        <v>46183.35202521991</v>
      </c>
    </row>
    <row r="56">
      <c r="A56" s="2" t="s">
        <v>709</v>
      </c>
      <c r="B56" s="6">
        <v>46199.5</v>
      </c>
      <c r="C56" s="2" t="s">
        <v>34</v>
      </c>
      <c r="D56" s="2" t="s">
        <v>680</v>
      </c>
      <c r="E56" s="4">
        <v>1.0</v>
      </c>
      <c r="F56" s="2" t="s">
        <v>181</v>
      </c>
      <c r="G56" s="2" t="s">
        <v>51</v>
      </c>
      <c r="H56" s="2"/>
      <c r="I56" s="2" t="s">
        <v>713</v>
      </c>
      <c r="J56" s="2" t="s">
        <v>354</v>
      </c>
      <c r="K56" s="2" t="s">
        <v>52</v>
      </c>
      <c r="L56" s="6">
        <v>46196.48359996528</v>
      </c>
    </row>
    <row r="57">
      <c r="A57" s="2" t="s">
        <v>715</v>
      </c>
      <c r="B57" s="6">
        <v>46199.5</v>
      </c>
      <c r="C57" s="2" t="s">
        <v>34</v>
      </c>
      <c r="D57" s="2" t="s">
        <v>717</v>
      </c>
      <c r="E57" s="4">
        <v>1.0</v>
      </c>
      <c r="F57" s="2" t="s">
        <v>181</v>
      </c>
      <c r="G57" s="2" t="s">
        <v>35</v>
      </c>
      <c r="H57" s="2"/>
      <c r="J57" s="2" t="s">
        <v>354</v>
      </c>
      <c r="K57" s="2" t="s">
        <v>52</v>
      </c>
      <c r="L57" s="6">
        <v>46198.57578380787</v>
      </c>
      <c r="N57" s="5" t="s">
        <v>722</v>
      </c>
    </row>
    <row r="58">
      <c r="A58" s="2" t="s">
        <v>741</v>
      </c>
      <c r="B58" s="6">
        <v>46209.5</v>
      </c>
      <c r="C58" s="2" t="s">
        <v>34</v>
      </c>
      <c r="D58" s="2" t="s">
        <v>680</v>
      </c>
      <c r="E58" s="4">
        <v>54.0</v>
      </c>
      <c r="F58" s="2" t="s">
        <v>181</v>
      </c>
      <c r="G58" s="2" t="s">
        <v>696</v>
      </c>
      <c r="H58" s="2"/>
      <c r="I58" s="2" t="s">
        <v>749</v>
      </c>
      <c r="J58" s="2" t="s">
        <v>354</v>
      </c>
      <c r="K58" s="2" t="s">
        <v>52</v>
      </c>
      <c r="L58" s="6">
        <v>46205.4698149537</v>
      </c>
    </row>
    <row r="59">
      <c r="A59" s="2" t="s">
        <v>753</v>
      </c>
      <c r="B59" s="6">
        <v>46212.5</v>
      </c>
      <c r="C59" s="2" t="s">
        <v>34</v>
      </c>
      <c r="D59" s="2" t="s">
        <v>755</v>
      </c>
      <c r="E59" s="4">
        <v>26.0</v>
      </c>
      <c r="F59" s="2" t="s">
        <v>181</v>
      </c>
      <c r="G59" s="2" t="s">
        <v>82</v>
      </c>
      <c r="H59" s="2"/>
      <c r="I59" s="2" t="s">
        <v>758</v>
      </c>
      <c r="J59" s="2" t="s">
        <v>354</v>
      </c>
      <c r="K59" s="2" t="s">
        <v>52</v>
      </c>
      <c r="L59" s="6">
        <v>46211.34284646991</v>
      </c>
      <c r="N59" s="5" t="s">
        <v>762</v>
      </c>
    </row>
    <row r="60">
      <c r="A60" s="2" t="s">
        <v>771</v>
      </c>
      <c r="B60" s="6">
        <v>46213.5</v>
      </c>
      <c r="C60" s="2" t="s">
        <v>34</v>
      </c>
      <c r="D60" s="2" t="s">
        <v>773</v>
      </c>
      <c r="E60" s="4">
        <v>158.0</v>
      </c>
      <c r="F60" s="2" t="s">
        <v>181</v>
      </c>
      <c r="G60" s="2" t="s">
        <v>35</v>
      </c>
      <c r="H60" s="2"/>
      <c r="J60" s="2" t="s">
        <v>354</v>
      </c>
      <c r="K60" s="2" t="s">
        <v>52</v>
      </c>
      <c r="L60" s="6">
        <v>46211.453898391206</v>
      </c>
      <c r="N60" s="5" t="s">
        <v>777</v>
      </c>
    </row>
    <row r="61">
      <c r="A61" s="2" t="s">
        <v>784</v>
      </c>
      <c r="B61" s="6">
        <v>46217.5</v>
      </c>
      <c r="C61" s="2" t="s">
        <v>34</v>
      </c>
      <c r="D61" s="2" t="s">
        <v>786</v>
      </c>
      <c r="E61" s="4">
        <v>1.0</v>
      </c>
      <c r="F61" s="2" t="s">
        <v>181</v>
      </c>
      <c r="G61" s="2" t="s">
        <v>51</v>
      </c>
      <c r="H61" s="2"/>
      <c r="I61" s="2" t="s">
        <v>788</v>
      </c>
      <c r="J61" s="2" t="s">
        <v>354</v>
      </c>
      <c r="K61" s="2" t="s">
        <v>52</v>
      </c>
      <c r="L61" s="6">
        <v>46213.30022877315</v>
      </c>
    </row>
    <row r="62">
      <c r="A62" s="2" t="s">
        <v>790</v>
      </c>
      <c r="B62" s="6">
        <v>46227.5</v>
      </c>
      <c r="C62" s="2" t="s">
        <v>34</v>
      </c>
      <c r="D62" s="2" t="s">
        <v>793</v>
      </c>
      <c r="E62" s="4">
        <v>1.0</v>
      </c>
      <c r="F62" s="2" t="s">
        <v>181</v>
      </c>
      <c r="G62" s="2" t="s">
        <v>51</v>
      </c>
      <c r="H62" s="2"/>
      <c r="I62" s="2" t="s">
        <v>795</v>
      </c>
      <c r="J62" s="2" t="s">
        <v>354</v>
      </c>
      <c r="K62" s="2" t="s">
        <v>52</v>
      </c>
      <c r="L62" s="6">
        <v>46225.37716495371</v>
      </c>
    </row>
    <row r="63">
      <c r="H63" s="2"/>
    </row>
    <row r="64">
      <c r="H64" s="2"/>
    </row>
    <row r="65">
      <c r="H65" s="2"/>
    </row>
    <row r="66">
      <c r="H66" s="2"/>
    </row>
    <row r="67">
      <c r="H67" s="2"/>
    </row>
    <row r="68">
      <c r="H68" s="2"/>
    </row>
    <row r="69">
      <c r="H69" s="2"/>
    </row>
    <row r="70">
      <c r="H70" s="2"/>
    </row>
    <row r="71">
      <c r="H71" s="2"/>
    </row>
    <row r="72">
      <c r="H72" s="2"/>
    </row>
    <row r="73">
      <c r="H73" s="2"/>
    </row>
    <row r="74">
      <c r="H74" s="2"/>
    </row>
    <row r="75">
      <c r="H75" s="2"/>
    </row>
    <row r="76">
      <c r="H76" s="2"/>
    </row>
    <row r="77">
      <c r="H77" s="2"/>
    </row>
    <row r="78">
      <c r="H78" s="2"/>
    </row>
    <row r="79">
      <c r="H79" s="2"/>
    </row>
    <row r="80">
      <c r="H80" s="2"/>
    </row>
    <row r="81">
      <c r="H81" s="2"/>
    </row>
    <row r="82">
      <c r="H82" s="2"/>
    </row>
    <row r="83">
      <c r="H83" s="2"/>
    </row>
    <row r="84">
      <c r="H84" s="2"/>
    </row>
    <row r="85">
      <c r="H85" s="2"/>
    </row>
    <row r="86">
      <c r="H86" s="2"/>
    </row>
    <row r="87">
      <c r="H87" s="2"/>
    </row>
    <row r="88">
      <c r="H88" s="2"/>
    </row>
    <row r="89">
      <c r="H89" s="2"/>
    </row>
    <row r="90">
      <c r="H90" s="2"/>
    </row>
    <row r="91">
      <c r="H91" s="2"/>
    </row>
    <row r="92">
      <c r="H92" s="2"/>
    </row>
    <row r="93">
      <c r="H93" s="2"/>
    </row>
    <row r="94">
      <c r="H94" s="2"/>
    </row>
    <row r="95">
      <c r="H95" s="2"/>
    </row>
    <row r="96">
      <c r="H96" s="2"/>
    </row>
    <row r="97">
      <c r="H97" s="2"/>
    </row>
    <row r="98">
      <c r="H98" s="2"/>
    </row>
    <row r="99">
      <c r="H99" s="2"/>
    </row>
    <row r="100">
      <c r="H100" s="2"/>
    </row>
    <row r="101">
      <c r="H101" s="2"/>
    </row>
    <row r="102">
      <c r="H102" s="2"/>
    </row>
    <row r="103">
      <c r="H103" s="2"/>
    </row>
    <row r="104">
      <c r="H104" s="2"/>
    </row>
    <row r="105">
      <c r="H105" s="2"/>
    </row>
    <row r="106">
      <c r="H106" s="2"/>
    </row>
    <row r="107">
      <c r="H107" s="2"/>
    </row>
    <row r="108">
      <c r="H108" s="2"/>
    </row>
    <row r="109">
      <c r="H109" s="2"/>
    </row>
    <row r="110">
      <c r="H110" s="2"/>
    </row>
    <row r="111">
      <c r="H111" s="2"/>
    </row>
    <row r="112">
      <c r="H112" s="2"/>
    </row>
    <row r="113">
      <c r="H113" s="2"/>
    </row>
    <row r="114">
      <c r="H114" s="2"/>
    </row>
    <row r="115">
      <c r="H115" s="2"/>
    </row>
    <row r="116">
      <c r="H116" s="2"/>
    </row>
    <row r="117">
      <c r="H117" s="2"/>
    </row>
    <row r="118">
      <c r="H118" s="2"/>
    </row>
    <row r="119">
      <c r="H119" s="2"/>
    </row>
    <row r="120">
      <c r="H120" s="2"/>
    </row>
    <row r="121">
      <c r="H121" s="2"/>
    </row>
    <row r="122">
      <c r="H122" s="2"/>
    </row>
    <row r="123">
      <c r="H123" s="2"/>
    </row>
    <row r="124">
      <c r="H124" s="2"/>
    </row>
    <row r="125">
      <c r="H125" s="2"/>
    </row>
    <row r="126">
      <c r="H126" s="2"/>
    </row>
    <row r="127">
      <c r="H127" s="2"/>
    </row>
    <row r="128">
      <c r="H128" s="2"/>
    </row>
    <row r="129">
      <c r="H129" s="2"/>
    </row>
    <row r="130">
      <c r="H130" s="2"/>
    </row>
    <row r="131">
      <c r="H131" s="2"/>
    </row>
    <row r="132">
      <c r="H132" s="2"/>
    </row>
    <row r="133">
      <c r="H133" s="2"/>
    </row>
    <row r="134">
      <c r="H134" s="2"/>
    </row>
    <row r="135">
      <c r="H135" s="2"/>
    </row>
    <row r="136">
      <c r="H136" s="2"/>
    </row>
    <row r="137">
      <c r="H137" s="2"/>
    </row>
    <row r="138">
      <c r="H138" s="2"/>
    </row>
    <row r="139">
      <c r="H139" s="2"/>
    </row>
    <row r="140">
      <c r="H140" s="2"/>
    </row>
    <row r="141">
      <c r="H141" s="2"/>
    </row>
    <row r="142">
      <c r="H142" s="2"/>
    </row>
    <row r="143">
      <c r="H143" s="2"/>
    </row>
    <row r="144">
      <c r="H144" s="2"/>
    </row>
    <row r="145">
      <c r="H145" s="2"/>
    </row>
    <row r="146">
      <c r="H146" s="2"/>
    </row>
    <row r="147">
      <c r="H147" s="2"/>
    </row>
    <row r="148">
      <c r="H148" s="2"/>
    </row>
    <row r="149">
      <c r="H149" s="2"/>
    </row>
    <row r="150">
      <c r="H150" s="2"/>
    </row>
    <row r="151">
      <c r="H151" s="2"/>
    </row>
    <row r="152">
      <c r="H152" s="2"/>
    </row>
    <row r="153">
      <c r="H153" s="2"/>
    </row>
    <row r="154">
      <c r="H154" s="2"/>
    </row>
    <row r="155">
      <c r="H155" s="2"/>
    </row>
    <row r="156">
      <c r="H156" s="2"/>
    </row>
    <row r="157">
      <c r="H157" s="2"/>
    </row>
    <row r="158">
      <c r="H158" s="2"/>
    </row>
    <row r="159">
      <c r="H159" s="2"/>
    </row>
    <row r="160">
      <c r="H160" s="2"/>
    </row>
    <row r="161">
      <c r="H161" s="2"/>
    </row>
    <row r="162">
      <c r="H162" s="2"/>
    </row>
    <row r="163">
      <c r="H163" s="2"/>
    </row>
    <row r="164">
      <c r="H164" s="2"/>
    </row>
    <row r="165">
      <c r="H165" s="2"/>
    </row>
    <row r="166">
      <c r="H166" s="2"/>
    </row>
    <row r="167">
      <c r="H167" s="2"/>
    </row>
    <row r="168">
      <c r="H168" s="2"/>
    </row>
    <row r="169">
      <c r="H169" s="2"/>
    </row>
    <row r="170">
      <c r="H170" s="2"/>
    </row>
    <row r="171">
      <c r="H171" s="2"/>
    </row>
    <row r="172">
      <c r="H172" s="2"/>
    </row>
    <row r="173">
      <c r="H173" s="2"/>
    </row>
    <row r="174">
      <c r="H174" s="2"/>
    </row>
    <row r="175">
      <c r="H175" s="2"/>
    </row>
    <row r="176">
      <c r="H176" s="2"/>
    </row>
    <row r="177">
      <c r="H177" s="2"/>
    </row>
    <row r="178">
      <c r="H178" s="2"/>
    </row>
    <row r="179">
      <c r="H179" s="2"/>
    </row>
    <row r="180">
      <c r="H180" s="2"/>
    </row>
    <row r="181">
      <c r="H181" s="2"/>
    </row>
    <row r="182">
      <c r="H182" s="2"/>
    </row>
    <row r="183">
      <c r="H183" s="2"/>
    </row>
    <row r="184">
      <c r="H184" s="2"/>
    </row>
    <row r="185">
      <c r="H185" s="2"/>
    </row>
    <row r="186">
      <c r="H186" s="2"/>
    </row>
    <row r="187">
      <c r="H187" s="2"/>
    </row>
    <row r="188">
      <c r="H188" s="2"/>
    </row>
    <row r="189">
      <c r="H189" s="2"/>
    </row>
    <row r="190">
      <c r="H190" s="2"/>
    </row>
    <row r="191">
      <c r="H191" s="2"/>
    </row>
    <row r="192">
      <c r="H192" s="2"/>
    </row>
    <row r="193">
      <c r="H193" s="2"/>
    </row>
    <row r="194">
      <c r="H194" s="2"/>
    </row>
    <row r="195">
      <c r="H195" s="2"/>
    </row>
    <row r="196">
      <c r="H196" s="2"/>
    </row>
    <row r="197">
      <c r="H197" s="2"/>
    </row>
    <row r="198">
      <c r="H198" s="2"/>
    </row>
    <row r="199">
      <c r="H199" s="2"/>
    </row>
    <row r="200">
      <c r="H200" s="2"/>
    </row>
    <row r="201">
      <c r="H201" s="2"/>
    </row>
    <row r="202">
      <c r="H202" s="2"/>
    </row>
    <row r="203">
      <c r="H203" s="2"/>
    </row>
    <row r="204">
      <c r="H204" s="2"/>
    </row>
    <row r="205">
      <c r="H205" s="2"/>
    </row>
    <row r="206">
      <c r="H206" s="2"/>
    </row>
    <row r="207">
      <c r="H207" s="2"/>
    </row>
    <row r="208">
      <c r="H208" s="2"/>
    </row>
    <row r="209">
      <c r="H209" s="2"/>
    </row>
    <row r="210">
      <c r="H210" s="2"/>
    </row>
    <row r="211">
      <c r="H211" s="2"/>
    </row>
    <row r="212">
      <c r="H212" s="2"/>
    </row>
    <row r="213">
      <c r="H213" s="2"/>
    </row>
    <row r="214">
      <c r="H214" s="2"/>
    </row>
    <row r="215">
      <c r="H215" s="2"/>
    </row>
    <row r="216">
      <c r="H216" s="2"/>
    </row>
    <row r="217">
      <c r="H217" s="2"/>
    </row>
    <row r="218">
      <c r="H218" s="2"/>
    </row>
    <row r="219">
      <c r="H219" s="2"/>
    </row>
    <row r="220">
      <c r="H220" s="2"/>
    </row>
    <row r="221">
      <c r="H221" s="2"/>
    </row>
    <row r="222">
      <c r="H222" s="2"/>
    </row>
    <row r="223">
      <c r="H223" s="2"/>
    </row>
    <row r="224">
      <c r="H224" s="2"/>
    </row>
    <row r="225">
      <c r="H225" s="2"/>
    </row>
    <row r="226">
      <c r="H226" s="2"/>
    </row>
    <row r="227">
      <c r="H227" s="2"/>
    </row>
    <row r="228">
      <c r="H228" s="2"/>
    </row>
    <row r="229">
      <c r="H229" s="2"/>
    </row>
    <row r="230">
      <c r="H230" s="2"/>
    </row>
    <row r="231">
      <c r="H231" s="2"/>
    </row>
    <row r="232">
      <c r="H232" s="2"/>
    </row>
    <row r="233">
      <c r="H233" s="2"/>
    </row>
    <row r="234">
      <c r="H234" s="2"/>
    </row>
    <row r="235">
      <c r="H235" s="2"/>
    </row>
    <row r="236">
      <c r="H236" s="2"/>
    </row>
    <row r="237">
      <c r="H237" s="2"/>
    </row>
    <row r="238">
      <c r="H238" s="2"/>
    </row>
    <row r="239">
      <c r="H239" s="2"/>
    </row>
    <row r="240">
      <c r="H240" s="2"/>
    </row>
    <row r="241">
      <c r="H241" s="2"/>
    </row>
    <row r="242">
      <c r="H242" s="2"/>
    </row>
    <row r="243">
      <c r="H243" s="2"/>
    </row>
    <row r="244">
      <c r="H244" s="2"/>
    </row>
    <row r="245">
      <c r="H245" s="2"/>
    </row>
    <row r="246">
      <c r="H246" s="2"/>
    </row>
    <row r="247">
      <c r="H247" s="2"/>
    </row>
    <row r="248">
      <c r="H248" s="2"/>
    </row>
    <row r="249">
      <c r="H249" s="2"/>
    </row>
    <row r="250">
      <c r="H250" s="2"/>
    </row>
    <row r="251">
      <c r="H251" s="2"/>
    </row>
    <row r="252">
      <c r="H252" s="2"/>
    </row>
    <row r="253">
      <c r="H253" s="2"/>
    </row>
    <row r="254">
      <c r="H254" s="2"/>
    </row>
    <row r="255">
      <c r="H255" s="2"/>
    </row>
    <row r="256">
      <c r="H256" s="2"/>
    </row>
    <row r="257">
      <c r="H257" s="2"/>
    </row>
    <row r="258">
      <c r="H258" s="2"/>
    </row>
    <row r="259">
      <c r="H259" s="2"/>
    </row>
    <row r="260">
      <c r="H260" s="2"/>
    </row>
    <row r="261">
      <c r="H261" s="2"/>
    </row>
    <row r="262">
      <c r="H262" s="2"/>
    </row>
    <row r="263">
      <c r="H263" s="2"/>
    </row>
    <row r="264">
      <c r="H264" s="2"/>
    </row>
    <row r="265">
      <c r="H265" s="2"/>
    </row>
    <row r="266">
      <c r="H266" s="2"/>
    </row>
    <row r="267">
      <c r="H267" s="2"/>
    </row>
    <row r="268">
      <c r="H268" s="2"/>
    </row>
    <row r="269">
      <c r="H269" s="2"/>
    </row>
    <row r="270">
      <c r="H270" s="2"/>
    </row>
    <row r="271">
      <c r="H271" s="2"/>
    </row>
    <row r="272">
      <c r="H272" s="2"/>
    </row>
    <row r="273">
      <c r="H273" s="2"/>
    </row>
    <row r="274">
      <c r="H274" s="2"/>
    </row>
    <row r="275">
      <c r="H275" s="2"/>
    </row>
    <row r="276">
      <c r="H276" s="2"/>
    </row>
    <row r="277">
      <c r="H277" s="2"/>
    </row>
    <row r="278">
      <c r="H278" s="2"/>
    </row>
    <row r="279">
      <c r="H279" s="2"/>
    </row>
    <row r="280">
      <c r="H280" s="2"/>
    </row>
    <row r="281">
      <c r="H281" s="2"/>
    </row>
    <row r="282">
      <c r="H282" s="2"/>
    </row>
    <row r="283">
      <c r="H283" s="2"/>
    </row>
    <row r="284">
      <c r="H284" s="2"/>
    </row>
    <row r="285">
      <c r="H285" s="2"/>
    </row>
    <row r="286">
      <c r="H286" s="2"/>
    </row>
    <row r="287">
      <c r="H287" s="2"/>
    </row>
    <row r="288">
      <c r="H288" s="2"/>
    </row>
    <row r="289">
      <c r="H289" s="2"/>
    </row>
    <row r="290">
      <c r="H290" s="2"/>
    </row>
    <row r="291">
      <c r="H291" s="2"/>
    </row>
    <row r="292">
      <c r="H292" s="2"/>
    </row>
    <row r="293">
      <c r="H293" s="2"/>
    </row>
    <row r="294">
      <c r="H294" s="2"/>
    </row>
    <row r="295">
      <c r="H295" s="2"/>
    </row>
    <row r="296">
      <c r="H296" s="2"/>
    </row>
    <row r="297">
      <c r="H297" s="2"/>
    </row>
    <row r="298">
      <c r="H298" s="2"/>
    </row>
    <row r="299">
      <c r="H299" s="2"/>
    </row>
    <row r="300">
      <c r="H300" s="2"/>
    </row>
    <row r="301">
      <c r="H301" s="2"/>
    </row>
    <row r="302">
      <c r="H302" s="2"/>
    </row>
    <row r="303">
      <c r="H303" s="2"/>
    </row>
    <row r="304">
      <c r="H304" s="2"/>
    </row>
    <row r="305">
      <c r="H305" s="2"/>
    </row>
    <row r="306">
      <c r="H306" s="2"/>
    </row>
    <row r="307">
      <c r="H307" s="2"/>
    </row>
    <row r="308">
      <c r="H308" s="2"/>
    </row>
    <row r="309">
      <c r="H309" s="2"/>
    </row>
    <row r="310">
      <c r="H310" s="2"/>
    </row>
    <row r="311">
      <c r="H311" s="2"/>
    </row>
    <row r="312">
      <c r="H312" s="2"/>
    </row>
    <row r="313">
      <c r="H313" s="2"/>
    </row>
    <row r="314">
      <c r="H314" s="2"/>
    </row>
    <row r="315">
      <c r="H315" s="2"/>
    </row>
    <row r="316">
      <c r="H316" s="2"/>
    </row>
    <row r="317">
      <c r="H317" s="2"/>
    </row>
    <row r="318">
      <c r="H318" s="2"/>
    </row>
    <row r="319">
      <c r="H319" s="2"/>
    </row>
    <row r="320">
      <c r="H320" s="2"/>
    </row>
    <row r="321">
      <c r="H321" s="2"/>
    </row>
    <row r="322">
      <c r="H322" s="2"/>
    </row>
    <row r="323">
      <c r="H323" s="2"/>
    </row>
    <row r="324">
      <c r="H324" s="2"/>
    </row>
    <row r="325">
      <c r="H325" s="2"/>
    </row>
    <row r="326">
      <c r="H326" s="2"/>
    </row>
    <row r="327">
      <c r="H327" s="2"/>
    </row>
    <row r="328">
      <c r="H328" s="2"/>
    </row>
    <row r="329">
      <c r="H329" s="2"/>
    </row>
    <row r="330">
      <c r="H330" s="2"/>
    </row>
    <row r="331">
      <c r="H331" s="2"/>
    </row>
    <row r="332">
      <c r="H332" s="2"/>
    </row>
    <row r="333">
      <c r="H333" s="2"/>
    </row>
    <row r="334">
      <c r="H334" s="2"/>
    </row>
    <row r="335">
      <c r="H335" s="2"/>
    </row>
    <row r="336">
      <c r="H336" s="2"/>
    </row>
    <row r="337">
      <c r="H337" s="2"/>
    </row>
    <row r="338">
      <c r="H338" s="2"/>
    </row>
    <row r="339">
      <c r="H339" s="2"/>
    </row>
    <row r="340">
      <c r="H340" s="2"/>
    </row>
    <row r="341">
      <c r="H341" s="2"/>
    </row>
    <row r="342">
      <c r="H342" s="2"/>
    </row>
    <row r="343">
      <c r="H343" s="2"/>
    </row>
    <row r="344">
      <c r="H344" s="2"/>
    </row>
    <row r="345">
      <c r="H345" s="2"/>
    </row>
    <row r="346">
      <c r="H346" s="2"/>
    </row>
    <row r="347">
      <c r="H347" s="2"/>
    </row>
    <row r="348">
      <c r="H348" s="2"/>
    </row>
    <row r="349">
      <c r="H349" s="2"/>
    </row>
    <row r="350">
      <c r="H350" s="2"/>
    </row>
    <row r="351">
      <c r="H351" s="2"/>
    </row>
    <row r="352">
      <c r="H352" s="2"/>
    </row>
    <row r="353">
      <c r="H353" s="2"/>
    </row>
    <row r="354">
      <c r="H354" s="2"/>
    </row>
    <row r="355">
      <c r="H355" s="2"/>
    </row>
    <row r="356">
      <c r="H356" s="2"/>
    </row>
    <row r="357">
      <c r="H357" s="2"/>
    </row>
    <row r="358">
      <c r="H358" s="2"/>
    </row>
    <row r="359">
      <c r="H359" s="2"/>
    </row>
    <row r="360">
      <c r="H360" s="2"/>
    </row>
    <row r="361">
      <c r="H361" s="2"/>
    </row>
    <row r="362">
      <c r="H362" s="2"/>
    </row>
    <row r="363">
      <c r="H363" s="2"/>
    </row>
    <row r="364">
      <c r="H364" s="2"/>
    </row>
    <row r="365">
      <c r="H365" s="2"/>
    </row>
    <row r="366">
      <c r="H366" s="2"/>
    </row>
    <row r="367">
      <c r="H367" s="2"/>
    </row>
    <row r="368">
      <c r="H368" s="2"/>
    </row>
    <row r="369">
      <c r="H369" s="2"/>
    </row>
    <row r="370">
      <c r="H370" s="2"/>
    </row>
    <row r="371">
      <c r="H371" s="2"/>
    </row>
    <row r="372">
      <c r="H372" s="2"/>
    </row>
    <row r="373">
      <c r="H373" s="2"/>
    </row>
    <row r="374">
      <c r="H374" s="2"/>
    </row>
    <row r="375">
      <c r="H375" s="2"/>
    </row>
    <row r="376">
      <c r="H376" s="2"/>
    </row>
    <row r="377">
      <c r="H377" s="2"/>
    </row>
    <row r="378">
      <c r="H378" s="2"/>
    </row>
    <row r="379">
      <c r="H379" s="2"/>
    </row>
    <row r="380">
      <c r="H380" s="2"/>
    </row>
    <row r="381">
      <c r="H381" s="2"/>
    </row>
    <row r="382">
      <c r="H382" s="2"/>
    </row>
    <row r="383">
      <c r="H383" s="2"/>
    </row>
    <row r="384">
      <c r="H384" s="2"/>
    </row>
    <row r="385">
      <c r="H385" s="2"/>
    </row>
    <row r="386">
      <c r="H386" s="2"/>
    </row>
    <row r="387">
      <c r="H387" s="2"/>
    </row>
    <row r="388">
      <c r="H388" s="2"/>
    </row>
    <row r="389">
      <c r="H389" s="2"/>
    </row>
    <row r="390">
      <c r="H390" s="2"/>
    </row>
    <row r="391">
      <c r="H391" s="2"/>
    </row>
    <row r="392">
      <c r="H392" s="2"/>
    </row>
    <row r="393">
      <c r="H393" s="2"/>
    </row>
    <row r="394">
      <c r="H394" s="2"/>
    </row>
    <row r="395">
      <c r="H395" s="2"/>
    </row>
    <row r="396">
      <c r="H396" s="2"/>
    </row>
    <row r="397">
      <c r="H397" s="2"/>
    </row>
    <row r="398">
      <c r="H398" s="2"/>
    </row>
    <row r="399">
      <c r="H399" s="2"/>
    </row>
    <row r="400">
      <c r="H400" s="2"/>
    </row>
    <row r="401">
      <c r="H401" s="2"/>
    </row>
    <row r="402">
      <c r="H402" s="2"/>
    </row>
    <row r="403">
      <c r="H403" s="2"/>
    </row>
    <row r="404">
      <c r="H404" s="2"/>
    </row>
    <row r="405">
      <c r="H405" s="2"/>
    </row>
    <row r="406">
      <c r="H406" s="2"/>
    </row>
    <row r="407">
      <c r="H407" s="2"/>
    </row>
    <row r="408">
      <c r="H408" s="2"/>
    </row>
    <row r="409">
      <c r="H409" s="2"/>
    </row>
    <row r="410">
      <c r="H410" s="2"/>
    </row>
    <row r="411">
      <c r="H411" s="2"/>
    </row>
    <row r="412">
      <c r="H412" s="2"/>
    </row>
    <row r="413">
      <c r="H413" s="2"/>
    </row>
    <row r="414">
      <c r="H414" s="2"/>
    </row>
    <row r="415">
      <c r="H415" s="2"/>
    </row>
    <row r="416">
      <c r="H416" s="2"/>
    </row>
    <row r="417">
      <c r="H417" s="2"/>
    </row>
    <row r="418">
      <c r="H418" s="2"/>
    </row>
    <row r="419">
      <c r="H419" s="2"/>
    </row>
    <row r="420">
      <c r="H420" s="2"/>
    </row>
    <row r="421">
      <c r="H421" s="2"/>
    </row>
    <row r="422">
      <c r="H422" s="2"/>
    </row>
    <row r="423">
      <c r="H423" s="2"/>
    </row>
    <row r="424">
      <c r="H424" s="2"/>
    </row>
    <row r="425">
      <c r="H425" s="2"/>
    </row>
    <row r="426">
      <c r="H426" s="2"/>
    </row>
    <row r="427">
      <c r="H427" s="2"/>
    </row>
    <row r="428">
      <c r="H428" s="2"/>
    </row>
    <row r="429">
      <c r="H429" s="2"/>
    </row>
    <row r="430">
      <c r="H430" s="2"/>
    </row>
    <row r="431">
      <c r="H431" s="2"/>
    </row>
    <row r="432">
      <c r="H432" s="2"/>
    </row>
    <row r="433">
      <c r="H433" s="2"/>
    </row>
    <row r="434">
      <c r="H434" s="2"/>
    </row>
    <row r="435">
      <c r="H435" s="2"/>
    </row>
    <row r="436">
      <c r="H436" s="2"/>
    </row>
    <row r="437">
      <c r="H437" s="2"/>
    </row>
    <row r="438">
      <c r="H438" s="2"/>
    </row>
    <row r="439">
      <c r="H439" s="2"/>
    </row>
    <row r="440">
      <c r="H440" s="2"/>
    </row>
    <row r="441">
      <c r="H441" s="2"/>
    </row>
    <row r="442">
      <c r="H442" s="2"/>
    </row>
    <row r="443">
      <c r="H443" s="2"/>
    </row>
    <row r="444">
      <c r="H444" s="2"/>
    </row>
    <row r="445">
      <c r="H445" s="2"/>
    </row>
    <row r="446">
      <c r="H446" s="2"/>
    </row>
    <row r="447">
      <c r="H447" s="2"/>
    </row>
    <row r="448">
      <c r="H448" s="2"/>
    </row>
    <row r="449">
      <c r="H449" s="2"/>
    </row>
    <row r="450">
      <c r="H450" s="2"/>
    </row>
    <row r="451">
      <c r="H451" s="2"/>
    </row>
    <row r="452">
      <c r="H452" s="2"/>
    </row>
    <row r="453">
      <c r="H453" s="2"/>
    </row>
    <row r="454">
      <c r="H454" s="2"/>
    </row>
    <row r="455">
      <c r="H455" s="2"/>
    </row>
    <row r="456">
      <c r="H456" s="2"/>
    </row>
    <row r="457">
      <c r="H457" s="2"/>
    </row>
    <row r="458">
      <c r="H458" s="2"/>
    </row>
    <row r="459">
      <c r="H459" s="2"/>
    </row>
    <row r="460">
      <c r="H460" s="2"/>
    </row>
    <row r="461">
      <c r="H461" s="2"/>
    </row>
    <row r="462">
      <c r="H462" s="2"/>
    </row>
    <row r="463">
      <c r="H463" s="2"/>
    </row>
    <row r="464">
      <c r="H464" s="2"/>
    </row>
    <row r="465">
      <c r="H465" s="2"/>
    </row>
    <row r="466">
      <c r="H466" s="2"/>
    </row>
    <row r="467">
      <c r="H467" s="2"/>
    </row>
    <row r="468">
      <c r="H468" s="2"/>
    </row>
    <row r="469">
      <c r="H469" s="2"/>
    </row>
    <row r="470">
      <c r="H470" s="2"/>
    </row>
    <row r="471">
      <c r="H471" s="2"/>
    </row>
    <row r="472">
      <c r="H472" s="2"/>
    </row>
    <row r="473">
      <c r="H473" s="2"/>
    </row>
    <row r="474">
      <c r="H474" s="2"/>
    </row>
    <row r="475">
      <c r="H475" s="2"/>
    </row>
    <row r="476">
      <c r="H476" s="2"/>
    </row>
    <row r="477">
      <c r="H477" s="2"/>
    </row>
    <row r="478">
      <c r="H478" s="2"/>
    </row>
    <row r="479">
      <c r="H479" s="2"/>
    </row>
    <row r="480">
      <c r="H480" s="2"/>
    </row>
    <row r="481">
      <c r="H481" s="2"/>
    </row>
    <row r="482">
      <c r="H482" s="2"/>
    </row>
    <row r="483">
      <c r="H483" s="2"/>
    </row>
    <row r="484">
      <c r="H484" s="2"/>
    </row>
    <row r="485">
      <c r="H485" s="2"/>
    </row>
    <row r="486">
      <c r="H486" s="2"/>
    </row>
    <row r="487">
      <c r="H487" s="2"/>
    </row>
    <row r="488">
      <c r="H488" s="2"/>
    </row>
    <row r="489">
      <c r="H489" s="2"/>
    </row>
    <row r="490">
      <c r="H490" s="2"/>
    </row>
    <row r="491">
      <c r="H491" s="2"/>
    </row>
    <row r="492">
      <c r="H492" s="2"/>
    </row>
    <row r="493">
      <c r="H493" s="2"/>
    </row>
    <row r="494">
      <c r="H494" s="2"/>
    </row>
    <row r="495">
      <c r="H495" s="2"/>
    </row>
    <row r="496">
      <c r="H496" s="2"/>
    </row>
    <row r="497">
      <c r="H497" s="2"/>
    </row>
    <row r="498">
      <c r="H498" s="2"/>
    </row>
    <row r="499">
      <c r="H499" s="2"/>
    </row>
    <row r="500">
      <c r="H500" s="2"/>
    </row>
    <row r="501">
      <c r="H501" s="2"/>
    </row>
    <row r="502">
      <c r="H502" s="2"/>
    </row>
    <row r="503">
      <c r="H503" s="2"/>
    </row>
    <row r="504">
      <c r="H504" s="2"/>
    </row>
    <row r="505">
      <c r="H505" s="2"/>
    </row>
    <row r="506">
      <c r="H506" s="2"/>
    </row>
    <row r="507">
      <c r="H507" s="2"/>
    </row>
    <row r="508">
      <c r="H508" s="2"/>
    </row>
    <row r="509">
      <c r="H509" s="2"/>
    </row>
    <row r="510">
      <c r="H510" s="2"/>
    </row>
    <row r="511">
      <c r="H511" s="2"/>
    </row>
    <row r="512">
      <c r="H512" s="2"/>
    </row>
    <row r="513">
      <c r="H513" s="2"/>
    </row>
    <row r="514">
      <c r="H514" s="2"/>
    </row>
    <row r="515">
      <c r="H515" s="2"/>
    </row>
    <row r="516">
      <c r="H516" s="2"/>
    </row>
    <row r="517">
      <c r="H517" s="2"/>
    </row>
    <row r="518">
      <c r="H518" s="2"/>
    </row>
    <row r="519">
      <c r="H519" s="2"/>
    </row>
    <row r="520">
      <c r="H520" s="2"/>
    </row>
    <row r="521">
      <c r="H521" s="2"/>
    </row>
    <row r="522">
      <c r="H522" s="2"/>
    </row>
    <row r="523">
      <c r="H523" s="2"/>
    </row>
    <row r="524">
      <c r="H524" s="2"/>
    </row>
    <row r="525">
      <c r="H525" s="2"/>
    </row>
    <row r="526">
      <c r="H526" s="2"/>
    </row>
    <row r="527">
      <c r="H527" s="2"/>
    </row>
    <row r="528">
      <c r="H528" s="2"/>
    </row>
    <row r="529">
      <c r="H529" s="2"/>
    </row>
    <row r="530">
      <c r="H530" s="2"/>
    </row>
    <row r="531">
      <c r="H531" s="2"/>
    </row>
    <row r="532">
      <c r="H532" s="2"/>
    </row>
    <row r="533">
      <c r="H533" s="2"/>
    </row>
    <row r="534">
      <c r="H534" s="2"/>
    </row>
    <row r="535">
      <c r="H535" s="2"/>
    </row>
    <row r="536">
      <c r="H536" s="2"/>
    </row>
    <row r="537">
      <c r="H537" s="2"/>
    </row>
    <row r="538">
      <c r="H538" s="2"/>
    </row>
    <row r="539">
      <c r="H539" s="2"/>
    </row>
    <row r="540">
      <c r="H540" s="2"/>
    </row>
    <row r="541">
      <c r="H541" s="2"/>
    </row>
    <row r="542">
      <c r="H542" s="2"/>
    </row>
    <row r="543">
      <c r="H543" s="2"/>
    </row>
    <row r="544">
      <c r="H544" s="2"/>
    </row>
    <row r="545">
      <c r="H545" s="2"/>
    </row>
    <row r="546">
      <c r="H546" s="2"/>
    </row>
    <row r="547">
      <c r="H547" s="2"/>
    </row>
    <row r="548">
      <c r="H548" s="2"/>
    </row>
    <row r="549">
      <c r="H549" s="2"/>
    </row>
    <row r="550">
      <c r="H550" s="2"/>
    </row>
    <row r="551">
      <c r="H551" s="2"/>
    </row>
    <row r="552">
      <c r="H552" s="2"/>
    </row>
    <row r="553">
      <c r="H553" s="2"/>
    </row>
    <row r="554">
      <c r="H554" s="2"/>
    </row>
    <row r="555">
      <c r="H555" s="2"/>
    </row>
    <row r="556">
      <c r="H556" s="2"/>
    </row>
    <row r="557">
      <c r="H557" s="2"/>
    </row>
    <row r="558">
      <c r="H558" s="2"/>
    </row>
    <row r="559">
      <c r="H559" s="2"/>
    </row>
    <row r="560">
      <c r="H560" s="2"/>
    </row>
    <row r="561">
      <c r="H561" s="2"/>
    </row>
    <row r="562">
      <c r="H562" s="2"/>
    </row>
    <row r="563">
      <c r="H563" s="2"/>
    </row>
    <row r="564">
      <c r="H564" s="2"/>
    </row>
    <row r="565">
      <c r="H565" s="2"/>
    </row>
    <row r="566">
      <c r="H566" s="2"/>
    </row>
    <row r="567">
      <c r="H567" s="2"/>
    </row>
    <row r="568">
      <c r="H568" s="2"/>
    </row>
    <row r="569">
      <c r="H569" s="2"/>
    </row>
    <row r="570">
      <c r="H570" s="2"/>
    </row>
    <row r="571">
      <c r="H571" s="2"/>
    </row>
    <row r="572">
      <c r="H572" s="2"/>
    </row>
    <row r="573">
      <c r="H573" s="2"/>
    </row>
    <row r="574">
      <c r="H574" s="2"/>
    </row>
    <row r="575">
      <c r="H575" s="2"/>
    </row>
    <row r="576">
      <c r="H576" s="2"/>
    </row>
    <row r="577">
      <c r="H577" s="2"/>
    </row>
    <row r="578">
      <c r="H578" s="2"/>
    </row>
    <row r="579">
      <c r="H579" s="2"/>
    </row>
    <row r="580">
      <c r="H580" s="2"/>
    </row>
    <row r="581">
      <c r="H581" s="2"/>
    </row>
    <row r="582">
      <c r="H582" s="2"/>
    </row>
    <row r="583">
      <c r="H583" s="2"/>
    </row>
    <row r="584">
      <c r="H584" s="2"/>
    </row>
    <row r="585">
      <c r="H585" s="2"/>
    </row>
    <row r="586">
      <c r="H586" s="2"/>
    </row>
    <row r="587">
      <c r="H587" s="2"/>
    </row>
    <row r="588">
      <c r="H588" s="2"/>
    </row>
    <row r="589">
      <c r="H589" s="2"/>
    </row>
    <row r="590">
      <c r="H590" s="2"/>
    </row>
    <row r="591">
      <c r="H591" s="2"/>
    </row>
    <row r="592">
      <c r="H592" s="2"/>
    </row>
    <row r="593">
      <c r="H593" s="2"/>
    </row>
    <row r="594">
      <c r="H594" s="2"/>
    </row>
    <row r="595">
      <c r="H595" s="2"/>
    </row>
    <row r="596">
      <c r="H596" s="2"/>
    </row>
    <row r="597">
      <c r="H597" s="2"/>
    </row>
    <row r="598">
      <c r="H598" s="2"/>
    </row>
    <row r="599">
      <c r="H599" s="2"/>
    </row>
    <row r="600">
      <c r="H600" s="2"/>
    </row>
    <row r="601">
      <c r="H601" s="2"/>
    </row>
    <row r="602">
      <c r="H602" s="2"/>
    </row>
    <row r="603">
      <c r="H603" s="2"/>
    </row>
    <row r="604">
      <c r="H604" s="2"/>
    </row>
    <row r="605">
      <c r="H605" s="2"/>
    </row>
    <row r="606">
      <c r="H606" s="2"/>
    </row>
    <row r="607">
      <c r="H607" s="2"/>
    </row>
    <row r="608">
      <c r="H608" s="2"/>
    </row>
    <row r="609">
      <c r="H609" s="2"/>
    </row>
    <row r="610">
      <c r="H610" s="2"/>
    </row>
    <row r="611">
      <c r="H611" s="2"/>
    </row>
    <row r="612">
      <c r="H612" s="2"/>
    </row>
    <row r="613">
      <c r="H613" s="2"/>
    </row>
    <row r="614">
      <c r="H614" s="2"/>
    </row>
    <row r="615">
      <c r="H615" s="2"/>
    </row>
    <row r="616">
      <c r="H616" s="2"/>
    </row>
    <row r="617">
      <c r="H617" s="2"/>
    </row>
    <row r="618">
      <c r="H618" s="2"/>
    </row>
    <row r="619">
      <c r="H619" s="2"/>
    </row>
    <row r="620">
      <c r="H620" s="2"/>
    </row>
    <row r="621">
      <c r="H621" s="2"/>
    </row>
    <row r="622">
      <c r="H622" s="2"/>
    </row>
    <row r="623">
      <c r="H623" s="2"/>
    </row>
    <row r="624">
      <c r="H624" s="2"/>
    </row>
    <row r="625">
      <c r="H625" s="2"/>
    </row>
    <row r="626">
      <c r="H626" s="2"/>
    </row>
    <row r="627">
      <c r="H627" s="2"/>
    </row>
    <row r="628">
      <c r="H628" s="2"/>
    </row>
    <row r="629">
      <c r="H629" s="2"/>
    </row>
    <row r="630">
      <c r="H630" s="2"/>
    </row>
    <row r="631">
      <c r="H631" s="2"/>
    </row>
    <row r="632">
      <c r="H632" s="2"/>
    </row>
    <row r="633">
      <c r="H633" s="2"/>
    </row>
    <row r="634">
      <c r="H634" s="2"/>
    </row>
    <row r="635">
      <c r="H635" s="2"/>
    </row>
    <row r="636">
      <c r="H636" s="2"/>
    </row>
    <row r="637">
      <c r="H637" s="2"/>
    </row>
    <row r="638">
      <c r="H638" s="2"/>
    </row>
    <row r="639">
      <c r="H639" s="2"/>
    </row>
    <row r="640">
      <c r="H640" s="2"/>
    </row>
    <row r="641">
      <c r="H641" s="2"/>
    </row>
    <row r="642">
      <c r="H642" s="2"/>
    </row>
    <row r="643">
      <c r="H643" s="2"/>
    </row>
    <row r="644">
      <c r="H644" s="2"/>
    </row>
    <row r="645">
      <c r="H645" s="2"/>
    </row>
    <row r="646">
      <c r="H646" s="2"/>
    </row>
    <row r="647">
      <c r="H647" s="2"/>
    </row>
    <row r="648">
      <c r="H648" s="2"/>
    </row>
    <row r="649">
      <c r="H649" s="2"/>
    </row>
    <row r="650">
      <c r="H650" s="2"/>
    </row>
    <row r="651">
      <c r="H651" s="2"/>
    </row>
    <row r="652">
      <c r="H652" s="2"/>
    </row>
    <row r="653">
      <c r="H653" s="2"/>
    </row>
    <row r="654">
      <c r="H654" s="2"/>
    </row>
    <row r="655">
      <c r="H655" s="2"/>
    </row>
    <row r="656">
      <c r="H656" s="2"/>
    </row>
    <row r="657">
      <c r="H657" s="2"/>
    </row>
    <row r="658">
      <c r="H658" s="2"/>
    </row>
    <row r="659">
      <c r="H659" s="2"/>
    </row>
    <row r="660">
      <c r="H660" s="2"/>
    </row>
    <row r="661">
      <c r="H661" s="2"/>
    </row>
    <row r="662">
      <c r="H662" s="2"/>
    </row>
    <row r="663">
      <c r="H663" s="2"/>
    </row>
    <row r="664">
      <c r="H664" s="2"/>
    </row>
    <row r="665">
      <c r="H665" s="2"/>
    </row>
    <row r="666">
      <c r="H666" s="2"/>
    </row>
    <row r="667">
      <c r="H667" s="2"/>
    </row>
    <row r="668">
      <c r="H668" s="2"/>
    </row>
    <row r="669">
      <c r="H669" s="2"/>
    </row>
    <row r="670">
      <c r="H670" s="2"/>
    </row>
    <row r="671">
      <c r="H671" s="2"/>
    </row>
    <row r="672">
      <c r="H672" s="2"/>
    </row>
    <row r="673">
      <c r="H673" s="2"/>
    </row>
    <row r="674">
      <c r="H674" s="2"/>
    </row>
    <row r="675">
      <c r="H675" s="2"/>
    </row>
    <row r="676">
      <c r="H676" s="2"/>
    </row>
    <row r="677">
      <c r="H677" s="2"/>
    </row>
    <row r="678">
      <c r="H678" s="2"/>
    </row>
    <row r="679">
      <c r="H679" s="2"/>
    </row>
    <row r="680">
      <c r="H680" s="2"/>
    </row>
    <row r="681">
      <c r="H681" s="2"/>
    </row>
    <row r="682">
      <c r="H682" s="2"/>
    </row>
    <row r="683">
      <c r="H683" s="2"/>
    </row>
    <row r="684">
      <c r="H684" s="2"/>
    </row>
    <row r="685">
      <c r="H685" s="2"/>
    </row>
    <row r="686">
      <c r="H686" s="2"/>
    </row>
    <row r="687">
      <c r="H687" s="2"/>
    </row>
    <row r="688">
      <c r="H688" s="2"/>
    </row>
    <row r="689">
      <c r="H689" s="2"/>
    </row>
    <row r="690">
      <c r="H690" s="2"/>
    </row>
    <row r="691">
      <c r="H691" s="2"/>
    </row>
    <row r="692">
      <c r="H692" s="2"/>
    </row>
    <row r="693">
      <c r="H693" s="2"/>
    </row>
    <row r="694">
      <c r="H694" s="2"/>
    </row>
    <row r="695">
      <c r="H695" s="2"/>
    </row>
    <row r="696">
      <c r="H696" s="2"/>
    </row>
    <row r="697">
      <c r="H697" s="2"/>
    </row>
    <row r="698">
      <c r="H698" s="2"/>
    </row>
    <row r="699">
      <c r="H699" s="2"/>
    </row>
    <row r="700">
      <c r="H700" s="2"/>
    </row>
    <row r="701">
      <c r="H701" s="2"/>
    </row>
    <row r="702">
      <c r="H702" s="2"/>
    </row>
    <row r="703">
      <c r="H703" s="2"/>
    </row>
    <row r="704">
      <c r="H704" s="2"/>
    </row>
    <row r="705">
      <c r="H705" s="2"/>
    </row>
    <row r="706">
      <c r="H706" s="2"/>
    </row>
    <row r="707">
      <c r="H707" s="2"/>
    </row>
    <row r="708">
      <c r="H708" s="2"/>
    </row>
    <row r="709">
      <c r="H709" s="2"/>
    </row>
    <row r="710">
      <c r="H710" s="2"/>
    </row>
    <row r="711">
      <c r="H711" s="2"/>
    </row>
    <row r="712">
      <c r="H712" s="2"/>
    </row>
    <row r="713">
      <c r="H713" s="2"/>
    </row>
    <row r="714">
      <c r="H714" s="2"/>
    </row>
    <row r="715">
      <c r="H715" s="2"/>
    </row>
    <row r="716">
      <c r="H716" s="2"/>
    </row>
    <row r="717">
      <c r="H717" s="2"/>
    </row>
    <row r="718">
      <c r="H718" s="2"/>
    </row>
    <row r="719">
      <c r="H719" s="2"/>
    </row>
    <row r="720">
      <c r="H720" s="2"/>
    </row>
    <row r="721">
      <c r="H721" s="2"/>
    </row>
    <row r="722">
      <c r="H722" s="2"/>
    </row>
    <row r="723">
      <c r="H723" s="2"/>
    </row>
    <row r="724">
      <c r="H724" s="2"/>
    </row>
    <row r="725">
      <c r="H725" s="2"/>
    </row>
    <row r="726">
      <c r="H726" s="2"/>
    </row>
    <row r="727">
      <c r="H727" s="2"/>
    </row>
    <row r="728">
      <c r="H728" s="2"/>
    </row>
    <row r="729">
      <c r="H729" s="2"/>
    </row>
    <row r="730">
      <c r="H730" s="2"/>
    </row>
    <row r="731">
      <c r="H731" s="2"/>
    </row>
    <row r="732">
      <c r="H732" s="2"/>
    </row>
    <row r="733">
      <c r="H733" s="2"/>
    </row>
    <row r="734">
      <c r="H734" s="2"/>
    </row>
    <row r="735">
      <c r="H735" s="2"/>
    </row>
    <row r="736">
      <c r="H736" s="2"/>
    </row>
    <row r="737">
      <c r="H737" s="2"/>
    </row>
    <row r="738">
      <c r="H738" s="2"/>
    </row>
    <row r="739">
      <c r="H739" s="2"/>
    </row>
    <row r="740">
      <c r="H740" s="2"/>
    </row>
    <row r="741">
      <c r="H741" s="2"/>
    </row>
    <row r="742">
      <c r="H742" s="2"/>
    </row>
    <row r="743">
      <c r="H743" s="2"/>
    </row>
    <row r="744">
      <c r="H744" s="2"/>
    </row>
    <row r="745">
      <c r="H745" s="2"/>
    </row>
    <row r="746">
      <c r="H746" s="2"/>
    </row>
    <row r="747">
      <c r="H747" s="2"/>
    </row>
    <row r="748">
      <c r="H748" s="2"/>
    </row>
    <row r="749">
      <c r="H749" s="2"/>
    </row>
    <row r="750">
      <c r="H750" s="2"/>
    </row>
    <row r="751">
      <c r="H751" s="2"/>
    </row>
    <row r="752">
      <c r="H752" s="2"/>
    </row>
    <row r="753">
      <c r="H753" s="2"/>
    </row>
    <row r="754">
      <c r="H754" s="2"/>
    </row>
    <row r="755">
      <c r="H755" s="2"/>
    </row>
    <row r="756">
      <c r="H756" s="2"/>
    </row>
    <row r="757">
      <c r="H757" s="2"/>
    </row>
    <row r="758">
      <c r="H758" s="2"/>
    </row>
    <row r="759">
      <c r="H759" s="2"/>
    </row>
    <row r="760">
      <c r="H760" s="2"/>
    </row>
    <row r="761">
      <c r="H761" s="2"/>
    </row>
    <row r="762">
      <c r="H762" s="2"/>
    </row>
    <row r="763">
      <c r="H763" s="2"/>
    </row>
    <row r="764">
      <c r="H764" s="2"/>
    </row>
    <row r="765">
      <c r="H765" s="2"/>
    </row>
    <row r="766">
      <c r="H766" s="2"/>
    </row>
    <row r="767">
      <c r="H767" s="2"/>
    </row>
    <row r="768">
      <c r="H768" s="2"/>
    </row>
    <row r="769">
      <c r="H769" s="2"/>
    </row>
    <row r="770">
      <c r="H770" s="2"/>
    </row>
    <row r="771">
      <c r="H771" s="2"/>
    </row>
    <row r="772">
      <c r="H772" s="2"/>
    </row>
    <row r="773">
      <c r="H773" s="2"/>
    </row>
    <row r="774">
      <c r="H774" s="2"/>
    </row>
    <row r="775">
      <c r="H775" s="2"/>
    </row>
    <row r="776">
      <c r="H776" s="2"/>
    </row>
    <row r="777">
      <c r="H777" s="2"/>
    </row>
    <row r="778">
      <c r="H778" s="2"/>
    </row>
    <row r="779">
      <c r="H779" s="2"/>
    </row>
    <row r="780">
      <c r="H780" s="2"/>
    </row>
    <row r="781">
      <c r="H781" s="2"/>
    </row>
    <row r="782">
      <c r="H782" s="2"/>
    </row>
    <row r="783">
      <c r="H783" s="2"/>
    </row>
    <row r="784">
      <c r="H784" s="2"/>
    </row>
    <row r="785">
      <c r="H785" s="2"/>
    </row>
    <row r="786">
      <c r="H786" s="2"/>
    </row>
    <row r="787">
      <c r="H787" s="2"/>
    </row>
    <row r="788">
      <c r="H788" s="2"/>
    </row>
    <row r="789">
      <c r="H789" s="2"/>
    </row>
    <row r="790">
      <c r="H790" s="2"/>
    </row>
    <row r="791">
      <c r="H791" s="2"/>
    </row>
    <row r="792">
      <c r="H792" s="2"/>
    </row>
    <row r="793">
      <c r="H793" s="2"/>
    </row>
    <row r="794">
      <c r="H794" s="2"/>
    </row>
    <row r="795">
      <c r="H795" s="2"/>
    </row>
    <row r="796">
      <c r="H796" s="2"/>
    </row>
    <row r="797">
      <c r="H797" s="2"/>
    </row>
    <row r="798">
      <c r="H798" s="2"/>
    </row>
    <row r="799">
      <c r="H799" s="2"/>
    </row>
    <row r="800">
      <c r="H800" s="2"/>
    </row>
    <row r="801">
      <c r="H801" s="2"/>
    </row>
    <row r="802">
      <c r="H802" s="2"/>
    </row>
    <row r="803">
      <c r="H803" s="2"/>
    </row>
    <row r="804">
      <c r="H804" s="2"/>
    </row>
    <row r="805">
      <c r="H805" s="2"/>
    </row>
    <row r="806">
      <c r="H806" s="2"/>
    </row>
    <row r="807">
      <c r="H807" s="2"/>
    </row>
    <row r="808">
      <c r="H808" s="2"/>
    </row>
    <row r="809">
      <c r="H809" s="2"/>
    </row>
    <row r="810">
      <c r="H810" s="2"/>
    </row>
    <row r="811">
      <c r="H811" s="2"/>
    </row>
    <row r="812">
      <c r="H812" s="2"/>
    </row>
    <row r="813">
      <c r="H813" s="2"/>
    </row>
    <row r="814">
      <c r="H814" s="2"/>
    </row>
    <row r="815">
      <c r="H815" s="2"/>
    </row>
    <row r="816">
      <c r="H816" s="2"/>
    </row>
    <row r="817">
      <c r="H817" s="2"/>
    </row>
    <row r="818">
      <c r="H818" s="2"/>
    </row>
    <row r="819">
      <c r="H819" s="2"/>
    </row>
    <row r="820">
      <c r="H820" s="2"/>
    </row>
    <row r="821">
      <c r="H821" s="2"/>
    </row>
    <row r="822">
      <c r="H822" s="2"/>
    </row>
    <row r="823">
      <c r="H823" s="2"/>
    </row>
    <row r="824">
      <c r="H824" s="2"/>
    </row>
    <row r="825">
      <c r="H825" s="2"/>
    </row>
    <row r="826">
      <c r="H826" s="2"/>
    </row>
    <row r="827">
      <c r="H827" s="2"/>
    </row>
    <row r="828">
      <c r="H828" s="2"/>
    </row>
    <row r="829">
      <c r="H829" s="2"/>
    </row>
    <row r="830">
      <c r="H830" s="2"/>
    </row>
    <row r="831">
      <c r="H831" s="2"/>
    </row>
    <row r="832">
      <c r="H832" s="2"/>
    </row>
    <row r="833">
      <c r="H833" s="2"/>
    </row>
    <row r="834">
      <c r="H834" s="2"/>
    </row>
    <row r="835">
      <c r="H835" s="2"/>
    </row>
    <row r="836">
      <c r="H836" s="2"/>
    </row>
    <row r="837">
      <c r="H837" s="2"/>
    </row>
    <row r="838">
      <c r="H838" s="2"/>
    </row>
    <row r="839">
      <c r="H839" s="2"/>
    </row>
    <row r="840">
      <c r="H840" s="2"/>
    </row>
    <row r="841">
      <c r="H841" s="2"/>
    </row>
    <row r="842">
      <c r="H842" s="2"/>
    </row>
    <row r="843">
      <c r="H843" s="2"/>
    </row>
    <row r="844">
      <c r="H844" s="2"/>
    </row>
    <row r="845">
      <c r="H845" s="2"/>
    </row>
    <row r="846">
      <c r="H846" s="2"/>
    </row>
    <row r="847">
      <c r="H847" s="2"/>
    </row>
    <row r="848">
      <c r="H848" s="2"/>
    </row>
    <row r="849">
      <c r="H849" s="2"/>
    </row>
    <row r="850">
      <c r="H850" s="2"/>
    </row>
    <row r="851">
      <c r="H851" s="2"/>
    </row>
    <row r="852">
      <c r="H852" s="2"/>
    </row>
    <row r="853">
      <c r="H853" s="2"/>
    </row>
    <row r="854">
      <c r="H854" s="2"/>
    </row>
    <row r="855">
      <c r="H855" s="2"/>
    </row>
    <row r="856">
      <c r="H856" s="2"/>
    </row>
    <row r="857">
      <c r="H857" s="2"/>
    </row>
    <row r="858">
      <c r="H858" s="2"/>
    </row>
    <row r="859">
      <c r="H859" s="2"/>
    </row>
    <row r="860">
      <c r="H860" s="2"/>
    </row>
    <row r="861">
      <c r="H861" s="2"/>
    </row>
    <row r="862">
      <c r="H862" s="2"/>
    </row>
    <row r="863">
      <c r="H863" s="2"/>
    </row>
    <row r="864">
      <c r="H864" s="2"/>
    </row>
    <row r="865">
      <c r="H865" s="2"/>
    </row>
    <row r="866">
      <c r="H866" s="2"/>
    </row>
    <row r="867">
      <c r="H867" s="2"/>
    </row>
    <row r="868">
      <c r="H868" s="2"/>
    </row>
    <row r="869">
      <c r="H869" s="2"/>
    </row>
    <row r="870">
      <c r="H870" s="2"/>
    </row>
    <row r="871">
      <c r="H871" s="2"/>
    </row>
    <row r="872">
      <c r="H872" s="2"/>
    </row>
    <row r="873">
      <c r="H873" s="2"/>
    </row>
    <row r="874">
      <c r="H874" s="2"/>
    </row>
    <row r="875">
      <c r="H875" s="2"/>
    </row>
    <row r="876">
      <c r="H876" s="2"/>
    </row>
    <row r="877">
      <c r="H877" s="2"/>
    </row>
    <row r="878">
      <c r="H878" s="2"/>
    </row>
    <row r="879">
      <c r="H879" s="2"/>
    </row>
    <row r="880">
      <c r="H880" s="2"/>
    </row>
    <row r="881">
      <c r="H881" s="2"/>
    </row>
    <row r="882">
      <c r="H882" s="2"/>
    </row>
    <row r="883">
      <c r="H883" s="2"/>
    </row>
    <row r="884">
      <c r="H884" s="2"/>
    </row>
    <row r="885">
      <c r="H885" s="2"/>
    </row>
    <row r="886">
      <c r="H886" s="2"/>
    </row>
    <row r="887">
      <c r="H887" s="2"/>
    </row>
    <row r="888">
      <c r="H888" s="2"/>
    </row>
    <row r="889">
      <c r="H889" s="2"/>
    </row>
    <row r="890">
      <c r="H890" s="2"/>
    </row>
    <row r="891">
      <c r="H891" s="2"/>
    </row>
    <row r="892">
      <c r="H892" s="2"/>
    </row>
    <row r="893">
      <c r="H893" s="2"/>
    </row>
    <row r="894">
      <c r="H894" s="2"/>
    </row>
    <row r="895">
      <c r="H895" s="2"/>
    </row>
    <row r="896">
      <c r="H896" s="2"/>
    </row>
    <row r="897">
      <c r="H897" s="2"/>
    </row>
    <row r="898">
      <c r="H898" s="2"/>
    </row>
    <row r="899">
      <c r="H899" s="2"/>
    </row>
    <row r="900">
      <c r="H900" s="2"/>
    </row>
    <row r="901">
      <c r="H901" s="2"/>
    </row>
    <row r="902">
      <c r="H902" s="2"/>
    </row>
    <row r="903">
      <c r="H903" s="2"/>
    </row>
    <row r="904">
      <c r="H904" s="2"/>
    </row>
    <row r="905">
      <c r="H905" s="2"/>
    </row>
    <row r="906">
      <c r="H906" s="2"/>
    </row>
    <row r="907">
      <c r="H907" s="2"/>
    </row>
    <row r="908">
      <c r="H908" s="2"/>
    </row>
    <row r="909">
      <c r="H909" s="2"/>
    </row>
    <row r="910">
      <c r="H910" s="2"/>
    </row>
    <row r="911">
      <c r="H911" s="2"/>
    </row>
    <row r="912">
      <c r="H912" s="2"/>
    </row>
    <row r="913">
      <c r="H913" s="2"/>
    </row>
    <row r="914">
      <c r="H914" s="2"/>
    </row>
    <row r="915">
      <c r="H915" s="2"/>
    </row>
    <row r="916">
      <c r="H916" s="2"/>
    </row>
    <row r="917">
      <c r="H917" s="2"/>
    </row>
    <row r="918">
      <c r="H918" s="2"/>
    </row>
    <row r="919">
      <c r="H919" s="2"/>
    </row>
    <row r="920">
      <c r="H920" s="2"/>
    </row>
    <row r="921">
      <c r="H921" s="2"/>
    </row>
    <row r="922">
      <c r="H922" s="2"/>
    </row>
    <row r="923">
      <c r="H923" s="2"/>
    </row>
    <row r="924">
      <c r="H924" s="2"/>
    </row>
    <row r="925">
      <c r="H925" s="2"/>
    </row>
    <row r="926">
      <c r="H926" s="2"/>
    </row>
    <row r="927">
      <c r="H927" s="2"/>
    </row>
    <row r="928">
      <c r="H928" s="2"/>
    </row>
    <row r="929">
      <c r="H929" s="2"/>
    </row>
    <row r="930">
      <c r="H930" s="2"/>
    </row>
    <row r="931">
      <c r="H931" s="2"/>
    </row>
    <row r="932">
      <c r="H932" s="2"/>
    </row>
    <row r="933">
      <c r="H933" s="2"/>
    </row>
    <row r="934">
      <c r="H934" s="2"/>
    </row>
    <row r="935">
      <c r="H935" s="2"/>
    </row>
    <row r="936">
      <c r="H936" s="2"/>
    </row>
    <row r="937">
      <c r="H937" s="2"/>
    </row>
    <row r="938">
      <c r="H938" s="2"/>
    </row>
    <row r="939">
      <c r="H939" s="2"/>
    </row>
    <row r="940">
      <c r="H940" s="2"/>
    </row>
    <row r="941">
      <c r="H941" s="2"/>
    </row>
    <row r="942">
      <c r="H942" s="2"/>
    </row>
    <row r="943">
      <c r="H943" s="2"/>
    </row>
    <row r="944">
      <c r="H944" s="2"/>
    </row>
    <row r="945">
      <c r="H945" s="2"/>
    </row>
    <row r="946">
      <c r="H946" s="2"/>
    </row>
    <row r="947">
      <c r="H947" s="2"/>
    </row>
    <row r="948">
      <c r="H948" s="2"/>
    </row>
    <row r="949">
      <c r="H949" s="2"/>
    </row>
    <row r="950">
      <c r="H950" s="2"/>
    </row>
    <row r="951">
      <c r="H951" s="2"/>
    </row>
    <row r="952">
      <c r="H952" s="2"/>
    </row>
    <row r="953">
      <c r="H953" s="2"/>
    </row>
    <row r="954">
      <c r="H954" s="2"/>
    </row>
    <row r="955">
      <c r="H955" s="2"/>
    </row>
    <row r="956">
      <c r="H956" s="2"/>
    </row>
    <row r="957">
      <c r="H957" s="2"/>
    </row>
    <row r="958">
      <c r="H958" s="2"/>
    </row>
    <row r="959">
      <c r="H959" s="2"/>
    </row>
    <row r="960">
      <c r="H960" s="2"/>
    </row>
    <row r="961">
      <c r="H961" s="2"/>
    </row>
    <row r="962">
      <c r="H962" s="2"/>
    </row>
    <row r="963">
      <c r="H963" s="2"/>
    </row>
    <row r="964">
      <c r="H964" s="2"/>
    </row>
    <row r="965">
      <c r="H965" s="2"/>
    </row>
    <row r="966">
      <c r="H966" s="2"/>
    </row>
    <row r="967">
      <c r="H967" s="2"/>
    </row>
    <row r="968">
      <c r="H968" s="2"/>
    </row>
    <row r="969">
      <c r="H969" s="2"/>
    </row>
    <row r="970">
      <c r="H970" s="2"/>
    </row>
    <row r="971">
      <c r="H971" s="2"/>
    </row>
    <row r="972">
      <c r="H972" s="2"/>
    </row>
    <row r="973">
      <c r="H973" s="2"/>
    </row>
    <row r="974">
      <c r="H974" s="2"/>
    </row>
    <row r="975">
      <c r="H975" s="2"/>
    </row>
    <row r="976">
      <c r="H976" s="2"/>
    </row>
    <row r="977">
      <c r="H977" s="2"/>
    </row>
    <row r="978">
      <c r="H978" s="2"/>
    </row>
    <row r="979">
      <c r="H979" s="2"/>
    </row>
    <row r="980">
      <c r="H980" s="2"/>
    </row>
    <row r="981">
      <c r="H981" s="2"/>
    </row>
    <row r="982">
      <c r="H982" s="2"/>
    </row>
    <row r="983">
      <c r="H983" s="2"/>
    </row>
    <row r="984">
      <c r="H984" s="2"/>
    </row>
    <row r="985">
      <c r="H985" s="2"/>
    </row>
    <row r="986">
      <c r="H986" s="2"/>
    </row>
    <row r="987">
      <c r="H987" s="2"/>
    </row>
    <row r="988">
      <c r="H988" s="2"/>
    </row>
    <row r="989">
      <c r="H989" s="2"/>
    </row>
    <row r="990">
      <c r="H990" s="2"/>
    </row>
    <row r="991">
      <c r="H991" s="2"/>
    </row>
    <row r="992">
      <c r="H992" s="2"/>
    </row>
    <row r="993">
      <c r="H993" s="2"/>
    </row>
    <row r="994">
      <c r="H994" s="2"/>
    </row>
    <row r="995">
      <c r="H995" s="2"/>
    </row>
    <row r="996">
      <c r="H996" s="2"/>
    </row>
    <row r="997">
      <c r="H997" s="2"/>
    </row>
  </sheetData>
  <hyperlinks>
    <hyperlink r:id="rId1" ref="N57"/>
    <hyperlink r:id="rId2" ref="N59"/>
    <hyperlink r:id="rId3" ref="N60"/>
  </hyperlinks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0.25"/>
    <col customWidth="1" min="3" max="3" width="27.75"/>
    <col customWidth="1" min="5" max="5" width="14.75"/>
    <col customWidth="1" min="7" max="7" width="14.38"/>
  </cols>
  <sheetData>
    <row r="1">
      <c r="A1" s="1" t="s">
        <v>168</v>
      </c>
      <c r="B1" s="1" t="s">
        <v>1</v>
      </c>
      <c r="C1" s="1" t="s">
        <v>60</v>
      </c>
      <c r="D1" s="1" t="s">
        <v>28</v>
      </c>
      <c r="E1" s="1" t="s">
        <v>32</v>
      </c>
      <c r="F1" s="1" t="s">
        <v>261</v>
      </c>
      <c r="G1" s="1" t="s">
        <v>173</v>
      </c>
    </row>
    <row r="2" hidden="1">
      <c r="A2" s="2" t="s">
        <v>96</v>
      </c>
      <c r="B2" s="2" t="s">
        <v>361</v>
      </c>
      <c r="C2" s="2" t="s">
        <v>362</v>
      </c>
      <c r="D2" s="4">
        <v>2.0</v>
      </c>
      <c r="E2" s="2" t="s">
        <v>363</v>
      </c>
      <c r="F2" s="2" t="s">
        <v>364</v>
      </c>
      <c r="G2" s="6"/>
    </row>
    <row r="3" hidden="1">
      <c r="A3" s="2" t="s">
        <v>34</v>
      </c>
      <c r="B3" s="2" t="s">
        <v>367</v>
      </c>
      <c r="C3" s="2" t="s">
        <v>362</v>
      </c>
      <c r="D3" s="4">
        <v>1.0</v>
      </c>
      <c r="E3" s="2" t="s">
        <v>181</v>
      </c>
      <c r="F3" s="2" t="s">
        <v>364</v>
      </c>
      <c r="G3" s="6"/>
    </row>
    <row r="4" hidden="1">
      <c r="A4" s="2" t="s">
        <v>34</v>
      </c>
      <c r="B4" s="2" t="s">
        <v>368</v>
      </c>
      <c r="C4" s="2" t="s">
        <v>362</v>
      </c>
      <c r="D4" s="4">
        <v>23.0</v>
      </c>
      <c r="E4" s="2" t="s">
        <v>181</v>
      </c>
      <c r="F4" s="2" t="s">
        <v>364</v>
      </c>
      <c r="G4" s="6"/>
    </row>
    <row r="5" hidden="1">
      <c r="A5" s="2" t="s">
        <v>34</v>
      </c>
      <c r="B5" s="2" t="s">
        <v>371</v>
      </c>
      <c r="C5" s="2" t="s">
        <v>362</v>
      </c>
      <c r="D5" s="4">
        <v>19.0</v>
      </c>
      <c r="E5" s="2" t="s">
        <v>181</v>
      </c>
      <c r="F5" s="2" t="s">
        <v>364</v>
      </c>
      <c r="G5" s="6"/>
    </row>
    <row r="6" hidden="1">
      <c r="A6" s="2" t="s">
        <v>34</v>
      </c>
      <c r="B6" s="2" t="s">
        <v>375</v>
      </c>
      <c r="C6" s="2" t="s">
        <v>376</v>
      </c>
      <c r="D6" s="4">
        <v>19.0</v>
      </c>
      <c r="E6" s="2" t="s">
        <v>181</v>
      </c>
      <c r="F6" s="2" t="s">
        <v>364</v>
      </c>
      <c r="G6" s="6"/>
    </row>
    <row r="7" hidden="1">
      <c r="A7" s="2" t="s">
        <v>34</v>
      </c>
      <c r="B7" s="2" t="s">
        <v>380</v>
      </c>
      <c r="C7" s="2" t="s">
        <v>362</v>
      </c>
      <c r="D7" s="4">
        <v>18.0</v>
      </c>
      <c r="E7" s="2" t="s">
        <v>181</v>
      </c>
      <c r="F7" s="2" t="s">
        <v>364</v>
      </c>
      <c r="G7" s="6"/>
    </row>
    <row r="8" hidden="1">
      <c r="A8" s="2" t="s">
        <v>34</v>
      </c>
      <c r="B8" s="2" t="s">
        <v>381</v>
      </c>
      <c r="C8" s="2" t="s">
        <v>362</v>
      </c>
      <c r="D8" s="4">
        <v>54.0</v>
      </c>
      <c r="E8" s="2" t="s">
        <v>181</v>
      </c>
      <c r="F8" s="2" t="s">
        <v>364</v>
      </c>
      <c r="G8" s="6"/>
    </row>
    <row r="9" hidden="1">
      <c r="A9" s="2" t="s">
        <v>34</v>
      </c>
      <c r="B9" s="2" t="s">
        <v>384</v>
      </c>
      <c r="C9" s="2" t="s">
        <v>385</v>
      </c>
      <c r="D9" s="4">
        <v>1.0</v>
      </c>
      <c r="E9" s="2" t="s">
        <v>181</v>
      </c>
      <c r="F9" s="2" t="s">
        <v>364</v>
      </c>
      <c r="G9" s="6"/>
    </row>
    <row r="10" hidden="1">
      <c r="A10" s="2" t="s">
        <v>49</v>
      </c>
      <c r="B10" s="2" t="s">
        <v>387</v>
      </c>
      <c r="C10" s="2" t="s">
        <v>376</v>
      </c>
      <c r="D10" s="4">
        <v>11.0</v>
      </c>
      <c r="E10" s="2" t="s">
        <v>181</v>
      </c>
      <c r="F10" s="2" t="s">
        <v>364</v>
      </c>
      <c r="G10" s="6"/>
    </row>
    <row r="11" hidden="1">
      <c r="A11" s="2" t="s">
        <v>34</v>
      </c>
      <c r="B11" s="2" t="s">
        <v>108</v>
      </c>
      <c r="C11" s="2" t="s">
        <v>108</v>
      </c>
      <c r="D11" s="4">
        <v>85.0</v>
      </c>
      <c r="E11" s="2" t="s">
        <v>181</v>
      </c>
      <c r="F11" s="2" t="s">
        <v>364</v>
      </c>
      <c r="G11" s="6"/>
    </row>
    <row r="12" hidden="1">
      <c r="A12" s="2" t="s">
        <v>49</v>
      </c>
      <c r="B12" s="2" t="s">
        <v>392</v>
      </c>
      <c r="C12" s="2" t="s">
        <v>362</v>
      </c>
      <c r="D12" s="4">
        <v>4.0</v>
      </c>
      <c r="E12" s="2" t="s">
        <v>181</v>
      </c>
      <c r="F12" s="2" t="s">
        <v>364</v>
      </c>
      <c r="G12" s="6"/>
    </row>
    <row r="13" hidden="1">
      <c r="A13" s="2" t="s">
        <v>96</v>
      </c>
      <c r="B13" s="2" t="s">
        <v>395</v>
      </c>
      <c r="C13" s="2" t="s">
        <v>362</v>
      </c>
      <c r="D13" s="4">
        <v>1.0</v>
      </c>
      <c r="E13" s="2" t="s">
        <v>363</v>
      </c>
      <c r="F13" s="2" t="s">
        <v>364</v>
      </c>
      <c r="G13" s="6"/>
    </row>
    <row r="14" hidden="1">
      <c r="A14" s="2" t="s">
        <v>96</v>
      </c>
      <c r="B14" s="2" t="s">
        <v>397</v>
      </c>
      <c r="C14" s="2" t="s">
        <v>362</v>
      </c>
      <c r="D14" s="4">
        <v>1.0</v>
      </c>
      <c r="E14" s="2" t="s">
        <v>363</v>
      </c>
      <c r="F14" s="2" t="s">
        <v>364</v>
      </c>
      <c r="G14" s="6"/>
    </row>
    <row r="15" hidden="1">
      <c r="A15" s="2" t="s">
        <v>96</v>
      </c>
      <c r="B15" s="2" t="s">
        <v>401</v>
      </c>
      <c r="C15" s="2" t="s">
        <v>362</v>
      </c>
      <c r="D15" s="4">
        <v>1.0</v>
      </c>
      <c r="E15" s="2" t="s">
        <v>363</v>
      </c>
      <c r="F15" s="2" t="s">
        <v>364</v>
      </c>
      <c r="G15" s="6"/>
    </row>
    <row r="16" hidden="1">
      <c r="A16" s="2" t="s">
        <v>49</v>
      </c>
      <c r="B16" s="2" t="s">
        <v>403</v>
      </c>
      <c r="C16" s="2" t="s">
        <v>405</v>
      </c>
      <c r="D16" s="4">
        <v>2.0</v>
      </c>
      <c r="E16" s="2" t="s">
        <v>181</v>
      </c>
      <c r="F16" s="2" t="s">
        <v>364</v>
      </c>
      <c r="G16" s="6"/>
    </row>
    <row r="17" hidden="1">
      <c r="A17" s="2" t="s">
        <v>49</v>
      </c>
      <c r="B17" s="2" t="s">
        <v>407</v>
      </c>
      <c r="C17" s="2" t="s">
        <v>362</v>
      </c>
      <c r="D17" s="4">
        <v>22.0</v>
      </c>
      <c r="E17" s="2" t="s">
        <v>181</v>
      </c>
      <c r="F17" s="2" t="s">
        <v>364</v>
      </c>
      <c r="G17" s="6"/>
    </row>
    <row r="18" hidden="1">
      <c r="A18" s="2" t="s">
        <v>49</v>
      </c>
      <c r="B18" s="2" t="s">
        <v>409</v>
      </c>
      <c r="C18" s="2" t="s">
        <v>376</v>
      </c>
      <c r="D18" s="4">
        <v>17.0</v>
      </c>
      <c r="E18" s="2" t="s">
        <v>181</v>
      </c>
      <c r="F18" s="2" t="s">
        <v>364</v>
      </c>
      <c r="G18" s="6"/>
    </row>
    <row r="19" hidden="1">
      <c r="A19" s="2" t="s">
        <v>49</v>
      </c>
      <c r="B19" s="2" t="s">
        <v>412</v>
      </c>
      <c r="C19" s="2" t="s">
        <v>376</v>
      </c>
      <c r="D19" s="4">
        <v>16.0</v>
      </c>
      <c r="E19" s="2" t="s">
        <v>181</v>
      </c>
      <c r="F19" s="2" t="s">
        <v>364</v>
      </c>
      <c r="G19" s="6"/>
    </row>
    <row r="20" hidden="1">
      <c r="A20" s="2" t="s">
        <v>34</v>
      </c>
      <c r="B20" s="2" t="s">
        <v>415</v>
      </c>
      <c r="C20" s="2" t="s">
        <v>416</v>
      </c>
      <c r="D20" s="4">
        <v>28.0</v>
      </c>
      <c r="E20" s="2" t="s">
        <v>181</v>
      </c>
      <c r="F20" s="2" t="s">
        <v>364</v>
      </c>
      <c r="G20" s="6"/>
    </row>
    <row r="21" hidden="1">
      <c r="A21" s="2" t="s">
        <v>49</v>
      </c>
      <c r="B21" s="2" t="s">
        <v>66</v>
      </c>
      <c r="C21" s="2" t="s">
        <v>66</v>
      </c>
      <c r="D21" s="4">
        <v>49.0</v>
      </c>
      <c r="E21" s="2" t="s">
        <v>181</v>
      </c>
      <c r="F21" s="2" t="s">
        <v>364</v>
      </c>
      <c r="G21" s="6"/>
    </row>
    <row r="22" hidden="1">
      <c r="A22" s="2" t="s">
        <v>91</v>
      </c>
      <c r="B22" s="2" t="s">
        <v>422</v>
      </c>
      <c r="C22" s="2" t="s">
        <v>66</v>
      </c>
      <c r="D22" s="4">
        <v>2.0</v>
      </c>
      <c r="E22" s="2" t="s">
        <v>181</v>
      </c>
      <c r="F22" s="2" t="s">
        <v>364</v>
      </c>
      <c r="G22" s="6"/>
    </row>
    <row r="23" hidden="1">
      <c r="A23" s="2" t="s">
        <v>34</v>
      </c>
      <c r="B23" s="2" t="s">
        <v>131</v>
      </c>
      <c r="C23" s="2" t="s">
        <v>424</v>
      </c>
      <c r="D23" s="4">
        <v>16.0</v>
      </c>
      <c r="E23" s="2" t="s">
        <v>181</v>
      </c>
      <c r="F23" s="2" t="s">
        <v>364</v>
      </c>
      <c r="G23" s="6"/>
    </row>
    <row r="24" hidden="1">
      <c r="A24" s="2" t="s">
        <v>34</v>
      </c>
      <c r="B24" s="2" t="s">
        <v>426</v>
      </c>
      <c r="C24" s="2" t="s">
        <v>426</v>
      </c>
      <c r="D24" s="4">
        <v>16.0</v>
      </c>
      <c r="E24" s="2" t="s">
        <v>181</v>
      </c>
      <c r="F24" s="2" t="s">
        <v>364</v>
      </c>
      <c r="G24" s="6"/>
    </row>
    <row r="25" hidden="1">
      <c r="A25" s="2" t="s">
        <v>34</v>
      </c>
      <c r="B25" s="2" t="s">
        <v>429</v>
      </c>
      <c r="C25" s="2" t="s">
        <v>424</v>
      </c>
      <c r="D25" s="4">
        <v>16.0</v>
      </c>
      <c r="E25" s="2" t="s">
        <v>181</v>
      </c>
      <c r="F25" s="2" t="s">
        <v>364</v>
      </c>
      <c r="G25" s="6"/>
    </row>
    <row r="26" hidden="1">
      <c r="A26" s="2" t="s">
        <v>34</v>
      </c>
      <c r="B26" s="2" t="s">
        <v>127</v>
      </c>
      <c r="C26" s="2" t="s">
        <v>424</v>
      </c>
      <c r="D26" s="4">
        <v>16.0</v>
      </c>
      <c r="E26" s="2" t="s">
        <v>181</v>
      </c>
      <c r="F26" s="2" t="s">
        <v>364</v>
      </c>
      <c r="G26" s="6"/>
    </row>
    <row r="27" hidden="1">
      <c r="A27" s="2" t="s">
        <v>49</v>
      </c>
      <c r="B27" s="2" t="s">
        <v>131</v>
      </c>
      <c r="C27" s="2" t="s">
        <v>362</v>
      </c>
      <c r="D27" s="4">
        <v>13.0</v>
      </c>
      <c r="E27" s="2" t="s">
        <v>181</v>
      </c>
      <c r="F27" s="2" t="s">
        <v>364</v>
      </c>
      <c r="G27" s="6"/>
    </row>
    <row r="28" hidden="1">
      <c r="A28" s="2" t="s">
        <v>49</v>
      </c>
      <c r="B28" s="2" t="s">
        <v>127</v>
      </c>
      <c r="C28" s="2" t="s">
        <v>362</v>
      </c>
      <c r="D28" s="4">
        <v>13.0</v>
      </c>
      <c r="E28" s="2" t="s">
        <v>181</v>
      </c>
      <c r="F28" s="2" t="s">
        <v>364</v>
      </c>
      <c r="G28" s="6"/>
    </row>
    <row r="29" hidden="1">
      <c r="A29" s="2" t="s">
        <v>34</v>
      </c>
      <c r="B29" s="2" t="s">
        <v>90</v>
      </c>
      <c r="C29" s="2" t="s">
        <v>90</v>
      </c>
      <c r="D29" s="4">
        <v>180.0</v>
      </c>
      <c r="E29" s="2" t="s">
        <v>181</v>
      </c>
      <c r="F29" s="2" t="s">
        <v>364</v>
      </c>
      <c r="G29" s="6"/>
    </row>
    <row r="30" hidden="1">
      <c r="A30" s="2" t="s">
        <v>34</v>
      </c>
      <c r="B30" s="2" t="s">
        <v>95</v>
      </c>
      <c r="C30" s="2" t="s">
        <v>95</v>
      </c>
      <c r="D30" s="4">
        <v>180.0</v>
      </c>
      <c r="E30" s="2" t="s">
        <v>181</v>
      </c>
      <c r="F30" s="2" t="s">
        <v>364</v>
      </c>
      <c r="G30" s="6"/>
    </row>
    <row r="31" hidden="1">
      <c r="A31" s="2" t="s">
        <v>34</v>
      </c>
      <c r="B31" s="2" t="s">
        <v>30</v>
      </c>
      <c r="C31" s="2" t="s">
        <v>30</v>
      </c>
      <c r="D31" s="4">
        <v>1.0</v>
      </c>
      <c r="E31" s="2" t="s">
        <v>181</v>
      </c>
      <c r="F31" s="2" t="s">
        <v>364</v>
      </c>
      <c r="G31" s="6"/>
    </row>
    <row r="32" hidden="1">
      <c r="A32" s="2" t="s">
        <v>34</v>
      </c>
      <c r="B32" s="2" t="s">
        <v>30</v>
      </c>
      <c r="C32" s="2" t="s">
        <v>449</v>
      </c>
      <c r="D32" s="4">
        <v>1.0</v>
      </c>
      <c r="E32" s="2" t="s">
        <v>181</v>
      </c>
      <c r="F32" s="2" t="s">
        <v>364</v>
      </c>
      <c r="G32" s="6"/>
    </row>
    <row r="33" hidden="1">
      <c r="A33" s="2" t="s">
        <v>34</v>
      </c>
      <c r="B33" s="2" t="s">
        <v>30</v>
      </c>
      <c r="C33" s="2" t="s">
        <v>362</v>
      </c>
      <c r="D33" s="4">
        <v>1.0</v>
      </c>
      <c r="E33" s="2" t="s">
        <v>181</v>
      </c>
      <c r="F33" s="2" t="s">
        <v>364</v>
      </c>
      <c r="G33" s="6"/>
    </row>
    <row r="34" hidden="1">
      <c r="A34" s="2" t="s">
        <v>34</v>
      </c>
      <c r="B34" s="2" t="s">
        <v>456</v>
      </c>
      <c r="C34" s="2" t="s">
        <v>376</v>
      </c>
      <c r="D34" s="4">
        <v>1.0</v>
      </c>
      <c r="E34" s="2" t="s">
        <v>181</v>
      </c>
      <c r="F34" s="2" t="s">
        <v>364</v>
      </c>
      <c r="G34" s="6"/>
    </row>
    <row r="35" hidden="1">
      <c r="A35" s="2" t="s">
        <v>34</v>
      </c>
      <c r="B35" s="2" t="s">
        <v>459</v>
      </c>
      <c r="C35" s="2" t="s">
        <v>460</v>
      </c>
      <c r="D35" s="4">
        <v>56.0</v>
      </c>
      <c r="E35" s="2" t="s">
        <v>181</v>
      </c>
      <c r="F35" s="2" t="s">
        <v>364</v>
      </c>
      <c r="G35" s="6"/>
    </row>
    <row r="36" hidden="1">
      <c r="A36" s="2" t="s">
        <v>104</v>
      </c>
      <c r="B36" s="2" t="s">
        <v>463</v>
      </c>
      <c r="C36" s="2" t="s">
        <v>463</v>
      </c>
      <c r="D36" s="4">
        <v>1.0</v>
      </c>
      <c r="E36" s="2" t="s">
        <v>181</v>
      </c>
      <c r="F36" s="2" t="s">
        <v>364</v>
      </c>
      <c r="G36" s="6"/>
    </row>
    <row r="37" hidden="1">
      <c r="A37" s="2" t="s">
        <v>34</v>
      </c>
      <c r="B37" s="2" t="s">
        <v>467</v>
      </c>
      <c r="C37" s="2" t="s">
        <v>376</v>
      </c>
      <c r="D37" s="4">
        <v>16.0</v>
      </c>
      <c r="E37" s="2" t="s">
        <v>181</v>
      </c>
      <c r="F37" s="2" t="s">
        <v>364</v>
      </c>
      <c r="G37" s="6"/>
    </row>
    <row r="38" hidden="1">
      <c r="A38" s="2" t="s">
        <v>34</v>
      </c>
      <c r="B38" s="2" t="s">
        <v>470</v>
      </c>
      <c r="C38" s="2" t="s">
        <v>376</v>
      </c>
      <c r="D38" s="4">
        <v>16.0</v>
      </c>
      <c r="E38" s="2" t="s">
        <v>181</v>
      </c>
      <c r="F38" s="2" t="s">
        <v>364</v>
      </c>
      <c r="G38" s="6"/>
    </row>
    <row r="39" hidden="1">
      <c r="A39" s="2" t="s">
        <v>34</v>
      </c>
      <c r="B39" s="2" t="s">
        <v>475</v>
      </c>
      <c r="C39" s="2" t="s">
        <v>475</v>
      </c>
      <c r="D39" s="4">
        <v>21.0</v>
      </c>
      <c r="E39" s="2" t="s">
        <v>181</v>
      </c>
      <c r="F39" s="2" t="s">
        <v>364</v>
      </c>
      <c r="G39" s="6"/>
    </row>
    <row r="40" hidden="1">
      <c r="A40" s="2" t="s">
        <v>34</v>
      </c>
      <c r="B40" s="2" t="s">
        <v>480</v>
      </c>
      <c r="C40" s="2" t="s">
        <v>480</v>
      </c>
      <c r="D40" s="4">
        <v>23.0</v>
      </c>
      <c r="E40" s="2" t="s">
        <v>181</v>
      </c>
      <c r="F40" s="2" t="s">
        <v>364</v>
      </c>
      <c r="G40" s="6"/>
    </row>
    <row r="41" hidden="1">
      <c r="A41" s="2" t="s">
        <v>34</v>
      </c>
      <c r="B41" s="2" t="s">
        <v>480</v>
      </c>
      <c r="C41" s="2" t="s">
        <v>362</v>
      </c>
      <c r="D41" s="4">
        <v>1.0</v>
      </c>
      <c r="E41" s="2" t="s">
        <v>181</v>
      </c>
      <c r="F41" s="2" t="s">
        <v>364</v>
      </c>
      <c r="G41" s="6"/>
    </row>
    <row r="42" hidden="1">
      <c r="A42" s="2" t="s">
        <v>34</v>
      </c>
      <c r="B42" s="2" t="s">
        <v>489</v>
      </c>
      <c r="C42" s="2" t="s">
        <v>489</v>
      </c>
      <c r="D42" s="4">
        <v>27.0</v>
      </c>
      <c r="E42" s="2" t="s">
        <v>181</v>
      </c>
      <c r="F42" s="2" t="s">
        <v>364</v>
      </c>
      <c r="G42" s="6"/>
    </row>
    <row r="43" hidden="1">
      <c r="A43" s="2" t="s">
        <v>75</v>
      </c>
      <c r="B43" s="2" t="s">
        <v>121</v>
      </c>
      <c r="C43" s="2" t="s">
        <v>362</v>
      </c>
      <c r="D43" s="4">
        <v>282.0</v>
      </c>
      <c r="E43" s="2" t="s">
        <v>181</v>
      </c>
      <c r="F43" s="2" t="s">
        <v>364</v>
      </c>
      <c r="G43" s="6"/>
    </row>
    <row r="44" hidden="1">
      <c r="A44" s="2" t="s">
        <v>34</v>
      </c>
      <c r="B44" s="2" t="s">
        <v>499</v>
      </c>
      <c r="C44" s="2" t="s">
        <v>499</v>
      </c>
      <c r="D44" s="4">
        <v>38.0</v>
      </c>
      <c r="E44" s="2" t="s">
        <v>181</v>
      </c>
      <c r="F44" s="2" t="s">
        <v>364</v>
      </c>
      <c r="G44" s="6"/>
    </row>
    <row r="45" hidden="1">
      <c r="A45" s="2" t="s">
        <v>49</v>
      </c>
      <c r="B45" s="2" t="s">
        <v>504</v>
      </c>
      <c r="C45" s="2" t="s">
        <v>504</v>
      </c>
      <c r="D45" s="4">
        <v>12.0</v>
      </c>
      <c r="E45" s="2" t="s">
        <v>181</v>
      </c>
      <c r="F45" s="2" t="s">
        <v>364</v>
      </c>
      <c r="G45" s="6"/>
    </row>
    <row r="46" hidden="1">
      <c r="A46" s="2" t="s">
        <v>34</v>
      </c>
      <c r="B46" s="2" t="s">
        <v>509</v>
      </c>
      <c r="C46" s="2" t="s">
        <v>509</v>
      </c>
      <c r="D46" s="4">
        <v>1.0</v>
      </c>
      <c r="E46" s="2" t="s">
        <v>181</v>
      </c>
      <c r="F46" s="2" t="s">
        <v>364</v>
      </c>
      <c r="G46" s="6"/>
    </row>
    <row r="47" hidden="1">
      <c r="A47" s="2" t="s">
        <v>34</v>
      </c>
      <c r="B47" s="2" t="s">
        <v>515</v>
      </c>
      <c r="C47" s="2" t="s">
        <v>515</v>
      </c>
      <c r="D47" s="4">
        <v>13.0</v>
      </c>
      <c r="E47" s="2" t="s">
        <v>181</v>
      </c>
      <c r="F47" s="2" t="s">
        <v>364</v>
      </c>
      <c r="G47" s="6"/>
    </row>
    <row r="48" hidden="1">
      <c r="A48" s="2" t="s">
        <v>34</v>
      </c>
      <c r="B48" s="2" t="s">
        <v>520</v>
      </c>
      <c r="C48" s="2" t="s">
        <v>520</v>
      </c>
      <c r="D48" s="4">
        <v>16.0</v>
      </c>
      <c r="E48" s="2" t="s">
        <v>181</v>
      </c>
      <c r="F48" s="2" t="s">
        <v>364</v>
      </c>
      <c r="G48" s="6"/>
    </row>
    <row r="49" hidden="1">
      <c r="A49" s="2" t="s">
        <v>49</v>
      </c>
      <c r="B49" s="2" t="s">
        <v>520</v>
      </c>
      <c r="C49" s="2" t="s">
        <v>520</v>
      </c>
      <c r="D49" s="4">
        <v>14.0</v>
      </c>
      <c r="E49" s="2" t="s">
        <v>181</v>
      </c>
      <c r="F49" s="2" t="s">
        <v>364</v>
      </c>
      <c r="G49" s="6"/>
    </row>
    <row r="50" hidden="1">
      <c r="A50" s="2" t="s">
        <v>34</v>
      </c>
      <c r="B50" s="2" t="s">
        <v>526</v>
      </c>
      <c r="C50" s="2" t="s">
        <v>526</v>
      </c>
      <c r="D50" s="4">
        <v>16.0</v>
      </c>
      <c r="E50" s="2" t="s">
        <v>181</v>
      </c>
      <c r="F50" s="2" t="s">
        <v>364</v>
      </c>
      <c r="G50" s="6"/>
    </row>
    <row r="51" hidden="1">
      <c r="A51" s="2" t="s">
        <v>49</v>
      </c>
      <c r="B51" s="2" t="s">
        <v>526</v>
      </c>
      <c r="C51" s="2" t="s">
        <v>362</v>
      </c>
      <c r="D51" s="4">
        <v>12.0</v>
      </c>
      <c r="E51" s="2" t="s">
        <v>181</v>
      </c>
      <c r="F51" s="2" t="s">
        <v>364</v>
      </c>
      <c r="G51" s="6"/>
    </row>
    <row r="52" hidden="1">
      <c r="A52" s="2" t="s">
        <v>34</v>
      </c>
      <c r="B52" s="2" t="s">
        <v>533</v>
      </c>
      <c r="C52" s="2" t="s">
        <v>534</v>
      </c>
      <c r="D52" s="4">
        <v>35.0</v>
      </c>
      <c r="E52" s="2" t="s">
        <v>181</v>
      </c>
      <c r="F52" s="2" t="s">
        <v>364</v>
      </c>
      <c r="G52" s="6"/>
    </row>
    <row r="53" hidden="1">
      <c r="A53" s="2" t="s">
        <v>34</v>
      </c>
      <c r="B53" s="2" t="s">
        <v>536</v>
      </c>
      <c r="C53" s="2" t="s">
        <v>362</v>
      </c>
      <c r="D53" s="4">
        <v>21.0</v>
      </c>
      <c r="E53" s="2" t="s">
        <v>181</v>
      </c>
      <c r="F53" s="2" t="s">
        <v>364</v>
      </c>
      <c r="G53" s="6"/>
    </row>
    <row r="54" hidden="1">
      <c r="A54" s="2" t="s">
        <v>49</v>
      </c>
      <c r="B54" s="2" t="s">
        <v>536</v>
      </c>
      <c r="C54" s="2" t="s">
        <v>362</v>
      </c>
      <c r="D54" s="4">
        <v>10.0</v>
      </c>
      <c r="E54" s="2" t="s">
        <v>181</v>
      </c>
      <c r="F54" s="2" t="s">
        <v>364</v>
      </c>
      <c r="G54" s="6"/>
    </row>
    <row r="55" hidden="1">
      <c r="A55" s="2" t="s">
        <v>34</v>
      </c>
      <c r="B55" s="2" t="s">
        <v>542</v>
      </c>
      <c r="C55" s="2" t="s">
        <v>362</v>
      </c>
      <c r="D55" s="4">
        <v>1.0</v>
      </c>
      <c r="E55" s="2" t="s">
        <v>181</v>
      </c>
      <c r="F55" s="2" t="s">
        <v>364</v>
      </c>
      <c r="G55" s="6"/>
    </row>
    <row r="56" hidden="1">
      <c r="A56" s="2" t="s">
        <v>34</v>
      </c>
      <c r="B56" s="2" t="s">
        <v>545</v>
      </c>
      <c r="C56" s="2" t="s">
        <v>376</v>
      </c>
      <c r="D56" s="4">
        <v>12.0</v>
      </c>
      <c r="E56" s="2" t="s">
        <v>181</v>
      </c>
      <c r="F56" s="2" t="s">
        <v>364</v>
      </c>
      <c r="G56" s="6"/>
    </row>
    <row r="57" hidden="1">
      <c r="A57" s="2" t="s">
        <v>34</v>
      </c>
      <c r="B57" s="2" t="s">
        <v>549</v>
      </c>
      <c r="C57" s="2" t="s">
        <v>362</v>
      </c>
      <c r="D57" s="4">
        <v>28.0</v>
      </c>
      <c r="E57" s="2" t="s">
        <v>181</v>
      </c>
      <c r="F57" s="2" t="s">
        <v>364</v>
      </c>
      <c r="G57" s="6"/>
    </row>
    <row r="58" hidden="1">
      <c r="A58" s="2" t="s">
        <v>34</v>
      </c>
      <c r="B58" s="2" t="s">
        <v>555</v>
      </c>
      <c r="C58" s="2" t="s">
        <v>362</v>
      </c>
      <c r="D58" s="4">
        <v>24.0</v>
      </c>
      <c r="E58" s="2" t="s">
        <v>181</v>
      </c>
      <c r="F58" s="2" t="s">
        <v>364</v>
      </c>
      <c r="G58" s="6"/>
    </row>
    <row r="59" hidden="1">
      <c r="A59" s="2" t="s">
        <v>34</v>
      </c>
      <c r="B59" s="2" t="s">
        <v>558</v>
      </c>
      <c r="C59" s="2" t="s">
        <v>376</v>
      </c>
      <c r="D59" s="4">
        <v>6.0</v>
      </c>
      <c r="E59" s="2" t="s">
        <v>181</v>
      </c>
      <c r="F59" s="2" t="s">
        <v>364</v>
      </c>
      <c r="G59" s="6"/>
    </row>
    <row r="60" hidden="1">
      <c r="A60" s="2" t="s">
        <v>49</v>
      </c>
      <c r="B60" s="2" t="s">
        <v>558</v>
      </c>
      <c r="C60" s="2" t="s">
        <v>362</v>
      </c>
      <c r="D60" s="4">
        <v>5.0</v>
      </c>
      <c r="E60" s="2" t="s">
        <v>181</v>
      </c>
      <c r="F60" s="2" t="s">
        <v>364</v>
      </c>
      <c r="G60" s="6"/>
    </row>
    <row r="61" hidden="1">
      <c r="A61" s="2" t="s">
        <v>34</v>
      </c>
      <c r="B61" s="2" t="s">
        <v>565</v>
      </c>
      <c r="C61" s="2" t="s">
        <v>376</v>
      </c>
      <c r="D61" s="4">
        <v>10.0</v>
      </c>
      <c r="E61" s="2" t="s">
        <v>181</v>
      </c>
      <c r="F61" s="2" t="s">
        <v>364</v>
      </c>
      <c r="G61" s="6"/>
    </row>
    <row r="62" hidden="1">
      <c r="A62" s="2" t="s">
        <v>49</v>
      </c>
      <c r="B62" s="2" t="s">
        <v>565</v>
      </c>
      <c r="C62" s="2" t="s">
        <v>362</v>
      </c>
      <c r="D62" s="4">
        <v>5.0</v>
      </c>
      <c r="E62" s="2" t="s">
        <v>181</v>
      </c>
      <c r="F62" s="2" t="s">
        <v>364</v>
      </c>
      <c r="G62" s="6"/>
    </row>
    <row r="63" hidden="1">
      <c r="A63" s="2" t="s">
        <v>49</v>
      </c>
      <c r="B63" s="2" t="s">
        <v>573</v>
      </c>
      <c r="C63" s="2" t="s">
        <v>362</v>
      </c>
      <c r="D63" s="4">
        <v>5.0</v>
      </c>
      <c r="E63" s="2" t="s">
        <v>181</v>
      </c>
      <c r="F63" s="2" t="s">
        <v>364</v>
      </c>
      <c r="G63" s="6"/>
    </row>
    <row r="64" hidden="1">
      <c r="A64" s="2" t="s">
        <v>34</v>
      </c>
      <c r="B64" s="2" t="s">
        <v>573</v>
      </c>
      <c r="C64" s="2" t="s">
        <v>376</v>
      </c>
      <c r="D64" s="4">
        <v>8.0</v>
      </c>
      <c r="E64" s="2" t="s">
        <v>181</v>
      </c>
      <c r="F64" s="2" t="s">
        <v>364</v>
      </c>
      <c r="G64" s="6"/>
    </row>
    <row r="65" hidden="1">
      <c r="A65" s="2" t="s">
        <v>49</v>
      </c>
      <c r="B65" s="2" t="s">
        <v>581</v>
      </c>
      <c r="C65" s="2" t="s">
        <v>581</v>
      </c>
      <c r="D65" s="4">
        <v>5.0</v>
      </c>
      <c r="E65" s="2" t="s">
        <v>181</v>
      </c>
      <c r="F65" s="2" t="s">
        <v>364</v>
      </c>
      <c r="G65" s="6"/>
    </row>
    <row r="66" hidden="1">
      <c r="A66" s="2" t="s">
        <v>49</v>
      </c>
      <c r="B66" s="2" t="s">
        <v>585</v>
      </c>
      <c r="C66" s="2" t="s">
        <v>585</v>
      </c>
      <c r="D66" s="4">
        <v>5.0</v>
      </c>
      <c r="E66" s="2" t="s">
        <v>181</v>
      </c>
      <c r="F66" s="2" t="s">
        <v>364</v>
      </c>
      <c r="G66" s="6"/>
    </row>
    <row r="67" hidden="1">
      <c r="A67" s="2" t="s">
        <v>49</v>
      </c>
      <c r="B67" s="2" t="s">
        <v>587</v>
      </c>
      <c r="C67" s="2" t="s">
        <v>587</v>
      </c>
      <c r="D67" s="4">
        <v>5.0</v>
      </c>
      <c r="E67" s="2" t="s">
        <v>181</v>
      </c>
      <c r="F67" s="2" t="s">
        <v>364</v>
      </c>
      <c r="G67" s="6"/>
    </row>
    <row r="68" hidden="1">
      <c r="A68" s="2" t="s">
        <v>68</v>
      </c>
      <c r="B68" s="2" t="s">
        <v>592</v>
      </c>
      <c r="C68" s="2" t="s">
        <v>362</v>
      </c>
      <c r="D68" s="4">
        <v>21.0</v>
      </c>
      <c r="E68" s="2" t="s">
        <v>181</v>
      </c>
      <c r="F68" s="2" t="s">
        <v>364</v>
      </c>
      <c r="G68" s="6"/>
    </row>
    <row r="69" hidden="1">
      <c r="A69" s="2" t="s">
        <v>34</v>
      </c>
      <c r="B69" s="2" t="s">
        <v>596</v>
      </c>
      <c r="C69" s="2" t="s">
        <v>376</v>
      </c>
      <c r="D69" s="4">
        <v>29.0</v>
      </c>
      <c r="E69" s="2" t="s">
        <v>181</v>
      </c>
      <c r="F69" s="2" t="s">
        <v>364</v>
      </c>
      <c r="G69" s="6"/>
    </row>
    <row r="70" hidden="1">
      <c r="A70" s="2" t="s">
        <v>34</v>
      </c>
      <c r="B70" s="2" t="s">
        <v>601</v>
      </c>
      <c r="C70" s="2" t="s">
        <v>362</v>
      </c>
      <c r="D70" s="4">
        <v>72.0</v>
      </c>
      <c r="E70" s="2" t="s">
        <v>181</v>
      </c>
      <c r="F70" s="2" t="s">
        <v>364</v>
      </c>
      <c r="G70" s="6"/>
    </row>
    <row r="71" hidden="1">
      <c r="A71" s="2" t="s">
        <v>34</v>
      </c>
      <c r="B71" s="2" t="s">
        <v>370</v>
      </c>
      <c r="C71" s="2" t="s">
        <v>362</v>
      </c>
      <c r="D71" s="4">
        <v>19.0</v>
      </c>
      <c r="E71" s="2" t="s">
        <v>181</v>
      </c>
      <c r="F71" s="2" t="s">
        <v>364</v>
      </c>
      <c r="G71" s="6"/>
    </row>
    <row r="72" hidden="1">
      <c r="A72" s="2" t="s">
        <v>34</v>
      </c>
      <c r="B72" s="2" t="s">
        <v>607</v>
      </c>
      <c r="C72" s="2" t="s">
        <v>376</v>
      </c>
      <c r="D72" s="4">
        <v>76.0</v>
      </c>
      <c r="E72" s="2" t="s">
        <v>181</v>
      </c>
      <c r="F72" s="2" t="s">
        <v>364</v>
      </c>
      <c r="G72" s="6"/>
    </row>
    <row r="73" hidden="1">
      <c r="A73" s="2" t="s">
        <v>34</v>
      </c>
      <c r="B73" s="2" t="s">
        <v>610</v>
      </c>
      <c r="C73" s="2" t="s">
        <v>376</v>
      </c>
      <c r="D73" s="4">
        <v>1.0</v>
      </c>
      <c r="E73" s="2" t="s">
        <v>181</v>
      </c>
      <c r="F73" s="2" t="s">
        <v>364</v>
      </c>
      <c r="G73" s="6"/>
    </row>
    <row r="74" hidden="1">
      <c r="A74" s="2" t="s">
        <v>34</v>
      </c>
      <c r="B74" s="2" t="s">
        <v>487</v>
      </c>
      <c r="C74" s="2" t="s">
        <v>376</v>
      </c>
      <c r="D74" s="4">
        <v>1.0</v>
      </c>
      <c r="E74" s="2" t="s">
        <v>181</v>
      </c>
      <c r="F74" s="2" t="s">
        <v>364</v>
      </c>
      <c r="G74" s="6"/>
    </row>
    <row r="75" hidden="1">
      <c r="A75" s="2" t="s">
        <v>34</v>
      </c>
      <c r="B75" s="2" t="s">
        <v>616</v>
      </c>
      <c r="C75" s="2" t="s">
        <v>362</v>
      </c>
      <c r="D75" s="4">
        <v>2.0</v>
      </c>
      <c r="E75" s="2" t="s">
        <v>181</v>
      </c>
      <c r="F75" s="2" t="s">
        <v>364</v>
      </c>
      <c r="G75" s="6"/>
    </row>
    <row r="76" hidden="1">
      <c r="A76" s="2" t="s">
        <v>34</v>
      </c>
      <c r="B76" s="2" t="s">
        <v>619</v>
      </c>
      <c r="C76" s="2" t="s">
        <v>376</v>
      </c>
      <c r="D76" s="4">
        <v>16.0</v>
      </c>
      <c r="E76" s="2" t="s">
        <v>181</v>
      </c>
      <c r="F76" s="2" t="s">
        <v>364</v>
      </c>
      <c r="G76" s="6"/>
    </row>
    <row r="77" hidden="1">
      <c r="A77" s="2" t="s">
        <v>34</v>
      </c>
      <c r="B77" s="2" t="s">
        <v>523</v>
      </c>
      <c r="C77" s="2" t="s">
        <v>376</v>
      </c>
      <c r="D77" s="4">
        <v>15.0</v>
      </c>
      <c r="E77" s="2" t="s">
        <v>181</v>
      </c>
      <c r="F77" s="2" t="s">
        <v>364</v>
      </c>
      <c r="G77" s="6"/>
    </row>
    <row r="78" hidden="1">
      <c r="A78" s="2" t="s">
        <v>34</v>
      </c>
      <c r="B78" s="2" t="s">
        <v>581</v>
      </c>
      <c r="C78" s="2" t="s">
        <v>626</v>
      </c>
      <c r="D78" s="4">
        <v>6.0</v>
      </c>
      <c r="E78" s="2" t="s">
        <v>181</v>
      </c>
      <c r="F78" s="2" t="s">
        <v>364</v>
      </c>
      <c r="G78" s="6"/>
    </row>
    <row r="79" hidden="1">
      <c r="A79" s="2" t="s">
        <v>34</v>
      </c>
      <c r="B79" s="2" t="s">
        <v>587</v>
      </c>
      <c r="C79" s="2" t="s">
        <v>626</v>
      </c>
      <c r="D79" s="4">
        <v>10.0</v>
      </c>
      <c r="E79" s="2" t="s">
        <v>181</v>
      </c>
      <c r="F79" s="2" t="s">
        <v>364</v>
      </c>
      <c r="G79" s="6"/>
    </row>
    <row r="80" hidden="1">
      <c r="A80" s="2" t="s">
        <v>34</v>
      </c>
      <c r="B80" s="2" t="s">
        <v>585</v>
      </c>
      <c r="C80" s="2" t="s">
        <v>626</v>
      </c>
      <c r="D80" s="4">
        <v>8.0</v>
      </c>
      <c r="E80" s="2" t="s">
        <v>181</v>
      </c>
      <c r="F80" s="2" t="s">
        <v>364</v>
      </c>
      <c r="G80" s="6"/>
    </row>
    <row r="81" hidden="1">
      <c r="A81" s="2" t="s">
        <v>34</v>
      </c>
      <c r="B81" s="2" t="s">
        <v>636</v>
      </c>
      <c r="C81" s="2" t="s">
        <v>376</v>
      </c>
      <c r="D81" s="4">
        <v>14.0</v>
      </c>
      <c r="E81" s="2" t="s">
        <v>181</v>
      </c>
      <c r="F81" s="2" t="s">
        <v>364</v>
      </c>
      <c r="G81" s="6"/>
    </row>
    <row r="82" hidden="1">
      <c r="A82" s="2" t="s">
        <v>34</v>
      </c>
      <c r="B82" s="2" t="s">
        <v>640</v>
      </c>
      <c r="C82" s="2" t="s">
        <v>376</v>
      </c>
      <c r="D82" s="4">
        <v>7.0</v>
      </c>
      <c r="E82" s="2" t="s">
        <v>181</v>
      </c>
      <c r="F82" s="2" t="s">
        <v>364</v>
      </c>
      <c r="G82" s="6"/>
    </row>
    <row r="83" hidden="1">
      <c r="A83" s="2" t="s">
        <v>34</v>
      </c>
      <c r="B83" s="2" t="s">
        <v>643</v>
      </c>
      <c r="C83" s="2" t="s">
        <v>376</v>
      </c>
      <c r="D83" s="4">
        <v>7.0</v>
      </c>
      <c r="E83" s="2" t="s">
        <v>181</v>
      </c>
      <c r="F83" s="2" t="s">
        <v>364</v>
      </c>
      <c r="G83" s="6"/>
    </row>
    <row r="84" hidden="1">
      <c r="A84" s="2" t="s">
        <v>34</v>
      </c>
      <c r="B84" s="2" t="s">
        <v>647</v>
      </c>
      <c r="C84" s="2" t="s">
        <v>376</v>
      </c>
      <c r="D84" s="4">
        <v>7.0</v>
      </c>
      <c r="E84" s="2" t="s">
        <v>181</v>
      </c>
      <c r="F84" s="2" t="s">
        <v>364</v>
      </c>
      <c r="G84" s="6"/>
    </row>
    <row r="85" hidden="1">
      <c r="A85" s="2" t="s">
        <v>34</v>
      </c>
      <c r="B85" s="2" t="s">
        <v>652</v>
      </c>
      <c r="C85" s="2" t="s">
        <v>376</v>
      </c>
      <c r="D85" s="4">
        <v>7.0</v>
      </c>
      <c r="E85" s="2" t="s">
        <v>181</v>
      </c>
      <c r="F85" s="2" t="s">
        <v>364</v>
      </c>
      <c r="G85" s="6"/>
    </row>
    <row r="86" hidden="1">
      <c r="A86" s="2" t="s">
        <v>34</v>
      </c>
      <c r="B86" s="2" t="s">
        <v>657</v>
      </c>
      <c r="C86" s="2" t="s">
        <v>376</v>
      </c>
      <c r="D86" s="4">
        <v>7.0</v>
      </c>
      <c r="E86" s="2" t="s">
        <v>181</v>
      </c>
      <c r="F86" s="2" t="s">
        <v>364</v>
      </c>
      <c r="G86" s="6"/>
    </row>
    <row r="87" hidden="1">
      <c r="A87" s="2" t="s">
        <v>49</v>
      </c>
      <c r="B87" s="2" t="s">
        <v>619</v>
      </c>
      <c r="C87" s="2" t="s">
        <v>362</v>
      </c>
      <c r="D87" s="4">
        <v>13.0</v>
      </c>
      <c r="E87" s="2" t="s">
        <v>181</v>
      </c>
      <c r="F87" s="2" t="s">
        <v>364</v>
      </c>
      <c r="G87" s="6"/>
    </row>
    <row r="88" hidden="1">
      <c r="A88" s="2" t="s">
        <v>49</v>
      </c>
      <c r="B88" s="2" t="s">
        <v>523</v>
      </c>
      <c r="C88" s="2" t="s">
        <v>362</v>
      </c>
      <c r="D88" s="4">
        <v>12.0</v>
      </c>
      <c r="E88" s="2" t="s">
        <v>181</v>
      </c>
      <c r="F88" s="2" t="s">
        <v>364</v>
      </c>
      <c r="G88" s="6"/>
    </row>
    <row r="89" hidden="1">
      <c r="A89" s="2" t="s">
        <v>34</v>
      </c>
      <c r="B89" s="2" t="s">
        <v>662</v>
      </c>
      <c r="C89" s="2" t="s">
        <v>376</v>
      </c>
      <c r="D89" s="4">
        <v>12.0</v>
      </c>
      <c r="E89" s="2" t="s">
        <v>181</v>
      </c>
      <c r="F89" s="2" t="s">
        <v>364</v>
      </c>
      <c r="G89" s="6"/>
    </row>
    <row r="90" hidden="1">
      <c r="A90" s="2" t="s">
        <v>34</v>
      </c>
      <c r="B90" s="2" t="s">
        <v>666</v>
      </c>
      <c r="C90" s="2" t="s">
        <v>362</v>
      </c>
      <c r="D90" s="4">
        <v>2.0</v>
      </c>
      <c r="E90" s="2" t="s">
        <v>181</v>
      </c>
      <c r="F90" s="2" t="s">
        <v>364</v>
      </c>
      <c r="G90" s="6"/>
    </row>
    <row r="91" hidden="1">
      <c r="A91" s="2" t="s">
        <v>34</v>
      </c>
      <c r="B91" s="2" t="s">
        <v>669</v>
      </c>
      <c r="C91" s="2" t="s">
        <v>362</v>
      </c>
      <c r="D91" s="4">
        <v>1.0</v>
      </c>
      <c r="E91" s="2" t="s">
        <v>181</v>
      </c>
      <c r="F91" s="2" t="s">
        <v>364</v>
      </c>
      <c r="G91" s="6"/>
    </row>
    <row r="92" hidden="1">
      <c r="A92" s="2" t="s">
        <v>34</v>
      </c>
      <c r="B92" s="2" t="s">
        <v>675</v>
      </c>
      <c r="C92" s="2" t="s">
        <v>362</v>
      </c>
      <c r="D92" s="4">
        <v>1.0</v>
      </c>
      <c r="E92" s="2" t="s">
        <v>181</v>
      </c>
      <c r="F92" s="2" t="s">
        <v>364</v>
      </c>
      <c r="G92" s="6"/>
    </row>
    <row r="93" hidden="1">
      <c r="A93" s="2" t="s">
        <v>34</v>
      </c>
      <c r="B93" s="2" t="s">
        <v>678</v>
      </c>
      <c r="C93" s="2" t="s">
        <v>362</v>
      </c>
      <c r="D93" s="4">
        <v>1.0</v>
      </c>
      <c r="E93" s="2" t="s">
        <v>181</v>
      </c>
      <c r="F93" s="2" t="s">
        <v>364</v>
      </c>
      <c r="G93" s="6"/>
    </row>
    <row r="94" hidden="1">
      <c r="A94" s="2" t="s">
        <v>104</v>
      </c>
      <c r="B94" s="2" t="s">
        <v>683</v>
      </c>
      <c r="C94" s="2" t="s">
        <v>362</v>
      </c>
      <c r="D94" s="4">
        <v>1.0</v>
      </c>
      <c r="E94" s="2" t="s">
        <v>181</v>
      </c>
      <c r="F94" s="2" t="s">
        <v>364</v>
      </c>
      <c r="G94" s="6"/>
    </row>
    <row r="95" hidden="1">
      <c r="A95" s="2" t="s">
        <v>34</v>
      </c>
      <c r="B95" s="2" t="s">
        <v>685</v>
      </c>
      <c r="C95" s="2" t="s">
        <v>687</v>
      </c>
      <c r="D95" s="4">
        <v>28.0</v>
      </c>
      <c r="E95" s="2" t="s">
        <v>181</v>
      </c>
      <c r="F95" s="2" t="s">
        <v>364</v>
      </c>
      <c r="G95" s="6"/>
    </row>
    <row r="96" hidden="1">
      <c r="A96" s="2" t="s">
        <v>104</v>
      </c>
      <c r="B96" s="2" t="s">
        <v>692</v>
      </c>
      <c r="C96" s="2" t="s">
        <v>362</v>
      </c>
      <c r="D96" s="4">
        <v>1.0</v>
      </c>
      <c r="E96" s="2" t="s">
        <v>181</v>
      </c>
      <c r="F96" s="2" t="s">
        <v>364</v>
      </c>
      <c r="G96" s="6"/>
    </row>
    <row r="97" hidden="1">
      <c r="A97" s="2" t="s">
        <v>34</v>
      </c>
      <c r="B97" s="2" t="s">
        <v>275</v>
      </c>
      <c r="C97" s="2" t="s">
        <v>362</v>
      </c>
      <c r="D97" s="4">
        <v>42.0</v>
      </c>
      <c r="E97" s="2" t="s">
        <v>181</v>
      </c>
      <c r="F97" s="2" t="s">
        <v>364</v>
      </c>
      <c r="G97" s="6"/>
    </row>
    <row r="98" hidden="1">
      <c r="A98" s="2" t="s">
        <v>34</v>
      </c>
      <c r="B98" s="2" t="s">
        <v>699</v>
      </c>
      <c r="C98" s="2" t="s">
        <v>362</v>
      </c>
      <c r="D98" s="4">
        <v>53.0</v>
      </c>
      <c r="E98" s="2" t="s">
        <v>181</v>
      </c>
      <c r="F98" s="2" t="s">
        <v>364</v>
      </c>
      <c r="G98" s="6"/>
    </row>
    <row r="99" hidden="1">
      <c r="A99" s="2" t="s">
        <v>49</v>
      </c>
      <c r="B99" s="2" t="s">
        <v>703</v>
      </c>
      <c r="C99" s="2" t="s">
        <v>362</v>
      </c>
      <c r="D99" s="4">
        <v>1.0</v>
      </c>
      <c r="E99" s="2" t="s">
        <v>181</v>
      </c>
      <c r="F99" s="2" t="s">
        <v>364</v>
      </c>
      <c r="G99" s="6"/>
    </row>
    <row r="100" hidden="1">
      <c r="A100" s="2" t="s">
        <v>68</v>
      </c>
      <c r="B100" s="2" t="s">
        <v>708</v>
      </c>
      <c r="C100" s="2" t="s">
        <v>362</v>
      </c>
      <c r="D100" s="4">
        <v>14.0</v>
      </c>
      <c r="E100" s="2" t="s">
        <v>181</v>
      </c>
      <c r="F100" s="2" t="s">
        <v>364</v>
      </c>
      <c r="G100" s="6"/>
    </row>
    <row r="101" hidden="1">
      <c r="A101" s="2" t="s">
        <v>34</v>
      </c>
      <c r="B101" s="2" t="s">
        <v>712</v>
      </c>
      <c r="C101" s="2" t="s">
        <v>362</v>
      </c>
      <c r="D101" s="4">
        <v>1.0</v>
      </c>
      <c r="E101" s="2" t="s">
        <v>181</v>
      </c>
      <c r="F101" s="2" t="s">
        <v>364</v>
      </c>
      <c r="G101" s="6"/>
    </row>
    <row r="102" hidden="1">
      <c r="A102" s="2" t="s">
        <v>34</v>
      </c>
      <c r="B102" s="2" t="s">
        <v>716</v>
      </c>
      <c r="C102" s="2" t="s">
        <v>362</v>
      </c>
      <c r="D102" s="4">
        <v>1.0</v>
      </c>
      <c r="E102" s="2" t="s">
        <v>181</v>
      </c>
      <c r="F102" s="2" t="s">
        <v>364</v>
      </c>
      <c r="G102" s="6"/>
    </row>
    <row r="103" hidden="1">
      <c r="A103" s="2" t="s">
        <v>34</v>
      </c>
      <c r="B103" s="2" t="s">
        <v>720</v>
      </c>
      <c r="C103" s="2" t="s">
        <v>362</v>
      </c>
      <c r="D103" s="4">
        <v>1.0</v>
      </c>
      <c r="E103" s="2" t="s">
        <v>181</v>
      </c>
      <c r="F103" s="2" t="s">
        <v>364</v>
      </c>
      <c r="G103" s="6"/>
    </row>
    <row r="104" hidden="1">
      <c r="A104" s="2" t="s">
        <v>34</v>
      </c>
      <c r="B104" s="2" t="s">
        <v>726</v>
      </c>
      <c r="C104" s="2" t="s">
        <v>362</v>
      </c>
      <c r="D104" s="4">
        <v>1.0</v>
      </c>
      <c r="E104" s="2" t="s">
        <v>181</v>
      </c>
      <c r="F104" s="2" t="s">
        <v>364</v>
      </c>
      <c r="G104" s="6"/>
    </row>
    <row r="105" hidden="1">
      <c r="A105" s="2" t="s">
        <v>34</v>
      </c>
      <c r="B105" s="2" t="s">
        <v>730</v>
      </c>
      <c r="C105" s="2" t="s">
        <v>362</v>
      </c>
      <c r="D105" s="4">
        <v>14.0</v>
      </c>
      <c r="E105" s="2" t="s">
        <v>181</v>
      </c>
      <c r="F105" s="2" t="s">
        <v>364</v>
      </c>
      <c r="G105" s="6"/>
    </row>
    <row r="106" hidden="1">
      <c r="A106" s="2" t="s">
        <v>34</v>
      </c>
      <c r="B106" s="2" t="s">
        <v>733</v>
      </c>
      <c r="C106" s="2" t="s">
        <v>362</v>
      </c>
      <c r="D106" s="4">
        <v>13.0</v>
      </c>
      <c r="E106" s="2" t="s">
        <v>181</v>
      </c>
      <c r="F106" s="2" t="s">
        <v>364</v>
      </c>
      <c r="G106" s="6"/>
    </row>
    <row r="107">
      <c r="A107" s="2" t="s">
        <v>34</v>
      </c>
      <c r="B107" s="2" t="s">
        <v>736</v>
      </c>
      <c r="C107" s="2" t="s">
        <v>362</v>
      </c>
      <c r="D107" s="4">
        <v>8.0</v>
      </c>
      <c r="E107" s="2" t="s">
        <v>181</v>
      </c>
      <c r="F107" s="2" t="s">
        <v>364</v>
      </c>
      <c r="G107" s="6">
        <v>46237.65963270833</v>
      </c>
    </row>
    <row r="108" hidden="1">
      <c r="A108" s="2" t="s">
        <v>34</v>
      </c>
      <c r="B108" s="2" t="s">
        <v>744</v>
      </c>
      <c r="C108" s="2" t="s">
        <v>362</v>
      </c>
      <c r="D108" s="4">
        <v>8.0</v>
      </c>
      <c r="E108" s="2" t="s">
        <v>181</v>
      </c>
      <c r="F108" s="2" t="s">
        <v>364</v>
      </c>
      <c r="G108" s="6"/>
    </row>
    <row r="109" hidden="1">
      <c r="A109" s="2" t="s">
        <v>34</v>
      </c>
      <c r="B109" s="2" t="s">
        <v>751</v>
      </c>
      <c r="C109" s="2" t="s">
        <v>362</v>
      </c>
      <c r="D109" s="4">
        <v>10.0</v>
      </c>
      <c r="E109" s="2" t="s">
        <v>181</v>
      </c>
      <c r="F109" s="2" t="s">
        <v>364</v>
      </c>
      <c r="G109" s="6"/>
    </row>
    <row r="110" hidden="1">
      <c r="A110" s="2" t="s">
        <v>34</v>
      </c>
      <c r="B110" s="2" t="s">
        <v>759</v>
      </c>
      <c r="C110" s="2" t="s">
        <v>362</v>
      </c>
      <c r="D110" s="4">
        <v>11.0</v>
      </c>
      <c r="E110" s="2" t="s">
        <v>181</v>
      </c>
      <c r="F110" s="2" t="s">
        <v>364</v>
      </c>
      <c r="G110" s="6"/>
    </row>
    <row r="111" hidden="1">
      <c r="A111" s="2" t="s">
        <v>34</v>
      </c>
      <c r="B111" s="2" t="s">
        <v>768</v>
      </c>
      <c r="C111" s="2" t="s">
        <v>376</v>
      </c>
      <c r="D111" s="4">
        <v>19.0</v>
      </c>
      <c r="E111" s="2" t="s">
        <v>181</v>
      </c>
      <c r="F111" s="2" t="s">
        <v>364</v>
      </c>
      <c r="G111" s="6"/>
    </row>
    <row r="112" hidden="1">
      <c r="A112" s="2" t="s">
        <v>34</v>
      </c>
      <c r="B112" s="2" t="s">
        <v>772</v>
      </c>
      <c r="C112" s="2" t="s">
        <v>362</v>
      </c>
      <c r="D112" s="4">
        <v>3.0</v>
      </c>
      <c r="E112" s="2" t="s">
        <v>181</v>
      </c>
      <c r="F112" s="2" t="s">
        <v>364</v>
      </c>
      <c r="G112" s="6"/>
    </row>
    <row r="113" hidden="1">
      <c r="A113" s="2" t="s">
        <v>49</v>
      </c>
      <c r="B113" s="2" t="s">
        <v>772</v>
      </c>
      <c r="C113" s="2" t="s">
        <v>362</v>
      </c>
      <c r="D113" s="4">
        <v>3.0</v>
      </c>
      <c r="E113" s="2" t="s">
        <v>181</v>
      </c>
      <c r="F113" s="2" t="s">
        <v>364</v>
      </c>
      <c r="G113" s="6"/>
    </row>
    <row r="114" hidden="1">
      <c r="A114" s="2" t="s">
        <v>34</v>
      </c>
      <c r="B114" s="2" t="s">
        <v>778</v>
      </c>
      <c r="C114" s="2" t="s">
        <v>362</v>
      </c>
      <c r="D114" s="4">
        <v>10.0</v>
      </c>
      <c r="E114" s="2" t="s">
        <v>181</v>
      </c>
      <c r="F114" s="2" t="s">
        <v>364</v>
      </c>
      <c r="G114" s="6"/>
    </row>
    <row r="115" hidden="1">
      <c r="A115" s="2" t="s">
        <v>34</v>
      </c>
      <c r="B115" s="2" t="s">
        <v>781</v>
      </c>
      <c r="C115" s="2" t="s">
        <v>362</v>
      </c>
      <c r="D115" s="4">
        <v>15.0</v>
      </c>
      <c r="E115" s="2" t="s">
        <v>181</v>
      </c>
      <c r="F115" s="2" t="s">
        <v>364</v>
      </c>
      <c r="G115" s="6"/>
    </row>
    <row r="116" hidden="1">
      <c r="A116" s="2" t="s">
        <v>34</v>
      </c>
      <c r="B116" s="2" t="s">
        <v>783</v>
      </c>
      <c r="C116" s="2" t="s">
        <v>362</v>
      </c>
      <c r="D116" s="4">
        <v>16.0</v>
      </c>
      <c r="E116" s="2" t="s">
        <v>181</v>
      </c>
      <c r="F116" s="2" t="s">
        <v>364</v>
      </c>
      <c r="G116" s="6"/>
    </row>
    <row r="117" hidden="1">
      <c r="A117" s="2" t="s">
        <v>34</v>
      </c>
      <c r="B117" s="2" t="s">
        <v>787</v>
      </c>
      <c r="C117" s="2" t="s">
        <v>362</v>
      </c>
      <c r="D117" s="4">
        <v>1.0</v>
      </c>
      <c r="E117" s="2" t="s">
        <v>181</v>
      </c>
      <c r="F117" s="2" t="s">
        <v>364</v>
      </c>
      <c r="G117" s="6"/>
    </row>
    <row r="118" hidden="1">
      <c r="A118" s="2" t="s">
        <v>75</v>
      </c>
      <c r="B118" s="2" t="s">
        <v>791</v>
      </c>
      <c r="C118" s="2" t="s">
        <v>362</v>
      </c>
      <c r="D118" s="4">
        <v>264.0</v>
      </c>
      <c r="E118" s="2" t="s">
        <v>181</v>
      </c>
      <c r="F118" s="2" t="s">
        <v>364</v>
      </c>
      <c r="G118" s="6"/>
    </row>
    <row r="119" hidden="1">
      <c r="A119" s="2" t="s">
        <v>104</v>
      </c>
      <c r="B119" s="2" t="s">
        <v>689</v>
      </c>
      <c r="C119" s="2" t="s">
        <v>362</v>
      </c>
      <c r="D119" s="4">
        <v>1.0</v>
      </c>
      <c r="E119" s="2" t="s">
        <v>181</v>
      </c>
      <c r="F119" s="2" t="s">
        <v>364</v>
      </c>
      <c r="G119" s="6"/>
    </row>
    <row r="120" hidden="1">
      <c r="A120" s="2" t="s">
        <v>49</v>
      </c>
      <c r="B120" s="2" t="s">
        <v>796</v>
      </c>
      <c r="C120" s="2" t="s">
        <v>362</v>
      </c>
      <c r="D120" s="4">
        <v>4.0</v>
      </c>
      <c r="E120" s="2" t="s">
        <v>181</v>
      </c>
      <c r="F120" s="2" t="s">
        <v>364</v>
      </c>
      <c r="G120" s="6"/>
    </row>
    <row r="121" hidden="1">
      <c r="A121" s="2" t="s">
        <v>68</v>
      </c>
      <c r="B121" s="2" t="s">
        <v>798</v>
      </c>
      <c r="C121" s="2" t="s">
        <v>362</v>
      </c>
      <c r="D121" s="4">
        <v>1.0</v>
      </c>
      <c r="E121" s="2" t="s">
        <v>181</v>
      </c>
      <c r="F121" s="2" t="s">
        <v>364</v>
      </c>
      <c r="G121" s="6"/>
    </row>
    <row r="122" hidden="1">
      <c r="A122" s="2" t="s">
        <v>34</v>
      </c>
      <c r="B122" s="2" t="s">
        <v>800</v>
      </c>
      <c r="C122" s="2" t="s">
        <v>362</v>
      </c>
      <c r="D122" s="4">
        <v>15.0</v>
      </c>
      <c r="E122" s="2" t="s">
        <v>181</v>
      </c>
      <c r="F122" s="2" t="s">
        <v>364</v>
      </c>
      <c r="G122" s="6"/>
    </row>
    <row r="123" hidden="1">
      <c r="A123" s="2" t="s">
        <v>34</v>
      </c>
      <c r="B123" s="2" t="s">
        <v>804</v>
      </c>
      <c r="C123" s="2" t="s">
        <v>362</v>
      </c>
      <c r="D123" s="4">
        <v>18.0</v>
      </c>
      <c r="E123" s="2" t="s">
        <v>181</v>
      </c>
      <c r="F123" s="2" t="s">
        <v>364</v>
      </c>
      <c r="G123" s="6"/>
    </row>
    <row r="124" hidden="1">
      <c r="A124" s="2" t="s">
        <v>104</v>
      </c>
      <c r="B124" s="2" t="s">
        <v>808</v>
      </c>
      <c r="C124" s="2" t="s">
        <v>362</v>
      </c>
      <c r="D124" s="4">
        <v>2.0</v>
      </c>
      <c r="E124" s="2" t="s">
        <v>181</v>
      </c>
      <c r="F124" s="2" t="s">
        <v>364</v>
      </c>
      <c r="G124" s="6"/>
    </row>
    <row r="125" hidden="1">
      <c r="A125" s="2" t="s">
        <v>34</v>
      </c>
      <c r="B125" s="2" t="s">
        <v>810</v>
      </c>
      <c r="C125" s="2" t="s">
        <v>362</v>
      </c>
      <c r="D125" s="4">
        <v>1.0</v>
      </c>
      <c r="E125" s="2" t="s">
        <v>181</v>
      </c>
      <c r="F125" s="2" t="s">
        <v>364</v>
      </c>
      <c r="G125" s="6"/>
    </row>
    <row r="126" hidden="1">
      <c r="A126" s="2" t="s">
        <v>34</v>
      </c>
      <c r="B126" s="2" t="s">
        <v>812</v>
      </c>
      <c r="C126" s="2" t="s">
        <v>362</v>
      </c>
      <c r="D126" s="4">
        <v>1.0</v>
      </c>
      <c r="E126" s="2" t="s">
        <v>181</v>
      </c>
      <c r="F126" s="2" t="s">
        <v>364</v>
      </c>
      <c r="G126" s="6"/>
    </row>
    <row r="127" hidden="1">
      <c r="A127" s="2" t="s">
        <v>34</v>
      </c>
      <c r="B127" s="2" t="s">
        <v>814</v>
      </c>
      <c r="C127" s="2" t="s">
        <v>362</v>
      </c>
      <c r="D127" s="4">
        <v>1.0</v>
      </c>
      <c r="E127" s="2" t="s">
        <v>181</v>
      </c>
      <c r="F127" s="2" t="s">
        <v>364</v>
      </c>
      <c r="G127" s="6"/>
    </row>
    <row r="128" hidden="1">
      <c r="A128" s="2" t="s">
        <v>34</v>
      </c>
      <c r="B128" s="2" t="s">
        <v>815</v>
      </c>
      <c r="C128" s="2" t="s">
        <v>362</v>
      </c>
      <c r="D128" s="4">
        <v>21.0</v>
      </c>
      <c r="E128" s="2" t="s">
        <v>181</v>
      </c>
      <c r="F128" s="2" t="s">
        <v>364</v>
      </c>
      <c r="G128" s="6"/>
    </row>
    <row r="129" hidden="1">
      <c r="A129" s="2" t="s">
        <v>34</v>
      </c>
      <c r="B129" s="2" t="s">
        <v>817</v>
      </c>
      <c r="C129" s="2" t="s">
        <v>362</v>
      </c>
      <c r="D129" s="4">
        <v>21.0</v>
      </c>
      <c r="E129" s="2" t="s">
        <v>181</v>
      </c>
      <c r="F129" s="2" t="s">
        <v>364</v>
      </c>
      <c r="G129" s="6"/>
    </row>
    <row r="130" hidden="1">
      <c r="A130" s="2" t="s">
        <v>34</v>
      </c>
      <c r="B130" s="2" t="s">
        <v>819</v>
      </c>
      <c r="C130" s="2" t="s">
        <v>362</v>
      </c>
      <c r="D130" s="4">
        <v>6.0</v>
      </c>
      <c r="E130" s="2" t="s">
        <v>181</v>
      </c>
      <c r="F130" s="2" t="s">
        <v>364</v>
      </c>
      <c r="G130" s="6"/>
    </row>
    <row r="131" hidden="1">
      <c r="A131" s="2" t="s">
        <v>34</v>
      </c>
      <c r="B131" s="2" t="s">
        <v>821</v>
      </c>
      <c r="C131" s="2" t="s">
        <v>362</v>
      </c>
      <c r="D131" s="4">
        <v>1.0</v>
      </c>
      <c r="E131" s="2" t="s">
        <v>181</v>
      </c>
      <c r="F131" s="2" t="s">
        <v>364</v>
      </c>
      <c r="G131" s="6"/>
    </row>
    <row r="132" hidden="1">
      <c r="A132" s="2" t="s">
        <v>34</v>
      </c>
      <c r="B132" s="2" t="s">
        <v>823</v>
      </c>
      <c r="C132" s="2" t="s">
        <v>362</v>
      </c>
      <c r="D132" s="4">
        <v>49.0</v>
      </c>
      <c r="E132" s="2" t="s">
        <v>181</v>
      </c>
      <c r="F132" s="2" t="s">
        <v>364</v>
      </c>
      <c r="G132" s="6"/>
    </row>
    <row r="133" hidden="1">
      <c r="A133" s="2" t="s">
        <v>34</v>
      </c>
      <c r="B133" s="2" t="s">
        <v>826</v>
      </c>
      <c r="C133" s="2" t="s">
        <v>362</v>
      </c>
      <c r="D133" s="4">
        <v>31.0</v>
      </c>
      <c r="E133" s="2" t="s">
        <v>181</v>
      </c>
      <c r="F133" s="2" t="s">
        <v>364</v>
      </c>
      <c r="G133" s="6"/>
    </row>
    <row r="134" hidden="1">
      <c r="A134" s="2" t="s">
        <v>34</v>
      </c>
      <c r="B134" s="2" t="s">
        <v>828</v>
      </c>
      <c r="C134" s="2" t="s">
        <v>362</v>
      </c>
      <c r="D134" s="4">
        <v>11.0</v>
      </c>
      <c r="E134" s="2" t="s">
        <v>181</v>
      </c>
      <c r="F134" s="2" t="s">
        <v>364</v>
      </c>
      <c r="G134" s="6"/>
    </row>
    <row r="135" hidden="1">
      <c r="A135" s="2" t="s">
        <v>34</v>
      </c>
      <c r="B135" s="2" t="s">
        <v>830</v>
      </c>
      <c r="C135" s="2" t="s">
        <v>362</v>
      </c>
      <c r="D135" s="4">
        <v>20.0</v>
      </c>
      <c r="E135" s="2" t="s">
        <v>181</v>
      </c>
      <c r="F135" s="2" t="s">
        <v>364</v>
      </c>
      <c r="G135" s="6"/>
    </row>
    <row r="136" hidden="1">
      <c r="A136" s="2" t="s">
        <v>34</v>
      </c>
      <c r="B136" s="2" t="s">
        <v>833</v>
      </c>
      <c r="C136" s="2" t="s">
        <v>362</v>
      </c>
      <c r="D136" s="4">
        <v>16.0</v>
      </c>
      <c r="E136" s="2" t="s">
        <v>181</v>
      </c>
      <c r="F136" s="2" t="s">
        <v>364</v>
      </c>
      <c r="G136" s="6"/>
    </row>
    <row r="137" hidden="1">
      <c r="A137" s="2" t="s">
        <v>34</v>
      </c>
      <c r="B137" s="2" t="s">
        <v>834</v>
      </c>
      <c r="C137" s="2" t="s">
        <v>362</v>
      </c>
      <c r="D137" s="4">
        <v>6.0</v>
      </c>
      <c r="E137" s="2" t="s">
        <v>181</v>
      </c>
      <c r="F137" s="2" t="s">
        <v>364</v>
      </c>
      <c r="G137" s="6"/>
    </row>
    <row r="138">
      <c r="A138" s="2" t="s">
        <v>34</v>
      </c>
      <c r="B138" s="2" t="s">
        <v>837</v>
      </c>
      <c r="C138" s="2" t="s">
        <v>362</v>
      </c>
      <c r="D138" s="4">
        <v>25.0</v>
      </c>
      <c r="E138" s="2" t="s">
        <v>181</v>
      </c>
      <c r="F138" s="2" t="s">
        <v>364</v>
      </c>
      <c r="G138" s="6">
        <v>46237.65963270833</v>
      </c>
    </row>
    <row r="139">
      <c r="A139" s="2" t="s">
        <v>34</v>
      </c>
      <c r="B139" s="2" t="s">
        <v>839</v>
      </c>
      <c r="C139" s="2" t="s">
        <v>362</v>
      </c>
      <c r="D139" s="4">
        <v>26.0</v>
      </c>
      <c r="E139" s="2" t="s">
        <v>181</v>
      </c>
      <c r="F139" s="2" t="s">
        <v>364</v>
      </c>
      <c r="G139" s="6">
        <v>46237.65963270833</v>
      </c>
    </row>
    <row r="140">
      <c r="A140" s="2" t="s">
        <v>34</v>
      </c>
      <c r="B140" s="2" t="s">
        <v>841</v>
      </c>
      <c r="C140" s="2" t="s">
        <v>362</v>
      </c>
      <c r="D140" s="4">
        <v>41.0</v>
      </c>
      <c r="E140" s="2" t="s">
        <v>181</v>
      </c>
      <c r="F140" s="2" t="s">
        <v>364</v>
      </c>
      <c r="G140" s="6">
        <v>46237.65963270833</v>
      </c>
    </row>
    <row r="141">
      <c r="A141" s="2" t="s">
        <v>34</v>
      </c>
      <c r="B141" s="2" t="s">
        <v>844</v>
      </c>
      <c r="C141" s="2" t="s">
        <v>362</v>
      </c>
      <c r="D141" s="4">
        <v>47.0</v>
      </c>
      <c r="E141" s="2" t="s">
        <v>181</v>
      </c>
      <c r="F141" s="2" t="s">
        <v>364</v>
      </c>
      <c r="G141" s="6">
        <v>46237.65963270833</v>
      </c>
    </row>
    <row r="142">
      <c r="A142" s="2" t="s">
        <v>34</v>
      </c>
      <c r="B142" s="2" t="s">
        <v>845</v>
      </c>
      <c r="C142" s="2" t="s">
        <v>362</v>
      </c>
      <c r="D142" s="4">
        <v>2.0</v>
      </c>
      <c r="E142" s="2" t="s">
        <v>181</v>
      </c>
      <c r="F142" s="2" t="s">
        <v>364</v>
      </c>
      <c r="G142" s="6">
        <v>46237.65963270833</v>
      </c>
    </row>
    <row r="143">
      <c r="A143" s="2" t="s">
        <v>34</v>
      </c>
      <c r="B143" s="2" t="s">
        <v>849</v>
      </c>
      <c r="C143" s="2" t="s">
        <v>362</v>
      </c>
      <c r="D143" s="4">
        <v>1.0</v>
      </c>
      <c r="E143" s="2" t="s">
        <v>181</v>
      </c>
      <c r="F143" s="2" t="s">
        <v>364</v>
      </c>
      <c r="G143" s="6">
        <v>46237.65963270833</v>
      </c>
    </row>
    <row r="144">
      <c r="A144" s="2" t="s">
        <v>34</v>
      </c>
      <c r="B144" s="2" t="s">
        <v>853</v>
      </c>
      <c r="C144" s="2" t="s">
        <v>362</v>
      </c>
      <c r="D144" s="4">
        <v>68.0</v>
      </c>
      <c r="E144" s="2" t="s">
        <v>181</v>
      </c>
      <c r="F144" s="2" t="s">
        <v>364</v>
      </c>
      <c r="G144" s="6">
        <v>46237.65963270833</v>
      </c>
    </row>
    <row r="145">
      <c r="A145" s="2" t="s">
        <v>96</v>
      </c>
      <c r="B145" s="2" t="s">
        <v>854</v>
      </c>
      <c r="C145" s="2" t="s">
        <v>362</v>
      </c>
      <c r="D145" s="4">
        <v>1.0</v>
      </c>
      <c r="E145" s="2" t="s">
        <v>181</v>
      </c>
      <c r="F145" s="2" t="s">
        <v>364</v>
      </c>
      <c r="G145" s="6">
        <v>46237.65963270833</v>
      </c>
    </row>
    <row r="146">
      <c r="A146" s="2" t="s">
        <v>68</v>
      </c>
      <c r="B146" s="2" t="s">
        <v>857</v>
      </c>
      <c r="C146" s="2" t="s">
        <v>362</v>
      </c>
      <c r="D146" s="4">
        <v>4.0</v>
      </c>
      <c r="E146" s="2" t="s">
        <v>181</v>
      </c>
      <c r="F146" s="2" t="s">
        <v>364</v>
      </c>
      <c r="G146" s="6">
        <v>46237.65963270833</v>
      </c>
    </row>
    <row r="147">
      <c r="A147" s="2" t="s">
        <v>49</v>
      </c>
      <c r="B147" s="2" t="s">
        <v>859</v>
      </c>
      <c r="C147" s="2" t="s">
        <v>362</v>
      </c>
      <c r="D147" s="4">
        <v>1.0</v>
      </c>
      <c r="E147" s="2" t="s">
        <v>181</v>
      </c>
      <c r="F147" s="2" t="s">
        <v>364</v>
      </c>
      <c r="G147" s="6">
        <v>46237.65963270833</v>
      </c>
    </row>
    <row r="148">
      <c r="A148" s="2" t="s">
        <v>34</v>
      </c>
      <c r="B148" s="2" t="s">
        <v>860</v>
      </c>
      <c r="C148" s="2" t="s">
        <v>362</v>
      </c>
      <c r="D148" s="4">
        <v>1.0</v>
      </c>
      <c r="E148" s="2" t="s">
        <v>181</v>
      </c>
      <c r="F148" s="2" t="s">
        <v>364</v>
      </c>
      <c r="G148" s="6">
        <v>46237.65963270833</v>
      </c>
    </row>
    <row r="149">
      <c r="A149" s="2" t="s">
        <v>49</v>
      </c>
      <c r="B149" s="2" t="s">
        <v>862</v>
      </c>
      <c r="C149" s="2" t="s">
        <v>362</v>
      </c>
      <c r="D149" s="4">
        <v>1.0</v>
      </c>
      <c r="E149" s="2" t="s">
        <v>181</v>
      </c>
      <c r="F149" s="2" t="s">
        <v>364</v>
      </c>
      <c r="G149" s="6">
        <v>46237.65963270833</v>
      </c>
    </row>
    <row r="150">
      <c r="A150" s="2" t="s">
        <v>34</v>
      </c>
      <c r="B150" s="2" t="s">
        <v>863</v>
      </c>
      <c r="C150" s="2" t="s">
        <v>362</v>
      </c>
      <c r="D150" s="4">
        <v>27.0</v>
      </c>
      <c r="E150" s="2" t="s">
        <v>181</v>
      </c>
      <c r="F150" s="2" t="s">
        <v>364</v>
      </c>
      <c r="G150" s="6">
        <v>46237.65963270833</v>
      </c>
    </row>
    <row r="151">
      <c r="A151" s="2" t="s">
        <v>34</v>
      </c>
      <c r="B151" s="2" t="s">
        <v>866</v>
      </c>
      <c r="C151" s="2" t="s">
        <v>362</v>
      </c>
      <c r="D151" s="4">
        <v>7.0</v>
      </c>
      <c r="E151" s="2" t="s">
        <v>181</v>
      </c>
      <c r="F151" s="2" t="s">
        <v>364</v>
      </c>
      <c r="G151" s="6">
        <v>46237.65963270833</v>
      </c>
    </row>
    <row r="152">
      <c r="A152" s="2" t="s">
        <v>34</v>
      </c>
      <c r="B152" s="2" t="s">
        <v>868</v>
      </c>
      <c r="C152" s="2" t="s">
        <v>362</v>
      </c>
      <c r="D152" s="4">
        <v>2.0</v>
      </c>
      <c r="E152" s="2" t="s">
        <v>181</v>
      </c>
      <c r="F152" s="2" t="s">
        <v>364</v>
      </c>
      <c r="G152" s="6">
        <v>46237.65963270833</v>
      </c>
    </row>
    <row r="153">
      <c r="A153" s="2" t="s">
        <v>34</v>
      </c>
      <c r="B153" s="2" t="s">
        <v>869</v>
      </c>
      <c r="C153" s="2" t="s">
        <v>362</v>
      </c>
      <c r="D153" s="4">
        <v>2.0</v>
      </c>
      <c r="E153" s="2" t="s">
        <v>181</v>
      </c>
      <c r="F153" s="2" t="s">
        <v>364</v>
      </c>
      <c r="G153" s="6">
        <v>46237.65963270833</v>
      </c>
    </row>
    <row r="154">
      <c r="G154" s="6"/>
    </row>
    <row r="155">
      <c r="G155" s="6"/>
    </row>
    <row r="156">
      <c r="G156" s="6"/>
    </row>
    <row r="157">
      <c r="G157" s="6"/>
    </row>
    <row r="158">
      <c r="G158" s="6"/>
    </row>
    <row r="159">
      <c r="G159" s="6"/>
    </row>
    <row r="160">
      <c r="G160" s="6"/>
    </row>
    <row r="161">
      <c r="G161" s="6"/>
    </row>
    <row r="162">
      <c r="G162" s="6"/>
    </row>
    <row r="163">
      <c r="G163" s="6"/>
    </row>
    <row r="164">
      <c r="G164" s="6"/>
    </row>
    <row r="165">
      <c r="G165" s="6"/>
    </row>
    <row r="166">
      <c r="G166" s="6"/>
    </row>
    <row r="167">
      <c r="G167" s="6"/>
    </row>
    <row r="168">
      <c r="G168" s="6"/>
    </row>
    <row r="169">
      <c r="G169" s="6"/>
    </row>
    <row r="170">
      <c r="G170" s="6"/>
    </row>
    <row r="171">
      <c r="G171" s="6"/>
    </row>
    <row r="172">
      <c r="G172" s="6"/>
    </row>
    <row r="173">
      <c r="G173" s="6"/>
    </row>
    <row r="174">
      <c r="G174" s="6"/>
    </row>
    <row r="175">
      <c r="G175" s="6"/>
    </row>
    <row r="176">
      <c r="G176" s="6"/>
    </row>
    <row r="177">
      <c r="G177" s="6"/>
    </row>
    <row r="178">
      <c r="G178" s="6"/>
    </row>
    <row r="179">
      <c r="G179" s="6"/>
    </row>
    <row r="180">
      <c r="G180" s="6"/>
    </row>
    <row r="181">
      <c r="G181" s="6"/>
    </row>
    <row r="182">
      <c r="G182" s="6"/>
    </row>
    <row r="183">
      <c r="G183" s="6"/>
    </row>
    <row r="184">
      <c r="G184" s="6"/>
    </row>
    <row r="185">
      <c r="G185" s="6"/>
    </row>
    <row r="186">
      <c r="G186" s="6"/>
    </row>
    <row r="187">
      <c r="G187" s="6"/>
    </row>
    <row r="188">
      <c r="G188" s="6"/>
    </row>
    <row r="189">
      <c r="G189" s="6"/>
    </row>
    <row r="190">
      <c r="G190" s="6"/>
    </row>
    <row r="191">
      <c r="G191" s="6"/>
    </row>
    <row r="192">
      <c r="G192" s="6"/>
    </row>
    <row r="193">
      <c r="G193" s="6"/>
    </row>
    <row r="194">
      <c r="G194" s="6"/>
    </row>
    <row r="195">
      <c r="G195" s="6"/>
    </row>
    <row r="196">
      <c r="G196" s="6"/>
    </row>
    <row r="197">
      <c r="G197" s="6"/>
    </row>
    <row r="198">
      <c r="G198" s="6"/>
    </row>
    <row r="199">
      <c r="G199" s="6"/>
    </row>
    <row r="200">
      <c r="G200" s="6"/>
    </row>
    <row r="201">
      <c r="G201" s="6"/>
    </row>
    <row r="202">
      <c r="G202" s="6"/>
    </row>
    <row r="203">
      <c r="G203" s="6"/>
    </row>
    <row r="204">
      <c r="G204" s="6"/>
    </row>
    <row r="205">
      <c r="G205" s="6"/>
    </row>
    <row r="206">
      <c r="G206" s="6"/>
    </row>
    <row r="207">
      <c r="G207" s="6"/>
    </row>
    <row r="208">
      <c r="G208" s="6"/>
    </row>
    <row r="209">
      <c r="G209" s="6"/>
    </row>
    <row r="210">
      <c r="G210" s="6"/>
    </row>
    <row r="211">
      <c r="G211" s="6"/>
    </row>
    <row r="212">
      <c r="G212" s="6"/>
    </row>
    <row r="213">
      <c r="G213" s="6"/>
    </row>
    <row r="214">
      <c r="G214" s="6"/>
    </row>
    <row r="215">
      <c r="G215" s="6"/>
    </row>
    <row r="216">
      <c r="G216" s="6"/>
    </row>
    <row r="217">
      <c r="G217" s="6"/>
    </row>
    <row r="218">
      <c r="G218" s="6"/>
    </row>
    <row r="219">
      <c r="G219" s="6"/>
    </row>
    <row r="220">
      <c r="G220" s="6"/>
    </row>
    <row r="221">
      <c r="G221" s="6"/>
    </row>
    <row r="222">
      <c r="G222" s="6"/>
    </row>
    <row r="223">
      <c r="G223" s="6"/>
    </row>
    <row r="224">
      <c r="G224" s="6"/>
    </row>
    <row r="225">
      <c r="G225" s="6"/>
    </row>
    <row r="226">
      <c r="G226" s="6"/>
    </row>
    <row r="227">
      <c r="G227" s="6"/>
    </row>
    <row r="228">
      <c r="G228" s="6"/>
    </row>
    <row r="229">
      <c r="G229" s="6"/>
    </row>
    <row r="230">
      <c r="G230" s="6"/>
    </row>
    <row r="231">
      <c r="G231" s="6"/>
    </row>
    <row r="232">
      <c r="G232" s="6"/>
    </row>
    <row r="233">
      <c r="G233" s="6"/>
    </row>
    <row r="234">
      <c r="G234" s="6"/>
    </row>
    <row r="235">
      <c r="G235" s="6"/>
    </row>
    <row r="236">
      <c r="G236" s="6"/>
    </row>
    <row r="237">
      <c r="G237" s="6"/>
    </row>
    <row r="238">
      <c r="G238" s="6"/>
    </row>
    <row r="239">
      <c r="G239" s="6"/>
    </row>
    <row r="240">
      <c r="G240" s="6"/>
    </row>
    <row r="241">
      <c r="G241" s="6"/>
    </row>
    <row r="242">
      <c r="G242" s="6"/>
    </row>
    <row r="243">
      <c r="G243" s="6"/>
    </row>
    <row r="244">
      <c r="G244" s="6"/>
    </row>
    <row r="245">
      <c r="G245" s="6"/>
    </row>
    <row r="246">
      <c r="G246" s="6"/>
    </row>
    <row r="247">
      <c r="G247" s="6"/>
    </row>
    <row r="248">
      <c r="G248" s="6"/>
    </row>
    <row r="249">
      <c r="G249" s="6"/>
    </row>
    <row r="250">
      <c r="G250" s="6"/>
    </row>
    <row r="251">
      <c r="G251" s="6"/>
    </row>
    <row r="252">
      <c r="G252" s="6"/>
    </row>
    <row r="253">
      <c r="G253" s="6"/>
    </row>
    <row r="254">
      <c r="G254" s="6"/>
    </row>
    <row r="255">
      <c r="G255" s="6"/>
    </row>
    <row r="256">
      <c r="G256" s="6"/>
    </row>
    <row r="257">
      <c r="G257" s="6"/>
    </row>
    <row r="258">
      <c r="G258" s="6"/>
    </row>
    <row r="259">
      <c r="G259" s="6"/>
    </row>
    <row r="260">
      <c r="G260" s="6"/>
    </row>
    <row r="261">
      <c r="G261" s="6"/>
    </row>
    <row r="262">
      <c r="G262" s="6"/>
    </row>
    <row r="263">
      <c r="G263" s="6"/>
    </row>
    <row r="264">
      <c r="G264" s="6"/>
    </row>
    <row r="265">
      <c r="G265" s="6"/>
    </row>
    <row r="266">
      <c r="G266" s="6"/>
    </row>
    <row r="267">
      <c r="G267" s="6"/>
    </row>
    <row r="268">
      <c r="G268" s="6"/>
    </row>
    <row r="269">
      <c r="G269" s="6"/>
    </row>
    <row r="270">
      <c r="G270" s="6"/>
    </row>
    <row r="271">
      <c r="G271" s="6"/>
    </row>
    <row r="272">
      <c r="G272" s="6"/>
    </row>
    <row r="273">
      <c r="G273" s="6"/>
    </row>
    <row r="274">
      <c r="G274" s="6"/>
    </row>
    <row r="275">
      <c r="G275" s="6"/>
    </row>
    <row r="276">
      <c r="G276" s="6"/>
    </row>
    <row r="277">
      <c r="G277" s="6"/>
    </row>
    <row r="278">
      <c r="G278" s="6"/>
    </row>
    <row r="279">
      <c r="G279" s="6"/>
    </row>
    <row r="280">
      <c r="G280" s="6"/>
    </row>
    <row r="281">
      <c r="G281" s="6"/>
    </row>
    <row r="282">
      <c r="G282" s="6"/>
    </row>
    <row r="283">
      <c r="G283" s="6"/>
    </row>
    <row r="284">
      <c r="G284" s="6"/>
    </row>
    <row r="285">
      <c r="G285" s="6"/>
    </row>
    <row r="286">
      <c r="G286" s="6"/>
    </row>
    <row r="287">
      <c r="G287" s="6"/>
    </row>
    <row r="288">
      <c r="G288" s="6"/>
    </row>
    <row r="289">
      <c r="G289" s="6"/>
    </row>
    <row r="290">
      <c r="G290" s="6"/>
    </row>
    <row r="291">
      <c r="G291" s="6"/>
    </row>
    <row r="292">
      <c r="G292" s="6"/>
    </row>
    <row r="293">
      <c r="G293" s="6"/>
    </row>
    <row r="294">
      <c r="G294" s="6"/>
    </row>
    <row r="295">
      <c r="G295" s="6"/>
    </row>
    <row r="296">
      <c r="G296" s="6"/>
    </row>
    <row r="297">
      <c r="G297" s="6"/>
    </row>
    <row r="298">
      <c r="G298" s="6"/>
    </row>
    <row r="299">
      <c r="G299" s="6"/>
    </row>
    <row r="300">
      <c r="G300" s="6"/>
    </row>
    <row r="301">
      <c r="G301" s="6"/>
    </row>
    <row r="302">
      <c r="G302" s="6"/>
    </row>
    <row r="303">
      <c r="G303" s="6"/>
    </row>
    <row r="304">
      <c r="G304" s="6"/>
    </row>
    <row r="305">
      <c r="G305" s="6"/>
    </row>
    <row r="306">
      <c r="G306" s="6"/>
    </row>
    <row r="307">
      <c r="G307" s="6"/>
    </row>
    <row r="308">
      <c r="G308" s="6"/>
    </row>
    <row r="309">
      <c r="G309" s="6"/>
    </row>
    <row r="310">
      <c r="G310" s="6"/>
    </row>
    <row r="311">
      <c r="G311" s="6"/>
    </row>
    <row r="312">
      <c r="G312" s="6"/>
    </row>
    <row r="313">
      <c r="G313" s="6"/>
    </row>
    <row r="314">
      <c r="G314" s="6"/>
    </row>
    <row r="315">
      <c r="G315" s="6"/>
    </row>
    <row r="316">
      <c r="G316" s="6"/>
    </row>
    <row r="317">
      <c r="G317" s="6"/>
    </row>
    <row r="318">
      <c r="G318" s="6"/>
    </row>
    <row r="319">
      <c r="G319" s="6"/>
    </row>
    <row r="320">
      <c r="G320" s="6"/>
    </row>
    <row r="321">
      <c r="G321" s="6"/>
    </row>
    <row r="322">
      <c r="G322" s="6"/>
    </row>
    <row r="323">
      <c r="G323" s="6"/>
    </row>
    <row r="324">
      <c r="G324" s="6"/>
    </row>
    <row r="325">
      <c r="G325" s="6"/>
    </row>
    <row r="326">
      <c r="G326" s="6"/>
    </row>
    <row r="327">
      <c r="G327" s="6"/>
    </row>
    <row r="328">
      <c r="G328" s="6"/>
    </row>
    <row r="329">
      <c r="G329" s="6"/>
    </row>
    <row r="330">
      <c r="G330" s="6"/>
    </row>
    <row r="331">
      <c r="G331" s="6"/>
    </row>
    <row r="332">
      <c r="G332" s="6"/>
    </row>
    <row r="333">
      <c r="G333" s="6"/>
    </row>
    <row r="334">
      <c r="G334" s="6"/>
    </row>
    <row r="335">
      <c r="G335" s="6"/>
    </row>
    <row r="336">
      <c r="G336" s="6"/>
    </row>
    <row r="337">
      <c r="G337" s="6"/>
    </row>
    <row r="338">
      <c r="G338" s="6"/>
    </row>
    <row r="339">
      <c r="G339" s="6"/>
    </row>
    <row r="340">
      <c r="G340" s="6"/>
    </row>
    <row r="341">
      <c r="G341" s="6"/>
    </row>
    <row r="342">
      <c r="G342" s="6"/>
    </row>
    <row r="343">
      <c r="G343" s="6"/>
    </row>
    <row r="344">
      <c r="G344" s="6"/>
    </row>
    <row r="345">
      <c r="G345" s="6"/>
    </row>
    <row r="346">
      <c r="G346" s="6"/>
    </row>
    <row r="347">
      <c r="G347" s="6"/>
    </row>
    <row r="348">
      <c r="G348" s="6"/>
    </row>
    <row r="349">
      <c r="G349" s="6"/>
    </row>
    <row r="350">
      <c r="G350" s="6"/>
    </row>
    <row r="351">
      <c r="G351" s="6"/>
    </row>
    <row r="352">
      <c r="G352" s="6"/>
    </row>
    <row r="353">
      <c r="G353" s="6"/>
    </row>
    <row r="354">
      <c r="G354" s="6"/>
    </row>
    <row r="355">
      <c r="G355" s="6"/>
    </row>
    <row r="356">
      <c r="G356" s="6"/>
    </row>
    <row r="357">
      <c r="G357" s="6"/>
    </row>
    <row r="358">
      <c r="G358" s="6"/>
    </row>
    <row r="359">
      <c r="G359" s="6"/>
    </row>
    <row r="360">
      <c r="G360" s="6"/>
    </row>
    <row r="361">
      <c r="G361" s="6"/>
    </row>
    <row r="362">
      <c r="G362" s="6"/>
    </row>
    <row r="363">
      <c r="G363" s="6"/>
    </row>
    <row r="364">
      <c r="G364" s="6"/>
    </row>
    <row r="365">
      <c r="G365" s="6"/>
    </row>
    <row r="366">
      <c r="G366" s="6"/>
    </row>
    <row r="367">
      <c r="G367" s="6"/>
    </row>
    <row r="368">
      <c r="G368" s="6"/>
    </row>
    <row r="369">
      <c r="G369" s="6"/>
    </row>
    <row r="370">
      <c r="G370" s="6"/>
    </row>
    <row r="371">
      <c r="G371" s="6"/>
    </row>
    <row r="372">
      <c r="G372" s="6"/>
    </row>
    <row r="373">
      <c r="G373" s="6"/>
    </row>
    <row r="374">
      <c r="G374" s="6"/>
    </row>
    <row r="375">
      <c r="G375" s="6"/>
    </row>
    <row r="376">
      <c r="G376" s="6"/>
    </row>
    <row r="377">
      <c r="G377" s="6"/>
    </row>
    <row r="378">
      <c r="G378" s="6"/>
    </row>
    <row r="379">
      <c r="G379" s="6"/>
    </row>
    <row r="380">
      <c r="G380" s="6"/>
    </row>
    <row r="381">
      <c r="G381" s="6"/>
    </row>
    <row r="382">
      <c r="G382" s="6"/>
    </row>
    <row r="383">
      <c r="G383" s="6"/>
    </row>
    <row r="384">
      <c r="G384" s="6"/>
    </row>
    <row r="385">
      <c r="G385" s="6"/>
    </row>
    <row r="386">
      <c r="G386" s="6"/>
    </row>
    <row r="387">
      <c r="G387" s="6"/>
    </row>
    <row r="388">
      <c r="G388" s="6"/>
    </row>
    <row r="389">
      <c r="G389" s="6"/>
    </row>
    <row r="390">
      <c r="G390" s="6"/>
    </row>
    <row r="391">
      <c r="G391" s="6"/>
    </row>
    <row r="392">
      <c r="G392" s="6"/>
    </row>
    <row r="393">
      <c r="G393" s="6"/>
    </row>
    <row r="394">
      <c r="G394" s="6"/>
    </row>
    <row r="395">
      <c r="G395" s="6"/>
    </row>
    <row r="396">
      <c r="G396" s="6"/>
    </row>
    <row r="397">
      <c r="G397" s="6"/>
    </row>
    <row r="398">
      <c r="G398" s="6"/>
    </row>
    <row r="399">
      <c r="G399" s="6"/>
    </row>
    <row r="400">
      <c r="G400" s="6"/>
    </row>
    <row r="401">
      <c r="G401" s="6"/>
    </row>
    <row r="402">
      <c r="G402" s="6"/>
    </row>
    <row r="403">
      <c r="G403" s="6"/>
    </row>
    <row r="404">
      <c r="G404" s="6"/>
    </row>
    <row r="405">
      <c r="G405" s="6"/>
    </row>
    <row r="406">
      <c r="G406" s="6"/>
    </row>
    <row r="407">
      <c r="G407" s="6"/>
    </row>
    <row r="408">
      <c r="G408" s="6"/>
    </row>
    <row r="409">
      <c r="G409" s="6"/>
    </row>
    <row r="410">
      <c r="G410" s="6"/>
    </row>
    <row r="411">
      <c r="G411" s="6"/>
    </row>
    <row r="412">
      <c r="G412" s="6"/>
    </row>
    <row r="413">
      <c r="G413" s="6"/>
    </row>
    <row r="414">
      <c r="G414" s="6"/>
    </row>
    <row r="415">
      <c r="G415" s="6"/>
    </row>
    <row r="416">
      <c r="G416" s="6"/>
    </row>
    <row r="417">
      <c r="G417" s="6"/>
    </row>
    <row r="418">
      <c r="G418" s="6"/>
    </row>
    <row r="419">
      <c r="G419" s="6"/>
    </row>
    <row r="420">
      <c r="G420" s="6"/>
    </row>
    <row r="421">
      <c r="G421" s="6"/>
    </row>
    <row r="422">
      <c r="G422" s="6"/>
    </row>
    <row r="423">
      <c r="G423" s="6"/>
    </row>
    <row r="424">
      <c r="G424" s="6"/>
    </row>
    <row r="425">
      <c r="G425" s="6"/>
    </row>
    <row r="426">
      <c r="G426" s="6"/>
    </row>
    <row r="427">
      <c r="G427" s="6"/>
    </row>
    <row r="428">
      <c r="G428" s="6"/>
    </row>
    <row r="429">
      <c r="G429" s="6"/>
    </row>
    <row r="430">
      <c r="G430" s="6"/>
    </row>
    <row r="431">
      <c r="G431" s="6"/>
    </row>
    <row r="432">
      <c r="G432" s="6"/>
    </row>
    <row r="433">
      <c r="G433" s="6"/>
    </row>
    <row r="434">
      <c r="G434" s="6"/>
    </row>
    <row r="435">
      <c r="G435" s="6"/>
    </row>
    <row r="436">
      <c r="G436" s="6"/>
    </row>
    <row r="437">
      <c r="G437" s="6"/>
    </row>
    <row r="438">
      <c r="G438" s="6"/>
    </row>
    <row r="439">
      <c r="G439" s="6"/>
    </row>
    <row r="440">
      <c r="G440" s="6"/>
    </row>
    <row r="441">
      <c r="G441" s="6"/>
    </row>
    <row r="442">
      <c r="G442" s="6"/>
    </row>
    <row r="443">
      <c r="G443" s="6"/>
    </row>
    <row r="444">
      <c r="G444" s="6"/>
    </row>
    <row r="445">
      <c r="G445" s="6"/>
    </row>
    <row r="446">
      <c r="G446" s="6"/>
    </row>
    <row r="447">
      <c r="G447" s="6"/>
    </row>
    <row r="448">
      <c r="G448" s="6"/>
    </row>
    <row r="449">
      <c r="G449" s="6"/>
    </row>
    <row r="450">
      <c r="G450" s="6"/>
    </row>
    <row r="451">
      <c r="G451" s="6"/>
    </row>
    <row r="452">
      <c r="G452" s="6"/>
    </row>
    <row r="453">
      <c r="G453" s="6"/>
    </row>
    <row r="454">
      <c r="G454" s="6"/>
    </row>
    <row r="455">
      <c r="G455" s="6"/>
    </row>
    <row r="456">
      <c r="G456" s="6"/>
    </row>
    <row r="457">
      <c r="G457" s="6"/>
    </row>
    <row r="458">
      <c r="G458" s="6"/>
    </row>
    <row r="459">
      <c r="G459" s="6"/>
    </row>
    <row r="460">
      <c r="G460" s="6"/>
    </row>
    <row r="461">
      <c r="G461" s="6"/>
    </row>
    <row r="462">
      <c r="G462" s="6"/>
    </row>
    <row r="463">
      <c r="G463" s="6"/>
    </row>
    <row r="464">
      <c r="G464" s="6"/>
    </row>
    <row r="465">
      <c r="G465" s="6"/>
    </row>
    <row r="466">
      <c r="G466" s="6"/>
    </row>
    <row r="467">
      <c r="G467" s="6"/>
    </row>
    <row r="468">
      <c r="G468" s="6"/>
    </row>
    <row r="469">
      <c r="G469" s="6"/>
    </row>
    <row r="470">
      <c r="G470" s="6"/>
    </row>
    <row r="471">
      <c r="G471" s="6"/>
    </row>
    <row r="472">
      <c r="G472" s="6"/>
    </row>
    <row r="473">
      <c r="G473" s="6"/>
    </row>
    <row r="474">
      <c r="G474" s="6"/>
    </row>
    <row r="475">
      <c r="G475" s="6"/>
    </row>
    <row r="476">
      <c r="G476" s="6"/>
    </row>
    <row r="477">
      <c r="G477" s="6"/>
    </row>
    <row r="478">
      <c r="G478" s="6"/>
    </row>
    <row r="479">
      <c r="G479" s="6"/>
    </row>
    <row r="480">
      <c r="G480" s="6"/>
    </row>
    <row r="481">
      <c r="G481" s="6"/>
    </row>
    <row r="482">
      <c r="G482" s="6"/>
    </row>
    <row r="483">
      <c r="G483" s="6"/>
    </row>
    <row r="484">
      <c r="G484" s="6"/>
    </row>
    <row r="485">
      <c r="G485" s="6"/>
    </row>
    <row r="486">
      <c r="G486" s="6"/>
    </row>
    <row r="487">
      <c r="G487" s="6"/>
    </row>
    <row r="488">
      <c r="G488" s="6"/>
    </row>
    <row r="489">
      <c r="G489" s="6"/>
    </row>
    <row r="490">
      <c r="G490" s="6"/>
    </row>
    <row r="491">
      <c r="G491" s="6"/>
    </row>
    <row r="492">
      <c r="G492" s="6"/>
    </row>
    <row r="493">
      <c r="G493" s="6"/>
    </row>
    <row r="494">
      <c r="G494" s="6"/>
    </row>
    <row r="495">
      <c r="G495" s="6"/>
    </row>
    <row r="496">
      <c r="G496" s="6"/>
    </row>
    <row r="497">
      <c r="G497" s="6"/>
    </row>
    <row r="498">
      <c r="G498" s="6"/>
    </row>
    <row r="499">
      <c r="G499" s="6"/>
    </row>
    <row r="500">
      <c r="G500" s="6"/>
    </row>
    <row r="501">
      <c r="G501" s="6"/>
    </row>
    <row r="502">
      <c r="G502" s="6"/>
    </row>
    <row r="503">
      <c r="G503" s="6"/>
    </row>
    <row r="504">
      <c r="G504" s="6"/>
    </row>
    <row r="505">
      <c r="G505" s="6"/>
    </row>
    <row r="506">
      <c r="G506" s="6"/>
    </row>
    <row r="507">
      <c r="G507" s="6"/>
    </row>
    <row r="508">
      <c r="G508" s="6"/>
    </row>
    <row r="509">
      <c r="G509" s="6"/>
    </row>
    <row r="510">
      <c r="G510" s="6"/>
    </row>
    <row r="511">
      <c r="G511" s="6"/>
    </row>
    <row r="512">
      <c r="G512" s="6"/>
    </row>
    <row r="513">
      <c r="G513" s="6"/>
    </row>
    <row r="514">
      <c r="G514" s="6"/>
    </row>
    <row r="515">
      <c r="G515" s="6"/>
    </row>
    <row r="516">
      <c r="G516" s="6"/>
    </row>
    <row r="517">
      <c r="G517" s="6"/>
    </row>
    <row r="518">
      <c r="G518" s="6"/>
    </row>
    <row r="519">
      <c r="G519" s="6"/>
    </row>
    <row r="520">
      <c r="G520" s="6"/>
    </row>
    <row r="521">
      <c r="G521" s="6"/>
    </row>
    <row r="522">
      <c r="G522" s="6"/>
    </row>
    <row r="523">
      <c r="G523" s="6"/>
    </row>
    <row r="524">
      <c r="G524" s="6"/>
    </row>
    <row r="525">
      <c r="G525" s="6"/>
    </row>
    <row r="526">
      <c r="G526" s="6"/>
    </row>
    <row r="527">
      <c r="G527" s="6"/>
    </row>
    <row r="528">
      <c r="G528" s="6"/>
    </row>
    <row r="529">
      <c r="G529" s="6"/>
    </row>
    <row r="530">
      <c r="G530" s="6"/>
    </row>
    <row r="531">
      <c r="G531" s="6"/>
    </row>
    <row r="532">
      <c r="G532" s="6"/>
    </row>
    <row r="533">
      <c r="G533" s="6"/>
    </row>
    <row r="534">
      <c r="G534" s="6"/>
    </row>
    <row r="535">
      <c r="G535" s="6"/>
    </row>
    <row r="536">
      <c r="G536" s="6"/>
    </row>
    <row r="537">
      <c r="G537" s="6"/>
    </row>
    <row r="538">
      <c r="G538" s="6"/>
    </row>
    <row r="539">
      <c r="G539" s="6"/>
    </row>
    <row r="540">
      <c r="G540" s="6"/>
    </row>
    <row r="541">
      <c r="G541" s="6"/>
    </row>
    <row r="542">
      <c r="G542" s="6"/>
    </row>
    <row r="543">
      <c r="G543" s="6"/>
    </row>
    <row r="544">
      <c r="G544" s="6"/>
    </row>
    <row r="545">
      <c r="G545" s="6"/>
    </row>
    <row r="546">
      <c r="G546" s="6"/>
    </row>
    <row r="547">
      <c r="G547" s="6"/>
    </row>
    <row r="548">
      <c r="G548" s="6"/>
    </row>
    <row r="549">
      <c r="G549" s="6"/>
    </row>
    <row r="550">
      <c r="G550" s="6"/>
    </row>
    <row r="551">
      <c r="G551" s="6"/>
    </row>
    <row r="552">
      <c r="G552" s="6"/>
    </row>
    <row r="553">
      <c r="G553" s="6"/>
    </row>
    <row r="554">
      <c r="G554" s="6"/>
    </row>
    <row r="555">
      <c r="G555" s="6"/>
    </row>
    <row r="556">
      <c r="G556" s="6"/>
    </row>
    <row r="557">
      <c r="G557" s="6"/>
    </row>
    <row r="558">
      <c r="G558" s="6"/>
    </row>
    <row r="559">
      <c r="G559" s="6"/>
    </row>
    <row r="560">
      <c r="G560" s="6"/>
    </row>
    <row r="561">
      <c r="G561" s="6"/>
    </row>
    <row r="562">
      <c r="G562" s="6"/>
    </row>
    <row r="563">
      <c r="G563" s="6"/>
    </row>
    <row r="564">
      <c r="G564" s="6"/>
    </row>
    <row r="565">
      <c r="G565" s="6"/>
    </row>
    <row r="566">
      <c r="G566" s="6"/>
    </row>
    <row r="567">
      <c r="G567" s="6"/>
    </row>
    <row r="568">
      <c r="G568" s="6"/>
    </row>
    <row r="569">
      <c r="G569" s="6"/>
    </row>
    <row r="570">
      <c r="G570" s="6"/>
    </row>
    <row r="571">
      <c r="G571" s="6"/>
    </row>
    <row r="572">
      <c r="G572" s="6"/>
    </row>
    <row r="573">
      <c r="G573" s="6"/>
    </row>
    <row r="574">
      <c r="G574" s="6"/>
    </row>
    <row r="575">
      <c r="G575" s="6"/>
    </row>
    <row r="576">
      <c r="G576" s="6"/>
    </row>
    <row r="577">
      <c r="G577" s="6"/>
    </row>
    <row r="578">
      <c r="G578" s="6"/>
    </row>
    <row r="579">
      <c r="G579" s="6"/>
    </row>
    <row r="580">
      <c r="G580" s="6"/>
    </row>
    <row r="581">
      <c r="G581" s="6"/>
    </row>
    <row r="582">
      <c r="G582" s="6"/>
    </row>
    <row r="583">
      <c r="G583" s="6"/>
    </row>
    <row r="584">
      <c r="G584" s="6"/>
    </row>
    <row r="585">
      <c r="G585" s="6"/>
    </row>
    <row r="586">
      <c r="G586" s="6"/>
    </row>
    <row r="587">
      <c r="G587" s="6"/>
    </row>
    <row r="588">
      <c r="G588" s="6"/>
    </row>
    <row r="589">
      <c r="G589" s="6"/>
    </row>
    <row r="590">
      <c r="G590" s="6"/>
    </row>
    <row r="591">
      <c r="G591" s="6"/>
    </row>
    <row r="592">
      <c r="G592" s="6"/>
    </row>
    <row r="593">
      <c r="G593" s="6"/>
    </row>
    <row r="594">
      <c r="G594" s="6"/>
    </row>
    <row r="595">
      <c r="G595" s="6"/>
    </row>
    <row r="596">
      <c r="G596" s="6"/>
    </row>
    <row r="597">
      <c r="G597" s="6"/>
    </row>
    <row r="598">
      <c r="G598" s="6"/>
    </row>
    <row r="599">
      <c r="G599" s="6"/>
    </row>
    <row r="600">
      <c r="G600" s="6"/>
    </row>
    <row r="601">
      <c r="G601" s="6"/>
    </row>
    <row r="602">
      <c r="G602" s="6"/>
    </row>
    <row r="603">
      <c r="G603" s="6"/>
    </row>
    <row r="604">
      <c r="G604" s="6"/>
    </row>
    <row r="605">
      <c r="G605" s="6"/>
    </row>
    <row r="606">
      <c r="G606" s="6"/>
    </row>
    <row r="607">
      <c r="G607" s="6"/>
    </row>
    <row r="608">
      <c r="G608" s="6"/>
    </row>
    <row r="609">
      <c r="G609" s="6"/>
    </row>
    <row r="610">
      <c r="G610" s="6"/>
    </row>
    <row r="611">
      <c r="G611" s="6"/>
    </row>
    <row r="612">
      <c r="G612" s="6"/>
    </row>
    <row r="613">
      <c r="G613" s="6"/>
    </row>
    <row r="614">
      <c r="G614" s="6"/>
    </row>
    <row r="615">
      <c r="G615" s="6"/>
    </row>
    <row r="616">
      <c r="G616" s="6"/>
    </row>
    <row r="617">
      <c r="G617" s="6"/>
    </row>
    <row r="618">
      <c r="G618" s="6"/>
    </row>
    <row r="619">
      <c r="G619" s="6"/>
    </row>
    <row r="620">
      <c r="G620" s="6"/>
    </row>
    <row r="621">
      <c r="G621" s="6"/>
    </row>
    <row r="622">
      <c r="G622" s="6"/>
    </row>
    <row r="623">
      <c r="G623" s="6"/>
    </row>
    <row r="624">
      <c r="G624" s="6"/>
    </row>
    <row r="625">
      <c r="G625" s="6"/>
    </row>
    <row r="626">
      <c r="G626" s="6"/>
    </row>
    <row r="627">
      <c r="G627" s="6"/>
    </row>
    <row r="628">
      <c r="G628" s="6"/>
    </row>
    <row r="629">
      <c r="G629" s="6"/>
    </row>
    <row r="630">
      <c r="G630" s="6"/>
    </row>
    <row r="631">
      <c r="G631" s="6"/>
    </row>
    <row r="632">
      <c r="G632" s="6"/>
    </row>
    <row r="633">
      <c r="G633" s="6"/>
    </row>
    <row r="634">
      <c r="G634" s="6"/>
    </row>
    <row r="635">
      <c r="G635" s="6"/>
    </row>
    <row r="636">
      <c r="G636" s="6"/>
    </row>
    <row r="637">
      <c r="G637" s="6"/>
    </row>
    <row r="638">
      <c r="G638" s="6"/>
    </row>
    <row r="639">
      <c r="G639" s="6"/>
    </row>
    <row r="640">
      <c r="G640" s="6"/>
    </row>
    <row r="641">
      <c r="G641" s="6"/>
    </row>
    <row r="642">
      <c r="G642" s="6"/>
    </row>
    <row r="643">
      <c r="G643" s="6"/>
    </row>
    <row r="644">
      <c r="G644" s="6"/>
    </row>
    <row r="645">
      <c r="G645" s="6"/>
    </row>
    <row r="646">
      <c r="G646" s="6"/>
    </row>
    <row r="647">
      <c r="G647" s="6"/>
    </row>
    <row r="648">
      <c r="G648" s="6"/>
    </row>
    <row r="649">
      <c r="G649" s="6"/>
    </row>
    <row r="650">
      <c r="G650" s="6"/>
    </row>
    <row r="651">
      <c r="G651" s="6"/>
    </row>
    <row r="652">
      <c r="G652" s="6"/>
    </row>
    <row r="653">
      <c r="G653" s="6"/>
    </row>
    <row r="654">
      <c r="G654" s="6"/>
    </row>
    <row r="655">
      <c r="G655" s="6"/>
    </row>
    <row r="656">
      <c r="G656" s="6"/>
    </row>
    <row r="657">
      <c r="G657" s="6"/>
    </row>
    <row r="658">
      <c r="G658" s="6"/>
    </row>
    <row r="659">
      <c r="G659" s="6"/>
    </row>
    <row r="660">
      <c r="G660" s="6"/>
    </row>
    <row r="661">
      <c r="G661" s="6"/>
    </row>
    <row r="662">
      <c r="G662" s="6"/>
    </row>
    <row r="663">
      <c r="G663" s="6"/>
    </row>
    <row r="664">
      <c r="G664" s="6"/>
    </row>
    <row r="665">
      <c r="G665" s="6"/>
    </row>
    <row r="666">
      <c r="G666" s="6"/>
    </row>
    <row r="667">
      <c r="G667" s="6"/>
    </row>
    <row r="668">
      <c r="G668" s="6"/>
    </row>
    <row r="669">
      <c r="G669" s="6"/>
    </row>
    <row r="670">
      <c r="G670" s="6"/>
    </row>
    <row r="671">
      <c r="G671" s="6"/>
    </row>
    <row r="672">
      <c r="G672" s="6"/>
    </row>
    <row r="673">
      <c r="G673" s="6"/>
    </row>
    <row r="674">
      <c r="G674" s="6"/>
    </row>
    <row r="675">
      <c r="G675" s="6"/>
    </row>
    <row r="676">
      <c r="G676" s="6"/>
    </row>
    <row r="677">
      <c r="G677" s="6"/>
    </row>
    <row r="678">
      <c r="G678" s="6"/>
    </row>
    <row r="679">
      <c r="G679" s="6"/>
    </row>
    <row r="680">
      <c r="G680" s="6"/>
    </row>
    <row r="681">
      <c r="G681" s="6"/>
    </row>
    <row r="682">
      <c r="G682" s="6"/>
    </row>
    <row r="683">
      <c r="G683" s="6"/>
    </row>
    <row r="684">
      <c r="G684" s="6"/>
    </row>
    <row r="685">
      <c r="G685" s="6"/>
    </row>
    <row r="686">
      <c r="G686" s="6"/>
    </row>
    <row r="687">
      <c r="G687" s="6"/>
    </row>
    <row r="688">
      <c r="G688" s="6"/>
    </row>
    <row r="689">
      <c r="G689" s="6"/>
    </row>
    <row r="690">
      <c r="G690" s="6"/>
    </row>
    <row r="691">
      <c r="G691" s="6"/>
    </row>
    <row r="692">
      <c r="G692" s="6"/>
    </row>
    <row r="693">
      <c r="G693" s="6"/>
    </row>
    <row r="694">
      <c r="G694" s="6"/>
    </row>
    <row r="695">
      <c r="G695" s="6"/>
    </row>
    <row r="696">
      <c r="G696" s="6"/>
    </row>
    <row r="697">
      <c r="G697" s="6"/>
    </row>
    <row r="698">
      <c r="G698" s="6"/>
    </row>
    <row r="699">
      <c r="G699" s="6"/>
    </row>
    <row r="700">
      <c r="G700" s="6"/>
    </row>
    <row r="701">
      <c r="G701" s="6"/>
    </row>
    <row r="702">
      <c r="G702" s="6"/>
    </row>
    <row r="703">
      <c r="G703" s="6"/>
    </row>
    <row r="704">
      <c r="G704" s="6"/>
    </row>
    <row r="705">
      <c r="G705" s="6"/>
    </row>
    <row r="706">
      <c r="G706" s="6"/>
    </row>
    <row r="707">
      <c r="G707" s="6"/>
    </row>
    <row r="708">
      <c r="G708" s="6"/>
    </row>
    <row r="709">
      <c r="G709" s="6"/>
    </row>
    <row r="710">
      <c r="G710" s="6"/>
    </row>
    <row r="711">
      <c r="G711" s="6"/>
    </row>
    <row r="712">
      <c r="G712" s="6"/>
    </row>
    <row r="713">
      <c r="G713" s="6"/>
    </row>
    <row r="714">
      <c r="G714" s="6"/>
    </row>
    <row r="715">
      <c r="G715" s="6"/>
    </row>
    <row r="716">
      <c r="G716" s="6"/>
    </row>
    <row r="717">
      <c r="G717" s="6"/>
    </row>
    <row r="718">
      <c r="G718" s="6"/>
    </row>
    <row r="719">
      <c r="G719" s="6"/>
    </row>
    <row r="720">
      <c r="G720" s="6"/>
    </row>
    <row r="721">
      <c r="G721" s="6"/>
    </row>
    <row r="722">
      <c r="G722" s="6"/>
    </row>
    <row r="723">
      <c r="G723" s="6"/>
    </row>
    <row r="724">
      <c r="G724" s="6"/>
    </row>
    <row r="725">
      <c r="G725" s="6"/>
    </row>
    <row r="726">
      <c r="G726" s="6"/>
    </row>
    <row r="727">
      <c r="G727" s="6"/>
    </row>
    <row r="728">
      <c r="G728" s="6"/>
    </row>
    <row r="729">
      <c r="G729" s="6"/>
    </row>
    <row r="730">
      <c r="G730" s="6"/>
    </row>
    <row r="731">
      <c r="G731" s="6"/>
    </row>
    <row r="732">
      <c r="G732" s="6"/>
    </row>
    <row r="733">
      <c r="G733" s="6"/>
    </row>
    <row r="734">
      <c r="G734" s="6"/>
    </row>
    <row r="735">
      <c r="G735" s="6"/>
    </row>
    <row r="736">
      <c r="G736" s="6"/>
    </row>
    <row r="737">
      <c r="G737" s="6"/>
    </row>
    <row r="738">
      <c r="G738" s="6"/>
    </row>
    <row r="739">
      <c r="G739" s="6"/>
    </row>
    <row r="740">
      <c r="G740" s="6"/>
    </row>
    <row r="741">
      <c r="G741" s="6"/>
    </row>
    <row r="742">
      <c r="G742" s="6"/>
    </row>
    <row r="743">
      <c r="G743" s="6"/>
    </row>
    <row r="744">
      <c r="G744" s="6"/>
    </row>
    <row r="745">
      <c r="G745" s="6"/>
    </row>
    <row r="746">
      <c r="G746" s="6"/>
    </row>
    <row r="747">
      <c r="G747" s="6"/>
    </row>
    <row r="748">
      <c r="G748" s="6"/>
    </row>
    <row r="749">
      <c r="G749" s="6"/>
    </row>
    <row r="750">
      <c r="G750" s="6"/>
    </row>
    <row r="751">
      <c r="G751" s="6"/>
    </row>
    <row r="752">
      <c r="G752" s="6"/>
    </row>
    <row r="753">
      <c r="G753" s="6"/>
    </row>
    <row r="754">
      <c r="G754" s="6"/>
    </row>
    <row r="755">
      <c r="G755" s="6"/>
    </row>
    <row r="756">
      <c r="G756" s="6"/>
    </row>
    <row r="757">
      <c r="G757" s="6"/>
    </row>
    <row r="758">
      <c r="G758" s="6"/>
    </row>
    <row r="759">
      <c r="G759" s="6"/>
    </row>
    <row r="760">
      <c r="G760" s="6"/>
    </row>
    <row r="761">
      <c r="G761" s="6"/>
    </row>
    <row r="762">
      <c r="G762" s="6"/>
    </row>
    <row r="763">
      <c r="G763" s="6"/>
    </row>
    <row r="764">
      <c r="G764" s="6"/>
    </row>
    <row r="765">
      <c r="G765" s="6"/>
    </row>
    <row r="766">
      <c r="G766" s="6"/>
    </row>
    <row r="767">
      <c r="G767" s="6"/>
    </row>
    <row r="768">
      <c r="G768" s="6"/>
    </row>
    <row r="769">
      <c r="G769" s="6"/>
    </row>
    <row r="770">
      <c r="G770" s="6"/>
    </row>
    <row r="771">
      <c r="G771" s="6"/>
    </row>
    <row r="772">
      <c r="G772" s="6"/>
    </row>
    <row r="773">
      <c r="G773" s="6"/>
    </row>
    <row r="774">
      <c r="G774" s="6"/>
    </row>
    <row r="775">
      <c r="G775" s="6"/>
    </row>
    <row r="776">
      <c r="G776" s="6"/>
    </row>
    <row r="777">
      <c r="G777" s="6"/>
    </row>
    <row r="778">
      <c r="G778" s="6"/>
    </row>
    <row r="779">
      <c r="G779" s="6"/>
    </row>
    <row r="780">
      <c r="G780" s="6"/>
    </row>
    <row r="781">
      <c r="G781" s="6"/>
    </row>
    <row r="782">
      <c r="G782" s="6"/>
    </row>
    <row r="783">
      <c r="G783" s="6"/>
    </row>
    <row r="784">
      <c r="G784" s="6"/>
    </row>
    <row r="785">
      <c r="G785" s="6"/>
    </row>
    <row r="786">
      <c r="G786" s="6"/>
    </row>
    <row r="787">
      <c r="G787" s="6"/>
    </row>
    <row r="788">
      <c r="G788" s="6"/>
    </row>
    <row r="789">
      <c r="G789" s="6"/>
    </row>
    <row r="790">
      <c r="G790" s="6"/>
    </row>
    <row r="791">
      <c r="G791" s="6"/>
    </row>
    <row r="792">
      <c r="G792" s="6"/>
    </row>
    <row r="793">
      <c r="G793" s="6"/>
    </row>
    <row r="794">
      <c r="G794" s="6"/>
    </row>
    <row r="795">
      <c r="G795" s="6"/>
    </row>
    <row r="796">
      <c r="G796" s="6"/>
    </row>
    <row r="797">
      <c r="G797" s="6"/>
    </row>
    <row r="798">
      <c r="G798" s="6"/>
    </row>
    <row r="799">
      <c r="G799" s="6"/>
    </row>
    <row r="800">
      <c r="G800" s="6"/>
    </row>
    <row r="801">
      <c r="G801" s="6"/>
    </row>
    <row r="802">
      <c r="G802" s="6"/>
    </row>
    <row r="803">
      <c r="G803" s="6"/>
    </row>
    <row r="804">
      <c r="G804" s="6"/>
    </row>
    <row r="805">
      <c r="G805" s="6"/>
    </row>
    <row r="806">
      <c r="G806" s="6"/>
    </row>
    <row r="807">
      <c r="G807" s="6"/>
    </row>
    <row r="808">
      <c r="G808" s="6"/>
    </row>
    <row r="809">
      <c r="G809" s="6"/>
    </row>
    <row r="810">
      <c r="G810" s="6"/>
    </row>
    <row r="811">
      <c r="G811" s="6"/>
    </row>
    <row r="812">
      <c r="G812" s="6"/>
    </row>
    <row r="813">
      <c r="G813" s="6"/>
    </row>
    <row r="814">
      <c r="G814" s="6"/>
    </row>
    <row r="815">
      <c r="G815" s="6"/>
    </row>
    <row r="816">
      <c r="G816" s="6"/>
    </row>
    <row r="817">
      <c r="G817" s="6"/>
    </row>
    <row r="818">
      <c r="G818" s="6"/>
    </row>
    <row r="819">
      <c r="G819" s="6"/>
    </row>
    <row r="820">
      <c r="G820" s="6"/>
    </row>
    <row r="821">
      <c r="G821" s="6"/>
    </row>
    <row r="822">
      <c r="G822" s="6"/>
    </row>
    <row r="823">
      <c r="G823" s="6"/>
    </row>
    <row r="824">
      <c r="G824" s="6"/>
    </row>
    <row r="825">
      <c r="G825" s="6"/>
    </row>
    <row r="826">
      <c r="G826" s="6"/>
    </row>
    <row r="827">
      <c r="G827" s="6"/>
    </row>
    <row r="828">
      <c r="G828" s="6"/>
    </row>
    <row r="829">
      <c r="G829" s="6"/>
    </row>
    <row r="830">
      <c r="G830" s="6"/>
    </row>
    <row r="831">
      <c r="G831" s="6"/>
    </row>
    <row r="832">
      <c r="G832" s="6"/>
    </row>
    <row r="833">
      <c r="G833" s="6"/>
    </row>
    <row r="834">
      <c r="G834" s="6"/>
    </row>
    <row r="835">
      <c r="G835" s="6"/>
    </row>
    <row r="836">
      <c r="G836" s="6"/>
    </row>
    <row r="837">
      <c r="G837" s="6"/>
    </row>
    <row r="838">
      <c r="G838" s="6"/>
    </row>
    <row r="839">
      <c r="G839" s="6"/>
    </row>
    <row r="840">
      <c r="G840" s="6"/>
    </row>
    <row r="841">
      <c r="G841" s="6"/>
    </row>
    <row r="842">
      <c r="G842" s="6"/>
    </row>
    <row r="843">
      <c r="G843" s="6"/>
    </row>
    <row r="844">
      <c r="G844" s="6"/>
    </row>
    <row r="845">
      <c r="G845" s="6"/>
    </row>
    <row r="846">
      <c r="G846" s="6"/>
    </row>
    <row r="847">
      <c r="G847" s="6"/>
    </row>
    <row r="848">
      <c r="G848" s="6"/>
    </row>
    <row r="849">
      <c r="G849" s="6"/>
    </row>
    <row r="850">
      <c r="G850" s="6"/>
    </row>
    <row r="851">
      <c r="G851" s="6"/>
    </row>
    <row r="852">
      <c r="G852" s="6"/>
    </row>
    <row r="853">
      <c r="G853" s="6"/>
    </row>
    <row r="854">
      <c r="G854" s="6"/>
    </row>
    <row r="855">
      <c r="G855" s="6"/>
    </row>
    <row r="856">
      <c r="G856" s="6"/>
    </row>
    <row r="857">
      <c r="G857" s="6"/>
    </row>
    <row r="858">
      <c r="G858" s="6"/>
    </row>
    <row r="859">
      <c r="G859" s="6"/>
    </row>
    <row r="860">
      <c r="G860" s="6"/>
    </row>
    <row r="861">
      <c r="G861" s="6"/>
    </row>
    <row r="862">
      <c r="G862" s="6"/>
    </row>
    <row r="863">
      <c r="G863" s="6"/>
    </row>
    <row r="864">
      <c r="G864" s="6"/>
    </row>
    <row r="865">
      <c r="G865" s="6"/>
    </row>
    <row r="866">
      <c r="G866" s="6"/>
    </row>
    <row r="867">
      <c r="G867" s="6"/>
    </row>
    <row r="868">
      <c r="G868" s="6"/>
    </row>
    <row r="869">
      <c r="G869" s="6"/>
    </row>
    <row r="870">
      <c r="G870" s="6"/>
    </row>
    <row r="871">
      <c r="G871" s="6"/>
    </row>
    <row r="872">
      <c r="G872" s="6"/>
    </row>
    <row r="873">
      <c r="G873" s="6"/>
    </row>
    <row r="874">
      <c r="G874" s="6"/>
    </row>
    <row r="875">
      <c r="G875" s="6"/>
    </row>
    <row r="876">
      <c r="G876" s="6"/>
    </row>
    <row r="877">
      <c r="G877" s="6"/>
    </row>
    <row r="878">
      <c r="G878" s="6"/>
    </row>
    <row r="879">
      <c r="G879" s="6"/>
    </row>
    <row r="880">
      <c r="G880" s="6"/>
    </row>
    <row r="881">
      <c r="G881" s="6"/>
    </row>
    <row r="882">
      <c r="G882" s="6"/>
    </row>
    <row r="883">
      <c r="G883" s="6"/>
    </row>
    <row r="884">
      <c r="G884" s="6"/>
    </row>
    <row r="885">
      <c r="G885" s="6"/>
    </row>
    <row r="886">
      <c r="G886" s="6"/>
    </row>
    <row r="887">
      <c r="G887" s="6"/>
    </row>
    <row r="888">
      <c r="G888" s="6"/>
    </row>
    <row r="889">
      <c r="G889" s="6"/>
    </row>
    <row r="890">
      <c r="G890" s="6"/>
    </row>
    <row r="891">
      <c r="G891" s="6"/>
    </row>
    <row r="892">
      <c r="G892" s="6"/>
    </row>
    <row r="893">
      <c r="G893" s="6"/>
    </row>
    <row r="894">
      <c r="G894" s="6"/>
    </row>
    <row r="895">
      <c r="G895" s="6"/>
    </row>
    <row r="896">
      <c r="G896" s="6"/>
    </row>
    <row r="897">
      <c r="G897" s="6"/>
    </row>
    <row r="898">
      <c r="G898" s="6"/>
    </row>
    <row r="899">
      <c r="G899" s="6"/>
    </row>
    <row r="900">
      <c r="G900" s="6"/>
    </row>
    <row r="901">
      <c r="G901" s="6"/>
    </row>
    <row r="902">
      <c r="G902" s="6"/>
    </row>
    <row r="903">
      <c r="G903" s="6"/>
    </row>
    <row r="904">
      <c r="G904" s="6"/>
    </row>
    <row r="905">
      <c r="G905" s="6"/>
    </row>
    <row r="906">
      <c r="G906" s="6"/>
    </row>
    <row r="907">
      <c r="G907" s="6"/>
    </row>
    <row r="908">
      <c r="G908" s="6"/>
    </row>
    <row r="909">
      <c r="G909" s="6"/>
    </row>
    <row r="910">
      <c r="G910" s="6"/>
    </row>
    <row r="911">
      <c r="G911" s="6"/>
    </row>
    <row r="912">
      <c r="G912" s="6"/>
    </row>
    <row r="913">
      <c r="G913" s="6"/>
    </row>
    <row r="914">
      <c r="G914" s="6"/>
    </row>
    <row r="915">
      <c r="G915" s="6"/>
    </row>
    <row r="916">
      <c r="G916" s="6"/>
    </row>
    <row r="917">
      <c r="G917" s="6"/>
    </row>
    <row r="918">
      <c r="G918" s="6"/>
    </row>
    <row r="919">
      <c r="G919" s="6"/>
    </row>
    <row r="920">
      <c r="G920" s="6"/>
    </row>
    <row r="921">
      <c r="G921" s="6"/>
    </row>
    <row r="922">
      <c r="G922" s="6"/>
    </row>
    <row r="923">
      <c r="G923" s="6"/>
    </row>
    <row r="924">
      <c r="G924" s="6"/>
    </row>
    <row r="925">
      <c r="G925" s="6"/>
    </row>
    <row r="926">
      <c r="G926" s="6"/>
    </row>
    <row r="927">
      <c r="G927" s="6"/>
    </row>
    <row r="928">
      <c r="G928" s="6"/>
    </row>
    <row r="929">
      <c r="G929" s="6"/>
    </row>
    <row r="930">
      <c r="G930" s="6"/>
    </row>
    <row r="931">
      <c r="G931" s="6"/>
    </row>
    <row r="932">
      <c r="G932" s="6"/>
    </row>
    <row r="933">
      <c r="G933" s="6"/>
    </row>
    <row r="934">
      <c r="G934" s="6"/>
    </row>
    <row r="935">
      <c r="G935" s="6"/>
    </row>
    <row r="936">
      <c r="G936" s="6"/>
    </row>
    <row r="937">
      <c r="G937" s="6"/>
    </row>
    <row r="938">
      <c r="G938" s="6"/>
    </row>
    <row r="939">
      <c r="G939" s="6"/>
    </row>
    <row r="940">
      <c r="G940" s="6"/>
    </row>
    <row r="941">
      <c r="G941" s="6"/>
    </row>
    <row r="942">
      <c r="G942" s="6"/>
    </row>
    <row r="943">
      <c r="G943" s="6"/>
    </row>
    <row r="944">
      <c r="G944" s="6"/>
    </row>
    <row r="945">
      <c r="G945" s="6"/>
    </row>
    <row r="946">
      <c r="G946" s="6"/>
    </row>
    <row r="947">
      <c r="G947" s="6"/>
    </row>
    <row r="948">
      <c r="G948" s="6"/>
    </row>
    <row r="949">
      <c r="G949" s="6"/>
    </row>
    <row r="950">
      <c r="G950" s="6"/>
    </row>
    <row r="951">
      <c r="G951" s="6"/>
    </row>
    <row r="952">
      <c r="G952" s="6"/>
    </row>
    <row r="953">
      <c r="G953" s="6"/>
    </row>
    <row r="954">
      <c r="G954" s="6"/>
    </row>
    <row r="955">
      <c r="G955" s="6"/>
    </row>
    <row r="956">
      <c r="G956" s="6"/>
    </row>
    <row r="957">
      <c r="G957" s="6"/>
    </row>
    <row r="958">
      <c r="G958" s="6"/>
    </row>
    <row r="959">
      <c r="G959" s="6"/>
    </row>
    <row r="960">
      <c r="G960" s="6"/>
    </row>
    <row r="961">
      <c r="G961" s="6"/>
    </row>
    <row r="962">
      <c r="G962" s="6"/>
    </row>
    <row r="963">
      <c r="G963" s="6"/>
    </row>
    <row r="964">
      <c r="G964" s="6"/>
    </row>
    <row r="965">
      <c r="G965" s="6"/>
    </row>
    <row r="966">
      <c r="G966" s="6"/>
    </row>
    <row r="967">
      <c r="G967" s="6"/>
    </row>
    <row r="968">
      <c r="G968" s="6"/>
    </row>
    <row r="969">
      <c r="G969" s="6"/>
    </row>
    <row r="970">
      <c r="G970" s="6"/>
    </row>
    <row r="971">
      <c r="G971" s="6"/>
    </row>
    <row r="972">
      <c r="G972" s="6"/>
    </row>
    <row r="973">
      <c r="G973" s="6"/>
    </row>
    <row r="974">
      <c r="G974" s="6"/>
    </row>
    <row r="975">
      <c r="G975" s="6"/>
    </row>
    <row r="976">
      <c r="G976" s="6"/>
    </row>
    <row r="977">
      <c r="G977" s="6"/>
    </row>
    <row r="978">
      <c r="G978" s="6"/>
    </row>
    <row r="979">
      <c r="G979" s="6"/>
    </row>
    <row r="980">
      <c r="G980" s="6"/>
    </row>
    <row r="981">
      <c r="G981" s="6"/>
    </row>
    <row r="982">
      <c r="G982" s="6"/>
    </row>
    <row r="983">
      <c r="G983" s="6"/>
    </row>
    <row r="984">
      <c r="G984" s="6"/>
    </row>
    <row r="985">
      <c r="G985" s="6"/>
    </row>
    <row r="986">
      <c r="G986" s="6"/>
    </row>
    <row r="987">
      <c r="G987" s="6"/>
    </row>
    <row r="988">
      <c r="G988" s="6"/>
    </row>
    <row r="989">
      <c r="G989" s="6"/>
    </row>
    <row r="990">
      <c r="G990" s="6"/>
    </row>
    <row r="991">
      <c r="G991" s="6"/>
    </row>
    <row r="992">
      <c r="G992" s="6"/>
    </row>
    <row r="993">
      <c r="G993" s="6"/>
    </row>
    <row r="994">
      <c r="G994" s="6"/>
    </row>
    <row r="995">
      <c r="G995" s="6"/>
    </row>
    <row r="996">
      <c r="G996" s="6"/>
    </row>
    <row r="997">
      <c r="G997" s="6"/>
    </row>
    <row r="998">
      <c r="G998" s="6"/>
    </row>
    <row r="999">
      <c r="G999" s="6"/>
    </row>
    <row r="1000">
      <c r="G1000" s="6"/>
    </row>
  </sheetData>
  <autoFilter ref="$A$1:$G$153">
    <filterColumn colId="1">
      <filters>
        <filter val="BRYLEE 7 (REORDER-SGD)"/>
        <filter val="CAMDEN COMMONS 11/12"/>
        <filter val="TRENT B JAMES ANDERSON (FX-REORDERE)"/>
        <filter val="TRENT B JAMES ANDERSON"/>
        <filter val="SP 648 TRACIE"/>
        <filter val="HIGHLAND REMODEL_MAIN OFFICE"/>
        <filter val="SP648 TRACIE"/>
        <filter val="565 REDWOOD"/>
        <filter val="SWE SC2REORDERSLIDER"/>
        <filter val="MM 104(3060 - REORDER)"/>
        <filter val="PAT BMW 3"/>
        <filter val="WESTERLY"/>
      </filters>
    </filterColumn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26.0"/>
    <col customWidth="1" min="3" max="3" width="32.63"/>
    <col customWidth="1" min="4" max="4" width="29.25"/>
    <col customWidth="1" min="5" max="5" width="4.63"/>
    <col customWidth="1" min="6" max="6" width="5.25"/>
    <col customWidth="1" min="7" max="7" width="16.13"/>
    <col customWidth="1" min="8" max="8" width="15.38"/>
  </cols>
  <sheetData>
    <row r="1">
      <c r="A1" s="1" t="s">
        <v>168</v>
      </c>
      <c r="B1" s="1" t="s">
        <v>1</v>
      </c>
      <c r="C1" s="1" t="s">
        <v>60</v>
      </c>
      <c r="D1" s="1" t="s">
        <v>5</v>
      </c>
      <c r="E1" s="1" t="s">
        <v>28</v>
      </c>
      <c r="F1" s="1" t="s">
        <v>32</v>
      </c>
      <c r="G1" s="1" t="s">
        <v>391</v>
      </c>
      <c r="H1" s="1" t="s">
        <v>173</v>
      </c>
    </row>
    <row r="2" hidden="1">
      <c r="A2" s="2" t="s">
        <v>96</v>
      </c>
      <c r="B2" s="2" t="s">
        <v>361</v>
      </c>
      <c r="C2" s="2"/>
      <c r="D2" s="2" t="s">
        <v>228</v>
      </c>
      <c r="E2" s="2">
        <v>88.0</v>
      </c>
      <c r="F2" s="2" t="s">
        <v>363</v>
      </c>
      <c r="G2" s="2" t="s">
        <v>89</v>
      </c>
      <c r="H2" s="6"/>
    </row>
    <row r="3" hidden="1">
      <c r="A3" s="2" t="s">
        <v>96</v>
      </c>
      <c r="B3" s="2" t="s">
        <v>361</v>
      </c>
      <c r="D3" s="2" t="s">
        <v>245</v>
      </c>
      <c r="E3" s="2">
        <v>90.0</v>
      </c>
      <c r="F3" s="2" t="s">
        <v>363</v>
      </c>
      <c r="G3" s="2" t="s">
        <v>89</v>
      </c>
      <c r="H3" s="6"/>
    </row>
    <row r="4" hidden="1">
      <c r="A4" s="2" t="s">
        <v>96</v>
      </c>
      <c r="B4" s="2" t="s">
        <v>402</v>
      </c>
      <c r="C4" s="2"/>
      <c r="D4" s="2" t="s">
        <v>226</v>
      </c>
      <c r="E4" s="2">
        <v>2.0</v>
      </c>
      <c r="F4" s="2" t="s">
        <v>363</v>
      </c>
      <c r="G4" s="2" t="s">
        <v>89</v>
      </c>
      <c r="H4" s="6"/>
    </row>
    <row r="5" hidden="1">
      <c r="A5" s="2" t="s">
        <v>96</v>
      </c>
      <c r="B5" s="2" t="s">
        <v>402</v>
      </c>
      <c r="C5" s="2"/>
      <c r="D5" s="2" t="s">
        <v>233</v>
      </c>
      <c r="E5" s="2">
        <v>7.5</v>
      </c>
      <c r="F5" s="2" t="s">
        <v>363</v>
      </c>
      <c r="G5" s="2" t="s">
        <v>89</v>
      </c>
      <c r="H5" s="6"/>
    </row>
    <row r="6" hidden="1">
      <c r="A6" s="2" t="s">
        <v>49</v>
      </c>
      <c r="B6" s="2" t="s">
        <v>371</v>
      </c>
      <c r="C6" s="2" t="s">
        <v>371</v>
      </c>
      <c r="D6" s="2" t="s">
        <v>185</v>
      </c>
      <c r="E6" s="2">
        <v>16.0</v>
      </c>
      <c r="F6" s="2" t="s">
        <v>181</v>
      </c>
      <c r="G6" s="2" t="s">
        <v>89</v>
      </c>
      <c r="H6" s="6"/>
    </row>
    <row r="7" hidden="1">
      <c r="A7" s="2" t="s">
        <v>49</v>
      </c>
      <c r="B7" s="2" t="s">
        <v>368</v>
      </c>
      <c r="C7" s="2" t="s">
        <v>368</v>
      </c>
      <c r="D7" s="2" t="s">
        <v>185</v>
      </c>
      <c r="E7" s="2">
        <v>24.0</v>
      </c>
      <c r="F7" s="2" t="s">
        <v>181</v>
      </c>
      <c r="G7" s="2" t="s">
        <v>89</v>
      </c>
      <c r="H7" s="6"/>
    </row>
    <row r="8" hidden="1">
      <c r="A8" s="2" t="s">
        <v>49</v>
      </c>
      <c r="B8" s="2" t="s">
        <v>420</v>
      </c>
      <c r="C8" s="2" t="s">
        <v>420</v>
      </c>
      <c r="D8" s="2" t="s">
        <v>161</v>
      </c>
      <c r="E8" s="2">
        <v>16.0</v>
      </c>
      <c r="F8" s="2" t="s">
        <v>181</v>
      </c>
      <c r="G8" s="2" t="s">
        <v>89</v>
      </c>
      <c r="H8" s="6"/>
    </row>
    <row r="9" hidden="1">
      <c r="A9" s="2" t="s">
        <v>49</v>
      </c>
      <c r="B9" s="2" t="s">
        <v>380</v>
      </c>
      <c r="C9" s="2" t="s">
        <v>380</v>
      </c>
      <c r="D9" s="2" t="s">
        <v>161</v>
      </c>
      <c r="E9" s="2">
        <v>19.0</v>
      </c>
      <c r="F9" s="2" t="s">
        <v>181</v>
      </c>
      <c r="G9" s="2" t="s">
        <v>89</v>
      </c>
      <c r="H9" s="6"/>
    </row>
    <row r="10" hidden="1">
      <c r="A10" s="2" t="s">
        <v>49</v>
      </c>
      <c r="B10" s="2" t="s">
        <v>375</v>
      </c>
      <c r="C10" s="2" t="s">
        <v>385</v>
      </c>
      <c r="D10" s="2" t="s">
        <v>428</v>
      </c>
      <c r="E10" s="2">
        <v>15.0</v>
      </c>
      <c r="F10" s="2" t="s">
        <v>181</v>
      </c>
      <c r="G10" s="2" t="s">
        <v>89</v>
      </c>
      <c r="H10" s="6"/>
    </row>
    <row r="11" hidden="1">
      <c r="A11" s="2" t="s">
        <v>49</v>
      </c>
      <c r="B11" s="2" t="s">
        <v>432</v>
      </c>
      <c r="C11" s="2" t="s">
        <v>432</v>
      </c>
      <c r="D11" s="2" t="s">
        <v>196</v>
      </c>
      <c r="E11" s="2">
        <v>9.0</v>
      </c>
      <c r="F11" s="2" t="s">
        <v>181</v>
      </c>
      <c r="G11" s="2" t="s">
        <v>89</v>
      </c>
      <c r="H11" s="6"/>
    </row>
    <row r="12" hidden="1">
      <c r="A12" s="2" t="s">
        <v>49</v>
      </c>
      <c r="B12" s="2" t="s">
        <v>432</v>
      </c>
      <c r="C12" s="2" t="s">
        <v>432</v>
      </c>
      <c r="D12" s="2" t="s">
        <v>111</v>
      </c>
      <c r="E12" s="2">
        <v>1.0</v>
      </c>
      <c r="F12" s="2" t="s">
        <v>181</v>
      </c>
      <c r="G12" s="2" t="s">
        <v>89</v>
      </c>
      <c r="H12" s="6"/>
    </row>
    <row r="13" hidden="1">
      <c r="A13" s="2" t="s">
        <v>49</v>
      </c>
      <c r="B13" s="2" t="s">
        <v>442</v>
      </c>
      <c r="C13" s="2" t="s">
        <v>442</v>
      </c>
      <c r="D13" s="2" t="s">
        <v>196</v>
      </c>
      <c r="E13" s="2">
        <v>142.0</v>
      </c>
      <c r="F13" s="2" t="s">
        <v>181</v>
      </c>
      <c r="G13" s="2" t="s">
        <v>89</v>
      </c>
      <c r="H13" s="6"/>
    </row>
    <row r="14" hidden="1">
      <c r="A14" s="2" t="s">
        <v>49</v>
      </c>
      <c r="B14" s="2" t="s">
        <v>446</v>
      </c>
      <c r="C14" s="2" t="s">
        <v>446</v>
      </c>
      <c r="D14" s="2" t="s">
        <v>196</v>
      </c>
      <c r="E14" s="2">
        <v>13.0</v>
      </c>
      <c r="F14" s="2" t="s">
        <v>181</v>
      </c>
      <c r="G14" s="2" t="s">
        <v>89</v>
      </c>
      <c r="H14" s="6"/>
    </row>
    <row r="15" hidden="1">
      <c r="A15" s="2" t="s">
        <v>49</v>
      </c>
      <c r="B15" s="2" t="s">
        <v>451</v>
      </c>
      <c r="C15" s="2" t="s">
        <v>385</v>
      </c>
      <c r="D15" s="2" t="s">
        <v>196</v>
      </c>
      <c r="E15" s="2">
        <v>5.0</v>
      </c>
      <c r="F15" s="2" t="s">
        <v>181</v>
      </c>
      <c r="G15" s="2" t="s">
        <v>89</v>
      </c>
      <c r="H15" s="6"/>
    </row>
    <row r="16" hidden="1">
      <c r="A16" s="2" t="s">
        <v>49</v>
      </c>
      <c r="B16" s="2" t="s">
        <v>455</v>
      </c>
      <c r="C16" s="2" t="s">
        <v>385</v>
      </c>
      <c r="D16" s="2" t="s">
        <v>196</v>
      </c>
      <c r="E16" s="2">
        <v>2.0</v>
      </c>
      <c r="F16" s="2" t="s">
        <v>181</v>
      </c>
      <c r="G16" s="2" t="s">
        <v>89</v>
      </c>
      <c r="H16" s="6"/>
    </row>
    <row r="17" hidden="1">
      <c r="A17" s="2" t="s">
        <v>49</v>
      </c>
      <c r="B17" s="2" t="s">
        <v>462</v>
      </c>
      <c r="C17" s="2" t="s">
        <v>462</v>
      </c>
      <c r="D17" s="2" t="s">
        <v>196</v>
      </c>
      <c r="E17" s="2">
        <v>6.0</v>
      </c>
      <c r="F17" s="2" t="s">
        <v>181</v>
      </c>
      <c r="G17" s="2" t="s">
        <v>89</v>
      </c>
      <c r="H17" s="6"/>
    </row>
    <row r="18" hidden="1">
      <c r="A18" s="2" t="s">
        <v>49</v>
      </c>
      <c r="B18" s="2" t="s">
        <v>465</v>
      </c>
      <c r="C18" s="2" t="s">
        <v>465</v>
      </c>
      <c r="D18" s="2" t="s">
        <v>196</v>
      </c>
      <c r="E18" s="2">
        <v>10.0</v>
      </c>
      <c r="F18" s="2" t="s">
        <v>181</v>
      </c>
      <c r="G18" s="2" t="s">
        <v>89</v>
      </c>
      <c r="H18" s="6"/>
    </row>
    <row r="19" hidden="1">
      <c r="A19" s="2" t="s">
        <v>49</v>
      </c>
      <c r="B19" s="2" t="s">
        <v>473</v>
      </c>
      <c r="C19" s="2" t="s">
        <v>473</v>
      </c>
      <c r="D19" s="2" t="s">
        <v>196</v>
      </c>
      <c r="E19" s="2">
        <v>1.0</v>
      </c>
      <c r="F19" s="2" t="s">
        <v>181</v>
      </c>
      <c r="G19" s="2" t="s">
        <v>89</v>
      </c>
      <c r="H19" s="6"/>
    </row>
    <row r="20" hidden="1">
      <c r="A20" s="2" t="s">
        <v>49</v>
      </c>
      <c r="B20" s="2" t="s">
        <v>478</v>
      </c>
      <c r="C20" s="2" t="s">
        <v>478</v>
      </c>
      <c r="D20" s="2" t="s">
        <v>196</v>
      </c>
      <c r="E20" s="2">
        <v>21.0</v>
      </c>
      <c r="F20" s="2" t="s">
        <v>181</v>
      </c>
      <c r="G20" s="2" t="s">
        <v>89</v>
      </c>
      <c r="H20" s="6"/>
    </row>
    <row r="21" hidden="1">
      <c r="A21" s="2" t="s">
        <v>49</v>
      </c>
      <c r="B21" s="2" t="s">
        <v>484</v>
      </c>
      <c r="C21" s="2" t="s">
        <v>484</v>
      </c>
      <c r="D21" s="2" t="s">
        <v>196</v>
      </c>
      <c r="E21" s="2">
        <v>1.0</v>
      </c>
      <c r="F21" s="2" t="s">
        <v>181</v>
      </c>
      <c r="G21" s="2" t="s">
        <v>89</v>
      </c>
      <c r="H21" s="6"/>
    </row>
    <row r="22" hidden="1">
      <c r="A22" s="2" t="s">
        <v>49</v>
      </c>
      <c r="B22" s="2" t="s">
        <v>488</v>
      </c>
      <c r="C22" s="2" t="s">
        <v>488</v>
      </c>
      <c r="D22" s="2" t="s">
        <v>196</v>
      </c>
      <c r="E22" s="2">
        <v>13.0</v>
      </c>
      <c r="F22" s="2" t="s">
        <v>181</v>
      </c>
      <c r="G22" s="2" t="s">
        <v>89</v>
      </c>
      <c r="H22" s="6"/>
    </row>
    <row r="23" hidden="1">
      <c r="A23" s="2" t="s">
        <v>49</v>
      </c>
      <c r="B23" s="2" t="s">
        <v>493</v>
      </c>
      <c r="C23" s="2" t="s">
        <v>385</v>
      </c>
      <c r="D23" s="2" t="s">
        <v>196</v>
      </c>
      <c r="E23" s="2">
        <v>1.0</v>
      </c>
      <c r="F23" s="2" t="s">
        <v>181</v>
      </c>
      <c r="G23" s="2" t="s">
        <v>89</v>
      </c>
      <c r="H23" s="6"/>
    </row>
    <row r="24" hidden="1">
      <c r="A24" s="2" t="s">
        <v>49</v>
      </c>
      <c r="B24" s="2" t="s">
        <v>496</v>
      </c>
      <c r="C24" s="2" t="s">
        <v>496</v>
      </c>
      <c r="D24" s="2" t="s">
        <v>196</v>
      </c>
      <c r="E24" s="2">
        <v>2.0</v>
      </c>
      <c r="F24" s="2" t="s">
        <v>181</v>
      </c>
      <c r="G24" s="2" t="s">
        <v>89</v>
      </c>
      <c r="H24" s="6"/>
    </row>
    <row r="25" hidden="1">
      <c r="A25" s="2" t="s">
        <v>49</v>
      </c>
      <c r="B25" s="2" t="s">
        <v>496</v>
      </c>
      <c r="C25" s="2" t="s">
        <v>496</v>
      </c>
      <c r="D25" s="2" t="s">
        <v>288</v>
      </c>
      <c r="E25" s="2">
        <v>2.0</v>
      </c>
      <c r="F25" s="2" t="s">
        <v>181</v>
      </c>
      <c r="G25" s="2" t="s">
        <v>89</v>
      </c>
      <c r="H25" s="6"/>
    </row>
    <row r="26" hidden="1">
      <c r="A26" s="2" t="s">
        <v>49</v>
      </c>
      <c r="B26" s="2" t="s">
        <v>506</v>
      </c>
      <c r="C26" s="2" t="s">
        <v>506</v>
      </c>
      <c r="D26" s="2" t="s">
        <v>196</v>
      </c>
      <c r="E26" s="2">
        <v>3.0</v>
      </c>
      <c r="F26" s="2" t="s">
        <v>181</v>
      </c>
      <c r="G26" s="2" t="s">
        <v>89</v>
      </c>
      <c r="H26" s="6"/>
    </row>
    <row r="27" hidden="1">
      <c r="A27" s="2" t="s">
        <v>49</v>
      </c>
      <c r="B27" s="2" t="s">
        <v>512</v>
      </c>
      <c r="C27" s="2" t="s">
        <v>512</v>
      </c>
      <c r="D27" s="2" t="s">
        <v>196</v>
      </c>
      <c r="E27" s="2">
        <v>1.0</v>
      </c>
      <c r="F27" s="2" t="s">
        <v>181</v>
      </c>
      <c r="G27" s="2" t="s">
        <v>89</v>
      </c>
      <c r="H27" s="6"/>
    </row>
    <row r="28" hidden="1">
      <c r="A28" s="2" t="s">
        <v>49</v>
      </c>
      <c r="B28" s="2" t="s">
        <v>517</v>
      </c>
      <c r="C28" s="2" t="s">
        <v>518</v>
      </c>
      <c r="D28" s="2" t="s">
        <v>196</v>
      </c>
      <c r="E28" s="2">
        <v>35.0</v>
      </c>
      <c r="F28" s="2" t="s">
        <v>181</v>
      </c>
      <c r="G28" s="2" t="s">
        <v>89</v>
      </c>
      <c r="H28" s="6"/>
    </row>
    <row r="29">
      <c r="A29" s="2" t="s">
        <v>96</v>
      </c>
      <c r="B29" s="2" t="s">
        <v>395</v>
      </c>
      <c r="C29" s="2"/>
      <c r="D29" s="2" t="s">
        <v>233</v>
      </c>
      <c r="E29" s="2">
        <v>27.0</v>
      </c>
      <c r="F29" s="2" t="s">
        <v>363</v>
      </c>
      <c r="G29" s="2" t="s">
        <v>89</v>
      </c>
      <c r="H29" s="6">
        <v>46237.65963270833</v>
      </c>
    </row>
    <row r="30" hidden="1">
      <c r="A30" s="2" t="s">
        <v>96</v>
      </c>
      <c r="B30" s="2" t="s">
        <v>531</v>
      </c>
      <c r="C30" s="2"/>
      <c r="D30" s="2" t="s">
        <v>234</v>
      </c>
      <c r="E30" s="2">
        <v>47.0</v>
      </c>
      <c r="F30" s="2" t="s">
        <v>363</v>
      </c>
      <c r="G30" s="2" t="s">
        <v>89</v>
      </c>
      <c r="H30" s="6"/>
    </row>
    <row r="31" hidden="1">
      <c r="A31" s="2" t="s">
        <v>96</v>
      </c>
      <c r="B31" s="2" t="s">
        <v>397</v>
      </c>
      <c r="C31" s="2"/>
      <c r="D31" s="2" t="s">
        <v>237</v>
      </c>
      <c r="E31" s="2">
        <v>21.0</v>
      </c>
      <c r="F31" s="2" t="s">
        <v>363</v>
      </c>
      <c r="G31" s="2" t="s">
        <v>89</v>
      </c>
      <c r="H31" s="6"/>
    </row>
    <row r="32" hidden="1">
      <c r="A32" s="2" t="s">
        <v>96</v>
      </c>
      <c r="B32" s="2" t="s">
        <v>397</v>
      </c>
      <c r="C32" s="2"/>
      <c r="D32" s="2" t="s">
        <v>240</v>
      </c>
      <c r="E32" s="2">
        <v>26.0</v>
      </c>
      <c r="F32" s="2" t="s">
        <v>363</v>
      </c>
      <c r="G32" s="2" t="s">
        <v>89</v>
      </c>
      <c r="H32" s="6"/>
    </row>
    <row r="33" hidden="1">
      <c r="A33" s="2" t="s">
        <v>96</v>
      </c>
      <c r="B33" s="2" t="s">
        <v>401</v>
      </c>
      <c r="C33" s="2"/>
      <c r="D33" s="2" t="s">
        <v>237</v>
      </c>
      <c r="E33" s="2">
        <v>7.0</v>
      </c>
      <c r="F33" s="2" t="s">
        <v>363</v>
      </c>
      <c r="G33" s="2" t="s">
        <v>89</v>
      </c>
      <c r="H33" s="6"/>
    </row>
    <row r="34" hidden="1">
      <c r="A34" s="2" t="s">
        <v>96</v>
      </c>
      <c r="B34" s="2" t="s">
        <v>401</v>
      </c>
      <c r="C34" s="2"/>
      <c r="D34" s="2" t="s">
        <v>240</v>
      </c>
      <c r="E34" s="2">
        <v>16.0</v>
      </c>
      <c r="F34" s="2" t="s">
        <v>363</v>
      </c>
      <c r="G34" s="2" t="s">
        <v>89</v>
      </c>
      <c r="H34" s="6"/>
    </row>
    <row r="35" hidden="1">
      <c r="A35" s="2" t="s">
        <v>96</v>
      </c>
      <c r="B35" s="2" t="s">
        <v>548</v>
      </c>
      <c r="C35" s="2"/>
      <c r="D35" s="2" t="s">
        <v>233</v>
      </c>
      <c r="E35" s="2">
        <v>12.0</v>
      </c>
      <c r="F35" s="2" t="s">
        <v>363</v>
      </c>
      <c r="G35" s="2" t="s">
        <v>89</v>
      </c>
      <c r="H35" s="6"/>
    </row>
    <row r="36" hidden="1">
      <c r="A36" s="2" t="s">
        <v>96</v>
      </c>
      <c r="B36" s="2" t="s">
        <v>327</v>
      </c>
      <c r="C36" s="2"/>
      <c r="D36" s="2" t="s">
        <v>234</v>
      </c>
      <c r="E36" s="2">
        <v>18.5</v>
      </c>
      <c r="F36" s="2" t="s">
        <v>363</v>
      </c>
      <c r="G36" s="2" t="s">
        <v>89</v>
      </c>
      <c r="H36" s="6"/>
    </row>
    <row r="37" hidden="1">
      <c r="A37" s="2" t="s">
        <v>49</v>
      </c>
      <c r="B37" s="2" t="s">
        <v>403</v>
      </c>
      <c r="C37" s="2" t="s">
        <v>403</v>
      </c>
      <c r="D37" s="2" t="s">
        <v>212</v>
      </c>
      <c r="E37" s="2">
        <v>2.0</v>
      </c>
      <c r="F37" s="2" t="s">
        <v>181</v>
      </c>
      <c r="G37" s="2" t="s">
        <v>89</v>
      </c>
      <c r="H37" s="6"/>
    </row>
    <row r="38" hidden="1">
      <c r="A38" s="2" t="s">
        <v>49</v>
      </c>
      <c r="B38" s="2" t="s">
        <v>563</v>
      </c>
      <c r="C38" s="2" t="s">
        <v>563</v>
      </c>
      <c r="D38" s="2" t="s">
        <v>212</v>
      </c>
      <c r="E38" s="2">
        <v>2.0</v>
      </c>
      <c r="F38" s="2" t="s">
        <v>181</v>
      </c>
      <c r="G38" s="2" t="s">
        <v>89</v>
      </c>
      <c r="H38" s="6"/>
    </row>
    <row r="39" hidden="1">
      <c r="A39" s="2" t="s">
        <v>49</v>
      </c>
      <c r="B39" s="2" t="s">
        <v>567</v>
      </c>
      <c r="C39" s="2" t="s">
        <v>567</v>
      </c>
      <c r="D39" s="2" t="s">
        <v>212</v>
      </c>
      <c r="E39" s="2">
        <v>1.0</v>
      </c>
      <c r="F39" s="2" t="s">
        <v>181</v>
      </c>
      <c r="G39" s="2" t="s">
        <v>89</v>
      </c>
      <c r="H39" s="6"/>
    </row>
    <row r="40" hidden="1">
      <c r="A40" s="2" t="s">
        <v>49</v>
      </c>
      <c r="B40" s="2" t="s">
        <v>571</v>
      </c>
      <c r="C40" s="2" t="s">
        <v>571</v>
      </c>
      <c r="D40" s="2" t="s">
        <v>212</v>
      </c>
      <c r="E40" s="2">
        <v>1.0</v>
      </c>
      <c r="F40" s="2" t="s">
        <v>181</v>
      </c>
      <c r="G40" s="2" t="s">
        <v>89</v>
      </c>
      <c r="H40" s="6"/>
    </row>
    <row r="41" hidden="1">
      <c r="A41" s="2" t="s">
        <v>49</v>
      </c>
      <c r="B41" s="2" t="s">
        <v>576</v>
      </c>
      <c r="C41" s="2" t="s">
        <v>576</v>
      </c>
      <c r="D41" s="2" t="s">
        <v>212</v>
      </c>
      <c r="E41" s="2">
        <v>1.0</v>
      </c>
      <c r="F41" s="2" t="s">
        <v>181</v>
      </c>
      <c r="G41" s="2" t="s">
        <v>89</v>
      </c>
      <c r="H41" s="6"/>
    </row>
    <row r="42" hidden="1">
      <c r="A42" s="2" t="s">
        <v>49</v>
      </c>
      <c r="B42" s="2" t="s">
        <v>582</v>
      </c>
      <c r="C42" s="2" t="s">
        <v>582</v>
      </c>
      <c r="D42" s="2" t="s">
        <v>212</v>
      </c>
      <c r="E42" s="2">
        <v>2.0</v>
      </c>
      <c r="F42" s="2" t="s">
        <v>181</v>
      </c>
      <c r="G42" s="2" t="s">
        <v>89</v>
      </c>
      <c r="H42" s="6"/>
    </row>
    <row r="43" hidden="1">
      <c r="A43" s="2" t="s">
        <v>49</v>
      </c>
      <c r="B43" s="2" t="s">
        <v>589</v>
      </c>
      <c r="C43" s="2" t="s">
        <v>589</v>
      </c>
      <c r="D43" s="2" t="s">
        <v>212</v>
      </c>
      <c r="E43" s="2">
        <v>2.0</v>
      </c>
      <c r="F43" s="2" t="s">
        <v>181</v>
      </c>
      <c r="G43" s="2" t="s">
        <v>89</v>
      </c>
      <c r="H43" s="6"/>
    </row>
    <row r="44" hidden="1">
      <c r="A44" s="2" t="s">
        <v>49</v>
      </c>
      <c r="B44" s="2" t="s">
        <v>594</v>
      </c>
      <c r="C44" s="2" t="s">
        <v>594</v>
      </c>
      <c r="D44" s="2" t="s">
        <v>212</v>
      </c>
      <c r="E44" s="2">
        <v>2.0</v>
      </c>
      <c r="F44" s="2" t="s">
        <v>181</v>
      </c>
      <c r="G44" s="2" t="s">
        <v>89</v>
      </c>
      <c r="H44" s="6"/>
    </row>
    <row r="45" hidden="1">
      <c r="A45" s="2" t="s">
        <v>49</v>
      </c>
      <c r="B45" s="2" t="s">
        <v>600</v>
      </c>
      <c r="C45" s="2" t="s">
        <v>600</v>
      </c>
      <c r="D45" s="2" t="s">
        <v>216</v>
      </c>
      <c r="E45" s="2">
        <v>1.0</v>
      </c>
      <c r="F45" s="2" t="s">
        <v>181</v>
      </c>
      <c r="G45" s="2" t="s">
        <v>89</v>
      </c>
      <c r="H45" s="6"/>
    </row>
    <row r="46" hidden="1">
      <c r="A46" s="2" t="s">
        <v>49</v>
      </c>
      <c r="B46" s="2" t="s">
        <v>604</v>
      </c>
      <c r="C46" s="2" t="s">
        <v>604</v>
      </c>
      <c r="D46" s="2" t="s">
        <v>216</v>
      </c>
      <c r="E46" s="2">
        <v>2.0</v>
      </c>
      <c r="F46" s="2" t="s">
        <v>181</v>
      </c>
      <c r="G46" s="2" t="s">
        <v>89</v>
      </c>
      <c r="H46" s="6"/>
    </row>
    <row r="47" hidden="1">
      <c r="A47" s="2" t="s">
        <v>49</v>
      </c>
      <c r="B47" s="2" t="s">
        <v>606</v>
      </c>
      <c r="C47" s="2" t="s">
        <v>606</v>
      </c>
      <c r="D47" s="2" t="s">
        <v>216</v>
      </c>
      <c r="E47" s="2">
        <v>2.0</v>
      </c>
      <c r="F47" s="2" t="s">
        <v>181</v>
      </c>
      <c r="G47" s="2" t="s">
        <v>89</v>
      </c>
      <c r="H47" s="6"/>
    </row>
    <row r="48" hidden="1">
      <c r="A48" s="2" t="s">
        <v>49</v>
      </c>
      <c r="B48" s="2" t="s">
        <v>612</v>
      </c>
      <c r="C48" s="2" t="s">
        <v>612</v>
      </c>
      <c r="D48" s="2" t="s">
        <v>212</v>
      </c>
      <c r="E48" s="2">
        <v>1.0</v>
      </c>
      <c r="F48" s="2" t="s">
        <v>181</v>
      </c>
      <c r="G48" s="2" t="s">
        <v>89</v>
      </c>
      <c r="H48" s="6"/>
    </row>
    <row r="49" hidden="1">
      <c r="A49" s="2" t="s">
        <v>49</v>
      </c>
      <c r="B49" s="2" t="s">
        <v>618</v>
      </c>
      <c r="C49" s="2" t="s">
        <v>618</v>
      </c>
      <c r="D49" s="2" t="s">
        <v>212</v>
      </c>
      <c r="E49" s="2">
        <v>1.0</v>
      </c>
      <c r="F49" s="2" t="s">
        <v>181</v>
      </c>
      <c r="G49" s="2" t="s">
        <v>89</v>
      </c>
      <c r="H49" s="6"/>
    </row>
    <row r="50" hidden="1">
      <c r="A50" s="2" t="s">
        <v>49</v>
      </c>
      <c r="B50" s="2"/>
      <c r="C50" s="2"/>
      <c r="D50" s="2" t="s">
        <v>216</v>
      </c>
      <c r="E50" s="2">
        <v>1.0</v>
      </c>
      <c r="F50" s="2" t="s">
        <v>181</v>
      </c>
      <c r="G50" s="2" t="s">
        <v>89</v>
      </c>
      <c r="H50" s="6"/>
    </row>
    <row r="51" hidden="1">
      <c r="A51" s="2" t="s">
        <v>49</v>
      </c>
      <c r="B51" s="2" t="s">
        <v>623</v>
      </c>
      <c r="C51" s="2" t="s">
        <v>623</v>
      </c>
      <c r="D51" s="2" t="s">
        <v>216</v>
      </c>
      <c r="E51" s="2">
        <v>1.0</v>
      </c>
      <c r="F51" s="2" t="s">
        <v>181</v>
      </c>
      <c r="G51" s="2" t="s">
        <v>89</v>
      </c>
      <c r="H51" s="6"/>
    </row>
    <row r="52" hidden="1">
      <c r="A52" s="2" t="s">
        <v>91</v>
      </c>
      <c r="B52" s="2" t="s">
        <v>630</v>
      </c>
      <c r="C52" s="2" t="s">
        <v>631</v>
      </c>
      <c r="D52" s="2" t="s">
        <v>102</v>
      </c>
      <c r="E52" s="2">
        <v>1.0</v>
      </c>
      <c r="F52" s="2" t="s">
        <v>181</v>
      </c>
      <c r="G52" s="2" t="s">
        <v>89</v>
      </c>
      <c r="H52" s="6"/>
    </row>
    <row r="53" hidden="1">
      <c r="A53" s="2" t="s">
        <v>49</v>
      </c>
      <c r="B53" s="2" t="s">
        <v>638</v>
      </c>
      <c r="C53" s="2" t="s">
        <v>638</v>
      </c>
      <c r="D53" s="2" t="s">
        <v>212</v>
      </c>
      <c r="E53" s="2">
        <v>1.0</v>
      </c>
      <c r="F53" s="2" t="s">
        <v>181</v>
      </c>
      <c r="G53" s="2" t="s">
        <v>89</v>
      </c>
      <c r="H53" s="6"/>
    </row>
    <row r="54" hidden="1">
      <c r="A54" s="2" t="s">
        <v>49</v>
      </c>
      <c r="B54" s="2" t="s">
        <v>645</v>
      </c>
      <c r="C54" s="2" t="s">
        <v>645</v>
      </c>
      <c r="D54" s="2" t="s">
        <v>212</v>
      </c>
      <c r="E54" s="2">
        <v>1.0</v>
      </c>
      <c r="F54" s="2" t="s">
        <v>181</v>
      </c>
      <c r="G54" s="2" t="s">
        <v>89</v>
      </c>
      <c r="H54" s="6"/>
    </row>
    <row r="55" hidden="1">
      <c r="A55" s="2" t="s">
        <v>49</v>
      </c>
      <c r="B55" s="2" t="s">
        <v>653</v>
      </c>
      <c r="C55" s="2" t="s">
        <v>653</v>
      </c>
      <c r="D55" s="2" t="s">
        <v>212</v>
      </c>
      <c r="E55" s="2">
        <v>1.0</v>
      </c>
      <c r="F55" s="2" t="s">
        <v>181</v>
      </c>
      <c r="G55" s="2" t="s">
        <v>89</v>
      </c>
      <c r="H55" s="6"/>
    </row>
    <row r="56" hidden="1">
      <c r="A56" s="2" t="s">
        <v>49</v>
      </c>
      <c r="B56" s="2" t="s">
        <v>415</v>
      </c>
      <c r="C56" s="2" t="s">
        <v>416</v>
      </c>
      <c r="D56" s="2" t="s">
        <v>216</v>
      </c>
      <c r="E56" s="2">
        <v>2.0</v>
      </c>
      <c r="F56" s="2" t="s">
        <v>181</v>
      </c>
      <c r="G56" s="2" t="s">
        <v>89</v>
      </c>
      <c r="H56" s="6"/>
    </row>
    <row r="57" hidden="1">
      <c r="A57" s="2" t="s">
        <v>49</v>
      </c>
      <c r="B57" s="2" t="s">
        <v>415</v>
      </c>
      <c r="C57" s="2" t="s">
        <v>416</v>
      </c>
      <c r="D57" s="2" t="s">
        <v>161</v>
      </c>
      <c r="E57" s="2">
        <v>18.0</v>
      </c>
      <c r="F57" s="2" t="s">
        <v>181</v>
      </c>
      <c r="G57" s="2" t="s">
        <v>89</v>
      </c>
      <c r="H57" s="6"/>
    </row>
    <row r="58" hidden="1">
      <c r="A58" s="2" t="s">
        <v>49</v>
      </c>
      <c r="B58" s="2" t="s">
        <v>667</v>
      </c>
      <c r="C58" s="2" t="s">
        <v>667</v>
      </c>
      <c r="D58" s="2" t="s">
        <v>216</v>
      </c>
      <c r="E58" s="2">
        <v>1.0</v>
      </c>
      <c r="F58" s="2" t="s">
        <v>181</v>
      </c>
      <c r="G58" s="2" t="s">
        <v>89</v>
      </c>
      <c r="H58" s="6"/>
    </row>
    <row r="59" hidden="1">
      <c r="A59" s="2" t="s">
        <v>49</v>
      </c>
      <c r="B59" s="2" t="s">
        <v>670</v>
      </c>
      <c r="C59" s="2" t="s">
        <v>670</v>
      </c>
      <c r="D59" s="2" t="s">
        <v>216</v>
      </c>
      <c r="E59" s="2">
        <v>1.0</v>
      </c>
      <c r="F59" s="2" t="s">
        <v>181</v>
      </c>
      <c r="G59" s="2" t="s">
        <v>89</v>
      </c>
      <c r="H59" s="6"/>
    </row>
    <row r="60" hidden="1">
      <c r="A60" s="2" t="s">
        <v>49</v>
      </c>
      <c r="B60" s="2" t="s">
        <v>676</v>
      </c>
      <c r="C60" s="2" t="s">
        <v>676</v>
      </c>
      <c r="D60" s="2" t="s">
        <v>111</v>
      </c>
      <c r="E60" s="2">
        <v>1.0</v>
      </c>
      <c r="F60" s="2" t="s">
        <v>181</v>
      </c>
      <c r="G60" s="2" t="s">
        <v>89</v>
      </c>
      <c r="H60" s="6"/>
    </row>
    <row r="61" hidden="1">
      <c r="A61" s="2" t="s">
        <v>49</v>
      </c>
      <c r="B61" s="2" t="s">
        <v>688</v>
      </c>
      <c r="C61" s="2" t="s">
        <v>688</v>
      </c>
      <c r="D61" s="2" t="s">
        <v>111</v>
      </c>
      <c r="E61" s="2">
        <v>3.0</v>
      </c>
      <c r="F61" s="2" t="s">
        <v>181</v>
      </c>
      <c r="G61" s="2" t="s">
        <v>89</v>
      </c>
      <c r="H61" s="6"/>
    </row>
    <row r="62" hidden="1">
      <c r="A62" s="2" t="s">
        <v>49</v>
      </c>
      <c r="B62" s="2" t="s">
        <v>697</v>
      </c>
      <c r="C62" s="2" t="s">
        <v>697</v>
      </c>
      <c r="D62" s="2" t="s">
        <v>111</v>
      </c>
      <c r="E62" s="2">
        <v>1.0</v>
      </c>
      <c r="F62" s="2" t="s">
        <v>181</v>
      </c>
      <c r="G62" s="2" t="s">
        <v>89</v>
      </c>
      <c r="H62" s="6"/>
    </row>
    <row r="63" hidden="1">
      <c r="A63" s="2" t="s">
        <v>49</v>
      </c>
      <c r="B63" s="2" t="s">
        <v>704</v>
      </c>
      <c r="C63" s="2" t="s">
        <v>704</v>
      </c>
      <c r="D63" s="2" t="s">
        <v>111</v>
      </c>
      <c r="E63" s="2">
        <v>1.0</v>
      </c>
      <c r="F63" s="2" t="s">
        <v>181</v>
      </c>
      <c r="G63" s="2" t="s">
        <v>89</v>
      </c>
      <c r="H63" s="6"/>
    </row>
    <row r="64" hidden="1">
      <c r="A64" s="2" t="s">
        <v>49</v>
      </c>
      <c r="B64" s="2" t="s">
        <v>706</v>
      </c>
      <c r="C64" s="2" t="s">
        <v>706</v>
      </c>
      <c r="D64" s="2" t="s">
        <v>111</v>
      </c>
      <c r="E64" s="2">
        <v>3.0</v>
      </c>
      <c r="F64" s="2" t="s">
        <v>181</v>
      </c>
      <c r="G64" s="2" t="s">
        <v>89</v>
      </c>
      <c r="H64" s="6"/>
    </row>
    <row r="65" hidden="1">
      <c r="A65" s="2" t="s">
        <v>49</v>
      </c>
      <c r="B65" s="2" t="s">
        <v>711</v>
      </c>
      <c r="C65" s="2" t="s">
        <v>711</v>
      </c>
      <c r="D65" s="2" t="s">
        <v>111</v>
      </c>
      <c r="E65" s="2">
        <v>22.0</v>
      </c>
      <c r="F65" s="2" t="s">
        <v>181</v>
      </c>
      <c r="G65" s="2" t="s">
        <v>89</v>
      </c>
      <c r="H65" s="6"/>
    </row>
    <row r="66" hidden="1">
      <c r="A66" s="2" t="s">
        <v>49</v>
      </c>
      <c r="B66" s="2" t="s">
        <v>711</v>
      </c>
      <c r="C66" s="2" t="s">
        <v>711</v>
      </c>
      <c r="D66" s="2" t="s">
        <v>212</v>
      </c>
      <c r="E66" s="2">
        <v>2.0</v>
      </c>
      <c r="F66" s="2" t="s">
        <v>181</v>
      </c>
      <c r="G66" s="2" t="s">
        <v>89</v>
      </c>
      <c r="H66" s="6"/>
    </row>
    <row r="67" hidden="1">
      <c r="A67" s="2" t="s">
        <v>49</v>
      </c>
      <c r="B67" s="2" t="s">
        <v>719</v>
      </c>
      <c r="C67" s="2" t="s">
        <v>719</v>
      </c>
      <c r="D67" s="2" t="s">
        <v>111</v>
      </c>
      <c r="E67" s="2">
        <v>9.0</v>
      </c>
      <c r="F67" s="2" t="s">
        <v>181</v>
      </c>
      <c r="G67" s="2" t="s">
        <v>89</v>
      </c>
      <c r="H67" s="6"/>
    </row>
    <row r="68" hidden="1">
      <c r="A68" s="2" t="s">
        <v>49</v>
      </c>
      <c r="B68" s="2" t="s">
        <v>724</v>
      </c>
      <c r="C68" s="2" t="s">
        <v>724</v>
      </c>
      <c r="D68" s="2" t="s">
        <v>111</v>
      </c>
      <c r="E68" s="2">
        <v>44.0</v>
      </c>
      <c r="F68" s="2" t="s">
        <v>181</v>
      </c>
      <c r="G68" s="2" t="s">
        <v>89</v>
      </c>
      <c r="H68" s="6"/>
    </row>
    <row r="69" hidden="1">
      <c r="A69" s="2" t="s">
        <v>49</v>
      </c>
      <c r="B69" s="2" t="s">
        <v>724</v>
      </c>
      <c r="C69" s="2" t="s">
        <v>724</v>
      </c>
      <c r="D69" s="2" t="s">
        <v>212</v>
      </c>
      <c r="E69" s="2">
        <v>6.0</v>
      </c>
      <c r="F69" s="2" t="s">
        <v>181</v>
      </c>
      <c r="G69" s="2" t="s">
        <v>89</v>
      </c>
      <c r="H69" s="6"/>
    </row>
    <row r="70" hidden="1">
      <c r="A70" s="2" t="s">
        <v>49</v>
      </c>
      <c r="B70" s="2" t="s">
        <v>729</v>
      </c>
      <c r="C70" s="2" t="s">
        <v>729</v>
      </c>
      <c r="D70" s="2" t="s">
        <v>111</v>
      </c>
      <c r="E70" s="2">
        <v>40.0</v>
      </c>
      <c r="F70" s="2" t="s">
        <v>181</v>
      </c>
      <c r="G70" s="2" t="s">
        <v>89</v>
      </c>
      <c r="H70" s="6"/>
    </row>
    <row r="71" hidden="1">
      <c r="A71" s="2" t="s">
        <v>49</v>
      </c>
      <c r="B71" s="2" t="s">
        <v>729</v>
      </c>
      <c r="C71" s="2" t="s">
        <v>729</v>
      </c>
      <c r="D71" s="2" t="s">
        <v>212</v>
      </c>
      <c r="E71" s="2">
        <v>3.0</v>
      </c>
      <c r="F71" s="2" t="s">
        <v>181</v>
      </c>
      <c r="G71" s="2" t="s">
        <v>89</v>
      </c>
      <c r="H71" s="6"/>
    </row>
    <row r="72" hidden="1">
      <c r="A72" s="2" t="s">
        <v>49</v>
      </c>
      <c r="B72" s="2" t="s">
        <v>734</v>
      </c>
      <c r="C72" s="2" t="s">
        <v>734</v>
      </c>
      <c r="D72" s="2" t="s">
        <v>111</v>
      </c>
      <c r="E72" s="4">
        <v>13.0</v>
      </c>
      <c r="F72" s="2" t="s">
        <v>181</v>
      </c>
      <c r="G72" s="2" t="s">
        <v>89</v>
      </c>
      <c r="H72" s="6"/>
    </row>
    <row r="73" hidden="1">
      <c r="A73" s="2" t="s">
        <v>49</v>
      </c>
      <c r="B73" s="2" t="s">
        <v>734</v>
      </c>
      <c r="C73" s="2" t="s">
        <v>734</v>
      </c>
      <c r="D73" s="2" t="s">
        <v>212</v>
      </c>
      <c r="E73" s="2">
        <v>2.0</v>
      </c>
      <c r="F73" s="2" t="s">
        <v>181</v>
      </c>
      <c r="G73" s="2" t="s">
        <v>89</v>
      </c>
      <c r="H73" s="6"/>
    </row>
    <row r="74" hidden="1">
      <c r="A74" s="2" t="s">
        <v>49</v>
      </c>
      <c r="B74" s="2" t="s">
        <v>739</v>
      </c>
      <c r="C74" s="2" t="s">
        <v>739</v>
      </c>
      <c r="D74" s="2" t="s">
        <v>111</v>
      </c>
      <c r="E74" s="2">
        <v>8.0</v>
      </c>
      <c r="F74" s="2" t="s">
        <v>181</v>
      </c>
      <c r="G74" s="2" t="s">
        <v>89</v>
      </c>
      <c r="H74" s="6"/>
    </row>
    <row r="75" hidden="1">
      <c r="A75" s="2" t="s">
        <v>49</v>
      </c>
      <c r="B75" s="2" t="s">
        <v>743</v>
      </c>
      <c r="C75" s="2" t="s">
        <v>743</v>
      </c>
      <c r="D75" s="2" t="s">
        <v>111</v>
      </c>
      <c r="E75" s="2">
        <v>2.0</v>
      </c>
      <c r="F75" s="2" t="s">
        <v>181</v>
      </c>
      <c r="G75" s="2" t="s">
        <v>89</v>
      </c>
      <c r="H75" s="6"/>
    </row>
    <row r="76" hidden="1">
      <c r="A76" s="2" t="s">
        <v>49</v>
      </c>
      <c r="B76" s="2" t="s">
        <v>747</v>
      </c>
      <c r="C76" s="2" t="s">
        <v>747</v>
      </c>
      <c r="D76" s="2" t="s">
        <v>111</v>
      </c>
      <c r="E76" s="2">
        <v>13.0</v>
      </c>
      <c r="F76" s="2" t="s">
        <v>181</v>
      </c>
      <c r="G76" s="2" t="s">
        <v>89</v>
      </c>
      <c r="H76" s="6"/>
    </row>
    <row r="77" hidden="1">
      <c r="A77" s="2" t="s">
        <v>49</v>
      </c>
      <c r="B77" s="2" t="s">
        <v>750</v>
      </c>
      <c r="C77" s="2" t="s">
        <v>750</v>
      </c>
      <c r="D77" s="2" t="s">
        <v>196</v>
      </c>
      <c r="E77" s="4">
        <v>1.0</v>
      </c>
      <c r="F77" s="2" t="s">
        <v>181</v>
      </c>
      <c r="G77" s="2" t="s">
        <v>89</v>
      </c>
      <c r="H77" s="6"/>
    </row>
    <row r="78" hidden="1">
      <c r="A78" s="2" t="s">
        <v>49</v>
      </c>
      <c r="B78" s="2" t="s">
        <v>756</v>
      </c>
      <c r="C78" s="2" t="s">
        <v>756</v>
      </c>
      <c r="D78" s="2" t="s">
        <v>196</v>
      </c>
      <c r="E78" s="4">
        <v>1.0</v>
      </c>
      <c r="F78" s="2" t="s">
        <v>181</v>
      </c>
      <c r="G78" s="2" t="s">
        <v>89</v>
      </c>
      <c r="H78" s="6"/>
    </row>
    <row r="79" hidden="1">
      <c r="A79" s="2" t="s">
        <v>49</v>
      </c>
      <c r="B79" s="2" t="s">
        <v>760</v>
      </c>
      <c r="C79" s="2" t="s">
        <v>760</v>
      </c>
      <c r="D79" s="2" t="s">
        <v>196</v>
      </c>
      <c r="E79" s="4">
        <v>1.0</v>
      </c>
      <c r="F79" s="2" t="s">
        <v>181</v>
      </c>
      <c r="G79" s="2" t="s">
        <v>89</v>
      </c>
      <c r="H79" s="6"/>
    </row>
    <row r="80" hidden="1">
      <c r="A80" s="2" t="s">
        <v>49</v>
      </c>
      <c r="B80" s="2" t="s">
        <v>764</v>
      </c>
      <c r="C80" s="2" t="s">
        <v>764</v>
      </c>
      <c r="D80" s="2" t="s">
        <v>196</v>
      </c>
      <c r="E80" s="4">
        <v>1.0</v>
      </c>
      <c r="F80" s="2" t="s">
        <v>181</v>
      </c>
      <c r="G80" s="2" t="s">
        <v>89</v>
      </c>
      <c r="H80" s="6"/>
    </row>
    <row r="81" hidden="1">
      <c r="A81" s="2" t="s">
        <v>49</v>
      </c>
      <c r="B81" s="2" t="s">
        <v>766</v>
      </c>
      <c r="C81" s="2" t="s">
        <v>766</v>
      </c>
      <c r="D81" s="2" t="s">
        <v>196</v>
      </c>
      <c r="E81" s="4">
        <v>2.0</v>
      </c>
      <c r="F81" s="2" t="s">
        <v>181</v>
      </c>
      <c r="G81" s="2" t="s">
        <v>89</v>
      </c>
      <c r="H81" s="6"/>
    </row>
    <row r="82" hidden="1">
      <c r="A82" s="2" t="s">
        <v>49</v>
      </c>
      <c r="B82" s="2" t="s">
        <v>774</v>
      </c>
      <c r="C82" s="2" t="s">
        <v>774</v>
      </c>
      <c r="D82" s="2" t="s">
        <v>192</v>
      </c>
      <c r="E82" s="4">
        <v>24.0</v>
      </c>
      <c r="F82" s="2" t="s">
        <v>181</v>
      </c>
      <c r="G82" s="2" t="s">
        <v>89</v>
      </c>
      <c r="H82" s="6"/>
    </row>
    <row r="83" hidden="1">
      <c r="A83" s="2" t="s">
        <v>49</v>
      </c>
      <c r="B83" s="2" t="s">
        <v>780</v>
      </c>
      <c r="C83" s="2" t="s">
        <v>780</v>
      </c>
      <c r="D83" s="2" t="s">
        <v>192</v>
      </c>
      <c r="E83" s="4">
        <v>3.0</v>
      </c>
      <c r="F83" s="2" t="s">
        <v>181</v>
      </c>
      <c r="G83" s="2" t="s">
        <v>89</v>
      </c>
      <c r="H83" s="6"/>
    </row>
    <row r="84" hidden="1">
      <c r="A84" s="2" t="s">
        <v>49</v>
      </c>
      <c r="B84" s="2" t="s">
        <v>121</v>
      </c>
      <c r="C84" s="2" t="s">
        <v>121</v>
      </c>
      <c r="D84" s="2" t="s">
        <v>192</v>
      </c>
      <c r="E84" s="4">
        <v>46.0</v>
      </c>
      <c r="F84" s="2" t="s">
        <v>181</v>
      </c>
      <c r="G84" s="2" t="s">
        <v>89</v>
      </c>
      <c r="H84" s="6"/>
    </row>
    <row r="85" hidden="1">
      <c r="A85" s="2" t="s">
        <v>49</v>
      </c>
      <c r="B85" s="2" t="s">
        <v>792</v>
      </c>
      <c r="C85" s="2" t="s">
        <v>792</v>
      </c>
      <c r="D85" s="2" t="s">
        <v>192</v>
      </c>
      <c r="E85" s="4">
        <v>8.0</v>
      </c>
      <c r="F85" s="2" t="s">
        <v>181</v>
      </c>
      <c r="G85" s="2" t="s">
        <v>89</v>
      </c>
      <c r="H85" s="6"/>
    </row>
    <row r="86" hidden="1">
      <c r="A86" s="2" t="s">
        <v>49</v>
      </c>
      <c r="B86" s="2" t="s">
        <v>799</v>
      </c>
      <c r="C86" s="2" t="s">
        <v>799</v>
      </c>
      <c r="D86" s="2" t="s">
        <v>192</v>
      </c>
      <c r="E86" s="4">
        <v>1.0</v>
      </c>
      <c r="F86" s="2" t="s">
        <v>181</v>
      </c>
      <c r="G86" s="2" t="s">
        <v>89</v>
      </c>
      <c r="H86" s="6"/>
    </row>
    <row r="87" hidden="1">
      <c r="A87" s="2" t="s">
        <v>49</v>
      </c>
      <c r="B87" s="2" t="s">
        <v>807</v>
      </c>
      <c r="C87" s="2" t="s">
        <v>807</v>
      </c>
      <c r="D87" s="2" t="s">
        <v>111</v>
      </c>
      <c r="E87" s="4">
        <v>21.0</v>
      </c>
      <c r="F87" s="2" t="s">
        <v>181</v>
      </c>
      <c r="G87" s="2" t="s">
        <v>89</v>
      </c>
      <c r="H87" s="6"/>
    </row>
    <row r="88" hidden="1">
      <c r="A88" s="2" t="s">
        <v>61</v>
      </c>
      <c r="B88" s="2" t="s">
        <v>306</v>
      </c>
      <c r="C88" s="2"/>
      <c r="D88" s="2" t="s">
        <v>251</v>
      </c>
      <c r="E88" s="4">
        <v>4.0</v>
      </c>
      <c r="F88" s="2" t="s">
        <v>363</v>
      </c>
      <c r="G88" s="2" t="s">
        <v>89</v>
      </c>
      <c r="H88" s="6"/>
    </row>
    <row r="89" hidden="1">
      <c r="A89" s="2" t="s">
        <v>49</v>
      </c>
      <c r="B89" s="2" t="s">
        <v>66</v>
      </c>
      <c r="C89" s="2" t="s">
        <v>66</v>
      </c>
      <c r="D89" s="2" t="s">
        <v>219</v>
      </c>
      <c r="E89" s="4">
        <v>52.0</v>
      </c>
      <c r="F89" s="2" t="s">
        <v>181</v>
      </c>
      <c r="G89" s="2" t="s">
        <v>89</v>
      </c>
      <c r="H89" s="6"/>
    </row>
    <row r="90" hidden="1">
      <c r="A90" s="2" t="s">
        <v>49</v>
      </c>
      <c r="B90" s="2" t="s">
        <v>66</v>
      </c>
      <c r="C90" s="2" t="s">
        <v>66</v>
      </c>
      <c r="D90" s="2" t="s">
        <v>216</v>
      </c>
      <c r="E90" s="4">
        <v>21.0</v>
      </c>
      <c r="F90" s="2" t="s">
        <v>181</v>
      </c>
      <c r="G90" s="2" t="s">
        <v>89</v>
      </c>
      <c r="H90" s="6"/>
    </row>
    <row r="91" hidden="1">
      <c r="A91" s="2" t="s">
        <v>49</v>
      </c>
      <c r="B91" s="2" t="s">
        <v>66</v>
      </c>
      <c r="C91" s="2" t="s">
        <v>66</v>
      </c>
      <c r="D91" s="2" t="s">
        <v>192</v>
      </c>
      <c r="E91" s="4">
        <v>15.0</v>
      </c>
      <c r="F91" s="2" t="s">
        <v>181</v>
      </c>
      <c r="G91" s="2" t="s">
        <v>89</v>
      </c>
      <c r="H91" s="6"/>
    </row>
    <row r="92" hidden="1">
      <c r="A92" s="2" t="s">
        <v>49</v>
      </c>
      <c r="B92" s="2" t="s">
        <v>832</v>
      </c>
      <c r="C92" s="2" t="s">
        <v>832</v>
      </c>
      <c r="D92" s="2" t="s">
        <v>212</v>
      </c>
      <c r="E92" s="4">
        <v>2.0</v>
      </c>
      <c r="F92" s="2" t="s">
        <v>181</v>
      </c>
      <c r="G92" s="2" t="s">
        <v>89</v>
      </c>
      <c r="H92" s="6"/>
    </row>
    <row r="93" hidden="1">
      <c r="A93" s="2" t="s">
        <v>49</v>
      </c>
      <c r="B93" s="2" t="s">
        <v>836</v>
      </c>
      <c r="C93" s="2" t="s">
        <v>836</v>
      </c>
      <c r="D93" s="2" t="s">
        <v>212</v>
      </c>
      <c r="E93" s="4">
        <v>6.0</v>
      </c>
      <c r="F93" s="2" t="s">
        <v>181</v>
      </c>
      <c r="G93" s="2" t="s">
        <v>89</v>
      </c>
      <c r="H93" s="6"/>
    </row>
    <row r="94" hidden="1">
      <c r="A94" s="2" t="s">
        <v>49</v>
      </c>
      <c r="B94" s="2" t="s">
        <v>842</v>
      </c>
      <c r="C94" s="2" t="s">
        <v>842</v>
      </c>
      <c r="D94" s="2" t="s">
        <v>212</v>
      </c>
      <c r="E94" s="4">
        <v>1.0</v>
      </c>
      <c r="F94" s="2" t="s">
        <v>181</v>
      </c>
      <c r="G94" s="2" t="s">
        <v>89</v>
      </c>
      <c r="H94" s="6"/>
    </row>
    <row r="95" hidden="1">
      <c r="A95" s="2" t="s">
        <v>49</v>
      </c>
      <c r="B95" s="2" t="s">
        <v>847</v>
      </c>
      <c r="C95" s="2" t="s">
        <v>847</v>
      </c>
      <c r="D95" s="2" t="s">
        <v>212</v>
      </c>
      <c r="E95" s="4">
        <v>1.0</v>
      </c>
      <c r="F95" s="2" t="s">
        <v>181</v>
      </c>
      <c r="G95" s="2" t="s">
        <v>89</v>
      </c>
      <c r="H95" s="6"/>
    </row>
    <row r="96" hidden="1">
      <c r="A96" s="2" t="s">
        <v>49</v>
      </c>
      <c r="B96" s="2" t="s">
        <v>851</v>
      </c>
      <c r="C96" s="2" t="s">
        <v>851</v>
      </c>
      <c r="D96" s="2" t="s">
        <v>212</v>
      </c>
      <c r="E96" s="4">
        <v>2.0</v>
      </c>
      <c r="F96" s="2" t="s">
        <v>181</v>
      </c>
      <c r="G96" s="2" t="s">
        <v>89</v>
      </c>
      <c r="H96" s="6"/>
    </row>
    <row r="97" hidden="1">
      <c r="A97" s="2" t="s">
        <v>49</v>
      </c>
      <c r="B97" s="2" t="s">
        <v>856</v>
      </c>
      <c r="C97" s="2" t="s">
        <v>856</v>
      </c>
      <c r="D97" s="2" t="s">
        <v>216</v>
      </c>
      <c r="E97" s="4">
        <v>1.0</v>
      </c>
      <c r="F97" s="2" t="s">
        <v>181</v>
      </c>
      <c r="G97" s="2" t="s">
        <v>89</v>
      </c>
      <c r="H97" s="6"/>
    </row>
    <row r="98" hidden="1">
      <c r="A98" s="2" t="s">
        <v>49</v>
      </c>
      <c r="B98" s="2" t="s">
        <v>861</v>
      </c>
      <c r="C98" s="2" t="s">
        <v>861</v>
      </c>
      <c r="D98" s="2" t="s">
        <v>192</v>
      </c>
      <c r="E98" s="4">
        <v>8.0</v>
      </c>
      <c r="F98" s="2" t="s">
        <v>181</v>
      </c>
      <c r="G98" s="2" t="s">
        <v>89</v>
      </c>
      <c r="H98" s="6"/>
    </row>
    <row r="99" hidden="1">
      <c r="A99" s="2" t="s">
        <v>91</v>
      </c>
      <c r="B99" s="2" t="s">
        <v>422</v>
      </c>
      <c r="C99" s="2" t="s">
        <v>865</v>
      </c>
      <c r="D99" s="2" t="s">
        <v>189</v>
      </c>
      <c r="E99" s="4">
        <v>8.0</v>
      </c>
      <c r="F99" s="2" t="s">
        <v>181</v>
      </c>
      <c r="G99" s="2" t="s">
        <v>89</v>
      </c>
      <c r="H99" s="6"/>
    </row>
    <row r="100" hidden="1">
      <c r="A100" s="2" t="s">
        <v>91</v>
      </c>
      <c r="B100" s="2" t="s">
        <v>422</v>
      </c>
      <c r="C100" s="2" t="s">
        <v>865</v>
      </c>
      <c r="D100" s="2" t="s">
        <v>154</v>
      </c>
      <c r="E100" s="4">
        <v>110.0</v>
      </c>
      <c r="F100" s="2" t="s">
        <v>181</v>
      </c>
      <c r="G100" s="2" t="s">
        <v>89</v>
      </c>
      <c r="H100" s="6"/>
    </row>
    <row r="101" hidden="1">
      <c r="A101" s="2" t="s">
        <v>91</v>
      </c>
      <c r="B101" s="2" t="s">
        <v>422</v>
      </c>
      <c r="C101" s="2" t="s">
        <v>865</v>
      </c>
      <c r="D101" s="2" t="s">
        <v>146</v>
      </c>
      <c r="E101" s="4">
        <v>117.0</v>
      </c>
      <c r="F101" s="2" t="s">
        <v>181</v>
      </c>
      <c r="G101" s="2" t="s">
        <v>89</v>
      </c>
      <c r="H101" s="6"/>
    </row>
    <row r="102" hidden="1">
      <c r="A102" s="2" t="s">
        <v>49</v>
      </c>
      <c r="B102" s="2" t="s">
        <v>113</v>
      </c>
      <c r="C102" s="2" t="s">
        <v>113</v>
      </c>
      <c r="D102" s="2" t="s">
        <v>192</v>
      </c>
      <c r="E102" s="4">
        <v>3.0</v>
      </c>
      <c r="F102" s="2" t="s">
        <v>181</v>
      </c>
      <c r="G102" s="2" t="s">
        <v>89</v>
      </c>
      <c r="H102" s="6"/>
    </row>
    <row r="103" hidden="1">
      <c r="A103" s="2" t="s">
        <v>49</v>
      </c>
      <c r="B103" s="2" t="s">
        <v>117</v>
      </c>
      <c r="C103" s="2" t="s">
        <v>117</v>
      </c>
      <c r="D103" s="2" t="s">
        <v>192</v>
      </c>
      <c r="E103" s="4">
        <v>5.0</v>
      </c>
      <c r="F103" s="2" t="s">
        <v>181</v>
      </c>
      <c r="G103" s="2" t="s">
        <v>89</v>
      </c>
      <c r="H103" s="6"/>
    </row>
    <row r="104" hidden="1">
      <c r="A104" s="2" t="s">
        <v>49</v>
      </c>
      <c r="B104" s="2" t="s">
        <v>882</v>
      </c>
      <c r="C104" s="2" t="s">
        <v>882</v>
      </c>
      <c r="D104" s="2" t="s">
        <v>189</v>
      </c>
      <c r="E104" s="4">
        <v>10.0</v>
      </c>
      <c r="F104" s="2" t="s">
        <v>181</v>
      </c>
      <c r="G104" s="2" t="s">
        <v>89</v>
      </c>
      <c r="H104" s="6"/>
    </row>
    <row r="105" hidden="1">
      <c r="A105" s="2" t="s">
        <v>49</v>
      </c>
      <c r="B105" s="2" t="s">
        <v>886</v>
      </c>
      <c r="C105" s="2" t="s">
        <v>886</v>
      </c>
      <c r="D105" s="2" t="s">
        <v>192</v>
      </c>
      <c r="E105" s="4">
        <v>13.0</v>
      </c>
      <c r="F105" s="2" t="s">
        <v>181</v>
      </c>
      <c r="G105" s="2" t="s">
        <v>89</v>
      </c>
      <c r="H105" s="6"/>
    </row>
    <row r="106" hidden="1">
      <c r="A106" s="2" t="s">
        <v>91</v>
      </c>
      <c r="B106" s="2" t="s">
        <v>891</v>
      </c>
      <c r="C106" s="2"/>
      <c r="D106" s="2" t="s">
        <v>224</v>
      </c>
      <c r="E106" s="4">
        <v>1.0</v>
      </c>
      <c r="F106" s="2" t="s">
        <v>181</v>
      </c>
      <c r="G106" s="2" t="s">
        <v>89</v>
      </c>
      <c r="H106" s="6"/>
    </row>
    <row r="107" hidden="1">
      <c r="A107" s="2" t="s">
        <v>49</v>
      </c>
      <c r="B107" s="2" t="s">
        <v>429</v>
      </c>
      <c r="C107" s="2" t="s">
        <v>429</v>
      </c>
      <c r="D107" s="2" t="s">
        <v>161</v>
      </c>
      <c r="E107" s="4">
        <v>12.0</v>
      </c>
      <c r="F107" s="2" t="s">
        <v>181</v>
      </c>
      <c r="G107" s="2" t="s">
        <v>89</v>
      </c>
      <c r="H107" s="6"/>
    </row>
    <row r="108" hidden="1">
      <c r="A108" s="2" t="s">
        <v>49</v>
      </c>
      <c r="B108" s="2" t="s">
        <v>895</v>
      </c>
      <c r="C108" s="2"/>
      <c r="D108" s="2" t="s">
        <v>189</v>
      </c>
      <c r="E108" s="4">
        <v>4.0</v>
      </c>
      <c r="F108" s="2" t="s">
        <v>181</v>
      </c>
      <c r="G108" s="2" t="s">
        <v>89</v>
      </c>
      <c r="H108" s="6"/>
    </row>
    <row r="109" hidden="1">
      <c r="A109" s="2" t="s">
        <v>75</v>
      </c>
      <c r="B109" s="2" t="s">
        <v>85</v>
      </c>
      <c r="C109" s="2" t="s">
        <v>85</v>
      </c>
      <c r="D109" s="2" t="s">
        <v>292</v>
      </c>
      <c r="E109" s="4">
        <v>30.0</v>
      </c>
      <c r="F109" s="2" t="s">
        <v>181</v>
      </c>
      <c r="G109" s="2" t="s">
        <v>89</v>
      </c>
      <c r="H109" s="6"/>
    </row>
    <row r="110" hidden="1">
      <c r="A110" s="2" t="s">
        <v>68</v>
      </c>
      <c r="B110" s="2" t="s">
        <v>103</v>
      </c>
      <c r="C110" s="2" t="s">
        <v>103</v>
      </c>
      <c r="D110" s="2" t="s">
        <v>900</v>
      </c>
      <c r="E110" s="4">
        <v>20.0</v>
      </c>
      <c r="F110" s="2" t="s">
        <v>181</v>
      </c>
      <c r="G110" s="2" t="s">
        <v>89</v>
      </c>
      <c r="H110" s="6"/>
    </row>
    <row r="111" hidden="1">
      <c r="A111" s="2" t="s">
        <v>68</v>
      </c>
      <c r="B111" s="2" t="s">
        <v>103</v>
      </c>
      <c r="C111" s="2" t="s">
        <v>103</v>
      </c>
      <c r="D111" s="2" t="s">
        <v>288</v>
      </c>
      <c r="E111" s="4">
        <v>2.0</v>
      </c>
      <c r="F111" s="2" t="s">
        <v>181</v>
      </c>
      <c r="G111" s="2" t="s">
        <v>89</v>
      </c>
      <c r="H111" s="6"/>
    </row>
    <row r="112" hidden="1">
      <c r="A112" s="2" t="s">
        <v>68</v>
      </c>
      <c r="B112" s="2" t="s">
        <v>103</v>
      </c>
      <c r="C112" s="2" t="s">
        <v>103</v>
      </c>
      <c r="D112" s="2" t="s">
        <v>17</v>
      </c>
      <c r="E112" s="4">
        <v>25.0</v>
      </c>
      <c r="F112" s="2" t="s">
        <v>181</v>
      </c>
      <c r="G112" s="2" t="s">
        <v>89</v>
      </c>
      <c r="H112" s="6"/>
    </row>
    <row r="113" hidden="1">
      <c r="A113" s="2" t="s">
        <v>75</v>
      </c>
      <c r="B113" s="2" t="s">
        <v>73</v>
      </c>
      <c r="C113" s="2" t="s">
        <v>907</v>
      </c>
      <c r="D113" s="2" t="s">
        <v>272</v>
      </c>
      <c r="E113" s="4">
        <v>3.0</v>
      </c>
      <c r="F113" s="2" t="s">
        <v>181</v>
      </c>
      <c r="G113" s="2" t="s">
        <v>89</v>
      </c>
      <c r="H113" s="6"/>
    </row>
    <row r="114" hidden="1">
      <c r="A114" s="2" t="s">
        <v>75</v>
      </c>
      <c r="B114" s="2" t="s">
        <v>103</v>
      </c>
      <c r="C114" s="2" t="s">
        <v>103</v>
      </c>
      <c r="D114" s="2" t="s">
        <v>284</v>
      </c>
      <c r="E114" s="4">
        <v>17.0</v>
      </c>
      <c r="F114" s="2" t="s">
        <v>181</v>
      </c>
      <c r="G114" s="2" t="s">
        <v>89</v>
      </c>
      <c r="H114" s="6"/>
    </row>
    <row r="115" hidden="1">
      <c r="A115" s="2" t="s">
        <v>68</v>
      </c>
      <c r="B115" s="2" t="s">
        <v>125</v>
      </c>
      <c r="C115" s="2" t="s">
        <v>125</v>
      </c>
      <c r="D115" s="2" t="s">
        <v>284</v>
      </c>
      <c r="E115" s="4">
        <v>4.0</v>
      </c>
      <c r="F115" s="2" t="s">
        <v>181</v>
      </c>
      <c r="G115" s="2" t="s">
        <v>89</v>
      </c>
      <c r="H115" s="6"/>
    </row>
    <row r="116" hidden="1">
      <c r="A116" s="2" t="s">
        <v>104</v>
      </c>
      <c r="B116" s="2" t="s">
        <v>47</v>
      </c>
      <c r="C116" s="2" t="s">
        <v>47</v>
      </c>
      <c r="D116" s="2" t="s">
        <v>297</v>
      </c>
      <c r="E116" s="4">
        <v>1.0</v>
      </c>
      <c r="F116" s="2" t="s">
        <v>181</v>
      </c>
      <c r="G116" s="2" t="s">
        <v>89</v>
      </c>
      <c r="H116" s="6"/>
    </row>
    <row r="117" hidden="1">
      <c r="A117" s="2" t="s">
        <v>75</v>
      </c>
      <c r="B117" s="2" t="s">
        <v>59</v>
      </c>
      <c r="C117" s="2" t="s">
        <v>59</v>
      </c>
      <c r="D117" s="2" t="s">
        <v>284</v>
      </c>
      <c r="E117" s="4">
        <v>20.0</v>
      </c>
      <c r="F117" s="2" t="s">
        <v>181</v>
      </c>
      <c r="G117" s="2" t="s">
        <v>89</v>
      </c>
      <c r="H117" s="6"/>
    </row>
    <row r="118" hidden="1">
      <c r="A118" s="2" t="s">
        <v>75</v>
      </c>
      <c r="B118" s="2" t="s">
        <v>80</v>
      </c>
      <c r="C118" s="2" t="s">
        <v>907</v>
      </c>
      <c r="D118" s="2" t="s">
        <v>272</v>
      </c>
      <c r="E118" s="4">
        <v>3.0</v>
      </c>
      <c r="F118" s="2" t="s">
        <v>181</v>
      </c>
      <c r="G118" s="2" t="s">
        <v>89</v>
      </c>
      <c r="H118" s="6"/>
    </row>
    <row r="119" hidden="1">
      <c r="A119" s="2" t="s">
        <v>68</v>
      </c>
      <c r="B119" s="2" t="s">
        <v>99</v>
      </c>
      <c r="C119" s="2" t="s">
        <v>99</v>
      </c>
      <c r="D119" s="2" t="s">
        <v>77</v>
      </c>
      <c r="E119" s="4">
        <v>8.0</v>
      </c>
      <c r="F119" s="2" t="s">
        <v>181</v>
      </c>
      <c r="G119" s="2" t="s">
        <v>89</v>
      </c>
      <c r="H119" s="6"/>
    </row>
    <row r="120" hidden="1">
      <c r="A120" s="2" t="s">
        <v>68</v>
      </c>
      <c r="B120" s="2" t="s">
        <v>121</v>
      </c>
      <c r="C120" s="2" t="s">
        <v>121</v>
      </c>
      <c r="D120" s="2" t="s">
        <v>284</v>
      </c>
      <c r="E120" s="4">
        <v>5.0</v>
      </c>
      <c r="F120" s="2" t="s">
        <v>181</v>
      </c>
      <c r="G120" s="2" t="s">
        <v>89</v>
      </c>
      <c r="H120" s="6"/>
    </row>
    <row r="121" hidden="1">
      <c r="A121" s="2" t="s">
        <v>104</v>
      </c>
      <c r="B121" s="2" t="s">
        <v>921</v>
      </c>
      <c r="C121" s="2" t="s">
        <v>921</v>
      </c>
      <c r="D121" s="2" t="s">
        <v>297</v>
      </c>
      <c r="E121" s="4">
        <v>7.0</v>
      </c>
      <c r="F121" s="2" t="s">
        <v>181</v>
      </c>
      <c r="G121" s="2" t="s">
        <v>89</v>
      </c>
      <c r="H121" s="6"/>
    </row>
    <row r="122" hidden="1">
      <c r="A122" s="2" t="s">
        <v>49</v>
      </c>
      <c r="B122" s="2" t="s">
        <v>459</v>
      </c>
      <c r="C122" s="2" t="s">
        <v>460</v>
      </c>
      <c r="D122" s="2" t="s">
        <v>288</v>
      </c>
      <c r="E122" s="4">
        <v>22.0</v>
      </c>
      <c r="F122" s="2" t="s">
        <v>181</v>
      </c>
      <c r="G122" s="2" t="s">
        <v>89</v>
      </c>
      <c r="H122" s="6"/>
    </row>
    <row r="123" hidden="1">
      <c r="A123" s="2" t="s">
        <v>104</v>
      </c>
      <c r="B123" s="2" t="s">
        <v>925</v>
      </c>
      <c r="C123" s="2" t="s">
        <v>925</v>
      </c>
      <c r="D123" s="2" t="s">
        <v>267</v>
      </c>
      <c r="E123" s="4">
        <v>1.0</v>
      </c>
      <c r="F123" s="2" t="s">
        <v>181</v>
      </c>
      <c r="G123" s="2" t="s">
        <v>89</v>
      </c>
      <c r="H123" s="6"/>
    </row>
    <row r="124" hidden="1">
      <c r="A124" s="2" t="s">
        <v>104</v>
      </c>
      <c r="B124" s="2" t="s">
        <v>927</v>
      </c>
      <c r="C124" s="2" t="s">
        <v>927</v>
      </c>
      <c r="D124" s="2" t="s">
        <v>267</v>
      </c>
      <c r="E124" s="4">
        <v>1.0</v>
      </c>
      <c r="F124" s="2" t="s">
        <v>181</v>
      </c>
      <c r="G124" s="2" t="s">
        <v>89</v>
      </c>
      <c r="H124" s="6"/>
    </row>
    <row r="125" hidden="1">
      <c r="A125" s="2" t="s">
        <v>104</v>
      </c>
      <c r="B125" s="2" t="s">
        <v>929</v>
      </c>
      <c r="C125" s="2" t="s">
        <v>929</v>
      </c>
      <c r="D125" s="2" t="s">
        <v>267</v>
      </c>
      <c r="E125" s="4">
        <v>1.0</v>
      </c>
      <c r="F125" s="2" t="s">
        <v>181</v>
      </c>
      <c r="G125" s="2" t="s">
        <v>89</v>
      </c>
      <c r="H125" s="6"/>
    </row>
    <row r="126" hidden="1">
      <c r="A126" s="2" t="s">
        <v>104</v>
      </c>
      <c r="B126" s="2" t="s">
        <v>932</v>
      </c>
      <c r="C126" s="2" t="s">
        <v>932</v>
      </c>
      <c r="D126" s="2" t="s">
        <v>267</v>
      </c>
      <c r="E126" s="4">
        <v>1.0</v>
      </c>
      <c r="F126" s="2" t="s">
        <v>181</v>
      </c>
      <c r="G126" s="2" t="s">
        <v>89</v>
      </c>
      <c r="H126" s="6"/>
    </row>
    <row r="127" hidden="1">
      <c r="A127" s="2" t="s">
        <v>104</v>
      </c>
      <c r="B127" s="2" t="s">
        <v>935</v>
      </c>
      <c r="C127" s="2" t="s">
        <v>935</v>
      </c>
      <c r="D127" s="2" t="s">
        <v>267</v>
      </c>
      <c r="E127" s="4">
        <v>1.0</v>
      </c>
      <c r="F127" s="2" t="s">
        <v>181</v>
      </c>
      <c r="G127" s="2" t="s">
        <v>89</v>
      </c>
      <c r="H127" s="6"/>
    </row>
    <row r="128" hidden="1">
      <c r="A128" s="2" t="s">
        <v>104</v>
      </c>
      <c r="B128" s="2" t="s">
        <v>938</v>
      </c>
      <c r="C128" s="2" t="s">
        <v>938</v>
      </c>
      <c r="D128" s="2" t="s">
        <v>267</v>
      </c>
      <c r="E128" s="4">
        <v>1.0</v>
      </c>
      <c r="F128" s="2" t="s">
        <v>181</v>
      </c>
      <c r="G128" s="2" t="s">
        <v>89</v>
      </c>
      <c r="H128" s="6"/>
    </row>
    <row r="129" hidden="1">
      <c r="A129" s="2" t="s">
        <v>104</v>
      </c>
      <c r="B129" s="2" t="s">
        <v>940</v>
      </c>
      <c r="C129" s="2" t="s">
        <v>940</v>
      </c>
      <c r="D129" s="2" t="s">
        <v>267</v>
      </c>
      <c r="E129" s="4">
        <v>2.0</v>
      </c>
      <c r="F129" s="2" t="s">
        <v>181</v>
      </c>
      <c r="G129" s="2" t="s">
        <v>89</v>
      </c>
      <c r="H129" s="6"/>
    </row>
    <row r="130" hidden="1">
      <c r="A130" s="2" t="s">
        <v>104</v>
      </c>
      <c r="B130" s="2" t="s">
        <v>442</v>
      </c>
      <c r="C130" s="2" t="s">
        <v>769</v>
      </c>
      <c r="D130" s="2" t="s">
        <v>267</v>
      </c>
      <c r="E130" s="4">
        <v>1.0</v>
      </c>
      <c r="F130" s="2" t="s">
        <v>181</v>
      </c>
      <c r="G130" s="2" t="s">
        <v>89</v>
      </c>
      <c r="H130" s="6"/>
    </row>
    <row r="131" hidden="1">
      <c r="A131" s="2" t="s">
        <v>104</v>
      </c>
      <c r="B131" s="2" t="s">
        <v>943</v>
      </c>
      <c r="C131" s="2" t="s">
        <v>943</v>
      </c>
      <c r="D131" s="2" t="s">
        <v>267</v>
      </c>
      <c r="E131" s="4">
        <v>1.0</v>
      </c>
      <c r="F131" s="2" t="s">
        <v>181</v>
      </c>
      <c r="G131" s="2" t="s">
        <v>89</v>
      </c>
      <c r="H131" s="6"/>
    </row>
    <row r="132" hidden="1">
      <c r="A132" s="2" t="s">
        <v>104</v>
      </c>
      <c r="B132" s="2" t="s">
        <v>945</v>
      </c>
      <c r="C132" s="2" t="s">
        <v>907</v>
      </c>
      <c r="D132" s="2" t="s">
        <v>267</v>
      </c>
      <c r="E132" s="4">
        <v>1.0</v>
      </c>
      <c r="F132" s="2" t="s">
        <v>181</v>
      </c>
      <c r="G132" s="2" t="s">
        <v>89</v>
      </c>
      <c r="H132" s="6"/>
    </row>
    <row r="133" hidden="1">
      <c r="A133" s="2" t="s">
        <v>104</v>
      </c>
      <c r="B133" s="2" t="s">
        <v>947</v>
      </c>
      <c r="C133" s="2" t="s">
        <v>947</v>
      </c>
      <c r="D133" s="2" t="s">
        <v>267</v>
      </c>
      <c r="E133" s="4">
        <v>1.0</v>
      </c>
      <c r="F133" s="2" t="s">
        <v>181</v>
      </c>
      <c r="G133" s="2" t="s">
        <v>89</v>
      </c>
      <c r="H133" s="6"/>
    </row>
    <row r="134" hidden="1">
      <c r="A134" s="2" t="s">
        <v>104</v>
      </c>
      <c r="B134" s="2" t="s">
        <v>950</v>
      </c>
      <c r="C134" s="2" t="s">
        <v>950</v>
      </c>
      <c r="D134" s="2" t="s">
        <v>267</v>
      </c>
      <c r="E134" s="4">
        <v>1.0</v>
      </c>
      <c r="F134" s="2" t="s">
        <v>181</v>
      </c>
      <c r="G134" s="2" t="s">
        <v>89</v>
      </c>
      <c r="H134" s="6"/>
    </row>
    <row r="135" hidden="1">
      <c r="A135" s="2" t="s">
        <v>104</v>
      </c>
      <c r="B135" s="2" t="s">
        <v>951</v>
      </c>
      <c r="C135" s="2" t="s">
        <v>951</v>
      </c>
      <c r="D135" s="2" t="s">
        <v>267</v>
      </c>
      <c r="E135" s="4">
        <v>7.0</v>
      </c>
      <c r="F135" s="2" t="s">
        <v>181</v>
      </c>
      <c r="G135" s="2" t="s">
        <v>89</v>
      </c>
      <c r="H135" s="6"/>
    </row>
    <row r="136" hidden="1">
      <c r="A136" s="2" t="s">
        <v>104</v>
      </c>
      <c r="B136" s="2" t="s">
        <v>951</v>
      </c>
      <c r="C136" s="2" t="s">
        <v>951</v>
      </c>
      <c r="D136" s="2" t="s">
        <v>17</v>
      </c>
      <c r="E136" s="4">
        <v>63.0</v>
      </c>
      <c r="F136" s="2" t="s">
        <v>181</v>
      </c>
      <c r="G136" s="2" t="s">
        <v>89</v>
      </c>
      <c r="H136" s="6"/>
    </row>
    <row r="137" hidden="1">
      <c r="A137" s="2" t="s">
        <v>49</v>
      </c>
      <c r="B137" s="2" t="s">
        <v>475</v>
      </c>
      <c r="C137" s="2" t="s">
        <v>475</v>
      </c>
      <c r="D137" s="2" t="s">
        <v>161</v>
      </c>
      <c r="E137" s="4">
        <v>14.0</v>
      </c>
      <c r="F137" s="2" t="s">
        <v>181</v>
      </c>
      <c r="G137" s="2" t="s">
        <v>89</v>
      </c>
      <c r="H137" s="6"/>
    </row>
    <row r="138" hidden="1">
      <c r="A138" s="2" t="s">
        <v>49</v>
      </c>
      <c r="B138" s="2" t="s">
        <v>958</v>
      </c>
      <c r="C138" s="2" t="s">
        <v>958</v>
      </c>
      <c r="D138" s="2" t="s">
        <v>161</v>
      </c>
      <c r="E138" s="4">
        <v>15.0</v>
      </c>
      <c r="F138" s="2" t="s">
        <v>181</v>
      </c>
      <c r="G138" s="2" t="s">
        <v>89</v>
      </c>
      <c r="H138" s="6"/>
    </row>
    <row r="139" hidden="1">
      <c r="A139" s="2" t="s">
        <v>49</v>
      </c>
      <c r="B139" s="2" t="s">
        <v>470</v>
      </c>
      <c r="C139" s="2" t="s">
        <v>960</v>
      </c>
      <c r="D139" s="2" t="s">
        <v>161</v>
      </c>
      <c r="E139" s="4">
        <v>12.0</v>
      </c>
      <c r="F139" s="2" t="s">
        <v>181</v>
      </c>
      <c r="G139" s="2" t="s">
        <v>89</v>
      </c>
      <c r="H139" s="6"/>
    </row>
    <row r="140" hidden="1">
      <c r="A140" s="2" t="s">
        <v>49</v>
      </c>
      <c r="B140" s="2" t="s">
        <v>470</v>
      </c>
      <c r="C140" s="2" t="s">
        <v>960</v>
      </c>
      <c r="D140" s="2" t="s">
        <v>216</v>
      </c>
      <c r="E140" s="4">
        <v>1.0</v>
      </c>
      <c r="F140" s="2" t="s">
        <v>181</v>
      </c>
      <c r="G140" s="2" t="s">
        <v>89</v>
      </c>
      <c r="H140" s="6"/>
    </row>
    <row r="141" hidden="1">
      <c r="A141" s="2" t="s">
        <v>49</v>
      </c>
      <c r="B141" s="2" t="s">
        <v>467</v>
      </c>
      <c r="C141" s="2" t="s">
        <v>960</v>
      </c>
      <c r="D141" s="2" t="s">
        <v>161</v>
      </c>
      <c r="E141" s="4">
        <v>12.0</v>
      </c>
      <c r="F141" s="2" t="s">
        <v>181</v>
      </c>
      <c r="G141" s="2" t="s">
        <v>89</v>
      </c>
      <c r="H141" s="6"/>
    </row>
    <row r="142" hidden="1">
      <c r="A142" s="2" t="s">
        <v>49</v>
      </c>
      <c r="B142" s="2" t="s">
        <v>467</v>
      </c>
      <c r="C142" s="2" t="s">
        <v>960</v>
      </c>
      <c r="D142" s="2" t="s">
        <v>216</v>
      </c>
      <c r="E142" s="4">
        <v>1.0</v>
      </c>
      <c r="F142" s="2" t="s">
        <v>181</v>
      </c>
      <c r="G142" s="2" t="s">
        <v>89</v>
      </c>
      <c r="H142" s="6"/>
    </row>
    <row r="143" hidden="1">
      <c r="A143" s="2" t="s">
        <v>49</v>
      </c>
      <c r="B143" s="2" t="s">
        <v>489</v>
      </c>
      <c r="C143" s="2" t="s">
        <v>489</v>
      </c>
      <c r="D143" s="2" t="s">
        <v>161</v>
      </c>
      <c r="E143" s="4">
        <v>14.0</v>
      </c>
      <c r="F143" s="2" t="s">
        <v>181</v>
      </c>
      <c r="G143" s="2" t="s">
        <v>89</v>
      </c>
      <c r="H143" s="6"/>
    </row>
    <row r="144" hidden="1">
      <c r="A144" s="2" t="s">
        <v>49</v>
      </c>
      <c r="B144" s="2" t="s">
        <v>489</v>
      </c>
      <c r="C144" s="2" t="s">
        <v>489</v>
      </c>
      <c r="D144" s="2" t="s">
        <v>216</v>
      </c>
      <c r="E144" s="4">
        <v>1.0</v>
      </c>
      <c r="F144" s="2" t="s">
        <v>181</v>
      </c>
      <c r="G144" s="2" t="s">
        <v>89</v>
      </c>
      <c r="H144" s="6"/>
    </row>
    <row r="145" hidden="1">
      <c r="A145" s="2" t="s">
        <v>75</v>
      </c>
      <c r="B145" s="2" t="s">
        <v>969</v>
      </c>
      <c r="C145" s="2" t="s">
        <v>969</v>
      </c>
      <c r="D145" s="2" t="s">
        <v>17</v>
      </c>
      <c r="E145" s="4">
        <v>43.0</v>
      </c>
      <c r="F145" s="2" t="s">
        <v>181</v>
      </c>
      <c r="G145" s="2" t="s">
        <v>89</v>
      </c>
      <c r="H145" s="6"/>
    </row>
    <row r="146" hidden="1">
      <c r="A146" s="2" t="s">
        <v>75</v>
      </c>
      <c r="B146" s="2" t="s">
        <v>971</v>
      </c>
      <c r="C146" s="2" t="s">
        <v>103</v>
      </c>
      <c r="D146" s="2" t="s">
        <v>17</v>
      </c>
      <c r="E146" s="4">
        <v>2.0</v>
      </c>
      <c r="F146" s="2" t="s">
        <v>181</v>
      </c>
      <c r="G146" s="2" t="s">
        <v>89</v>
      </c>
      <c r="H146" s="6"/>
    </row>
    <row r="147" hidden="1">
      <c r="A147" s="2" t="s">
        <v>104</v>
      </c>
      <c r="B147" s="2" t="s">
        <v>974</v>
      </c>
      <c r="C147" s="2" t="s">
        <v>974</v>
      </c>
      <c r="D147" s="2" t="s">
        <v>70</v>
      </c>
      <c r="E147" s="4">
        <v>1.0</v>
      </c>
      <c r="F147" s="2" t="s">
        <v>181</v>
      </c>
      <c r="G147" s="2" t="s">
        <v>89</v>
      </c>
      <c r="H147" s="6"/>
    </row>
    <row r="148" hidden="1">
      <c r="A148" s="2" t="s">
        <v>104</v>
      </c>
      <c r="B148" s="2" t="s">
        <v>974</v>
      </c>
      <c r="C148" s="2" t="s">
        <v>974</v>
      </c>
      <c r="D148" s="2" t="s">
        <v>297</v>
      </c>
      <c r="E148" s="4">
        <v>1.0</v>
      </c>
      <c r="F148" s="2" t="s">
        <v>181</v>
      </c>
      <c r="G148" s="2" t="s">
        <v>89</v>
      </c>
      <c r="H148" s="6"/>
    </row>
    <row r="149" hidden="1">
      <c r="A149" s="2" t="s">
        <v>104</v>
      </c>
      <c r="B149" s="2" t="s">
        <v>977</v>
      </c>
      <c r="C149" s="2" t="s">
        <v>977</v>
      </c>
      <c r="D149" s="2" t="s">
        <v>77</v>
      </c>
      <c r="E149" s="4">
        <v>1.0</v>
      </c>
      <c r="F149" s="2" t="s">
        <v>181</v>
      </c>
      <c r="G149" s="2" t="s">
        <v>89</v>
      </c>
      <c r="H149" s="6"/>
    </row>
    <row r="150" hidden="1">
      <c r="A150" s="2" t="s">
        <v>49</v>
      </c>
      <c r="B150" s="2" t="s">
        <v>499</v>
      </c>
      <c r="C150" s="2" t="s">
        <v>499</v>
      </c>
      <c r="D150" s="2" t="s">
        <v>161</v>
      </c>
      <c r="E150" s="4">
        <v>17.0</v>
      </c>
      <c r="F150" s="2" t="s">
        <v>181</v>
      </c>
      <c r="G150" s="2" t="s">
        <v>89</v>
      </c>
      <c r="H150" s="6"/>
    </row>
    <row r="151" hidden="1">
      <c r="A151" s="2" t="s">
        <v>75</v>
      </c>
      <c r="B151" s="2" t="s">
        <v>980</v>
      </c>
      <c r="C151" s="2" t="s">
        <v>907</v>
      </c>
      <c r="D151" s="2" t="s">
        <v>17</v>
      </c>
      <c r="E151" s="4">
        <v>26.0</v>
      </c>
      <c r="F151" s="2" t="s">
        <v>181</v>
      </c>
      <c r="G151" s="2" t="s">
        <v>89</v>
      </c>
      <c r="H151" s="6"/>
    </row>
    <row r="152" hidden="1">
      <c r="A152" s="2" t="s">
        <v>104</v>
      </c>
      <c r="B152" s="2" t="s">
        <v>982</v>
      </c>
      <c r="C152" s="2" t="s">
        <v>982</v>
      </c>
      <c r="D152" s="2" t="s">
        <v>17</v>
      </c>
      <c r="E152" s="4">
        <v>4.0</v>
      </c>
      <c r="F152" s="2" t="s">
        <v>181</v>
      </c>
      <c r="G152" s="2" t="s">
        <v>89</v>
      </c>
      <c r="H152" s="6"/>
    </row>
    <row r="153" hidden="1">
      <c r="A153" s="2" t="s">
        <v>75</v>
      </c>
      <c r="B153" s="2" t="s">
        <v>985</v>
      </c>
      <c r="C153" s="2" t="s">
        <v>985</v>
      </c>
      <c r="D153" s="2" t="s">
        <v>986</v>
      </c>
      <c r="E153" s="4">
        <v>1.0</v>
      </c>
      <c r="F153" s="2" t="s">
        <v>181</v>
      </c>
      <c r="G153" s="2" t="s">
        <v>89</v>
      </c>
      <c r="H153" s="6"/>
    </row>
    <row r="154" hidden="1">
      <c r="A154" s="2" t="s">
        <v>104</v>
      </c>
      <c r="B154" s="2" t="s">
        <v>989</v>
      </c>
      <c r="C154" s="2" t="s">
        <v>989</v>
      </c>
      <c r="D154" s="2" t="s">
        <v>267</v>
      </c>
      <c r="E154" s="4">
        <v>2.0</v>
      </c>
      <c r="F154" s="2" t="s">
        <v>181</v>
      </c>
      <c r="G154" s="2" t="s">
        <v>89</v>
      </c>
      <c r="H154" s="6"/>
    </row>
    <row r="155" hidden="1">
      <c r="A155" s="2" t="s">
        <v>34</v>
      </c>
      <c r="B155" s="2" t="s">
        <v>940</v>
      </c>
      <c r="C155" s="2" t="s">
        <v>940</v>
      </c>
      <c r="D155" s="2" t="s">
        <v>183</v>
      </c>
      <c r="E155" s="4">
        <v>1.0</v>
      </c>
      <c r="F155" s="2" t="s">
        <v>181</v>
      </c>
      <c r="G155" s="2" t="s">
        <v>89</v>
      </c>
      <c r="H155" s="6"/>
    </row>
    <row r="156" hidden="1">
      <c r="A156" s="2" t="s">
        <v>49</v>
      </c>
      <c r="B156" s="2" t="s">
        <v>940</v>
      </c>
      <c r="C156" s="2" t="s">
        <v>940</v>
      </c>
      <c r="D156" s="2" t="s">
        <v>192</v>
      </c>
      <c r="E156" s="4">
        <v>1.0</v>
      </c>
      <c r="F156" s="2" t="s">
        <v>181</v>
      </c>
      <c r="G156" s="2" t="s">
        <v>89</v>
      </c>
      <c r="H156" s="6"/>
    </row>
    <row r="157" hidden="1">
      <c r="A157" s="2" t="s">
        <v>49</v>
      </c>
      <c r="B157" s="2" t="s">
        <v>515</v>
      </c>
      <c r="C157" s="2" t="s">
        <v>515</v>
      </c>
      <c r="D157" s="2" t="s">
        <v>165</v>
      </c>
      <c r="E157" s="4">
        <v>7.0</v>
      </c>
      <c r="F157" s="2" t="s">
        <v>181</v>
      </c>
      <c r="G157" s="2" t="s">
        <v>89</v>
      </c>
      <c r="H157" s="6"/>
    </row>
    <row r="158" hidden="1">
      <c r="A158" s="2" t="s">
        <v>49</v>
      </c>
      <c r="B158" s="2" t="s">
        <v>509</v>
      </c>
      <c r="C158" s="2" t="s">
        <v>509</v>
      </c>
      <c r="D158" s="2" t="s">
        <v>189</v>
      </c>
      <c r="E158" s="4">
        <v>1.0</v>
      </c>
      <c r="F158" s="2" t="s">
        <v>181</v>
      </c>
      <c r="G158" s="2" t="s">
        <v>89</v>
      </c>
      <c r="H158" s="6"/>
    </row>
    <row r="159" hidden="1">
      <c r="A159" s="2" t="s">
        <v>86</v>
      </c>
      <c r="B159" s="2" t="s">
        <v>998</v>
      </c>
      <c r="C159" s="2"/>
      <c r="D159" s="2" t="s">
        <v>83</v>
      </c>
      <c r="E159" s="4">
        <v>6.0</v>
      </c>
      <c r="F159" s="2" t="s">
        <v>181</v>
      </c>
      <c r="G159" s="2" t="s">
        <v>89</v>
      </c>
      <c r="H159" s="6"/>
    </row>
    <row r="160" hidden="1">
      <c r="A160" s="2" t="s">
        <v>68</v>
      </c>
      <c r="B160" s="2" t="s">
        <v>1001</v>
      </c>
      <c r="C160" s="2" t="s">
        <v>907</v>
      </c>
      <c r="D160" s="2" t="s">
        <v>17</v>
      </c>
      <c r="E160" s="4">
        <v>33.0</v>
      </c>
      <c r="F160" s="2" t="s">
        <v>181</v>
      </c>
      <c r="G160" s="2" t="s">
        <v>89</v>
      </c>
      <c r="H160" s="6"/>
    </row>
    <row r="161" hidden="1">
      <c r="A161" s="2" t="s">
        <v>75</v>
      </c>
      <c r="B161" s="2" t="s">
        <v>1004</v>
      </c>
      <c r="C161" s="2" t="s">
        <v>85</v>
      </c>
      <c r="D161" s="2" t="s">
        <v>272</v>
      </c>
      <c r="E161" s="4">
        <v>2.0</v>
      </c>
      <c r="F161" s="2" t="s">
        <v>181</v>
      </c>
      <c r="G161" s="2" t="s">
        <v>89</v>
      </c>
      <c r="H161" s="6"/>
    </row>
    <row r="162" hidden="1">
      <c r="A162" s="2" t="s">
        <v>49</v>
      </c>
      <c r="B162" s="2" t="s">
        <v>533</v>
      </c>
      <c r="C162" s="2" t="s">
        <v>533</v>
      </c>
      <c r="D162" s="2" t="s">
        <v>165</v>
      </c>
      <c r="E162" s="4">
        <v>26.0</v>
      </c>
      <c r="F162" s="2" t="s">
        <v>181</v>
      </c>
      <c r="G162" s="2" t="s">
        <v>89</v>
      </c>
      <c r="H162" s="6"/>
    </row>
    <row r="163" hidden="1">
      <c r="A163" s="2" t="s">
        <v>34</v>
      </c>
      <c r="B163" s="2" t="s">
        <v>1009</v>
      </c>
      <c r="C163" s="2" t="s">
        <v>1009</v>
      </c>
      <c r="D163" s="2" t="s">
        <v>202</v>
      </c>
      <c r="E163" s="4">
        <v>8.0</v>
      </c>
      <c r="F163" s="2" t="s">
        <v>181</v>
      </c>
      <c r="G163" s="2" t="s">
        <v>89</v>
      </c>
      <c r="H163" s="6"/>
    </row>
    <row r="164" hidden="1">
      <c r="A164" s="2" t="s">
        <v>104</v>
      </c>
      <c r="B164" s="2" t="s">
        <v>1012</v>
      </c>
      <c r="C164" s="2" t="s">
        <v>385</v>
      </c>
      <c r="D164" s="2" t="s">
        <v>17</v>
      </c>
      <c r="E164" s="4">
        <v>1.0</v>
      </c>
      <c r="F164" s="2" t="s">
        <v>181</v>
      </c>
      <c r="G164" s="2" t="s">
        <v>89</v>
      </c>
      <c r="H164" s="6"/>
    </row>
    <row r="165" hidden="1">
      <c r="A165" s="2" t="s">
        <v>75</v>
      </c>
      <c r="B165" s="2" t="s">
        <v>907</v>
      </c>
      <c r="C165" s="2" t="s">
        <v>907</v>
      </c>
      <c r="D165" s="2" t="s">
        <v>17</v>
      </c>
      <c r="E165" s="4">
        <v>22.0</v>
      </c>
      <c r="F165" s="2" t="s">
        <v>181</v>
      </c>
      <c r="G165" s="2" t="s">
        <v>89</v>
      </c>
      <c r="H165" s="6"/>
    </row>
    <row r="166" hidden="1">
      <c r="A166" s="2" t="s">
        <v>75</v>
      </c>
      <c r="B166" s="2" t="s">
        <v>1017</v>
      </c>
      <c r="C166" s="2" t="s">
        <v>1017</v>
      </c>
      <c r="D166" s="2" t="s">
        <v>17</v>
      </c>
      <c r="E166" s="4">
        <v>6.0</v>
      </c>
      <c r="F166" s="2" t="s">
        <v>181</v>
      </c>
      <c r="G166" s="2" t="s">
        <v>89</v>
      </c>
      <c r="H166" s="6"/>
    </row>
    <row r="167" hidden="1">
      <c r="A167" s="2" t="s">
        <v>75</v>
      </c>
      <c r="B167" s="2" t="s">
        <v>1020</v>
      </c>
      <c r="C167" s="2" t="s">
        <v>1021</v>
      </c>
      <c r="D167" s="2" t="s">
        <v>17</v>
      </c>
      <c r="E167" s="4">
        <v>24.0</v>
      </c>
      <c r="F167" s="2" t="s">
        <v>181</v>
      </c>
      <c r="G167" s="2" t="s">
        <v>89</v>
      </c>
      <c r="H167" s="6"/>
    </row>
    <row r="168" hidden="1">
      <c r="A168" s="2" t="s">
        <v>75</v>
      </c>
      <c r="B168" s="2" t="s">
        <v>1024</v>
      </c>
      <c r="C168" s="2" t="s">
        <v>1024</v>
      </c>
      <c r="D168" s="2" t="s">
        <v>17</v>
      </c>
      <c r="E168" s="4">
        <v>4.0</v>
      </c>
      <c r="F168" s="2" t="s">
        <v>181</v>
      </c>
      <c r="G168" s="2" t="s">
        <v>89</v>
      </c>
      <c r="H168" s="6"/>
    </row>
    <row r="169" hidden="1">
      <c r="A169" s="2" t="s">
        <v>49</v>
      </c>
      <c r="B169" s="2" t="s">
        <v>184</v>
      </c>
      <c r="C169" s="2" t="s">
        <v>600</v>
      </c>
      <c r="D169" s="2" t="s">
        <v>216</v>
      </c>
      <c r="E169" s="4">
        <v>2.0</v>
      </c>
      <c r="F169" s="2" t="s">
        <v>181</v>
      </c>
      <c r="G169" s="2" t="s">
        <v>89</v>
      </c>
      <c r="H169" s="6"/>
    </row>
    <row r="170" hidden="1">
      <c r="A170" s="2" t="s">
        <v>49</v>
      </c>
      <c r="B170" s="2" t="s">
        <v>542</v>
      </c>
      <c r="C170" s="2" t="s">
        <v>432</v>
      </c>
      <c r="D170" s="2" t="s">
        <v>189</v>
      </c>
      <c r="E170" s="4">
        <v>1.0</v>
      </c>
      <c r="F170" s="2" t="s">
        <v>181</v>
      </c>
      <c r="G170" s="2" t="s">
        <v>89</v>
      </c>
      <c r="H170" s="6"/>
    </row>
    <row r="171" hidden="1">
      <c r="A171" s="2" t="s">
        <v>104</v>
      </c>
      <c r="B171" s="2" t="s">
        <v>1030</v>
      </c>
      <c r="C171" s="2" t="s">
        <v>121</v>
      </c>
      <c r="D171" s="2" t="s">
        <v>284</v>
      </c>
      <c r="E171" s="4">
        <v>1.0</v>
      </c>
      <c r="F171" s="2" t="s">
        <v>181</v>
      </c>
      <c r="G171" s="2" t="s">
        <v>89</v>
      </c>
      <c r="H171" s="6"/>
    </row>
    <row r="172" hidden="1">
      <c r="A172" s="2" t="s">
        <v>75</v>
      </c>
      <c r="B172" s="2" t="s">
        <v>1032</v>
      </c>
      <c r="C172" s="2" t="s">
        <v>1032</v>
      </c>
      <c r="D172" s="2" t="s">
        <v>17</v>
      </c>
      <c r="E172" s="4">
        <v>26.0</v>
      </c>
      <c r="F172" s="2" t="s">
        <v>181</v>
      </c>
      <c r="G172" s="2" t="s">
        <v>89</v>
      </c>
      <c r="H172" s="6"/>
    </row>
    <row r="173" hidden="1">
      <c r="A173" s="2" t="s">
        <v>104</v>
      </c>
      <c r="B173" s="2" t="s">
        <v>1034</v>
      </c>
      <c r="C173" s="2" t="s">
        <v>1034</v>
      </c>
      <c r="D173" s="2" t="s">
        <v>297</v>
      </c>
      <c r="E173" s="4">
        <v>2.0</v>
      </c>
      <c r="F173" s="2" t="s">
        <v>181</v>
      </c>
      <c r="G173" s="2" t="s">
        <v>89</v>
      </c>
      <c r="H173" s="6"/>
    </row>
    <row r="174" hidden="1">
      <c r="A174" s="2" t="s">
        <v>104</v>
      </c>
      <c r="B174" s="2" t="s">
        <v>1038</v>
      </c>
      <c r="C174" s="2" t="s">
        <v>1039</v>
      </c>
      <c r="D174" s="2" t="s">
        <v>297</v>
      </c>
      <c r="E174" s="4">
        <v>1.0</v>
      </c>
      <c r="F174" s="2" t="s">
        <v>181</v>
      </c>
      <c r="G174" s="2" t="s">
        <v>89</v>
      </c>
      <c r="H174" s="6"/>
    </row>
    <row r="175" hidden="1">
      <c r="A175" s="2" t="s">
        <v>104</v>
      </c>
      <c r="B175" s="2" t="s">
        <v>1042</v>
      </c>
      <c r="C175" s="2" t="s">
        <v>489</v>
      </c>
      <c r="D175" s="2" t="s">
        <v>267</v>
      </c>
      <c r="E175" s="4">
        <v>1.0</v>
      </c>
      <c r="F175" s="2" t="s">
        <v>181</v>
      </c>
      <c r="G175" s="2" t="s">
        <v>89</v>
      </c>
      <c r="H175" s="6"/>
    </row>
    <row r="176" hidden="1">
      <c r="A176" s="2" t="s">
        <v>75</v>
      </c>
      <c r="B176" s="2" t="s">
        <v>1045</v>
      </c>
      <c r="C176" s="2" t="s">
        <v>121</v>
      </c>
      <c r="D176" s="2" t="s">
        <v>17</v>
      </c>
      <c r="E176" s="4">
        <v>1.0</v>
      </c>
      <c r="F176" s="2" t="s">
        <v>181</v>
      </c>
      <c r="G176" s="2" t="s">
        <v>89</v>
      </c>
      <c r="H176" s="6"/>
    </row>
    <row r="177" hidden="1">
      <c r="A177" s="2" t="s">
        <v>75</v>
      </c>
      <c r="B177" s="2" t="s">
        <v>1048</v>
      </c>
      <c r="C177" s="2" t="s">
        <v>907</v>
      </c>
      <c r="D177" s="2" t="s">
        <v>17</v>
      </c>
      <c r="E177" s="4">
        <v>13.0</v>
      </c>
      <c r="F177" s="2" t="s">
        <v>181</v>
      </c>
      <c r="G177" s="2" t="s">
        <v>89</v>
      </c>
      <c r="H177" s="6"/>
    </row>
    <row r="178" hidden="1">
      <c r="A178" s="2" t="s">
        <v>75</v>
      </c>
      <c r="B178" s="2" t="s">
        <v>1050</v>
      </c>
      <c r="C178" s="2" t="s">
        <v>103</v>
      </c>
      <c r="D178" s="2" t="s">
        <v>17</v>
      </c>
      <c r="E178" s="4">
        <v>14.0</v>
      </c>
      <c r="F178" s="2" t="s">
        <v>181</v>
      </c>
      <c r="G178" s="2" t="s">
        <v>89</v>
      </c>
      <c r="H178" s="6"/>
    </row>
    <row r="179" hidden="1">
      <c r="A179" s="2" t="s">
        <v>49</v>
      </c>
      <c r="B179" s="2" t="s">
        <v>545</v>
      </c>
      <c r="C179" s="2" t="s">
        <v>385</v>
      </c>
      <c r="D179" s="2" t="s">
        <v>165</v>
      </c>
      <c r="E179" s="4">
        <v>8.0</v>
      </c>
      <c r="F179" s="2" t="s">
        <v>181</v>
      </c>
      <c r="G179" s="2" t="s">
        <v>89</v>
      </c>
      <c r="H179" s="6"/>
    </row>
    <row r="180" hidden="1">
      <c r="A180" s="2" t="s">
        <v>49</v>
      </c>
      <c r="B180" s="2" t="s">
        <v>549</v>
      </c>
      <c r="C180" s="2" t="s">
        <v>385</v>
      </c>
      <c r="D180" s="2" t="s">
        <v>165</v>
      </c>
      <c r="E180" s="4">
        <v>14.0</v>
      </c>
      <c r="F180" s="2" t="s">
        <v>181</v>
      </c>
      <c r="G180" s="2" t="s">
        <v>89</v>
      </c>
      <c r="H180" s="6"/>
    </row>
    <row r="181" hidden="1">
      <c r="A181" s="2" t="s">
        <v>49</v>
      </c>
      <c r="B181" s="2" t="s">
        <v>555</v>
      </c>
      <c r="C181" s="2" t="s">
        <v>385</v>
      </c>
      <c r="D181" s="2" t="s">
        <v>165</v>
      </c>
      <c r="E181" s="4">
        <v>12.0</v>
      </c>
      <c r="F181" s="2" t="s">
        <v>181</v>
      </c>
      <c r="G181" s="2" t="s">
        <v>89</v>
      </c>
      <c r="H181" s="6"/>
    </row>
    <row r="182" hidden="1">
      <c r="A182" s="2" t="s">
        <v>104</v>
      </c>
      <c r="B182" s="2" t="s">
        <v>1056</v>
      </c>
      <c r="C182" s="2" t="s">
        <v>921</v>
      </c>
      <c r="D182" s="2" t="s">
        <v>297</v>
      </c>
      <c r="E182" s="4">
        <v>6.0</v>
      </c>
      <c r="F182" s="2" t="s">
        <v>181</v>
      </c>
      <c r="G182" s="2" t="s">
        <v>89</v>
      </c>
      <c r="H182" s="6"/>
    </row>
    <row r="183" hidden="1">
      <c r="A183" s="2" t="s">
        <v>49</v>
      </c>
      <c r="B183" s="2" t="s">
        <v>989</v>
      </c>
      <c r="C183" s="2" t="s">
        <v>989</v>
      </c>
      <c r="D183" s="2" t="s">
        <v>123</v>
      </c>
      <c r="E183" s="4">
        <v>13.0</v>
      </c>
      <c r="F183" s="2" t="s">
        <v>181</v>
      </c>
      <c r="G183" s="2" t="s">
        <v>89</v>
      </c>
      <c r="H183" s="6"/>
    </row>
    <row r="184" hidden="1">
      <c r="A184" s="2" t="s">
        <v>49</v>
      </c>
      <c r="B184" s="2" t="s">
        <v>1060</v>
      </c>
      <c r="C184" s="2" t="s">
        <v>1061</v>
      </c>
      <c r="D184" s="2" t="s">
        <v>123</v>
      </c>
      <c r="E184" s="4">
        <v>1.0</v>
      </c>
      <c r="F184" s="2" t="s">
        <v>181</v>
      </c>
      <c r="G184" s="2" t="s">
        <v>89</v>
      </c>
      <c r="H184" s="6"/>
    </row>
    <row r="185" hidden="1">
      <c r="A185" s="2" t="s">
        <v>104</v>
      </c>
      <c r="B185" s="2" t="s">
        <v>406</v>
      </c>
      <c r="C185" s="2" t="s">
        <v>921</v>
      </c>
      <c r="D185" s="2" t="s">
        <v>267</v>
      </c>
      <c r="E185" s="4">
        <v>2.0</v>
      </c>
      <c r="F185" s="2" t="s">
        <v>181</v>
      </c>
      <c r="G185" s="2" t="s">
        <v>89</v>
      </c>
      <c r="H185" s="6"/>
    </row>
    <row r="186" hidden="1">
      <c r="A186" s="2" t="s">
        <v>49</v>
      </c>
      <c r="B186" s="2" t="s">
        <v>1066</v>
      </c>
      <c r="C186" s="2" t="s">
        <v>376</v>
      </c>
      <c r="D186" s="2" t="s">
        <v>53</v>
      </c>
      <c r="E186" s="4">
        <v>87.0</v>
      </c>
      <c r="F186" s="2" t="s">
        <v>363</v>
      </c>
      <c r="G186" s="2" t="s">
        <v>89</v>
      </c>
      <c r="H186" s="6"/>
    </row>
    <row r="187" hidden="1">
      <c r="A187" s="2" t="s">
        <v>49</v>
      </c>
      <c r="B187" s="2" t="s">
        <v>30</v>
      </c>
      <c r="C187" s="2" t="s">
        <v>376</v>
      </c>
      <c r="D187" s="2" t="s">
        <v>53</v>
      </c>
      <c r="E187" s="4">
        <v>44.0</v>
      </c>
      <c r="F187" s="2" t="s">
        <v>363</v>
      </c>
      <c r="G187" s="2" t="s">
        <v>89</v>
      </c>
      <c r="H187" s="6"/>
    </row>
    <row r="188" hidden="1">
      <c r="A188" s="2" t="s">
        <v>96</v>
      </c>
      <c r="B188" s="2" t="s">
        <v>344</v>
      </c>
      <c r="C188" s="2" t="s">
        <v>376</v>
      </c>
      <c r="D188" s="2" t="s">
        <v>251</v>
      </c>
      <c r="E188" s="4">
        <v>192.0</v>
      </c>
      <c r="F188" s="2" t="s">
        <v>181</v>
      </c>
      <c r="G188" s="2" t="s">
        <v>89</v>
      </c>
      <c r="H188" s="6"/>
    </row>
    <row r="189" hidden="1">
      <c r="A189" s="2" t="s">
        <v>96</v>
      </c>
      <c r="B189" s="2" t="s">
        <v>320</v>
      </c>
      <c r="C189" s="2" t="s">
        <v>376</v>
      </c>
      <c r="D189" s="2" t="s">
        <v>231</v>
      </c>
      <c r="E189" s="4">
        <v>4.0</v>
      </c>
      <c r="F189" s="2" t="s">
        <v>181</v>
      </c>
      <c r="G189" s="2" t="s">
        <v>89</v>
      </c>
      <c r="H189" s="6"/>
    </row>
    <row r="190" hidden="1">
      <c r="A190" s="2" t="s">
        <v>49</v>
      </c>
      <c r="B190" s="2" t="s">
        <v>487</v>
      </c>
      <c r="C190" s="2" t="s">
        <v>376</v>
      </c>
      <c r="D190" s="2" t="s">
        <v>133</v>
      </c>
      <c r="E190" s="4">
        <v>1.0</v>
      </c>
      <c r="F190" s="2" t="s">
        <v>181</v>
      </c>
      <c r="G190" s="2" t="s">
        <v>89</v>
      </c>
      <c r="H190" s="6"/>
    </row>
    <row r="191" hidden="1">
      <c r="A191" s="2" t="s">
        <v>49</v>
      </c>
      <c r="B191" s="2" t="s">
        <v>370</v>
      </c>
      <c r="C191" s="2" t="s">
        <v>376</v>
      </c>
      <c r="D191" s="2" t="s">
        <v>165</v>
      </c>
      <c r="E191" s="4">
        <v>14.0</v>
      </c>
      <c r="F191" s="2" t="s">
        <v>181</v>
      </c>
      <c r="G191" s="2" t="s">
        <v>89</v>
      </c>
      <c r="H191" s="6"/>
    </row>
    <row r="192" hidden="1">
      <c r="A192" s="2" t="s">
        <v>49</v>
      </c>
      <c r="B192" s="2" t="s">
        <v>596</v>
      </c>
      <c r="C192" s="2" t="s">
        <v>376</v>
      </c>
      <c r="D192" s="2" t="s">
        <v>165</v>
      </c>
      <c r="E192" s="4">
        <v>26.0</v>
      </c>
      <c r="F192" s="2" t="s">
        <v>181</v>
      </c>
      <c r="G192" s="2" t="s">
        <v>89</v>
      </c>
      <c r="H192" s="6"/>
    </row>
    <row r="193" hidden="1">
      <c r="A193" s="2" t="s">
        <v>49</v>
      </c>
      <c r="B193" s="2" t="s">
        <v>601</v>
      </c>
      <c r="C193" s="2" t="s">
        <v>601</v>
      </c>
      <c r="D193" s="2" t="s">
        <v>165</v>
      </c>
      <c r="E193" s="4">
        <v>72.0</v>
      </c>
      <c r="F193" s="2" t="s">
        <v>181</v>
      </c>
      <c r="G193" s="2" t="s">
        <v>89</v>
      </c>
      <c r="H193" s="6"/>
    </row>
    <row r="194" hidden="1">
      <c r="A194" s="2" t="s">
        <v>49</v>
      </c>
      <c r="B194" s="2" t="s">
        <v>607</v>
      </c>
      <c r="C194" s="2" t="s">
        <v>376</v>
      </c>
      <c r="D194" s="2" t="s">
        <v>133</v>
      </c>
      <c r="E194" s="4">
        <v>76.0</v>
      </c>
      <c r="F194" s="2" t="s">
        <v>181</v>
      </c>
      <c r="G194" s="2" t="s">
        <v>89</v>
      </c>
      <c r="H194" s="6"/>
    </row>
    <row r="195" hidden="1">
      <c r="A195" s="2" t="s">
        <v>34</v>
      </c>
      <c r="B195" s="2" t="s">
        <v>1082</v>
      </c>
      <c r="C195" s="2" t="s">
        <v>376</v>
      </c>
      <c r="D195" s="2" t="s">
        <v>284</v>
      </c>
      <c r="E195" s="4">
        <v>2.0</v>
      </c>
      <c r="F195" s="2" t="s">
        <v>181</v>
      </c>
      <c r="G195" s="2" t="s">
        <v>89</v>
      </c>
      <c r="H195" s="6"/>
    </row>
    <row r="196" hidden="1">
      <c r="A196" s="2" t="s">
        <v>61</v>
      </c>
      <c r="B196" s="2" t="s">
        <v>1085</v>
      </c>
      <c r="C196" s="2" t="s">
        <v>489</v>
      </c>
      <c r="D196" s="2" t="s">
        <v>83</v>
      </c>
      <c r="E196" s="4">
        <v>2.0</v>
      </c>
      <c r="F196" s="2" t="s">
        <v>181</v>
      </c>
      <c r="G196" s="2" t="s">
        <v>89</v>
      </c>
      <c r="H196" s="6"/>
    </row>
    <row r="197" hidden="1">
      <c r="A197" s="2" t="s">
        <v>104</v>
      </c>
      <c r="B197" s="2" t="s">
        <v>471</v>
      </c>
      <c r="C197" s="2" t="s">
        <v>808</v>
      </c>
      <c r="D197" s="2" t="s">
        <v>267</v>
      </c>
      <c r="E197" s="4">
        <v>1.0</v>
      </c>
      <c r="F197" s="2" t="s">
        <v>181</v>
      </c>
      <c r="G197" s="2" t="s">
        <v>89</v>
      </c>
      <c r="H197" s="6"/>
    </row>
    <row r="198" hidden="1">
      <c r="A198" s="2" t="s">
        <v>34</v>
      </c>
      <c r="B198" s="2" t="s">
        <v>666</v>
      </c>
      <c r="C198" s="2" t="s">
        <v>1090</v>
      </c>
      <c r="D198" s="2" t="s">
        <v>183</v>
      </c>
      <c r="E198" s="4">
        <v>2.0</v>
      </c>
      <c r="F198" s="2" t="s">
        <v>181</v>
      </c>
      <c r="G198" s="2" t="s">
        <v>89</v>
      </c>
      <c r="H198" s="6"/>
    </row>
    <row r="199" hidden="1">
      <c r="A199" s="2" t="s">
        <v>49</v>
      </c>
      <c r="B199" s="2" t="s">
        <v>666</v>
      </c>
      <c r="C199" s="2" t="s">
        <v>1090</v>
      </c>
      <c r="D199" s="2" t="s">
        <v>189</v>
      </c>
      <c r="E199" s="4">
        <v>5.0</v>
      </c>
      <c r="F199" s="2" t="s">
        <v>181</v>
      </c>
      <c r="G199" s="2" t="s">
        <v>89</v>
      </c>
      <c r="H199" s="6"/>
    </row>
    <row r="200" hidden="1">
      <c r="A200" s="2" t="s">
        <v>104</v>
      </c>
      <c r="B200" s="2" t="s">
        <v>386</v>
      </c>
      <c r="C200" s="2" t="s">
        <v>386</v>
      </c>
      <c r="D200" s="2" t="s">
        <v>17</v>
      </c>
      <c r="E200" s="4">
        <v>1.0</v>
      </c>
      <c r="F200" s="2" t="s">
        <v>181</v>
      </c>
      <c r="G200" s="2" t="s">
        <v>89</v>
      </c>
      <c r="H200" s="6"/>
    </row>
    <row r="201" hidden="1">
      <c r="A201" s="2" t="s">
        <v>104</v>
      </c>
      <c r="B201" s="2" t="s">
        <v>1096</v>
      </c>
      <c r="C201" s="2" t="s">
        <v>1098</v>
      </c>
      <c r="D201" s="2" t="s">
        <v>17</v>
      </c>
      <c r="E201" s="4">
        <v>2.0</v>
      </c>
      <c r="F201" s="2" t="s">
        <v>181</v>
      </c>
      <c r="G201" s="2" t="s">
        <v>89</v>
      </c>
      <c r="H201" s="6"/>
    </row>
    <row r="202" hidden="1">
      <c r="A202" s="2" t="s">
        <v>104</v>
      </c>
      <c r="B202" s="2" t="s">
        <v>396</v>
      </c>
      <c r="C202" s="2" t="s">
        <v>396</v>
      </c>
      <c r="D202" s="2" t="s">
        <v>17</v>
      </c>
      <c r="E202" s="4">
        <v>2.0</v>
      </c>
      <c r="F202" s="2" t="s">
        <v>181</v>
      </c>
      <c r="G202" s="2" t="s">
        <v>89</v>
      </c>
      <c r="H202" s="6"/>
    </row>
    <row r="203" hidden="1">
      <c r="A203" s="2" t="s">
        <v>104</v>
      </c>
      <c r="B203" s="2" t="s">
        <v>1103</v>
      </c>
      <c r="C203" s="2" t="s">
        <v>1104</v>
      </c>
      <c r="D203" s="2" t="s">
        <v>17</v>
      </c>
      <c r="E203" s="4">
        <v>1.0</v>
      </c>
      <c r="F203" s="2" t="s">
        <v>181</v>
      </c>
      <c r="G203" s="2" t="s">
        <v>89</v>
      </c>
      <c r="H203" s="6"/>
    </row>
    <row r="204" hidden="1">
      <c r="A204" s="2" t="s">
        <v>104</v>
      </c>
      <c r="B204" s="2" t="s">
        <v>1107</v>
      </c>
      <c r="C204" s="2" t="s">
        <v>1108</v>
      </c>
      <c r="D204" s="2" t="s">
        <v>17</v>
      </c>
      <c r="E204" s="4">
        <v>1.0</v>
      </c>
      <c r="F204" s="2" t="s">
        <v>181</v>
      </c>
      <c r="G204" s="2" t="s">
        <v>89</v>
      </c>
      <c r="H204" s="6"/>
    </row>
    <row r="205">
      <c r="A205" s="2" t="s">
        <v>104</v>
      </c>
      <c r="B205" s="2" t="s">
        <v>1111</v>
      </c>
      <c r="C205" s="2" t="s">
        <v>1112</v>
      </c>
      <c r="D205" s="2" t="s">
        <v>17</v>
      </c>
      <c r="E205" s="4">
        <v>11.0</v>
      </c>
      <c r="F205" s="2" t="s">
        <v>181</v>
      </c>
      <c r="G205" s="2" t="s">
        <v>89</v>
      </c>
      <c r="H205" s="6">
        <v>46237.65963270833</v>
      </c>
    </row>
    <row r="206" hidden="1">
      <c r="A206" s="2" t="s">
        <v>49</v>
      </c>
      <c r="B206" s="2" t="s">
        <v>685</v>
      </c>
      <c r="C206" s="2" t="s">
        <v>687</v>
      </c>
      <c r="D206" s="2" t="s">
        <v>189</v>
      </c>
      <c r="E206" s="4">
        <v>24.0</v>
      </c>
      <c r="F206" s="2" t="s">
        <v>181</v>
      </c>
      <c r="G206" s="2" t="s">
        <v>89</v>
      </c>
      <c r="H206" s="6"/>
    </row>
    <row r="207" hidden="1">
      <c r="A207" s="2" t="s">
        <v>49</v>
      </c>
      <c r="B207" s="2" t="s">
        <v>662</v>
      </c>
      <c r="C207" s="2" t="s">
        <v>1117</v>
      </c>
      <c r="D207" s="2" t="s">
        <v>189</v>
      </c>
      <c r="E207" s="4">
        <v>16.0</v>
      </c>
      <c r="F207" s="2" t="s">
        <v>181</v>
      </c>
      <c r="G207" s="2" t="s">
        <v>89</v>
      </c>
      <c r="H207" s="6"/>
    </row>
    <row r="208" hidden="1">
      <c r="A208" s="2" t="s">
        <v>114</v>
      </c>
      <c r="B208" s="2" t="s">
        <v>346</v>
      </c>
      <c r="C208" s="2" t="s">
        <v>1119</v>
      </c>
      <c r="D208" s="2" t="s">
        <v>83</v>
      </c>
      <c r="E208" s="4">
        <v>1.0</v>
      </c>
      <c r="F208" s="2" t="s">
        <v>363</v>
      </c>
      <c r="G208" s="2" t="s">
        <v>89</v>
      </c>
      <c r="H208" s="6"/>
    </row>
    <row r="209" hidden="1">
      <c r="A209" s="2" t="s">
        <v>49</v>
      </c>
      <c r="B209" s="2" t="s">
        <v>1122</v>
      </c>
      <c r="C209" s="2" t="s">
        <v>1122</v>
      </c>
      <c r="D209" s="2" t="s">
        <v>53</v>
      </c>
      <c r="E209" s="4">
        <v>7.0</v>
      </c>
      <c r="F209" s="2" t="s">
        <v>181</v>
      </c>
      <c r="G209" s="2" t="s">
        <v>89</v>
      </c>
      <c r="H209" s="6"/>
    </row>
    <row r="210" hidden="1">
      <c r="A210" s="2" t="s">
        <v>61</v>
      </c>
      <c r="B210" s="2" t="s">
        <v>1124</v>
      </c>
      <c r="C210" s="2" t="s">
        <v>989</v>
      </c>
      <c r="D210" s="2" t="s">
        <v>83</v>
      </c>
      <c r="E210" s="4">
        <v>1.0</v>
      </c>
      <c r="F210" s="2" t="s">
        <v>363</v>
      </c>
      <c r="G210" s="2" t="s">
        <v>89</v>
      </c>
      <c r="H210" s="6"/>
    </row>
    <row r="211" hidden="1">
      <c r="A211" s="2" t="s">
        <v>104</v>
      </c>
      <c r="B211" s="2" t="s">
        <v>600</v>
      </c>
      <c r="C211" s="2" t="s">
        <v>600</v>
      </c>
      <c r="D211" s="2" t="s">
        <v>17</v>
      </c>
      <c r="E211" s="4">
        <v>8.0</v>
      </c>
      <c r="F211" s="2" t="s">
        <v>181</v>
      </c>
      <c r="G211" s="2" t="s">
        <v>89</v>
      </c>
      <c r="H211" s="6"/>
    </row>
    <row r="212">
      <c r="A212" s="2" t="s">
        <v>104</v>
      </c>
      <c r="B212" s="2" t="s">
        <v>1130</v>
      </c>
      <c r="C212" s="2" t="s">
        <v>921</v>
      </c>
      <c r="D212" s="2" t="s">
        <v>17</v>
      </c>
      <c r="E212" s="4">
        <v>9.0</v>
      </c>
      <c r="F212" s="2" t="s">
        <v>181</v>
      </c>
      <c r="G212" s="2" t="s">
        <v>89</v>
      </c>
      <c r="H212" s="6">
        <v>46237.65963270833</v>
      </c>
    </row>
    <row r="213" hidden="1">
      <c r="A213" s="2" t="s">
        <v>91</v>
      </c>
      <c r="B213" s="2" t="s">
        <v>34</v>
      </c>
      <c r="C213" s="2" t="s">
        <v>460</v>
      </c>
      <c r="D213" s="2" t="s">
        <v>102</v>
      </c>
      <c r="E213" s="4">
        <v>2.0</v>
      </c>
      <c r="F213" s="2" t="s">
        <v>181</v>
      </c>
      <c r="G213" s="2" t="s">
        <v>89</v>
      </c>
      <c r="H213" s="6"/>
    </row>
    <row r="214" hidden="1">
      <c r="A214" s="2" t="s">
        <v>34</v>
      </c>
      <c r="B214" s="2" t="s">
        <v>275</v>
      </c>
      <c r="C214" s="2" t="s">
        <v>1134</v>
      </c>
      <c r="D214" s="2" t="s">
        <v>93</v>
      </c>
      <c r="E214" s="4">
        <v>39.0</v>
      </c>
      <c r="F214" s="2" t="s">
        <v>181</v>
      </c>
      <c r="G214" s="2" t="s">
        <v>89</v>
      </c>
      <c r="H214" s="6"/>
    </row>
    <row r="215" hidden="1">
      <c r="A215" s="2" t="s">
        <v>49</v>
      </c>
      <c r="B215" s="2" t="s">
        <v>275</v>
      </c>
      <c r="C215" s="2" t="s">
        <v>1134</v>
      </c>
      <c r="D215" s="2" t="s">
        <v>161</v>
      </c>
      <c r="E215" s="4">
        <v>28.0</v>
      </c>
      <c r="F215" s="2" t="s">
        <v>181</v>
      </c>
      <c r="G215" s="2" t="s">
        <v>89</v>
      </c>
      <c r="H215" s="6"/>
    </row>
    <row r="216" hidden="1">
      <c r="A216" s="2" t="s">
        <v>34</v>
      </c>
      <c r="B216" s="2" t="s">
        <v>1139</v>
      </c>
      <c r="C216" s="2" t="s">
        <v>1134</v>
      </c>
      <c r="D216" s="2" t="s">
        <v>142</v>
      </c>
      <c r="E216" s="4">
        <v>24.0</v>
      </c>
      <c r="F216" s="2" t="s">
        <v>181</v>
      </c>
      <c r="G216" s="2" t="s">
        <v>89</v>
      </c>
      <c r="H216" s="6"/>
    </row>
    <row r="217" hidden="1">
      <c r="A217" s="2" t="s">
        <v>49</v>
      </c>
      <c r="B217" s="2" t="s">
        <v>1139</v>
      </c>
      <c r="C217" s="2" t="s">
        <v>1134</v>
      </c>
      <c r="D217" s="2" t="s">
        <v>161</v>
      </c>
      <c r="E217" s="4">
        <v>15.0</v>
      </c>
      <c r="F217" s="2" t="s">
        <v>181</v>
      </c>
      <c r="G217" s="2" t="s">
        <v>89</v>
      </c>
      <c r="H217" s="6"/>
    </row>
    <row r="218" hidden="1">
      <c r="A218" s="2" t="s">
        <v>61</v>
      </c>
      <c r="B218" s="2" t="s">
        <v>317</v>
      </c>
      <c r="C218" s="2" t="s">
        <v>1144</v>
      </c>
      <c r="D218" s="2" t="s">
        <v>53</v>
      </c>
      <c r="E218" s="4">
        <v>1.0</v>
      </c>
      <c r="F218" s="2" t="s">
        <v>363</v>
      </c>
      <c r="G218" s="2" t="s">
        <v>89</v>
      </c>
      <c r="H218" s="6"/>
    </row>
    <row r="219" hidden="1">
      <c r="A219" s="2" t="s">
        <v>34</v>
      </c>
      <c r="B219" s="2" t="s">
        <v>703</v>
      </c>
      <c r="C219" s="2" t="s">
        <v>1147</v>
      </c>
      <c r="D219" s="2" t="s">
        <v>183</v>
      </c>
      <c r="E219" s="4">
        <v>1.0</v>
      </c>
      <c r="F219" s="2" t="s">
        <v>181</v>
      </c>
      <c r="G219" s="2" t="s">
        <v>89</v>
      </c>
      <c r="H219" s="6"/>
    </row>
    <row r="220" hidden="1">
      <c r="A220" s="2" t="s">
        <v>34</v>
      </c>
      <c r="B220" s="2" t="s">
        <v>1150</v>
      </c>
      <c r="C220" s="2" t="s">
        <v>1151</v>
      </c>
      <c r="D220" s="2" t="s">
        <v>189</v>
      </c>
      <c r="E220" s="4">
        <v>1.0</v>
      </c>
      <c r="F220" s="2" t="s">
        <v>181</v>
      </c>
      <c r="G220" s="2" t="s">
        <v>89</v>
      </c>
      <c r="H220" s="6"/>
    </row>
    <row r="221" hidden="1">
      <c r="A221" s="2" t="s">
        <v>61</v>
      </c>
      <c r="B221" s="2" t="s">
        <v>1150</v>
      </c>
      <c r="C221" s="2" t="s">
        <v>1151</v>
      </c>
      <c r="D221" s="2" t="s">
        <v>53</v>
      </c>
      <c r="E221" s="4">
        <v>1.0</v>
      </c>
      <c r="F221" s="2" t="s">
        <v>363</v>
      </c>
      <c r="G221" s="2" t="s">
        <v>89</v>
      </c>
      <c r="H221" s="6"/>
    </row>
    <row r="222" hidden="1">
      <c r="A222" s="2" t="s">
        <v>75</v>
      </c>
      <c r="B222" s="2" t="s">
        <v>1155</v>
      </c>
      <c r="C222" s="2" t="s">
        <v>103</v>
      </c>
      <c r="D222" s="2" t="s">
        <v>17</v>
      </c>
      <c r="E222" s="4">
        <v>8.0</v>
      </c>
      <c r="F222" s="2" t="s">
        <v>181</v>
      </c>
      <c r="G222" s="2" t="s">
        <v>89</v>
      </c>
      <c r="H222" s="6"/>
    </row>
    <row r="223" hidden="1">
      <c r="A223" s="2" t="s">
        <v>75</v>
      </c>
      <c r="B223" s="2" t="s">
        <v>1158</v>
      </c>
      <c r="C223" s="2" t="s">
        <v>103</v>
      </c>
      <c r="D223" s="2" t="s">
        <v>17</v>
      </c>
      <c r="E223" s="4">
        <v>2.0</v>
      </c>
      <c r="F223" s="2" t="s">
        <v>181</v>
      </c>
      <c r="G223" s="2" t="s">
        <v>89</v>
      </c>
      <c r="H223" s="6"/>
    </row>
    <row r="224" hidden="1">
      <c r="A224" s="2" t="s">
        <v>75</v>
      </c>
      <c r="B224" s="2" t="s">
        <v>1160</v>
      </c>
      <c r="C224" s="2" t="s">
        <v>1161</v>
      </c>
      <c r="D224" s="2" t="s">
        <v>17</v>
      </c>
      <c r="E224" s="4">
        <v>12.0</v>
      </c>
      <c r="F224" s="2" t="s">
        <v>181</v>
      </c>
      <c r="G224" s="2" t="s">
        <v>89</v>
      </c>
      <c r="H224" s="6"/>
    </row>
    <row r="225" hidden="1">
      <c r="A225" s="2" t="s">
        <v>75</v>
      </c>
      <c r="B225" s="2" t="s">
        <v>642</v>
      </c>
      <c r="C225" s="2" t="s">
        <v>642</v>
      </c>
      <c r="D225" s="2" t="s">
        <v>17</v>
      </c>
      <c r="E225" s="4">
        <v>36.0</v>
      </c>
      <c r="F225" s="2" t="s">
        <v>181</v>
      </c>
      <c r="G225" s="2" t="s">
        <v>89</v>
      </c>
      <c r="H225" s="6"/>
    </row>
    <row r="226" hidden="1">
      <c r="A226" s="2" t="s">
        <v>75</v>
      </c>
      <c r="B226" s="2" t="s">
        <v>1164</v>
      </c>
      <c r="C226" s="2" t="s">
        <v>1164</v>
      </c>
      <c r="D226" s="2" t="s">
        <v>17</v>
      </c>
      <c r="E226" s="4">
        <v>24.0</v>
      </c>
      <c r="F226" s="2" t="s">
        <v>181</v>
      </c>
      <c r="G226" s="2" t="s">
        <v>89</v>
      </c>
      <c r="H226" s="6"/>
    </row>
    <row r="227" hidden="1">
      <c r="A227" s="2" t="s">
        <v>75</v>
      </c>
      <c r="B227" s="2" t="s">
        <v>1166</v>
      </c>
      <c r="C227" s="2" t="s">
        <v>1167</v>
      </c>
      <c r="D227" s="2" t="s">
        <v>17</v>
      </c>
      <c r="E227" s="4">
        <v>3.0</v>
      </c>
      <c r="F227" s="2" t="s">
        <v>181</v>
      </c>
      <c r="G227" s="2" t="s">
        <v>89</v>
      </c>
      <c r="H227" s="6"/>
    </row>
    <row r="228" hidden="1">
      <c r="A228" s="2" t="s">
        <v>68</v>
      </c>
      <c r="B228" s="2" t="s">
        <v>1170</v>
      </c>
      <c r="C228" s="2" t="s">
        <v>1170</v>
      </c>
      <c r="D228" s="2" t="s">
        <v>77</v>
      </c>
      <c r="E228" s="4">
        <v>16.0</v>
      </c>
      <c r="F228" s="2" t="s">
        <v>181</v>
      </c>
      <c r="G228" s="2" t="s">
        <v>89</v>
      </c>
      <c r="H228" s="6"/>
    </row>
    <row r="229" hidden="1">
      <c r="A229" s="2" t="s">
        <v>68</v>
      </c>
      <c r="B229" s="2" t="s">
        <v>1119</v>
      </c>
      <c r="C229" s="2" t="s">
        <v>1119</v>
      </c>
      <c r="D229" s="2" t="s">
        <v>17</v>
      </c>
      <c r="E229" s="4">
        <v>20.0</v>
      </c>
      <c r="F229" s="2" t="s">
        <v>181</v>
      </c>
      <c r="G229" s="2" t="s">
        <v>89</v>
      </c>
      <c r="H229" s="6"/>
    </row>
    <row r="230" hidden="1">
      <c r="A230" s="2" t="s">
        <v>114</v>
      </c>
      <c r="B230" s="2" t="s">
        <v>335</v>
      </c>
      <c r="C230" s="2" t="s">
        <v>103</v>
      </c>
      <c r="D230" s="2" t="s">
        <v>428</v>
      </c>
      <c r="E230" s="4">
        <v>1.0</v>
      </c>
      <c r="F230" s="2" t="s">
        <v>363</v>
      </c>
      <c r="G230" s="2" t="s">
        <v>89</v>
      </c>
      <c r="H230" s="6"/>
    </row>
    <row r="231" hidden="1">
      <c r="A231" s="2" t="s">
        <v>49</v>
      </c>
      <c r="B231" s="2" t="s">
        <v>730</v>
      </c>
      <c r="C231" s="2" t="s">
        <v>730</v>
      </c>
      <c r="D231" s="2" t="s">
        <v>219</v>
      </c>
      <c r="E231" s="4">
        <v>2.0</v>
      </c>
      <c r="F231" s="2" t="s">
        <v>181</v>
      </c>
      <c r="G231" s="2" t="s">
        <v>89</v>
      </c>
      <c r="H231" s="6"/>
    </row>
    <row r="232" hidden="1">
      <c r="A232" s="2" t="s">
        <v>49</v>
      </c>
      <c r="B232" s="2" t="s">
        <v>730</v>
      </c>
      <c r="C232" s="2" t="s">
        <v>730</v>
      </c>
      <c r="D232" s="2" t="s">
        <v>189</v>
      </c>
      <c r="E232" s="4">
        <v>6.0</v>
      </c>
      <c r="F232" s="2" t="s">
        <v>181</v>
      </c>
      <c r="G232" s="2" t="s">
        <v>89</v>
      </c>
      <c r="H232" s="6"/>
    </row>
    <row r="233" hidden="1">
      <c r="A233" s="2" t="s">
        <v>49</v>
      </c>
      <c r="B233" s="2" t="s">
        <v>736</v>
      </c>
      <c r="C233" s="2" t="s">
        <v>736</v>
      </c>
      <c r="D233" s="2" t="s">
        <v>219</v>
      </c>
      <c r="E233" s="4">
        <v>1.0</v>
      </c>
      <c r="F233" s="2" t="s">
        <v>181</v>
      </c>
      <c r="G233" s="2" t="s">
        <v>89</v>
      </c>
      <c r="H233" s="6"/>
    </row>
    <row r="234" hidden="1">
      <c r="A234" s="2" t="s">
        <v>49</v>
      </c>
      <c r="B234" s="2" t="s">
        <v>736</v>
      </c>
      <c r="C234" s="2" t="s">
        <v>736</v>
      </c>
      <c r="D234" s="2" t="s">
        <v>189</v>
      </c>
      <c r="E234" s="4">
        <v>4.0</v>
      </c>
      <c r="F234" s="2" t="s">
        <v>181</v>
      </c>
      <c r="G234" s="2" t="s">
        <v>89</v>
      </c>
      <c r="H234" s="6"/>
    </row>
    <row r="235" hidden="1">
      <c r="A235" s="2" t="s">
        <v>49</v>
      </c>
      <c r="B235" s="2" t="s">
        <v>733</v>
      </c>
      <c r="C235" s="2" t="s">
        <v>733</v>
      </c>
      <c r="D235" s="2" t="s">
        <v>219</v>
      </c>
      <c r="E235" s="4">
        <v>2.0</v>
      </c>
      <c r="F235" s="2" t="s">
        <v>181</v>
      </c>
      <c r="G235" s="2" t="s">
        <v>89</v>
      </c>
      <c r="H235" s="6"/>
    </row>
    <row r="236" hidden="1">
      <c r="A236" s="2" t="s">
        <v>49</v>
      </c>
      <c r="B236" s="2" t="s">
        <v>733</v>
      </c>
      <c r="C236" s="2" t="s">
        <v>733</v>
      </c>
      <c r="D236" s="2" t="s">
        <v>189</v>
      </c>
      <c r="E236" s="4">
        <v>4.0</v>
      </c>
      <c r="F236" s="2" t="s">
        <v>181</v>
      </c>
      <c r="G236" s="2" t="s">
        <v>89</v>
      </c>
      <c r="H236" s="6"/>
    </row>
    <row r="237" hidden="1">
      <c r="A237" s="2" t="s">
        <v>49</v>
      </c>
      <c r="B237" s="2" t="s">
        <v>744</v>
      </c>
      <c r="C237" s="2" t="s">
        <v>1184</v>
      </c>
      <c r="D237" s="2" t="s">
        <v>219</v>
      </c>
      <c r="E237" s="4">
        <v>1.0</v>
      </c>
      <c r="F237" s="2" t="s">
        <v>181</v>
      </c>
      <c r="G237" s="2" t="s">
        <v>89</v>
      </c>
      <c r="H237" s="6"/>
    </row>
    <row r="238" hidden="1">
      <c r="A238" s="2" t="s">
        <v>49</v>
      </c>
      <c r="B238" s="2" t="s">
        <v>744</v>
      </c>
      <c r="C238" s="2" t="s">
        <v>1184</v>
      </c>
      <c r="D238" s="2" t="s">
        <v>189</v>
      </c>
      <c r="E238" s="4">
        <v>4.0</v>
      </c>
      <c r="F238" s="2" t="s">
        <v>181</v>
      </c>
      <c r="G238" s="2" t="s">
        <v>89</v>
      </c>
      <c r="H238" s="6"/>
    </row>
    <row r="239" hidden="1">
      <c r="A239" s="2" t="s">
        <v>49</v>
      </c>
      <c r="B239" s="2" t="s">
        <v>751</v>
      </c>
      <c r="C239" s="2" t="s">
        <v>751</v>
      </c>
      <c r="D239" s="2" t="s">
        <v>219</v>
      </c>
      <c r="E239" s="4">
        <v>1.0</v>
      </c>
      <c r="F239" s="2" t="s">
        <v>181</v>
      </c>
      <c r="G239" s="2" t="s">
        <v>89</v>
      </c>
      <c r="H239" s="6"/>
    </row>
    <row r="240" hidden="1">
      <c r="A240" s="2" t="s">
        <v>49</v>
      </c>
      <c r="B240" s="2" t="s">
        <v>751</v>
      </c>
      <c r="C240" s="2" t="s">
        <v>751</v>
      </c>
      <c r="D240" s="2" t="s">
        <v>189</v>
      </c>
      <c r="E240" s="4">
        <v>4.0</v>
      </c>
      <c r="F240" s="2" t="s">
        <v>181</v>
      </c>
      <c r="G240" s="2" t="s">
        <v>89</v>
      </c>
      <c r="H240" s="6"/>
    </row>
    <row r="241" hidden="1">
      <c r="A241" s="2" t="s">
        <v>49</v>
      </c>
      <c r="B241" s="2" t="s">
        <v>759</v>
      </c>
      <c r="C241" s="2" t="s">
        <v>759</v>
      </c>
      <c r="D241" s="2" t="s">
        <v>219</v>
      </c>
      <c r="E241" s="4">
        <v>1.0</v>
      </c>
      <c r="F241" s="2" t="s">
        <v>181</v>
      </c>
      <c r="G241" s="2" t="s">
        <v>89</v>
      </c>
      <c r="H241" s="6"/>
    </row>
    <row r="242" hidden="1">
      <c r="A242" s="2" t="s">
        <v>49</v>
      </c>
      <c r="B242" s="2" t="s">
        <v>759</v>
      </c>
      <c r="C242" s="2" t="s">
        <v>759</v>
      </c>
      <c r="D242" s="2" t="s">
        <v>189</v>
      </c>
      <c r="E242" s="4">
        <v>3.0</v>
      </c>
      <c r="F242" s="2" t="s">
        <v>181</v>
      </c>
      <c r="G242" s="2" t="s">
        <v>89</v>
      </c>
      <c r="H242" s="6"/>
    </row>
    <row r="243" hidden="1">
      <c r="A243" s="2" t="s">
        <v>49</v>
      </c>
      <c r="B243" s="2" t="s">
        <v>1192</v>
      </c>
      <c r="C243" s="2" t="s">
        <v>1192</v>
      </c>
      <c r="D243" s="2" t="s">
        <v>219</v>
      </c>
      <c r="E243" s="4">
        <v>2.0</v>
      </c>
      <c r="F243" s="2" t="s">
        <v>181</v>
      </c>
      <c r="G243" s="2" t="s">
        <v>89</v>
      </c>
      <c r="H243" s="6"/>
    </row>
    <row r="244" hidden="1">
      <c r="A244" s="2" t="s">
        <v>49</v>
      </c>
      <c r="B244" s="2" t="s">
        <v>1192</v>
      </c>
      <c r="C244" s="2" t="s">
        <v>1192</v>
      </c>
      <c r="D244" s="2" t="s">
        <v>189</v>
      </c>
      <c r="E244" s="4">
        <v>4.0</v>
      </c>
      <c r="F244" s="2" t="s">
        <v>181</v>
      </c>
      <c r="G244" s="2" t="s">
        <v>89</v>
      </c>
      <c r="H244" s="6"/>
    </row>
    <row r="245" hidden="1">
      <c r="A245" s="2" t="s">
        <v>34</v>
      </c>
      <c r="B245" s="2" t="s">
        <v>1192</v>
      </c>
      <c r="C245" s="2" t="s">
        <v>1192</v>
      </c>
      <c r="D245" s="2" t="s">
        <v>202</v>
      </c>
      <c r="E245" s="4">
        <v>13.0</v>
      </c>
      <c r="F245" s="2" t="s">
        <v>181</v>
      </c>
      <c r="G245" s="2" t="s">
        <v>89</v>
      </c>
      <c r="H245" s="6"/>
    </row>
    <row r="246" hidden="1">
      <c r="A246" s="2" t="s">
        <v>49</v>
      </c>
      <c r="B246" s="2" t="s">
        <v>768</v>
      </c>
      <c r="C246" s="2" t="s">
        <v>768</v>
      </c>
      <c r="D246" s="2" t="s">
        <v>219</v>
      </c>
      <c r="E246" s="4">
        <v>2.0</v>
      </c>
      <c r="F246" s="2" t="s">
        <v>181</v>
      </c>
      <c r="G246" s="2" t="s">
        <v>89</v>
      </c>
      <c r="H246" s="6"/>
    </row>
    <row r="247" hidden="1">
      <c r="A247" s="2" t="s">
        <v>49</v>
      </c>
      <c r="B247" s="2" t="s">
        <v>768</v>
      </c>
      <c r="C247" s="2" t="s">
        <v>768</v>
      </c>
      <c r="D247" s="2" t="s">
        <v>189</v>
      </c>
      <c r="E247" s="4">
        <v>10.0</v>
      </c>
      <c r="F247" s="2" t="s">
        <v>181</v>
      </c>
      <c r="G247" s="2" t="s">
        <v>89</v>
      </c>
      <c r="H247" s="6"/>
    </row>
    <row r="248" hidden="1">
      <c r="A248" s="2" t="s">
        <v>34</v>
      </c>
      <c r="B248" s="2" t="s">
        <v>1200</v>
      </c>
      <c r="C248" s="2" t="s">
        <v>1200</v>
      </c>
      <c r="D248" s="2" t="s">
        <v>183</v>
      </c>
      <c r="E248" s="4">
        <v>1.0</v>
      </c>
      <c r="F248" s="2" t="s">
        <v>181</v>
      </c>
      <c r="G248" s="2" t="s">
        <v>89</v>
      </c>
      <c r="H248" s="6"/>
    </row>
    <row r="249" hidden="1">
      <c r="A249" s="2" t="s">
        <v>75</v>
      </c>
      <c r="B249" s="2" t="s">
        <v>1202</v>
      </c>
      <c r="C249" s="2" t="s">
        <v>460</v>
      </c>
      <c r="D249" s="2" t="s">
        <v>17</v>
      </c>
      <c r="E249" s="4">
        <v>1.0</v>
      </c>
      <c r="F249" s="2" t="s">
        <v>181</v>
      </c>
      <c r="G249" s="2" t="s">
        <v>89</v>
      </c>
      <c r="H249" s="6"/>
    </row>
    <row r="250" hidden="1">
      <c r="A250" s="2" t="s">
        <v>104</v>
      </c>
      <c r="B250" s="2" t="s">
        <v>1206</v>
      </c>
      <c r="C250" s="2" t="s">
        <v>951</v>
      </c>
      <c r="D250" s="2" t="s">
        <v>267</v>
      </c>
      <c r="E250" s="4">
        <v>1.0</v>
      </c>
      <c r="F250" s="2" t="s">
        <v>181</v>
      </c>
      <c r="G250" s="2" t="s">
        <v>89</v>
      </c>
      <c r="H250" s="6"/>
    </row>
    <row r="251" hidden="1">
      <c r="A251" s="2" t="s">
        <v>104</v>
      </c>
      <c r="B251" s="2" t="s">
        <v>1208</v>
      </c>
      <c r="C251" s="2" t="s">
        <v>1208</v>
      </c>
      <c r="D251" s="2" t="s">
        <v>267</v>
      </c>
      <c r="E251" s="4">
        <v>1.0</v>
      </c>
      <c r="F251" s="2" t="s">
        <v>181</v>
      </c>
      <c r="G251" s="2" t="s">
        <v>89</v>
      </c>
      <c r="H251" s="6"/>
    </row>
    <row r="252" hidden="1">
      <c r="A252" s="2" t="s">
        <v>104</v>
      </c>
      <c r="B252" s="2" t="s">
        <v>1211</v>
      </c>
      <c r="C252" s="2" t="s">
        <v>1211</v>
      </c>
      <c r="D252" s="2" t="s">
        <v>267</v>
      </c>
      <c r="E252" s="4">
        <v>3.0</v>
      </c>
      <c r="F252" s="2" t="s">
        <v>181</v>
      </c>
      <c r="G252" s="2" t="s">
        <v>89</v>
      </c>
      <c r="H252" s="6"/>
    </row>
    <row r="253" hidden="1">
      <c r="A253" s="2" t="s">
        <v>104</v>
      </c>
      <c r="B253" s="2" t="s">
        <v>1214</v>
      </c>
      <c r="C253" s="2" t="s">
        <v>1211</v>
      </c>
      <c r="D253" s="2" t="s">
        <v>267</v>
      </c>
      <c r="E253" s="4">
        <v>1.0</v>
      </c>
      <c r="F253" s="2" t="s">
        <v>181</v>
      </c>
      <c r="G253" s="2" t="s">
        <v>89</v>
      </c>
      <c r="H253" s="6"/>
    </row>
    <row r="254" hidden="1">
      <c r="A254" s="2" t="s">
        <v>68</v>
      </c>
      <c r="B254" s="2" t="s">
        <v>1217</v>
      </c>
      <c r="C254" s="2" t="s">
        <v>1217</v>
      </c>
      <c r="D254" s="2" t="s">
        <v>17</v>
      </c>
      <c r="E254" s="4">
        <v>12.0</v>
      </c>
      <c r="F254" s="2" t="s">
        <v>181</v>
      </c>
      <c r="G254" s="2" t="s">
        <v>89</v>
      </c>
      <c r="H254" s="6"/>
    </row>
    <row r="255" hidden="1">
      <c r="A255" s="2" t="s">
        <v>75</v>
      </c>
      <c r="B255" s="2" t="s">
        <v>1221</v>
      </c>
      <c r="C255" s="2" t="s">
        <v>1222</v>
      </c>
      <c r="D255" s="2" t="s">
        <v>17</v>
      </c>
      <c r="E255" s="4">
        <v>24.0</v>
      </c>
      <c r="F255" s="2" t="s">
        <v>181</v>
      </c>
      <c r="G255" s="2" t="s">
        <v>89</v>
      </c>
      <c r="H255" s="6"/>
    </row>
    <row r="256" hidden="1">
      <c r="A256" s="2" t="s">
        <v>75</v>
      </c>
      <c r="B256" s="2" t="s">
        <v>1225</v>
      </c>
      <c r="C256" s="2" t="s">
        <v>969</v>
      </c>
      <c r="D256" s="2" t="s">
        <v>17</v>
      </c>
      <c r="E256" s="4">
        <v>43.0</v>
      </c>
      <c r="F256" s="2" t="s">
        <v>181</v>
      </c>
      <c r="G256" s="2" t="s">
        <v>89</v>
      </c>
      <c r="H256" s="6"/>
    </row>
    <row r="257" hidden="1">
      <c r="A257" s="2" t="s">
        <v>68</v>
      </c>
      <c r="B257" s="2" t="s">
        <v>1228</v>
      </c>
      <c r="C257" s="2" t="s">
        <v>1228</v>
      </c>
      <c r="D257" s="2" t="s">
        <v>17</v>
      </c>
      <c r="E257" s="4">
        <v>4.0</v>
      </c>
      <c r="F257" s="2" t="s">
        <v>181</v>
      </c>
      <c r="G257" s="2" t="s">
        <v>89</v>
      </c>
      <c r="H257" s="6"/>
    </row>
    <row r="258" hidden="1">
      <c r="A258" s="2" t="s">
        <v>75</v>
      </c>
      <c r="B258" s="2" t="s">
        <v>1229</v>
      </c>
      <c r="C258" s="2" t="s">
        <v>1229</v>
      </c>
      <c r="D258" s="2" t="s">
        <v>17</v>
      </c>
      <c r="E258" s="4">
        <v>4.0</v>
      </c>
      <c r="F258" s="2" t="s">
        <v>181</v>
      </c>
      <c r="G258" s="2" t="s">
        <v>89</v>
      </c>
      <c r="H258" s="6"/>
    </row>
    <row r="259" hidden="1">
      <c r="A259" s="2" t="s">
        <v>75</v>
      </c>
      <c r="B259" s="2" t="s">
        <v>1217</v>
      </c>
      <c r="C259" s="2" t="s">
        <v>1217</v>
      </c>
      <c r="D259" s="2" t="s">
        <v>17</v>
      </c>
      <c r="E259" s="4">
        <v>16.0</v>
      </c>
      <c r="F259" s="2" t="s">
        <v>181</v>
      </c>
      <c r="G259" s="2" t="s">
        <v>89</v>
      </c>
      <c r="H259" s="6"/>
    </row>
    <row r="260" hidden="1">
      <c r="A260" s="2" t="s">
        <v>68</v>
      </c>
      <c r="B260" s="2" t="s">
        <v>1233</v>
      </c>
      <c r="C260" s="2" t="s">
        <v>103</v>
      </c>
      <c r="D260" s="2" t="s">
        <v>17</v>
      </c>
      <c r="E260" s="4">
        <v>1.0</v>
      </c>
      <c r="F260" s="2" t="s">
        <v>181</v>
      </c>
      <c r="G260" s="2" t="s">
        <v>89</v>
      </c>
      <c r="H260" s="6"/>
    </row>
    <row r="261" hidden="1">
      <c r="A261" s="2" t="s">
        <v>34</v>
      </c>
      <c r="B261" s="2" t="s">
        <v>1236</v>
      </c>
      <c r="C261" s="2" t="s">
        <v>1237</v>
      </c>
      <c r="D261" s="2" t="s">
        <v>88</v>
      </c>
      <c r="E261" s="4">
        <v>6.0</v>
      </c>
      <c r="F261" s="2" t="s">
        <v>181</v>
      </c>
      <c r="G261" s="2" t="s">
        <v>89</v>
      </c>
      <c r="H261" s="6"/>
    </row>
    <row r="262" hidden="1">
      <c r="A262" s="2" t="s">
        <v>75</v>
      </c>
      <c r="B262" s="2" t="s">
        <v>814</v>
      </c>
      <c r="C262" s="2" t="s">
        <v>814</v>
      </c>
      <c r="D262" s="2" t="s">
        <v>77</v>
      </c>
      <c r="E262" s="4">
        <v>4.0</v>
      </c>
      <c r="F262" s="2" t="s">
        <v>181</v>
      </c>
      <c r="G262" s="2" t="s">
        <v>89</v>
      </c>
      <c r="H262" s="6"/>
    </row>
    <row r="263" hidden="1">
      <c r="A263" s="2" t="s">
        <v>49</v>
      </c>
      <c r="B263" s="2" t="s">
        <v>1243</v>
      </c>
      <c r="C263" s="2" t="s">
        <v>1243</v>
      </c>
      <c r="D263" s="2" t="s">
        <v>189</v>
      </c>
      <c r="E263" s="4">
        <v>6.0</v>
      </c>
      <c r="F263" s="2" t="s">
        <v>181</v>
      </c>
      <c r="G263" s="2" t="s">
        <v>89</v>
      </c>
      <c r="H263" s="6"/>
    </row>
    <row r="264" hidden="1">
      <c r="A264" s="2" t="s">
        <v>104</v>
      </c>
      <c r="B264" s="2" t="s">
        <v>1245</v>
      </c>
      <c r="C264" s="2" t="s">
        <v>1246</v>
      </c>
      <c r="D264" s="2" t="s">
        <v>267</v>
      </c>
      <c r="E264" s="4">
        <v>1.0</v>
      </c>
      <c r="F264" s="2" t="s">
        <v>181</v>
      </c>
      <c r="G264" s="2" t="s">
        <v>89</v>
      </c>
      <c r="H264" s="6"/>
    </row>
    <row r="265" hidden="1">
      <c r="A265" s="2" t="s">
        <v>104</v>
      </c>
      <c r="B265" s="2" t="s">
        <v>1248</v>
      </c>
      <c r="C265" s="2" t="s">
        <v>1246</v>
      </c>
      <c r="D265" s="2" t="s">
        <v>267</v>
      </c>
      <c r="E265" s="4">
        <v>1.0</v>
      </c>
      <c r="F265" s="2" t="s">
        <v>181</v>
      </c>
      <c r="G265" s="2" t="s">
        <v>89</v>
      </c>
      <c r="H265" s="6"/>
    </row>
    <row r="266" hidden="1">
      <c r="A266" s="2" t="s">
        <v>34</v>
      </c>
      <c r="B266" s="2" t="s">
        <v>1251</v>
      </c>
      <c r="C266" s="2" t="s">
        <v>1251</v>
      </c>
      <c r="D266" s="2" t="s">
        <v>183</v>
      </c>
      <c r="E266" s="4">
        <v>2.0</v>
      </c>
      <c r="F266" s="2" t="s">
        <v>181</v>
      </c>
      <c r="G266" s="2" t="s">
        <v>89</v>
      </c>
      <c r="H266" s="6"/>
    </row>
    <row r="267" hidden="1">
      <c r="A267" s="2" t="s">
        <v>49</v>
      </c>
      <c r="B267" s="2" t="s">
        <v>1254</v>
      </c>
      <c r="C267" s="2" t="s">
        <v>951</v>
      </c>
      <c r="D267" s="2" t="s">
        <v>189</v>
      </c>
      <c r="E267" s="4">
        <v>1.0</v>
      </c>
      <c r="F267" s="2" t="s">
        <v>181</v>
      </c>
      <c r="G267" s="2" t="s">
        <v>89</v>
      </c>
      <c r="H267" s="6"/>
    </row>
    <row r="268" hidden="1">
      <c r="A268" s="2" t="s">
        <v>49</v>
      </c>
      <c r="B268" s="2" t="s">
        <v>1257</v>
      </c>
      <c r="C268" s="2" t="s">
        <v>1257</v>
      </c>
      <c r="D268" s="2" t="s">
        <v>189</v>
      </c>
      <c r="E268" s="4">
        <v>7.0</v>
      </c>
      <c r="F268" s="2" t="s">
        <v>181</v>
      </c>
      <c r="G268" s="2" t="s">
        <v>89</v>
      </c>
      <c r="H268" s="6"/>
    </row>
    <row r="269" hidden="1">
      <c r="A269" s="2" t="s">
        <v>104</v>
      </c>
      <c r="B269" s="2" t="s">
        <v>1260</v>
      </c>
      <c r="C269" s="2" t="s">
        <v>1260</v>
      </c>
      <c r="D269" s="2" t="s">
        <v>267</v>
      </c>
      <c r="E269" s="4">
        <v>1.0</v>
      </c>
      <c r="F269" s="2" t="s">
        <v>181</v>
      </c>
      <c r="G269" s="2" t="s">
        <v>89</v>
      </c>
      <c r="H269" s="6"/>
    </row>
    <row r="270" hidden="1">
      <c r="A270" s="2" t="s">
        <v>49</v>
      </c>
      <c r="B270" s="2" t="s">
        <v>1263</v>
      </c>
      <c r="C270" s="2" t="s">
        <v>1264</v>
      </c>
      <c r="D270" s="2" t="s">
        <v>189</v>
      </c>
      <c r="E270" s="4">
        <v>4.0</v>
      </c>
      <c r="F270" s="2" t="s">
        <v>181</v>
      </c>
      <c r="G270" s="2" t="s">
        <v>89</v>
      </c>
      <c r="H270" s="6"/>
    </row>
    <row r="271" hidden="1">
      <c r="A271" s="2" t="s">
        <v>49</v>
      </c>
      <c r="B271" s="2" t="s">
        <v>1266</v>
      </c>
      <c r="C271" s="2" t="s">
        <v>1266</v>
      </c>
      <c r="D271" s="2" t="s">
        <v>219</v>
      </c>
      <c r="E271" s="4">
        <v>1.0</v>
      </c>
      <c r="F271" s="2" t="s">
        <v>181</v>
      </c>
      <c r="G271" s="2" t="s">
        <v>89</v>
      </c>
      <c r="H271" s="6"/>
    </row>
    <row r="272" hidden="1">
      <c r="A272" s="2" t="s">
        <v>49</v>
      </c>
      <c r="B272" s="2" t="s">
        <v>781</v>
      </c>
      <c r="C272" s="2" t="s">
        <v>781</v>
      </c>
      <c r="D272" s="2" t="s">
        <v>216</v>
      </c>
      <c r="E272" s="4">
        <v>1.0</v>
      </c>
      <c r="F272" s="2" t="s">
        <v>181</v>
      </c>
      <c r="G272" s="2" t="s">
        <v>89</v>
      </c>
      <c r="H272" s="6"/>
    </row>
    <row r="273" hidden="1">
      <c r="A273" s="2" t="s">
        <v>49</v>
      </c>
      <c r="B273" s="2" t="s">
        <v>781</v>
      </c>
      <c r="C273" s="2" t="s">
        <v>781</v>
      </c>
      <c r="D273" s="2" t="s">
        <v>161</v>
      </c>
      <c r="E273" s="4">
        <v>11.0</v>
      </c>
      <c r="F273" s="2" t="s">
        <v>181</v>
      </c>
      <c r="G273" s="2" t="s">
        <v>89</v>
      </c>
      <c r="H273" s="6"/>
    </row>
    <row r="274" hidden="1">
      <c r="A274" s="2" t="s">
        <v>49</v>
      </c>
      <c r="B274" s="2" t="s">
        <v>783</v>
      </c>
      <c r="C274" s="2" t="s">
        <v>783</v>
      </c>
      <c r="D274" s="2" t="s">
        <v>216</v>
      </c>
      <c r="E274" s="4">
        <v>1.0</v>
      </c>
      <c r="F274" s="2" t="s">
        <v>181</v>
      </c>
      <c r="G274" s="2" t="s">
        <v>89</v>
      </c>
      <c r="H274" s="6"/>
    </row>
    <row r="275" hidden="1">
      <c r="A275" s="2" t="s">
        <v>49</v>
      </c>
      <c r="B275" s="2" t="s">
        <v>783</v>
      </c>
      <c r="C275" s="2" t="s">
        <v>783</v>
      </c>
      <c r="D275" s="2" t="s">
        <v>161</v>
      </c>
      <c r="E275" s="4">
        <v>11.0</v>
      </c>
      <c r="F275" s="2" t="s">
        <v>181</v>
      </c>
      <c r="G275" s="2" t="s">
        <v>89</v>
      </c>
      <c r="H275" s="6"/>
    </row>
    <row r="276" hidden="1">
      <c r="A276" s="2" t="s">
        <v>49</v>
      </c>
      <c r="B276" s="2" t="s">
        <v>720</v>
      </c>
      <c r="C276" s="2" t="s">
        <v>720</v>
      </c>
      <c r="D276" s="2" t="s">
        <v>224</v>
      </c>
      <c r="E276" s="4">
        <v>3.0</v>
      </c>
      <c r="F276" s="2" t="s">
        <v>181</v>
      </c>
      <c r="G276" s="2" t="s">
        <v>89</v>
      </c>
      <c r="H276" s="6"/>
    </row>
    <row r="277" hidden="1">
      <c r="A277" s="2" t="s">
        <v>75</v>
      </c>
      <c r="B277" s="2" t="s">
        <v>1276</v>
      </c>
      <c r="C277" s="2" t="s">
        <v>1276</v>
      </c>
      <c r="D277" s="2" t="s">
        <v>17</v>
      </c>
      <c r="E277" s="4">
        <v>1.0</v>
      </c>
      <c r="F277" s="2" t="s">
        <v>181</v>
      </c>
      <c r="G277" s="2" t="s">
        <v>89</v>
      </c>
      <c r="H277" s="6"/>
    </row>
    <row r="278" hidden="1">
      <c r="A278" s="2" t="s">
        <v>68</v>
      </c>
      <c r="B278" s="2" t="s">
        <v>1279</v>
      </c>
      <c r="C278" s="2" t="s">
        <v>1281</v>
      </c>
      <c r="D278" s="2" t="s">
        <v>17</v>
      </c>
      <c r="E278" s="4">
        <v>5.0</v>
      </c>
      <c r="F278" s="2" t="s">
        <v>181</v>
      </c>
      <c r="G278" s="2" t="s">
        <v>89</v>
      </c>
      <c r="H278" s="6"/>
    </row>
    <row r="279" hidden="1">
      <c r="A279" s="2" t="s">
        <v>34</v>
      </c>
      <c r="B279" s="2" t="s">
        <v>1283</v>
      </c>
      <c r="C279" s="2" t="s">
        <v>1283</v>
      </c>
      <c r="D279" s="2" t="s">
        <v>177</v>
      </c>
      <c r="E279" s="4">
        <v>17.0</v>
      </c>
      <c r="F279" s="2" t="s">
        <v>181</v>
      </c>
      <c r="G279" s="2" t="s">
        <v>89</v>
      </c>
      <c r="H279" s="6"/>
    </row>
    <row r="280" hidden="1">
      <c r="A280" s="2" t="s">
        <v>61</v>
      </c>
      <c r="B280" s="2" t="s">
        <v>1285</v>
      </c>
      <c r="C280" s="2" t="s">
        <v>1144</v>
      </c>
      <c r="D280" s="2" t="s">
        <v>53</v>
      </c>
      <c r="E280" s="4">
        <v>1.0</v>
      </c>
      <c r="F280" s="2" t="s">
        <v>363</v>
      </c>
      <c r="G280" s="2" t="s">
        <v>89</v>
      </c>
      <c r="H280" s="6"/>
    </row>
    <row r="281" hidden="1">
      <c r="A281" s="2" t="s">
        <v>34</v>
      </c>
      <c r="B281" s="2" t="s">
        <v>1287</v>
      </c>
      <c r="C281" s="2" t="s">
        <v>499</v>
      </c>
      <c r="D281" s="2" t="s">
        <v>183</v>
      </c>
      <c r="E281" s="4">
        <v>4.0</v>
      </c>
      <c r="F281" s="2" t="s">
        <v>181</v>
      </c>
      <c r="G281" s="2" t="s">
        <v>89</v>
      </c>
      <c r="H281" s="6"/>
    </row>
    <row r="282" hidden="1">
      <c r="A282" s="2" t="s">
        <v>49</v>
      </c>
      <c r="B282" s="2" t="s">
        <v>1287</v>
      </c>
      <c r="C282" s="2" t="s">
        <v>499</v>
      </c>
      <c r="D282" s="2" t="s">
        <v>189</v>
      </c>
      <c r="E282" s="4">
        <v>2.0</v>
      </c>
      <c r="F282" s="2" t="s">
        <v>181</v>
      </c>
      <c r="G282" s="2" t="s">
        <v>89</v>
      </c>
      <c r="H282" s="6"/>
    </row>
    <row r="283" hidden="1">
      <c r="A283" s="2" t="s">
        <v>34</v>
      </c>
      <c r="B283" s="2" t="s">
        <v>1290</v>
      </c>
      <c r="C283" s="2" t="s">
        <v>1290</v>
      </c>
      <c r="D283" s="2" t="s">
        <v>183</v>
      </c>
      <c r="E283" s="4">
        <v>2.0</v>
      </c>
      <c r="F283" s="2" t="s">
        <v>181</v>
      </c>
      <c r="G283" s="2" t="s">
        <v>89</v>
      </c>
      <c r="H283" s="6"/>
    </row>
    <row r="284" hidden="1">
      <c r="A284" s="2" t="s">
        <v>34</v>
      </c>
      <c r="B284" s="2" t="s">
        <v>1293</v>
      </c>
      <c r="C284" s="2" t="s">
        <v>1293</v>
      </c>
      <c r="D284" s="2" t="s">
        <v>202</v>
      </c>
      <c r="E284" s="4">
        <v>13.0</v>
      </c>
      <c r="F284" s="2" t="s">
        <v>181</v>
      </c>
      <c r="G284" s="2" t="s">
        <v>89</v>
      </c>
      <c r="H284" s="6"/>
    </row>
    <row r="285" hidden="1">
      <c r="A285" s="2" t="s">
        <v>34</v>
      </c>
      <c r="B285" s="2" t="s">
        <v>1293</v>
      </c>
      <c r="C285" s="2" t="s">
        <v>1293</v>
      </c>
      <c r="D285" s="2" t="s">
        <v>177</v>
      </c>
      <c r="E285" s="4">
        <v>13.0</v>
      </c>
      <c r="F285" s="2" t="s">
        <v>181</v>
      </c>
      <c r="G285" s="2" t="s">
        <v>89</v>
      </c>
      <c r="H285" s="6"/>
    </row>
    <row r="286" hidden="1">
      <c r="A286" s="2" t="s">
        <v>34</v>
      </c>
      <c r="B286" s="2" t="s">
        <v>1293</v>
      </c>
      <c r="C286" s="2" t="s">
        <v>1293</v>
      </c>
      <c r="D286" s="2" t="s">
        <v>183</v>
      </c>
      <c r="E286" s="4">
        <v>1.0</v>
      </c>
      <c r="F286" s="2" t="s">
        <v>181</v>
      </c>
      <c r="G286" s="2" t="s">
        <v>89</v>
      </c>
      <c r="H286" s="6"/>
    </row>
    <row r="287" hidden="1">
      <c r="A287" s="2" t="s">
        <v>49</v>
      </c>
      <c r="B287" s="2" t="s">
        <v>1293</v>
      </c>
      <c r="C287" s="2" t="s">
        <v>1293</v>
      </c>
      <c r="D287" s="2" t="s">
        <v>161</v>
      </c>
      <c r="E287" s="4">
        <v>14.0</v>
      </c>
      <c r="F287" s="2" t="s">
        <v>181</v>
      </c>
      <c r="G287" s="2" t="s">
        <v>89</v>
      </c>
      <c r="H287" s="6"/>
    </row>
    <row r="288" hidden="1">
      <c r="A288" s="2" t="s">
        <v>49</v>
      </c>
      <c r="B288" s="2" t="s">
        <v>800</v>
      </c>
      <c r="C288" s="2" t="s">
        <v>800</v>
      </c>
      <c r="D288" s="2" t="s">
        <v>189</v>
      </c>
      <c r="E288" s="4">
        <v>9.0</v>
      </c>
      <c r="F288" s="2" t="s">
        <v>181</v>
      </c>
      <c r="G288" s="2" t="s">
        <v>89</v>
      </c>
      <c r="H288" s="6"/>
    </row>
    <row r="289" hidden="1">
      <c r="A289" s="2" t="s">
        <v>49</v>
      </c>
      <c r="B289" s="2" t="s">
        <v>804</v>
      </c>
      <c r="C289" s="2" t="s">
        <v>804</v>
      </c>
      <c r="D289" s="2" t="s">
        <v>189</v>
      </c>
      <c r="E289" s="4">
        <v>10.0</v>
      </c>
      <c r="F289" s="2" t="s">
        <v>181</v>
      </c>
      <c r="G289" s="2" t="s">
        <v>89</v>
      </c>
      <c r="H289" s="6"/>
    </row>
    <row r="290" hidden="1">
      <c r="A290" s="2" t="s">
        <v>49</v>
      </c>
      <c r="B290" s="2" t="s">
        <v>1283</v>
      </c>
      <c r="C290" s="2" t="s">
        <v>1283</v>
      </c>
      <c r="D290" s="2" t="s">
        <v>189</v>
      </c>
      <c r="E290" s="4">
        <v>13.0</v>
      </c>
      <c r="F290" s="2" t="s">
        <v>181</v>
      </c>
      <c r="G290" s="2" t="s">
        <v>89</v>
      </c>
      <c r="H290" s="6"/>
    </row>
    <row r="291" hidden="1">
      <c r="A291" s="2" t="s">
        <v>68</v>
      </c>
      <c r="B291" s="2" t="s">
        <v>1305</v>
      </c>
      <c r="C291" s="2" t="s">
        <v>1307</v>
      </c>
      <c r="D291" s="2" t="s">
        <v>17</v>
      </c>
      <c r="E291" s="4">
        <v>4.0</v>
      </c>
      <c r="F291" s="2" t="s">
        <v>181</v>
      </c>
      <c r="G291" s="2" t="s">
        <v>89</v>
      </c>
      <c r="H291" s="6"/>
    </row>
    <row r="292" hidden="1">
      <c r="A292" s="2" t="s">
        <v>75</v>
      </c>
      <c r="B292" s="2" t="s">
        <v>1310</v>
      </c>
      <c r="C292" s="2" t="s">
        <v>1310</v>
      </c>
      <c r="D292" s="2" t="s">
        <v>17</v>
      </c>
      <c r="E292" s="4">
        <v>13.0</v>
      </c>
      <c r="F292" s="2" t="s">
        <v>181</v>
      </c>
      <c r="G292" s="2" t="s">
        <v>89</v>
      </c>
      <c r="H292" s="6"/>
    </row>
    <row r="293" hidden="1">
      <c r="A293" s="2" t="s">
        <v>68</v>
      </c>
      <c r="B293" s="2" t="s">
        <v>1310</v>
      </c>
      <c r="C293" s="2" t="s">
        <v>1310</v>
      </c>
      <c r="D293" s="2" t="s">
        <v>17</v>
      </c>
      <c r="E293" s="4">
        <v>6.0</v>
      </c>
      <c r="F293" s="2" t="s">
        <v>181</v>
      </c>
      <c r="G293" s="2" t="s">
        <v>89</v>
      </c>
      <c r="H293" s="6"/>
    </row>
    <row r="294" hidden="1">
      <c r="A294" s="2" t="s">
        <v>75</v>
      </c>
      <c r="B294" s="2" t="s">
        <v>1314</v>
      </c>
      <c r="C294" s="2" t="s">
        <v>1314</v>
      </c>
      <c r="D294" s="2" t="s">
        <v>17</v>
      </c>
      <c r="E294" s="4">
        <v>1.0</v>
      </c>
      <c r="F294" s="2" t="s">
        <v>181</v>
      </c>
      <c r="G294" s="2" t="s">
        <v>89</v>
      </c>
      <c r="H294" s="6"/>
    </row>
    <row r="295" hidden="1">
      <c r="A295" s="2" t="s">
        <v>104</v>
      </c>
      <c r="B295" s="2" t="s">
        <v>1305</v>
      </c>
      <c r="C295" s="2" t="s">
        <v>1305</v>
      </c>
      <c r="D295" s="2" t="s">
        <v>17</v>
      </c>
      <c r="E295" s="4">
        <v>1.0</v>
      </c>
      <c r="F295" s="2" t="s">
        <v>181</v>
      </c>
      <c r="G295" s="2" t="s">
        <v>89</v>
      </c>
      <c r="H295" s="6"/>
    </row>
    <row r="296" hidden="1">
      <c r="A296" s="2" t="s">
        <v>68</v>
      </c>
      <c r="B296" s="2" t="s">
        <v>1316</v>
      </c>
      <c r="C296" s="2" t="s">
        <v>1316</v>
      </c>
      <c r="D296" s="2" t="s">
        <v>17</v>
      </c>
      <c r="E296" s="4">
        <v>1.0</v>
      </c>
      <c r="F296" s="2" t="s">
        <v>181</v>
      </c>
      <c r="G296" s="2" t="s">
        <v>89</v>
      </c>
      <c r="H296" s="6"/>
    </row>
    <row r="297" hidden="1">
      <c r="A297" s="2" t="s">
        <v>68</v>
      </c>
      <c r="B297" s="2" t="s">
        <v>1318</v>
      </c>
      <c r="C297" s="2" t="s">
        <v>1318</v>
      </c>
      <c r="D297" s="2" t="s">
        <v>17</v>
      </c>
      <c r="E297" s="4">
        <v>1.0</v>
      </c>
      <c r="F297" s="2" t="s">
        <v>181</v>
      </c>
      <c r="G297" s="2" t="s">
        <v>89</v>
      </c>
      <c r="H297" s="6"/>
    </row>
    <row r="298" hidden="1">
      <c r="A298" s="2" t="s">
        <v>104</v>
      </c>
      <c r="B298" s="2" t="s">
        <v>1320</v>
      </c>
      <c r="C298" s="2" t="s">
        <v>1320</v>
      </c>
      <c r="D298" s="2" t="s">
        <v>17</v>
      </c>
      <c r="E298" s="4">
        <v>1.0</v>
      </c>
      <c r="F298" s="2" t="s">
        <v>181</v>
      </c>
      <c r="G298" s="2" t="s">
        <v>89</v>
      </c>
      <c r="H298" s="6"/>
    </row>
    <row r="299" hidden="1">
      <c r="A299" s="2" t="s">
        <v>75</v>
      </c>
      <c r="B299" s="2" t="s">
        <v>1322</v>
      </c>
      <c r="C299" s="2" t="s">
        <v>1322</v>
      </c>
      <c r="D299" s="2" t="s">
        <v>17</v>
      </c>
      <c r="E299" s="4">
        <v>27.0</v>
      </c>
      <c r="F299" s="2" t="s">
        <v>181</v>
      </c>
      <c r="G299" s="2" t="s">
        <v>89</v>
      </c>
      <c r="H299" s="6"/>
    </row>
    <row r="300" hidden="1">
      <c r="A300" s="2" t="s">
        <v>75</v>
      </c>
      <c r="B300" s="2" t="s">
        <v>1324</v>
      </c>
      <c r="C300" s="2" t="s">
        <v>1324</v>
      </c>
      <c r="D300" s="2" t="s">
        <v>17</v>
      </c>
      <c r="E300" s="4">
        <v>15.0</v>
      </c>
      <c r="F300" s="2" t="s">
        <v>181</v>
      </c>
      <c r="G300" s="2" t="s">
        <v>89</v>
      </c>
      <c r="H300" s="6"/>
    </row>
    <row r="301" hidden="1">
      <c r="A301" s="2" t="s">
        <v>104</v>
      </c>
      <c r="B301" s="2" t="s">
        <v>1326</v>
      </c>
      <c r="C301" s="2" t="s">
        <v>1326</v>
      </c>
      <c r="D301" s="2" t="s">
        <v>17</v>
      </c>
      <c r="E301" s="4">
        <v>4.0</v>
      </c>
      <c r="F301" s="2" t="s">
        <v>181</v>
      </c>
      <c r="G301" s="2" t="s">
        <v>89</v>
      </c>
      <c r="H301" s="6"/>
    </row>
    <row r="302" hidden="1">
      <c r="A302" s="2" t="s">
        <v>104</v>
      </c>
      <c r="B302" s="2" t="s">
        <v>1329</v>
      </c>
      <c r="C302" s="2" t="s">
        <v>1329</v>
      </c>
      <c r="D302" s="2" t="s">
        <v>17</v>
      </c>
      <c r="E302" s="4">
        <v>1.0</v>
      </c>
      <c r="F302" s="2" t="s">
        <v>181</v>
      </c>
      <c r="G302" s="2" t="s">
        <v>89</v>
      </c>
      <c r="H302" s="6"/>
    </row>
    <row r="303" hidden="1">
      <c r="A303" s="2" t="s">
        <v>68</v>
      </c>
      <c r="B303" s="2" t="s">
        <v>1333</v>
      </c>
      <c r="C303" s="2" t="s">
        <v>1333</v>
      </c>
      <c r="D303" s="2" t="s">
        <v>17</v>
      </c>
      <c r="E303" s="4">
        <v>2.0</v>
      </c>
      <c r="F303" s="2" t="s">
        <v>181</v>
      </c>
      <c r="G303" s="2" t="s">
        <v>89</v>
      </c>
      <c r="H303" s="6"/>
    </row>
    <row r="304" hidden="1">
      <c r="A304" s="2" t="s">
        <v>34</v>
      </c>
      <c r="B304" s="2" t="s">
        <v>1335</v>
      </c>
      <c r="C304" s="2" t="s">
        <v>1335</v>
      </c>
      <c r="D304" s="2" t="s">
        <v>183</v>
      </c>
      <c r="E304" s="4">
        <v>1.0</v>
      </c>
      <c r="F304" s="2" t="s">
        <v>181</v>
      </c>
      <c r="G304" s="2" t="s">
        <v>89</v>
      </c>
      <c r="H304" s="6"/>
    </row>
    <row r="305" hidden="1">
      <c r="A305" s="2" t="s">
        <v>49</v>
      </c>
      <c r="B305" s="2" t="s">
        <v>817</v>
      </c>
      <c r="C305" s="2" t="s">
        <v>1337</v>
      </c>
      <c r="D305" s="2" t="s">
        <v>161</v>
      </c>
      <c r="E305" s="4">
        <v>11.0</v>
      </c>
      <c r="F305" s="2" t="s">
        <v>181</v>
      </c>
      <c r="G305" s="2" t="s">
        <v>89</v>
      </c>
      <c r="H305" s="6"/>
    </row>
    <row r="306" hidden="1">
      <c r="A306" s="2" t="s">
        <v>49</v>
      </c>
      <c r="B306" s="2" t="s">
        <v>817</v>
      </c>
      <c r="C306" s="2" t="s">
        <v>1337</v>
      </c>
      <c r="D306" s="2" t="s">
        <v>224</v>
      </c>
      <c r="E306" s="4">
        <v>2.0</v>
      </c>
      <c r="F306" s="2" t="s">
        <v>181</v>
      </c>
      <c r="G306" s="2" t="s">
        <v>89</v>
      </c>
      <c r="H306" s="6"/>
    </row>
    <row r="307" hidden="1">
      <c r="A307" s="2" t="s">
        <v>49</v>
      </c>
      <c r="B307" s="2" t="s">
        <v>815</v>
      </c>
      <c r="C307" s="2" t="s">
        <v>1341</v>
      </c>
      <c r="D307" s="2" t="s">
        <v>161</v>
      </c>
      <c r="E307" s="4">
        <v>11.0</v>
      </c>
      <c r="F307" s="2" t="s">
        <v>181</v>
      </c>
      <c r="G307" s="2" t="s">
        <v>89</v>
      </c>
      <c r="H307" s="6"/>
    </row>
    <row r="308" hidden="1">
      <c r="A308" s="2" t="s">
        <v>49</v>
      </c>
      <c r="B308" s="2" t="s">
        <v>815</v>
      </c>
      <c r="C308" s="2" t="s">
        <v>1341</v>
      </c>
      <c r="D308" s="2" t="s">
        <v>224</v>
      </c>
      <c r="E308" s="4">
        <v>2.0</v>
      </c>
      <c r="F308" s="2" t="s">
        <v>181</v>
      </c>
      <c r="G308" s="2" t="s">
        <v>89</v>
      </c>
      <c r="H308" s="6"/>
    </row>
    <row r="309" hidden="1">
      <c r="A309" s="2" t="s">
        <v>68</v>
      </c>
      <c r="B309" s="2" t="s">
        <v>1344</v>
      </c>
      <c r="C309" s="2" t="s">
        <v>1347</v>
      </c>
      <c r="D309" s="2" t="s">
        <v>17</v>
      </c>
      <c r="E309" s="4">
        <v>3.0</v>
      </c>
      <c r="F309" s="2" t="s">
        <v>181</v>
      </c>
      <c r="G309" s="2" t="s">
        <v>89</v>
      </c>
      <c r="H309" s="6"/>
    </row>
    <row r="310" hidden="1">
      <c r="A310" s="2" t="s">
        <v>75</v>
      </c>
      <c r="B310" s="2" t="s">
        <v>1349</v>
      </c>
      <c r="C310" s="2" t="s">
        <v>1350</v>
      </c>
      <c r="D310" s="2" t="s">
        <v>17</v>
      </c>
      <c r="E310" s="4">
        <v>4.0</v>
      </c>
      <c r="F310" s="2" t="s">
        <v>181</v>
      </c>
      <c r="G310" s="2" t="s">
        <v>89</v>
      </c>
      <c r="H310" s="6"/>
    </row>
    <row r="311" hidden="1">
      <c r="A311" s="2" t="s">
        <v>75</v>
      </c>
      <c r="B311" s="2" t="s">
        <v>1352</v>
      </c>
      <c r="C311" s="2" t="s">
        <v>1352</v>
      </c>
      <c r="D311" s="2" t="s">
        <v>17</v>
      </c>
      <c r="E311" s="4">
        <v>12.0</v>
      </c>
      <c r="F311" s="2" t="s">
        <v>181</v>
      </c>
      <c r="G311" s="2" t="s">
        <v>89</v>
      </c>
      <c r="H311" s="6"/>
    </row>
    <row r="312" hidden="1">
      <c r="A312" s="2" t="s">
        <v>104</v>
      </c>
      <c r="B312" s="2" t="s">
        <v>1355</v>
      </c>
      <c r="C312" s="2" t="s">
        <v>1355</v>
      </c>
      <c r="D312" s="2" t="s">
        <v>17</v>
      </c>
      <c r="E312" s="4">
        <v>1.0</v>
      </c>
      <c r="F312" s="2" t="s">
        <v>181</v>
      </c>
      <c r="G312" s="2" t="s">
        <v>89</v>
      </c>
      <c r="H312" s="6"/>
    </row>
    <row r="313" hidden="1">
      <c r="A313" s="2" t="s">
        <v>104</v>
      </c>
      <c r="B313" s="2" t="s">
        <v>1358</v>
      </c>
      <c r="C313" s="2" t="s">
        <v>1358</v>
      </c>
      <c r="D313" s="2" t="s">
        <v>17</v>
      </c>
      <c r="E313" s="4">
        <v>2.0</v>
      </c>
      <c r="F313" s="2" t="s">
        <v>181</v>
      </c>
      <c r="G313" s="2" t="s">
        <v>89</v>
      </c>
      <c r="H313" s="6"/>
    </row>
    <row r="314" hidden="1">
      <c r="A314" s="2" t="s">
        <v>104</v>
      </c>
      <c r="B314" s="2" t="s">
        <v>1361</v>
      </c>
      <c r="C314" s="2" t="s">
        <v>1361</v>
      </c>
      <c r="D314" s="2" t="s">
        <v>17</v>
      </c>
      <c r="E314" s="4">
        <v>1.0</v>
      </c>
      <c r="F314" s="2" t="s">
        <v>181</v>
      </c>
      <c r="G314" s="2" t="s">
        <v>89</v>
      </c>
      <c r="H314" s="6"/>
    </row>
    <row r="315" hidden="1">
      <c r="A315" s="2" t="s">
        <v>68</v>
      </c>
      <c r="B315" s="2" t="s">
        <v>1350</v>
      </c>
      <c r="C315" s="2" t="s">
        <v>1350</v>
      </c>
      <c r="D315" s="2" t="s">
        <v>17</v>
      </c>
      <c r="E315" s="4">
        <v>2.0</v>
      </c>
      <c r="F315" s="2" t="s">
        <v>181</v>
      </c>
      <c r="G315" s="2" t="s">
        <v>89</v>
      </c>
      <c r="H315" s="6"/>
    </row>
    <row r="316" hidden="1">
      <c r="A316" s="2" t="s">
        <v>96</v>
      </c>
      <c r="B316" s="2" t="s">
        <v>322</v>
      </c>
      <c r="C316" s="2" t="s">
        <v>376</v>
      </c>
      <c r="D316" s="2" t="s">
        <v>247</v>
      </c>
      <c r="E316" s="4">
        <v>12.0</v>
      </c>
      <c r="F316" s="2" t="s">
        <v>363</v>
      </c>
      <c r="G316" s="2" t="s">
        <v>89</v>
      </c>
      <c r="H316" s="6"/>
    </row>
    <row r="317" hidden="1">
      <c r="A317" s="2" t="s">
        <v>104</v>
      </c>
      <c r="B317" s="2" t="s">
        <v>1367</v>
      </c>
      <c r="C317" s="2" t="s">
        <v>376</v>
      </c>
      <c r="D317" s="2" t="s">
        <v>17</v>
      </c>
      <c r="E317" s="4">
        <v>1.0</v>
      </c>
      <c r="F317" s="2" t="s">
        <v>181</v>
      </c>
      <c r="G317" s="2" t="s">
        <v>89</v>
      </c>
      <c r="H317" s="6"/>
    </row>
    <row r="318" hidden="1">
      <c r="A318" s="2" t="s">
        <v>68</v>
      </c>
      <c r="B318" s="2" t="s">
        <v>1369</v>
      </c>
      <c r="C318" s="2" t="s">
        <v>376</v>
      </c>
      <c r="D318" s="2" t="s">
        <v>17</v>
      </c>
      <c r="E318" s="4">
        <v>10.0</v>
      </c>
      <c r="F318" s="2" t="s">
        <v>181</v>
      </c>
      <c r="G318" s="2" t="s">
        <v>89</v>
      </c>
      <c r="H318" s="6"/>
    </row>
    <row r="319" hidden="1">
      <c r="A319" s="2" t="s">
        <v>75</v>
      </c>
      <c r="B319" s="2" t="s">
        <v>1372</v>
      </c>
      <c r="C319" s="2" t="s">
        <v>376</v>
      </c>
      <c r="D319" s="2" t="s">
        <v>17</v>
      </c>
      <c r="E319" s="4">
        <v>17.0</v>
      </c>
      <c r="F319" s="2" t="s">
        <v>181</v>
      </c>
      <c r="G319" s="2" t="s">
        <v>89</v>
      </c>
      <c r="H319" s="6"/>
    </row>
    <row r="320" hidden="1">
      <c r="A320" s="2" t="s">
        <v>104</v>
      </c>
      <c r="B320" s="2" t="s">
        <v>1375</v>
      </c>
      <c r="C320" s="2" t="s">
        <v>376</v>
      </c>
      <c r="D320" s="2" t="s">
        <v>17</v>
      </c>
      <c r="E320" s="4">
        <v>1.0</v>
      </c>
      <c r="F320" s="2" t="s">
        <v>181</v>
      </c>
      <c r="G320" s="2" t="s">
        <v>89</v>
      </c>
      <c r="H320" s="6"/>
    </row>
    <row r="321" hidden="1">
      <c r="A321" s="2" t="s">
        <v>118</v>
      </c>
      <c r="B321" s="2" t="s">
        <v>1378</v>
      </c>
      <c r="C321" s="2" t="s">
        <v>376</v>
      </c>
      <c r="D321" s="2" t="s">
        <v>304</v>
      </c>
      <c r="E321" s="4">
        <v>2.0</v>
      </c>
      <c r="F321" s="2" t="s">
        <v>181</v>
      </c>
      <c r="G321" s="2" t="s">
        <v>89</v>
      </c>
      <c r="H321" s="6"/>
    </row>
    <row r="322" hidden="1">
      <c r="A322" s="2" t="s">
        <v>49</v>
      </c>
      <c r="B322" s="2" t="s">
        <v>1327</v>
      </c>
      <c r="C322" s="2" t="s">
        <v>1380</v>
      </c>
      <c r="D322" s="2" t="s">
        <v>212</v>
      </c>
      <c r="E322" s="4">
        <v>1.0</v>
      </c>
      <c r="F322" s="2" t="s">
        <v>181</v>
      </c>
      <c r="G322" s="2" t="s">
        <v>89</v>
      </c>
      <c r="H322" s="6"/>
    </row>
    <row r="323" hidden="1">
      <c r="A323" s="2" t="s">
        <v>34</v>
      </c>
      <c r="B323" s="2" t="s">
        <v>1382</v>
      </c>
      <c r="C323" s="2" t="s">
        <v>555</v>
      </c>
      <c r="D323" s="2" t="s">
        <v>206</v>
      </c>
      <c r="E323" s="4">
        <v>1.0</v>
      </c>
      <c r="F323" s="2" t="s">
        <v>181</v>
      </c>
      <c r="G323" s="2" t="s">
        <v>89</v>
      </c>
      <c r="H323" s="6"/>
    </row>
    <row r="324" hidden="1">
      <c r="A324" s="2" t="s">
        <v>49</v>
      </c>
      <c r="B324" s="2" t="s">
        <v>1384</v>
      </c>
      <c r="C324" s="2" t="s">
        <v>1385</v>
      </c>
      <c r="D324" s="2" t="s">
        <v>123</v>
      </c>
      <c r="E324" s="4">
        <v>4.0</v>
      </c>
      <c r="F324" s="2" t="s">
        <v>181</v>
      </c>
      <c r="G324" s="2" t="s">
        <v>89</v>
      </c>
      <c r="H324" s="6"/>
    </row>
    <row r="325" hidden="1">
      <c r="A325" s="2" t="s">
        <v>34</v>
      </c>
      <c r="B325" s="2" t="s">
        <v>1388</v>
      </c>
      <c r="C325" s="2" t="s">
        <v>1389</v>
      </c>
      <c r="D325" s="2" t="s">
        <v>183</v>
      </c>
      <c r="E325" s="4">
        <v>2.0</v>
      </c>
      <c r="F325" s="2" t="s">
        <v>181</v>
      </c>
      <c r="G325" s="2" t="s">
        <v>89</v>
      </c>
      <c r="H325" s="6"/>
    </row>
    <row r="326" hidden="1">
      <c r="A326" s="2" t="s">
        <v>34</v>
      </c>
      <c r="B326" s="2" t="s">
        <v>1391</v>
      </c>
      <c r="C326" s="2" t="s">
        <v>1391</v>
      </c>
      <c r="D326" s="2" t="s">
        <v>88</v>
      </c>
      <c r="E326" s="4">
        <v>10.0</v>
      </c>
      <c r="F326" s="2" t="s">
        <v>181</v>
      </c>
      <c r="G326" s="2" t="s">
        <v>89</v>
      </c>
      <c r="H326" s="6"/>
    </row>
    <row r="327" hidden="1">
      <c r="A327" s="2" t="s">
        <v>49</v>
      </c>
      <c r="B327" s="2" t="s">
        <v>1391</v>
      </c>
      <c r="C327" s="2" t="s">
        <v>1391</v>
      </c>
      <c r="D327" s="2" t="s">
        <v>88</v>
      </c>
      <c r="E327" s="4">
        <v>1.0</v>
      </c>
      <c r="F327" s="2" t="s">
        <v>181</v>
      </c>
      <c r="G327" s="2" t="s">
        <v>89</v>
      </c>
      <c r="H327" s="6"/>
    </row>
    <row r="328" hidden="1">
      <c r="A328" s="2" t="s">
        <v>34</v>
      </c>
      <c r="B328" s="2" t="s">
        <v>1394</v>
      </c>
      <c r="C328" s="2" t="s">
        <v>1395</v>
      </c>
      <c r="D328" s="2" t="s">
        <v>164</v>
      </c>
      <c r="E328" s="4">
        <v>51.0</v>
      </c>
      <c r="F328" s="2" t="s">
        <v>181</v>
      </c>
      <c r="G328" s="2" t="s">
        <v>89</v>
      </c>
      <c r="H328" s="6"/>
    </row>
    <row r="329" hidden="1">
      <c r="A329" s="2" t="s">
        <v>49</v>
      </c>
      <c r="B329" s="2" t="s">
        <v>1394</v>
      </c>
      <c r="C329" s="2" t="s">
        <v>1395</v>
      </c>
      <c r="D329" s="2" t="s">
        <v>123</v>
      </c>
      <c r="E329" s="4">
        <v>29.0</v>
      </c>
      <c r="F329" s="2" t="s">
        <v>181</v>
      </c>
      <c r="G329" s="2" t="s">
        <v>89</v>
      </c>
      <c r="H329" s="6"/>
    </row>
    <row r="330" hidden="1">
      <c r="A330" s="2" t="s">
        <v>49</v>
      </c>
      <c r="B330" s="2" t="s">
        <v>1394</v>
      </c>
      <c r="C330" s="2" t="s">
        <v>1395</v>
      </c>
      <c r="D330" s="2" t="s">
        <v>212</v>
      </c>
      <c r="E330" s="4">
        <v>1.0</v>
      </c>
      <c r="F330" s="2" t="s">
        <v>181</v>
      </c>
      <c r="G330" s="2" t="s">
        <v>89</v>
      </c>
      <c r="H330" s="6"/>
    </row>
    <row r="331" hidden="1">
      <c r="A331" s="2" t="s">
        <v>34</v>
      </c>
      <c r="B331" s="2" t="s">
        <v>283</v>
      </c>
      <c r="C331" s="2" t="s">
        <v>1398</v>
      </c>
      <c r="D331" s="2" t="s">
        <v>136</v>
      </c>
      <c r="E331" s="4">
        <v>48.0</v>
      </c>
      <c r="F331" s="2" t="s">
        <v>181</v>
      </c>
      <c r="G331" s="2" t="s">
        <v>89</v>
      </c>
      <c r="H331" s="6"/>
    </row>
    <row r="332" hidden="1">
      <c r="A332" s="2" t="s">
        <v>49</v>
      </c>
      <c r="B332" s="2" t="s">
        <v>283</v>
      </c>
      <c r="C332" s="2" t="s">
        <v>1398</v>
      </c>
      <c r="D332" s="2" t="s">
        <v>123</v>
      </c>
      <c r="E332" s="4">
        <v>23.0</v>
      </c>
      <c r="F332" s="2" t="s">
        <v>181</v>
      </c>
      <c r="G332" s="2" t="s">
        <v>89</v>
      </c>
      <c r="H332" s="6"/>
    </row>
    <row r="333" hidden="1">
      <c r="A333" s="2" t="s">
        <v>49</v>
      </c>
      <c r="B333" s="2" t="s">
        <v>283</v>
      </c>
      <c r="C333" s="2" t="s">
        <v>1398</v>
      </c>
      <c r="D333" s="2" t="s">
        <v>212</v>
      </c>
      <c r="E333" s="4">
        <v>1.0</v>
      </c>
      <c r="F333" s="2" t="s">
        <v>181</v>
      </c>
      <c r="G333" s="2" t="s">
        <v>89</v>
      </c>
      <c r="H333" s="6"/>
    </row>
    <row r="334" hidden="1">
      <c r="A334" s="2" t="s">
        <v>49</v>
      </c>
      <c r="B334" s="2" t="s">
        <v>823</v>
      </c>
      <c r="C334" s="2" t="s">
        <v>1402</v>
      </c>
      <c r="D334" s="2" t="s">
        <v>123</v>
      </c>
      <c r="E334" s="4">
        <v>39.0</v>
      </c>
      <c r="F334" s="2" t="s">
        <v>181</v>
      </c>
      <c r="G334" s="2" t="s">
        <v>89</v>
      </c>
      <c r="H334" s="6"/>
    </row>
    <row r="335" hidden="1">
      <c r="A335" s="2" t="s">
        <v>49</v>
      </c>
      <c r="B335" s="2" t="s">
        <v>823</v>
      </c>
      <c r="C335" s="2" t="s">
        <v>1402</v>
      </c>
      <c r="D335" s="2" t="s">
        <v>212</v>
      </c>
      <c r="E335" s="4">
        <v>4.0</v>
      </c>
      <c r="F335" s="2" t="s">
        <v>181</v>
      </c>
      <c r="G335" s="2" t="s">
        <v>89</v>
      </c>
      <c r="H335" s="6"/>
    </row>
    <row r="336" hidden="1">
      <c r="A336" s="2" t="s">
        <v>49</v>
      </c>
      <c r="B336" s="2" t="s">
        <v>826</v>
      </c>
      <c r="C336" s="2" t="s">
        <v>1405</v>
      </c>
      <c r="D336" s="2" t="s">
        <v>123</v>
      </c>
      <c r="E336" s="4">
        <v>18.0</v>
      </c>
      <c r="F336" s="2" t="s">
        <v>181</v>
      </c>
      <c r="G336" s="2" t="s">
        <v>89</v>
      </c>
      <c r="H336" s="6"/>
    </row>
    <row r="337" hidden="1">
      <c r="A337" s="2" t="s">
        <v>49</v>
      </c>
      <c r="B337" s="2" t="s">
        <v>826</v>
      </c>
      <c r="C337" s="2" t="s">
        <v>1405</v>
      </c>
      <c r="D337" s="2" t="s">
        <v>212</v>
      </c>
      <c r="E337" s="4">
        <v>2.0</v>
      </c>
      <c r="F337" s="2" t="s">
        <v>181</v>
      </c>
      <c r="G337" s="2" t="s">
        <v>89</v>
      </c>
      <c r="H337" s="6"/>
    </row>
    <row r="338" hidden="1">
      <c r="A338" s="2" t="s">
        <v>34</v>
      </c>
      <c r="B338" s="2" t="s">
        <v>1409</v>
      </c>
      <c r="C338" s="2" t="s">
        <v>1410</v>
      </c>
      <c r="D338" s="2" t="s">
        <v>150</v>
      </c>
      <c r="E338" s="4">
        <v>27.0</v>
      </c>
      <c r="F338" s="2" t="s">
        <v>181</v>
      </c>
      <c r="G338" s="2" t="s">
        <v>89</v>
      </c>
      <c r="H338" s="6"/>
    </row>
    <row r="339" hidden="1">
      <c r="A339" s="2" t="s">
        <v>49</v>
      </c>
      <c r="B339" s="2" t="s">
        <v>1409</v>
      </c>
      <c r="C339" s="2" t="s">
        <v>1409</v>
      </c>
      <c r="D339" s="2" t="s">
        <v>123</v>
      </c>
      <c r="E339" s="4">
        <v>18.0</v>
      </c>
      <c r="F339" s="2" t="s">
        <v>181</v>
      </c>
      <c r="G339" s="2" t="s">
        <v>89</v>
      </c>
      <c r="H339" s="6"/>
    </row>
    <row r="340" hidden="1">
      <c r="A340" s="2" t="s">
        <v>75</v>
      </c>
      <c r="B340" s="2" t="s">
        <v>1306</v>
      </c>
      <c r="C340" s="2" t="s">
        <v>376</v>
      </c>
      <c r="D340" s="2" t="s">
        <v>17</v>
      </c>
      <c r="E340" s="4">
        <v>15.0</v>
      </c>
      <c r="F340" s="2" t="s">
        <v>181</v>
      </c>
      <c r="G340" s="2" t="s">
        <v>89</v>
      </c>
      <c r="H340" s="6"/>
    </row>
    <row r="341" hidden="1">
      <c r="A341" s="2" t="s">
        <v>68</v>
      </c>
      <c r="B341" s="2" t="s">
        <v>1309</v>
      </c>
      <c r="C341" s="2" t="s">
        <v>376</v>
      </c>
      <c r="D341" s="2" t="s">
        <v>17</v>
      </c>
      <c r="E341" s="4">
        <v>10.0</v>
      </c>
      <c r="F341" s="2" t="s">
        <v>181</v>
      </c>
      <c r="G341" s="2" t="s">
        <v>89</v>
      </c>
      <c r="H341" s="6"/>
    </row>
    <row r="342" hidden="1">
      <c r="A342" s="2" t="s">
        <v>68</v>
      </c>
      <c r="B342" s="2" t="s">
        <v>1418</v>
      </c>
      <c r="C342" s="2" t="s">
        <v>376</v>
      </c>
      <c r="D342" s="2" t="s">
        <v>17</v>
      </c>
      <c r="E342" s="4">
        <v>20.0</v>
      </c>
      <c r="F342" s="2" t="s">
        <v>181</v>
      </c>
      <c r="G342" s="2" t="s">
        <v>89</v>
      </c>
      <c r="H342" s="6"/>
    </row>
    <row r="343" hidden="1">
      <c r="A343" s="2" t="s">
        <v>49</v>
      </c>
      <c r="B343" s="2" t="s">
        <v>828</v>
      </c>
      <c r="C343" s="2" t="s">
        <v>1422</v>
      </c>
      <c r="D343" s="2" t="s">
        <v>123</v>
      </c>
      <c r="E343" s="4">
        <v>5.0</v>
      </c>
      <c r="F343" s="2" t="s">
        <v>181</v>
      </c>
      <c r="G343" s="2" t="s">
        <v>89</v>
      </c>
      <c r="H343" s="6"/>
    </row>
    <row r="344" hidden="1">
      <c r="A344" s="2" t="s">
        <v>49</v>
      </c>
      <c r="B344" s="2" t="s">
        <v>828</v>
      </c>
      <c r="C344" s="2" t="s">
        <v>1422</v>
      </c>
      <c r="D344" s="2" t="s">
        <v>212</v>
      </c>
      <c r="E344" s="4">
        <v>1.0</v>
      </c>
      <c r="F344" s="2" t="s">
        <v>181</v>
      </c>
      <c r="G344" s="2" t="s">
        <v>89</v>
      </c>
      <c r="H344" s="6"/>
    </row>
    <row r="345" hidden="1">
      <c r="A345" s="2" t="s">
        <v>49</v>
      </c>
      <c r="B345" s="2" t="s">
        <v>1426</v>
      </c>
      <c r="C345" s="2" t="s">
        <v>1427</v>
      </c>
      <c r="D345" s="2" t="s">
        <v>123</v>
      </c>
      <c r="E345" s="4">
        <v>3.0</v>
      </c>
      <c r="F345" s="2" t="s">
        <v>181</v>
      </c>
      <c r="G345" s="2" t="s">
        <v>89</v>
      </c>
      <c r="H345" s="6"/>
    </row>
    <row r="346" hidden="1">
      <c r="A346" s="2" t="s">
        <v>49</v>
      </c>
      <c r="B346" s="2" t="s">
        <v>1426</v>
      </c>
      <c r="C346" s="2" t="s">
        <v>1427</v>
      </c>
      <c r="D346" s="2" t="s">
        <v>212</v>
      </c>
      <c r="E346" s="4">
        <v>1.0</v>
      </c>
      <c r="F346" s="2" t="s">
        <v>181</v>
      </c>
      <c r="G346" s="2" t="s">
        <v>89</v>
      </c>
      <c r="H346" s="6"/>
    </row>
    <row r="347" hidden="1">
      <c r="A347" s="2" t="s">
        <v>34</v>
      </c>
      <c r="B347" s="2" t="s">
        <v>1426</v>
      </c>
      <c r="C347" s="2" t="s">
        <v>1427</v>
      </c>
      <c r="D347" s="2" t="s">
        <v>206</v>
      </c>
      <c r="E347" s="4">
        <v>6.0</v>
      </c>
      <c r="F347" s="2" t="s">
        <v>181</v>
      </c>
      <c r="G347" s="2" t="s">
        <v>89</v>
      </c>
      <c r="H347" s="6"/>
    </row>
    <row r="348" hidden="1">
      <c r="A348" s="2" t="s">
        <v>49</v>
      </c>
      <c r="B348" s="2" t="s">
        <v>1432</v>
      </c>
      <c r="C348" s="2" t="s">
        <v>1433</v>
      </c>
      <c r="D348" s="2" t="s">
        <v>123</v>
      </c>
      <c r="E348" s="4">
        <v>3.0</v>
      </c>
      <c r="F348" s="2" t="s">
        <v>181</v>
      </c>
      <c r="G348" s="2" t="s">
        <v>89</v>
      </c>
      <c r="H348" s="6"/>
    </row>
    <row r="349" hidden="1">
      <c r="A349" s="2" t="s">
        <v>49</v>
      </c>
      <c r="B349" s="2" t="s">
        <v>1432</v>
      </c>
      <c r="C349" s="2" t="s">
        <v>1433</v>
      </c>
      <c r="D349" s="2" t="s">
        <v>212</v>
      </c>
      <c r="E349" s="4">
        <v>1.0</v>
      </c>
      <c r="F349" s="2" t="s">
        <v>181</v>
      </c>
      <c r="G349" s="2" t="s">
        <v>89</v>
      </c>
      <c r="H349" s="6"/>
    </row>
    <row r="350" hidden="1">
      <c r="A350" s="2" t="s">
        <v>34</v>
      </c>
      <c r="B350" s="2" t="s">
        <v>1432</v>
      </c>
      <c r="C350" s="2" t="s">
        <v>1433</v>
      </c>
      <c r="D350" s="2" t="s">
        <v>187</v>
      </c>
      <c r="E350" s="4">
        <v>6.0</v>
      </c>
      <c r="F350" s="2" t="s">
        <v>181</v>
      </c>
      <c r="G350" s="2" t="s">
        <v>89</v>
      </c>
      <c r="H350" s="6"/>
    </row>
    <row r="351" hidden="1">
      <c r="A351" s="2" t="s">
        <v>49</v>
      </c>
      <c r="B351" s="2" t="s">
        <v>830</v>
      </c>
      <c r="C351" s="2" t="s">
        <v>1380</v>
      </c>
      <c r="D351" s="2" t="s">
        <v>123</v>
      </c>
      <c r="E351" s="4">
        <v>10.0</v>
      </c>
      <c r="F351" s="2" t="s">
        <v>181</v>
      </c>
      <c r="G351" s="2" t="s">
        <v>89</v>
      </c>
      <c r="H351" s="6"/>
    </row>
    <row r="352" hidden="1">
      <c r="A352" s="2" t="s">
        <v>49</v>
      </c>
      <c r="B352" s="2" t="s">
        <v>1438</v>
      </c>
      <c r="C352" s="2" t="s">
        <v>1439</v>
      </c>
      <c r="D352" s="2" t="s">
        <v>123</v>
      </c>
      <c r="E352" s="4">
        <v>4.0</v>
      </c>
      <c r="F352" s="2" t="s">
        <v>181</v>
      </c>
      <c r="G352" s="2" t="s">
        <v>89</v>
      </c>
      <c r="H352" s="6"/>
    </row>
    <row r="353" hidden="1">
      <c r="A353" s="2" t="s">
        <v>49</v>
      </c>
      <c r="B353" s="2" t="s">
        <v>1438</v>
      </c>
      <c r="C353" s="2" t="s">
        <v>1439</v>
      </c>
      <c r="D353" s="2" t="s">
        <v>212</v>
      </c>
      <c r="E353" s="4">
        <v>1.0</v>
      </c>
      <c r="F353" s="2" t="s">
        <v>181</v>
      </c>
      <c r="G353" s="2" t="s">
        <v>89</v>
      </c>
      <c r="H353" s="6"/>
    </row>
    <row r="354" hidden="1">
      <c r="A354" s="2" t="s">
        <v>34</v>
      </c>
      <c r="B354" s="2" t="s">
        <v>1438</v>
      </c>
      <c r="C354" s="2" t="s">
        <v>1439</v>
      </c>
      <c r="D354" s="2" t="s">
        <v>158</v>
      </c>
      <c r="E354" s="4">
        <v>10.0</v>
      </c>
      <c r="F354" s="2" t="s">
        <v>181</v>
      </c>
      <c r="G354" s="2" t="s">
        <v>89</v>
      </c>
      <c r="H354" s="6"/>
    </row>
    <row r="355" hidden="1">
      <c r="A355" s="2" t="s">
        <v>49</v>
      </c>
      <c r="B355" s="2" t="s">
        <v>833</v>
      </c>
      <c r="C355" s="2" t="s">
        <v>1442</v>
      </c>
      <c r="D355" s="2" t="s">
        <v>123</v>
      </c>
      <c r="E355" s="4">
        <v>8.0</v>
      </c>
      <c r="F355" s="2" t="s">
        <v>181</v>
      </c>
      <c r="G355" s="2" t="s">
        <v>89</v>
      </c>
      <c r="H355" s="6"/>
    </row>
    <row r="356" hidden="1">
      <c r="A356" s="2" t="s">
        <v>49</v>
      </c>
      <c r="B356" s="2" t="s">
        <v>833</v>
      </c>
      <c r="C356" s="2" t="s">
        <v>1442</v>
      </c>
      <c r="D356" s="2" t="s">
        <v>212</v>
      </c>
      <c r="E356" s="4">
        <v>2.0</v>
      </c>
      <c r="F356" s="2" t="s">
        <v>181</v>
      </c>
      <c r="G356" s="2" t="s">
        <v>89</v>
      </c>
      <c r="H356" s="6"/>
    </row>
    <row r="357" hidden="1">
      <c r="A357" s="2" t="s">
        <v>49</v>
      </c>
      <c r="B357" s="2" t="s">
        <v>834</v>
      </c>
      <c r="C357" s="2" t="s">
        <v>1449</v>
      </c>
      <c r="D357" s="2" t="s">
        <v>123</v>
      </c>
      <c r="E357" s="4">
        <v>4.0</v>
      </c>
      <c r="F357" s="2" t="s">
        <v>181</v>
      </c>
      <c r="G357" s="2" t="s">
        <v>89</v>
      </c>
      <c r="H357" s="6"/>
    </row>
    <row r="358" hidden="1">
      <c r="A358" s="2" t="s">
        <v>49</v>
      </c>
      <c r="B358" s="2" t="s">
        <v>834</v>
      </c>
      <c r="C358" s="2" t="s">
        <v>1449</v>
      </c>
      <c r="D358" s="2" t="s">
        <v>212</v>
      </c>
      <c r="E358" s="4">
        <v>1.0</v>
      </c>
      <c r="F358" s="2" t="s">
        <v>181</v>
      </c>
      <c r="G358" s="2" t="s">
        <v>89</v>
      </c>
      <c r="H358" s="6"/>
    </row>
    <row r="359" hidden="1">
      <c r="A359" s="2" t="s">
        <v>49</v>
      </c>
      <c r="B359" s="2" t="s">
        <v>837</v>
      </c>
      <c r="C359" s="2" t="s">
        <v>837</v>
      </c>
      <c r="D359" s="2" t="s">
        <v>165</v>
      </c>
      <c r="E359" s="4">
        <v>20.0</v>
      </c>
      <c r="F359" s="2" t="s">
        <v>181</v>
      </c>
      <c r="G359" s="2" t="s">
        <v>89</v>
      </c>
      <c r="H359" s="6"/>
    </row>
    <row r="360" hidden="1">
      <c r="A360" s="2" t="s">
        <v>49</v>
      </c>
      <c r="B360" s="2" t="s">
        <v>837</v>
      </c>
      <c r="C360" s="2" t="s">
        <v>837</v>
      </c>
      <c r="D360" s="2" t="s">
        <v>212</v>
      </c>
      <c r="E360" s="4">
        <v>1.0</v>
      </c>
      <c r="F360" s="2" t="s">
        <v>181</v>
      </c>
      <c r="G360" s="2" t="s">
        <v>89</v>
      </c>
      <c r="H360" s="6"/>
    </row>
    <row r="361" hidden="1">
      <c r="A361" s="2" t="s">
        <v>34</v>
      </c>
      <c r="B361" s="2" t="s">
        <v>1457</v>
      </c>
      <c r="C361" s="2" t="s">
        <v>1459</v>
      </c>
      <c r="D361" s="2" t="s">
        <v>158</v>
      </c>
      <c r="E361" s="4">
        <v>15.0</v>
      </c>
      <c r="F361" s="2" t="s">
        <v>181</v>
      </c>
      <c r="G361" s="2" t="s">
        <v>89</v>
      </c>
      <c r="H361" s="6"/>
    </row>
    <row r="362" hidden="1">
      <c r="A362" s="2" t="s">
        <v>34</v>
      </c>
      <c r="B362" s="2" t="s">
        <v>1457</v>
      </c>
      <c r="C362" s="2" t="s">
        <v>1459</v>
      </c>
      <c r="D362" s="2" t="s">
        <v>187</v>
      </c>
      <c r="E362" s="4">
        <v>15.0</v>
      </c>
      <c r="F362" s="2" t="s">
        <v>181</v>
      </c>
      <c r="G362" s="2" t="s">
        <v>89</v>
      </c>
      <c r="H362" s="6"/>
    </row>
    <row r="363" hidden="1">
      <c r="A363" s="2" t="s">
        <v>68</v>
      </c>
      <c r="B363" s="2" t="s">
        <v>1467</v>
      </c>
      <c r="C363" s="2" t="s">
        <v>1468</v>
      </c>
      <c r="D363" s="2" t="s">
        <v>17</v>
      </c>
      <c r="E363" s="4">
        <v>2.0</v>
      </c>
      <c r="F363" s="2" t="s">
        <v>181</v>
      </c>
      <c r="G363" s="2" t="s">
        <v>89</v>
      </c>
      <c r="H363" s="6"/>
    </row>
    <row r="364" hidden="1">
      <c r="A364" s="2" t="s">
        <v>104</v>
      </c>
      <c r="B364" s="2" t="s">
        <v>1471</v>
      </c>
      <c r="C364" s="2" t="s">
        <v>1471</v>
      </c>
      <c r="D364" s="2" t="s">
        <v>1473</v>
      </c>
      <c r="E364" s="4">
        <v>2.0</v>
      </c>
      <c r="F364" s="2" t="s">
        <v>181</v>
      </c>
      <c r="G364" s="2" t="s">
        <v>89</v>
      </c>
      <c r="H364" s="6"/>
    </row>
    <row r="365" hidden="1">
      <c r="A365" s="2" t="s">
        <v>109</v>
      </c>
      <c r="B365" s="2" t="s">
        <v>1476</v>
      </c>
      <c r="C365" s="2" t="s">
        <v>1476</v>
      </c>
      <c r="D365" s="2" t="s">
        <v>17</v>
      </c>
      <c r="E365" s="4">
        <v>8.0</v>
      </c>
      <c r="F365" s="2" t="s">
        <v>181</v>
      </c>
      <c r="G365" s="2" t="s">
        <v>89</v>
      </c>
      <c r="H365" s="6"/>
    </row>
    <row r="366" hidden="1">
      <c r="A366" s="2" t="s">
        <v>68</v>
      </c>
      <c r="B366" s="2" t="s">
        <v>1480</v>
      </c>
      <c r="C366" s="2" t="s">
        <v>1480</v>
      </c>
      <c r="D366" s="2" t="s">
        <v>17</v>
      </c>
      <c r="E366" s="4">
        <v>1.0</v>
      </c>
      <c r="F366" s="2" t="s">
        <v>181</v>
      </c>
      <c r="G366" s="2" t="s">
        <v>89</v>
      </c>
      <c r="H366" s="6"/>
    </row>
    <row r="367" hidden="1">
      <c r="A367" s="2" t="s">
        <v>104</v>
      </c>
      <c r="B367" s="2" t="s">
        <v>1483</v>
      </c>
      <c r="C367" s="2" t="s">
        <v>1483</v>
      </c>
      <c r="D367" s="2" t="s">
        <v>17</v>
      </c>
      <c r="E367" s="4">
        <v>2.0</v>
      </c>
      <c r="F367" s="2" t="s">
        <v>181</v>
      </c>
      <c r="G367" s="2" t="s">
        <v>89</v>
      </c>
      <c r="H367" s="6"/>
    </row>
    <row r="368" hidden="1">
      <c r="A368" s="2" t="s">
        <v>68</v>
      </c>
      <c r="B368" s="2" t="s">
        <v>1486</v>
      </c>
      <c r="C368" s="2" t="s">
        <v>1486</v>
      </c>
      <c r="D368" s="2" t="s">
        <v>17</v>
      </c>
      <c r="E368" s="4">
        <v>1.0</v>
      </c>
      <c r="F368" s="2" t="s">
        <v>181</v>
      </c>
      <c r="G368" s="2" t="s">
        <v>89</v>
      </c>
      <c r="H368" s="6"/>
    </row>
    <row r="369" hidden="1">
      <c r="A369" s="2" t="s">
        <v>68</v>
      </c>
      <c r="B369" s="2" t="s">
        <v>1490</v>
      </c>
      <c r="C369" s="2" t="s">
        <v>1490</v>
      </c>
      <c r="D369" s="2" t="s">
        <v>17</v>
      </c>
      <c r="E369" s="4">
        <v>3.0</v>
      </c>
      <c r="F369" s="2" t="s">
        <v>181</v>
      </c>
      <c r="G369" s="2" t="s">
        <v>89</v>
      </c>
      <c r="H369" s="6"/>
    </row>
    <row r="370" hidden="1">
      <c r="A370" s="2" t="s">
        <v>75</v>
      </c>
      <c r="B370" s="2" t="s">
        <v>1495</v>
      </c>
      <c r="C370" s="2" t="s">
        <v>1495</v>
      </c>
      <c r="D370" s="2" t="s">
        <v>17</v>
      </c>
      <c r="E370" s="4">
        <v>1.0</v>
      </c>
      <c r="F370" s="2" t="s">
        <v>181</v>
      </c>
      <c r="G370" s="2" t="s">
        <v>89</v>
      </c>
      <c r="H370" s="6"/>
    </row>
    <row r="371" hidden="1">
      <c r="A371" s="2" t="s">
        <v>75</v>
      </c>
      <c r="B371" s="2" t="s">
        <v>1497</v>
      </c>
      <c r="C371" s="2" t="s">
        <v>1497</v>
      </c>
      <c r="D371" s="2" t="s">
        <v>17</v>
      </c>
      <c r="E371" s="4">
        <v>8.0</v>
      </c>
      <c r="F371" s="2" t="s">
        <v>181</v>
      </c>
      <c r="G371" s="2" t="s">
        <v>89</v>
      </c>
      <c r="H371" s="6"/>
    </row>
    <row r="372" hidden="1">
      <c r="A372" s="2" t="s">
        <v>75</v>
      </c>
      <c r="B372" s="2" t="s">
        <v>1501</v>
      </c>
      <c r="C372" s="2" t="s">
        <v>1501</v>
      </c>
      <c r="D372" s="2" t="s">
        <v>17</v>
      </c>
      <c r="E372" s="4">
        <v>3.0</v>
      </c>
      <c r="F372" s="2" t="s">
        <v>181</v>
      </c>
      <c r="G372" s="2" t="s">
        <v>89</v>
      </c>
      <c r="H372" s="6"/>
    </row>
    <row r="373" hidden="1">
      <c r="A373" s="2" t="s">
        <v>34</v>
      </c>
      <c r="B373" s="2" t="s">
        <v>1504</v>
      </c>
      <c r="C373" s="2" t="s">
        <v>1505</v>
      </c>
      <c r="D373" s="2" t="s">
        <v>142</v>
      </c>
      <c r="E373" s="4">
        <v>9.0</v>
      </c>
      <c r="F373" s="2" t="s">
        <v>181</v>
      </c>
      <c r="G373" s="2" t="s">
        <v>89</v>
      </c>
      <c r="H373" s="6"/>
    </row>
    <row r="374" hidden="1">
      <c r="A374" s="2" t="s">
        <v>49</v>
      </c>
      <c r="B374" s="2" t="s">
        <v>1504</v>
      </c>
      <c r="C374" s="2" t="s">
        <v>1505</v>
      </c>
      <c r="D374" s="2" t="s">
        <v>123</v>
      </c>
      <c r="E374" s="4">
        <v>5.0</v>
      </c>
      <c r="F374" s="2" t="s">
        <v>181</v>
      </c>
      <c r="G374" s="2" t="s">
        <v>89</v>
      </c>
      <c r="H374" s="6"/>
    </row>
    <row r="375" hidden="1">
      <c r="A375" s="2" t="s">
        <v>34</v>
      </c>
      <c r="B375" s="2" t="s">
        <v>1510</v>
      </c>
      <c r="C375" s="2" t="s">
        <v>1511</v>
      </c>
      <c r="D375" s="2" t="s">
        <v>206</v>
      </c>
      <c r="E375" s="4">
        <v>8.0</v>
      </c>
      <c r="F375" s="2" t="s">
        <v>181</v>
      </c>
      <c r="G375" s="2" t="s">
        <v>89</v>
      </c>
      <c r="H375" s="6"/>
    </row>
    <row r="376" hidden="1">
      <c r="A376" s="2" t="s">
        <v>49</v>
      </c>
      <c r="B376" s="2" t="s">
        <v>1510</v>
      </c>
      <c r="C376" s="2" t="s">
        <v>1511</v>
      </c>
      <c r="D376" s="2" t="s">
        <v>123</v>
      </c>
      <c r="E376" s="4">
        <v>4.0</v>
      </c>
      <c r="F376" s="2" t="s">
        <v>181</v>
      </c>
      <c r="G376" s="2" t="s">
        <v>89</v>
      </c>
      <c r="H376" s="6"/>
    </row>
    <row r="377" hidden="1">
      <c r="A377" s="2" t="s">
        <v>49</v>
      </c>
      <c r="B377" s="2" t="s">
        <v>1510</v>
      </c>
      <c r="C377" s="2" t="s">
        <v>1511</v>
      </c>
      <c r="D377" s="2" t="s">
        <v>212</v>
      </c>
      <c r="E377" s="4">
        <v>1.0</v>
      </c>
      <c r="F377" s="2" t="s">
        <v>181</v>
      </c>
      <c r="G377" s="2" t="s">
        <v>89</v>
      </c>
      <c r="H377" s="6"/>
    </row>
    <row r="378" hidden="1">
      <c r="A378" s="2" t="s">
        <v>34</v>
      </c>
      <c r="B378" s="2" t="s">
        <v>1519</v>
      </c>
      <c r="C378" s="2" t="s">
        <v>1519</v>
      </c>
      <c r="D378" s="2" t="s">
        <v>206</v>
      </c>
      <c r="E378" s="4">
        <v>11.0</v>
      </c>
      <c r="F378" s="2" t="s">
        <v>181</v>
      </c>
      <c r="G378" s="2" t="s">
        <v>89</v>
      </c>
      <c r="H378" s="6"/>
    </row>
    <row r="379" hidden="1">
      <c r="A379" s="2" t="s">
        <v>49</v>
      </c>
      <c r="B379" s="2" t="s">
        <v>1519</v>
      </c>
      <c r="C379" s="2" t="s">
        <v>1519</v>
      </c>
      <c r="D379" s="2" t="s">
        <v>123</v>
      </c>
      <c r="E379" s="4">
        <v>3.0</v>
      </c>
      <c r="F379" s="2" t="s">
        <v>181</v>
      </c>
      <c r="G379" s="2" t="s">
        <v>89</v>
      </c>
      <c r="H379" s="6"/>
    </row>
    <row r="380" hidden="1">
      <c r="A380" s="2" t="s">
        <v>49</v>
      </c>
      <c r="B380" s="2" t="s">
        <v>1519</v>
      </c>
      <c r="C380" s="2" t="s">
        <v>1519</v>
      </c>
      <c r="D380" s="2" t="s">
        <v>212</v>
      </c>
      <c r="E380" s="4">
        <v>1.0</v>
      </c>
      <c r="F380" s="2" t="s">
        <v>181</v>
      </c>
      <c r="G380" s="2" t="s">
        <v>89</v>
      </c>
      <c r="H380" s="6"/>
    </row>
    <row r="381" hidden="1">
      <c r="A381" s="2" t="s">
        <v>34</v>
      </c>
      <c r="B381" s="2" t="s">
        <v>1527</v>
      </c>
      <c r="C381" s="2" t="s">
        <v>1528</v>
      </c>
      <c r="D381" s="2" t="s">
        <v>206</v>
      </c>
      <c r="E381" s="4">
        <v>10.0</v>
      </c>
      <c r="F381" s="2" t="s">
        <v>181</v>
      </c>
      <c r="G381" s="2" t="s">
        <v>89</v>
      </c>
      <c r="H381" s="6"/>
    </row>
    <row r="382" hidden="1">
      <c r="A382" s="2" t="s">
        <v>49</v>
      </c>
      <c r="B382" s="2" t="s">
        <v>1527</v>
      </c>
      <c r="C382" s="2" t="s">
        <v>1528</v>
      </c>
      <c r="D382" s="2" t="s">
        <v>123</v>
      </c>
      <c r="E382" s="4">
        <v>4.0</v>
      </c>
      <c r="F382" s="2" t="s">
        <v>181</v>
      </c>
      <c r="G382" s="2" t="s">
        <v>89</v>
      </c>
      <c r="H382" s="6"/>
    </row>
    <row r="383" hidden="1">
      <c r="A383" s="2" t="s">
        <v>49</v>
      </c>
      <c r="B383" s="2" t="s">
        <v>1527</v>
      </c>
      <c r="C383" s="2" t="s">
        <v>1528</v>
      </c>
      <c r="D383" s="2" t="s">
        <v>212</v>
      </c>
      <c r="E383" s="4">
        <v>1.0</v>
      </c>
      <c r="F383" s="2" t="s">
        <v>181</v>
      </c>
      <c r="G383" s="2" t="s">
        <v>89</v>
      </c>
      <c r="H383" s="6"/>
    </row>
    <row r="384" hidden="1">
      <c r="A384" s="2" t="s">
        <v>104</v>
      </c>
      <c r="B384" s="2" t="s">
        <v>1539</v>
      </c>
      <c r="C384" s="2" t="s">
        <v>1539</v>
      </c>
      <c r="D384" s="2" t="s">
        <v>17</v>
      </c>
      <c r="E384" s="4">
        <v>12.0</v>
      </c>
      <c r="F384" s="2" t="s">
        <v>181</v>
      </c>
      <c r="G384" s="2" t="s">
        <v>89</v>
      </c>
      <c r="H384" s="6"/>
    </row>
    <row r="385" hidden="1">
      <c r="A385" s="2" t="s">
        <v>68</v>
      </c>
      <c r="B385" s="2" t="s">
        <v>1542</v>
      </c>
      <c r="C385" s="2" t="s">
        <v>1358</v>
      </c>
      <c r="D385" s="2" t="s">
        <v>17</v>
      </c>
      <c r="E385" s="4">
        <v>20.0</v>
      </c>
      <c r="F385" s="2" t="s">
        <v>181</v>
      </c>
      <c r="G385" s="2" t="s">
        <v>89</v>
      </c>
      <c r="H385" s="6"/>
    </row>
    <row r="386" hidden="1">
      <c r="A386" s="2" t="s">
        <v>96</v>
      </c>
      <c r="B386" s="2" t="s">
        <v>337</v>
      </c>
      <c r="C386" s="2" t="s">
        <v>376</v>
      </c>
      <c r="D386" s="2" t="s">
        <v>240</v>
      </c>
      <c r="E386" s="4">
        <v>216.0</v>
      </c>
      <c r="F386" s="2" t="s">
        <v>181</v>
      </c>
      <c r="G386" s="2" t="s">
        <v>89</v>
      </c>
      <c r="H386" s="6"/>
    </row>
    <row r="387" hidden="1">
      <c r="A387" s="2" t="s">
        <v>49</v>
      </c>
      <c r="B387" s="2" t="s">
        <v>839</v>
      </c>
      <c r="C387" s="2" t="s">
        <v>1551</v>
      </c>
      <c r="D387" s="2" t="s">
        <v>189</v>
      </c>
      <c r="E387" s="4">
        <v>24.0</v>
      </c>
      <c r="F387" s="2" t="s">
        <v>181</v>
      </c>
      <c r="G387" s="2" t="s">
        <v>89</v>
      </c>
      <c r="H387" s="6"/>
    </row>
    <row r="388" hidden="1">
      <c r="A388" s="2" t="s">
        <v>49</v>
      </c>
      <c r="B388" s="2" t="s">
        <v>1553</v>
      </c>
      <c r="C388" s="2" t="s">
        <v>1553</v>
      </c>
      <c r="D388" s="2" t="s">
        <v>192</v>
      </c>
      <c r="E388" s="4">
        <v>2.0</v>
      </c>
      <c r="F388" s="2" t="s">
        <v>181</v>
      </c>
      <c r="G388" s="2" t="s">
        <v>89</v>
      </c>
      <c r="H388" s="6"/>
    </row>
    <row r="389" hidden="1">
      <c r="A389" s="2" t="s">
        <v>104</v>
      </c>
      <c r="B389" s="2" t="s">
        <v>1558</v>
      </c>
      <c r="C389" s="2" t="s">
        <v>1558</v>
      </c>
      <c r="D389" s="2" t="s">
        <v>267</v>
      </c>
      <c r="E389" s="4">
        <v>1.0</v>
      </c>
      <c r="F389" s="2" t="s">
        <v>181</v>
      </c>
      <c r="G389" s="2" t="s">
        <v>89</v>
      </c>
      <c r="H389" s="6"/>
    </row>
    <row r="390" hidden="1">
      <c r="A390" s="2" t="s">
        <v>49</v>
      </c>
      <c r="B390" s="2" t="s">
        <v>1561</v>
      </c>
      <c r="C390" s="2" t="s">
        <v>1561</v>
      </c>
      <c r="D390" s="2" t="s">
        <v>133</v>
      </c>
      <c r="E390" s="4">
        <v>7.0</v>
      </c>
      <c r="F390" s="2" t="s">
        <v>181</v>
      </c>
      <c r="G390" s="2" t="s">
        <v>89</v>
      </c>
      <c r="H390" s="6"/>
    </row>
    <row r="391" hidden="1">
      <c r="A391" s="2" t="s">
        <v>75</v>
      </c>
      <c r="B391" s="2" t="s">
        <v>1565</v>
      </c>
      <c r="C391" s="2" t="s">
        <v>1565</v>
      </c>
      <c r="D391" s="2" t="s">
        <v>17</v>
      </c>
      <c r="E391" s="4">
        <v>9.0</v>
      </c>
      <c r="F391" s="2" t="s">
        <v>181</v>
      </c>
      <c r="G391" s="2" t="s">
        <v>89</v>
      </c>
      <c r="H391" s="6"/>
    </row>
    <row r="392" hidden="1">
      <c r="A392" s="2" t="s">
        <v>49</v>
      </c>
      <c r="B392" s="2" t="s">
        <v>841</v>
      </c>
      <c r="C392" s="2" t="s">
        <v>1569</v>
      </c>
      <c r="D392" s="2" t="s">
        <v>123</v>
      </c>
      <c r="E392" s="4">
        <v>29.0</v>
      </c>
      <c r="F392" s="2" t="s">
        <v>181</v>
      </c>
      <c r="G392" s="2" t="s">
        <v>89</v>
      </c>
      <c r="H392" s="6"/>
    </row>
    <row r="393" hidden="1">
      <c r="A393" s="2" t="s">
        <v>49</v>
      </c>
      <c r="B393" s="2" t="s">
        <v>841</v>
      </c>
      <c r="C393" s="2" t="s">
        <v>1569</v>
      </c>
      <c r="D393" s="2" t="s">
        <v>224</v>
      </c>
      <c r="E393" s="4">
        <v>1.0</v>
      </c>
      <c r="F393" s="2" t="s">
        <v>181</v>
      </c>
      <c r="G393" s="2" t="s">
        <v>89</v>
      </c>
      <c r="H393" s="6"/>
    </row>
    <row r="394" hidden="1">
      <c r="A394" s="2" t="s">
        <v>34</v>
      </c>
      <c r="B394" s="2" t="s">
        <v>1574</v>
      </c>
      <c r="C394" s="2" t="s">
        <v>1574</v>
      </c>
      <c r="D394" s="2" t="s">
        <v>170</v>
      </c>
      <c r="E394" s="4">
        <v>49.0</v>
      </c>
      <c r="F394" s="2" t="s">
        <v>181</v>
      </c>
      <c r="G394" s="2" t="s">
        <v>89</v>
      </c>
      <c r="H394" s="6"/>
    </row>
    <row r="395" hidden="1">
      <c r="A395" s="2" t="s">
        <v>34</v>
      </c>
      <c r="B395" s="2" t="s">
        <v>1574</v>
      </c>
      <c r="C395" s="2" t="s">
        <v>1574</v>
      </c>
      <c r="D395" s="2" t="s">
        <v>187</v>
      </c>
      <c r="E395" s="4">
        <v>1.0</v>
      </c>
      <c r="F395" s="2" t="s">
        <v>181</v>
      </c>
      <c r="G395" s="2" t="s">
        <v>89</v>
      </c>
      <c r="H395" s="6"/>
    </row>
    <row r="396" hidden="1">
      <c r="A396" s="2" t="s">
        <v>49</v>
      </c>
      <c r="B396" s="2" t="s">
        <v>1574</v>
      </c>
      <c r="C396" s="2" t="s">
        <v>1574</v>
      </c>
      <c r="D396" s="2" t="s">
        <v>224</v>
      </c>
      <c r="E396" s="4">
        <v>1.0</v>
      </c>
      <c r="F396" s="2" t="s">
        <v>181</v>
      </c>
      <c r="G396" s="2" t="s">
        <v>89</v>
      </c>
      <c r="H396" s="6"/>
    </row>
    <row r="397" hidden="1">
      <c r="A397" s="2" t="s">
        <v>49</v>
      </c>
      <c r="B397" s="2" t="s">
        <v>1574</v>
      </c>
      <c r="C397" s="2" t="s">
        <v>1574</v>
      </c>
      <c r="D397" s="2" t="s">
        <v>165</v>
      </c>
      <c r="E397" s="4">
        <v>29.0</v>
      </c>
      <c r="F397" s="2" t="s">
        <v>181</v>
      </c>
      <c r="G397" s="2" t="s">
        <v>89</v>
      </c>
      <c r="H397" s="6"/>
    </row>
    <row r="398" hidden="1">
      <c r="A398" s="2" t="s">
        <v>49</v>
      </c>
      <c r="B398" s="2" t="s">
        <v>844</v>
      </c>
      <c r="C398" s="2" t="s">
        <v>844</v>
      </c>
      <c r="D398" s="2" t="s">
        <v>224</v>
      </c>
      <c r="E398" s="4">
        <v>1.0</v>
      </c>
      <c r="F398" s="2" t="s">
        <v>181</v>
      </c>
      <c r="G398" s="2" t="s">
        <v>89</v>
      </c>
      <c r="H398" s="6"/>
    </row>
    <row r="399" hidden="1">
      <c r="A399" s="2" t="s">
        <v>49</v>
      </c>
      <c r="B399" s="2" t="s">
        <v>844</v>
      </c>
      <c r="C399" s="2" t="s">
        <v>844</v>
      </c>
      <c r="D399" s="2" t="s">
        <v>133</v>
      </c>
      <c r="E399" s="4">
        <v>23.0</v>
      </c>
      <c r="F399" s="2" t="s">
        <v>181</v>
      </c>
      <c r="G399" s="2" t="s">
        <v>89</v>
      </c>
      <c r="H399" s="6"/>
    </row>
    <row r="400" hidden="1">
      <c r="A400" s="2" t="s">
        <v>34</v>
      </c>
      <c r="B400" s="2" t="s">
        <v>1591</v>
      </c>
      <c r="C400" s="2" t="s">
        <v>1592</v>
      </c>
      <c r="D400" s="2" t="s">
        <v>187</v>
      </c>
      <c r="E400" s="4">
        <v>1.0</v>
      </c>
      <c r="F400" s="2" t="s">
        <v>181</v>
      </c>
      <c r="G400" s="2" t="s">
        <v>89</v>
      </c>
      <c r="H400" s="6"/>
    </row>
    <row r="401" hidden="1">
      <c r="A401" s="2" t="s">
        <v>34</v>
      </c>
      <c r="B401" s="2" t="s">
        <v>1594</v>
      </c>
      <c r="C401" s="2" t="s">
        <v>1596</v>
      </c>
      <c r="D401" s="2" t="s">
        <v>88</v>
      </c>
      <c r="E401" s="4">
        <v>3.0</v>
      </c>
      <c r="F401" s="2" t="s">
        <v>181</v>
      </c>
      <c r="G401" s="2" t="s">
        <v>89</v>
      </c>
      <c r="H401" s="6"/>
    </row>
    <row r="402" hidden="1">
      <c r="A402" s="2" t="s">
        <v>49</v>
      </c>
      <c r="B402" s="2" t="s">
        <v>1594</v>
      </c>
      <c r="C402" s="2" t="s">
        <v>1596</v>
      </c>
      <c r="D402" s="2" t="s">
        <v>88</v>
      </c>
      <c r="E402" s="4">
        <v>1.0</v>
      </c>
      <c r="F402" s="2" t="s">
        <v>181</v>
      </c>
      <c r="G402" s="2" t="s">
        <v>89</v>
      </c>
      <c r="H402" s="6"/>
    </row>
    <row r="403" hidden="1">
      <c r="A403" s="2" t="s">
        <v>49</v>
      </c>
      <c r="B403" s="2" t="s">
        <v>845</v>
      </c>
      <c r="C403" s="2" t="s">
        <v>1603</v>
      </c>
      <c r="D403" s="2" t="s">
        <v>189</v>
      </c>
      <c r="E403" s="4">
        <v>2.0</v>
      </c>
      <c r="F403" s="2" t="s">
        <v>181</v>
      </c>
      <c r="G403" s="2" t="s">
        <v>89</v>
      </c>
      <c r="H403" s="6"/>
    </row>
    <row r="404" hidden="1">
      <c r="A404" s="2" t="s">
        <v>34</v>
      </c>
      <c r="B404" s="2" t="s">
        <v>1605</v>
      </c>
      <c r="C404" s="2" t="s">
        <v>1605</v>
      </c>
      <c r="D404" s="2" t="s">
        <v>206</v>
      </c>
      <c r="E404" s="4">
        <v>1.0</v>
      </c>
      <c r="F404" s="2" t="s">
        <v>181</v>
      </c>
      <c r="G404" s="2" t="s">
        <v>89</v>
      </c>
      <c r="H404" s="6"/>
    </row>
    <row r="405" hidden="1">
      <c r="A405" s="2" t="s">
        <v>34</v>
      </c>
      <c r="B405" s="2" t="s">
        <v>1610</v>
      </c>
      <c r="C405" s="2" t="s">
        <v>1610</v>
      </c>
      <c r="D405" s="2" t="s">
        <v>106</v>
      </c>
      <c r="E405" s="4">
        <v>29.0</v>
      </c>
      <c r="F405" s="2" t="s">
        <v>181</v>
      </c>
      <c r="G405" s="2" t="s">
        <v>89</v>
      </c>
      <c r="H405" s="6"/>
    </row>
    <row r="406" hidden="1">
      <c r="A406" s="2" t="s">
        <v>34</v>
      </c>
      <c r="B406" s="2" t="s">
        <v>1610</v>
      </c>
      <c r="C406" s="2" t="s">
        <v>1610</v>
      </c>
      <c r="D406" s="2" t="s">
        <v>120</v>
      </c>
      <c r="E406" s="4">
        <v>14.0</v>
      </c>
      <c r="F406" s="2" t="s">
        <v>181</v>
      </c>
      <c r="G406" s="2" t="s">
        <v>89</v>
      </c>
      <c r="H406" s="6"/>
    </row>
    <row r="407" hidden="1">
      <c r="A407" s="2" t="s">
        <v>61</v>
      </c>
      <c r="B407" s="2" t="s">
        <v>1616</v>
      </c>
      <c r="C407" s="2" t="s">
        <v>1617</v>
      </c>
      <c r="D407" s="2" t="s">
        <v>53</v>
      </c>
      <c r="E407" s="4">
        <v>1.0</v>
      </c>
      <c r="F407" s="2" t="s">
        <v>181</v>
      </c>
      <c r="G407" s="2" t="s">
        <v>89</v>
      </c>
      <c r="H407" s="6"/>
    </row>
    <row r="408" hidden="1">
      <c r="A408" s="2" t="s">
        <v>34</v>
      </c>
      <c r="B408" s="2" t="s">
        <v>1621</v>
      </c>
      <c r="C408" s="2" t="s">
        <v>1622</v>
      </c>
      <c r="D408" s="2" t="s">
        <v>120</v>
      </c>
      <c r="E408" s="4">
        <v>12.0</v>
      </c>
      <c r="F408" s="2" t="s">
        <v>181</v>
      </c>
      <c r="G408" s="2" t="s">
        <v>89</v>
      </c>
      <c r="H408" s="6"/>
    </row>
    <row r="409" hidden="1">
      <c r="A409" s="2" t="s">
        <v>49</v>
      </c>
      <c r="B409" s="2" t="s">
        <v>1621</v>
      </c>
      <c r="C409" s="2" t="s">
        <v>1622</v>
      </c>
      <c r="D409" s="2" t="s">
        <v>133</v>
      </c>
      <c r="E409" s="4">
        <v>12.0</v>
      </c>
      <c r="F409" s="2" t="s">
        <v>181</v>
      </c>
      <c r="G409" s="2" t="s">
        <v>89</v>
      </c>
      <c r="H409" s="6"/>
    </row>
    <row r="410" hidden="1">
      <c r="A410" s="2" t="s">
        <v>68</v>
      </c>
      <c r="B410" s="2" t="s">
        <v>1627</v>
      </c>
      <c r="C410" s="2" t="s">
        <v>1628</v>
      </c>
      <c r="D410" s="2" t="s">
        <v>272</v>
      </c>
      <c r="E410" s="4">
        <v>8.0</v>
      </c>
      <c r="F410" s="2" t="s">
        <v>181</v>
      </c>
      <c r="G410" s="2" t="s">
        <v>89</v>
      </c>
      <c r="H410" s="6"/>
    </row>
    <row r="411" hidden="1">
      <c r="A411" s="2" t="s">
        <v>68</v>
      </c>
      <c r="B411" s="2" t="s">
        <v>1631</v>
      </c>
      <c r="C411" s="2" t="s">
        <v>1631</v>
      </c>
      <c r="D411" s="2" t="s">
        <v>297</v>
      </c>
      <c r="E411" s="4">
        <v>1.0</v>
      </c>
      <c r="F411" s="2" t="s">
        <v>181</v>
      </c>
      <c r="G411" s="2" t="s">
        <v>89</v>
      </c>
      <c r="H411" s="6"/>
    </row>
    <row r="412" hidden="1">
      <c r="A412" s="2" t="s">
        <v>34</v>
      </c>
      <c r="B412" s="2" t="s">
        <v>1634</v>
      </c>
      <c r="C412" s="2" t="s">
        <v>1634</v>
      </c>
      <c r="D412" s="2" t="s">
        <v>297</v>
      </c>
      <c r="E412" s="4">
        <v>2.0</v>
      </c>
      <c r="F412" s="2" t="s">
        <v>181</v>
      </c>
      <c r="G412" s="2" t="s">
        <v>89</v>
      </c>
      <c r="H412" s="6"/>
    </row>
    <row r="413" hidden="1">
      <c r="A413" s="2" t="s">
        <v>75</v>
      </c>
      <c r="B413" s="2" t="s">
        <v>1638</v>
      </c>
      <c r="C413" s="2" t="s">
        <v>1639</v>
      </c>
      <c r="D413" s="2" t="s">
        <v>17</v>
      </c>
      <c r="E413" s="4">
        <v>5.0</v>
      </c>
      <c r="F413" s="2" t="s">
        <v>181</v>
      </c>
      <c r="G413" s="2" t="s">
        <v>89</v>
      </c>
      <c r="H413" s="6"/>
    </row>
    <row r="414" hidden="1">
      <c r="A414" s="2" t="s">
        <v>68</v>
      </c>
      <c r="B414" s="2" t="s">
        <v>1641</v>
      </c>
      <c r="C414" s="2" t="s">
        <v>1228</v>
      </c>
      <c r="D414" s="2" t="s">
        <v>17</v>
      </c>
      <c r="E414" s="4">
        <v>1.0</v>
      </c>
      <c r="F414" s="2" t="s">
        <v>181</v>
      </c>
      <c r="G414" s="2" t="s">
        <v>89</v>
      </c>
      <c r="H414" s="6"/>
    </row>
    <row r="415" hidden="1">
      <c r="A415" s="2" t="s">
        <v>75</v>
      </c>
      <c r="B415" s="2" t="s">
        <v>1643</v>
      </c>
      <c r="C415" s="2" t="s">
        <v>1644</v>
      </c>
      <c r="D415" s="2" t="s">
        <v>17</v>
      </c>
      <c r="E415" s="4">
        <v>32.0</v>
      </c>
      <c r="F415" s="2" t="s">
        <v>181</v>
      </c>
      <c r="G415" s="2" t="s">
        <v>89</v>
      </c>
      <c r="H415" s="6"/>
    </row>
    <row r="416" hidden="1">
      <c r="A416" s="2" t="s">
        <v>34</v>
      </c>
      <c r="B416" s="2" t="s">
        <v>1646</v>
      </c>
      <c r="C416" s="2" t="s">
        <v>1648</v>
      </c>
      <c r="D416" s="2" t="s">
        <v>53</v>
      </c>
      <c r="E416" s="4">
        <v>79.0</v>
      </c>
      <c r="F416" s="2" t="s">
        <v>181</v>
      </c>
      <c r="G416" s="2" t="s">
        <v>89</v>
      </c>
      <c r="H416" s="6"/>
    </row>
    <row r="417" hidden="1">
      <c r="A417" s="2" t="s">
        <v>34</v>
      </c>
      <c r="B417" s="2" t="s">
        <v>853</v>
      </c>
      <c r="C417" s="2" t="s">
        <v>1651</v>
      </c>
      <c r="D417" s="2" t="s">
        <v>206</v>
      </c>
      <c r="E417" s="4">
        <v>1.0</v>
      </c>
      <c r="F417" s="2" t="s">
        <v>181</v>
      </c>
      <c r="G417" s="2" t="s">
        <v>89</v>
      </c>
      <c r="H417" s="6"/>
    </row>
    <row r="418" hidden="1">
      <c r="A418" s="2" t="s">
        <v>104</v>
      </c>
      <c r="B418" s="2" t="s">
        <v>1654</v>
      </c>
      <c r="C418" s="2" t="s">
        <v>376</v>
      </c>
      <c r="D418" s="2" t="s">
        <v>267</v>
      </c>
      <c r="E418" s="4">
        <v>2.0</v>
      </c>
      <c r="F418" s="2" t="s">
        <v>181</v>
      </c>
      <c r="G418" s="2" t="s">
        <v>89</v>
      </c>
      <c r="H418" s="6"/>
    </row>
    <row r="419" hidden="1">
      <c r="A419" s="2" t="s">
        <v>96</v>
      </c>
      <c r="B419" s="2" t="s">
        <v>854</v>
      </c>
      <c r="C419" s="2" t="s">
        <v>376</v>
      </c>
      <c r="D419" s="2" t="s">
        <v>228</v>
      </c>
      <c r="E419" s="4">
        <v>15.0</v>
      </c>
      <c r="F419" s="2" t="s">
        <v>181</v>
      </c>
      <c r="G419" s="2" t="s">
        <v>89</v>
      </c>
      <c r="H419" s="6"/>
    </row>
    <row r="420" hidden="1">
      <c r="A420" s="2" t="s">
        <v>68</v>
      </c>
      <c r="B420" s="2" t="s">
        <v>1658</v>
      </c>
      <c r="C420" s="2" t="s">
        <v>1658</v>
      </c>
      <c r="D420" s="2" t="s">
        <v>17</v>
      </c>
      <c r="E420" s="4">
        <v>1.0</v>
      </c>
      <c r="F420" s="2" t="s">
        <v>181</v>
      </c>
      <c r="G420" s="2" t="s">
        <v>89</v>
      </c>
      <c r="H420" s="6"/>
    </row>
    <row r="421" hidden="1">
      <c r="A421" s="2" t="s">
        <v>75</v>
      </c>
      <c r="B421" s="2" t="s">
        <v>1661</v>
      </c>
      <c r="C421" s="2" t="s">
        <v>1662</v>
      </c>
      <c r="D421" s="2" t="s">
        <v>17</v>
      </c>
      <c r="E421" s="4">
        <v>3.0</v>
      </c>
      <c r="F421" s="2" t="s">
        <v>181</v>
      </c>
      <c r="G421" s="2" t="s">
        <v>89</v>
      </c>
      <c r="H421" s="6"/>
    </row>
    <row r="422" hidden="1">
      <c r="A422" s="2" t="s">
        <v>34</v>
      </c>
      <c r="B422" s="2" t="s">
        <v>1666</v>
      </c>
      <c r="C422" s="2" t="s">
        <v>1667</v>
      </c>
      <c r="D422" s="2" t="s">
        <v>183</v>
      </c>
      <c r="E422" s="4">
        <v>1.0</v>
      </c>
      <c r="F422" s="2" t="s">
        <v>181</v>
      </c>
      <c r="G422" s="2" t="s">
        <v>89</v>
      </c>
      <c r="H422" s="6"/>
    </row>
    <row r="423" hidden="1">
      <c r="A423" s="2" t="s">
        <v>34</v>
      </c>
      <c r="B423" s="2" t="s">
        <v>1669</v>
      </c>
      <c r="C423" s="2" t="s">
        <v>1669</v>
      </c>
      <c r="D423" s="2" t="s">
        <v>183</v>
      </c>
      <c r="E423" s="4">
        <v>1.0</v>
      </c>
      <c r="F423" s="2" t="s">
        <v>181</v>
      </c>
      <c r="G423" s="2" t="s">
        <v>89</v>
      </c>
      <c r="H423" s="6"/>
    </row>
    <row r="424" hidden="1">
      <c r="A424" s="2" t="s">
        <v>34</v>
      </c>
      <c r="B424" s="2" t="s">
        <v>1672</v>
      </c>
      <c r="C424" s="2" t="s">
        <v>1669</v>
      </c>
      <c r="D424" s="2" t="s">
        <v>183</v>
      </c>
      <c r="E424" s="4">
        <v>1.0</v>
      </c>
      <c r="F424" s="2" t="s">
        <v>181</v>
      </c>
      <c r="G424" s="2" t="s">
        <v>89</v>
      </c>
      <c r="H424" s="6"/>
    </row>
    <row r="425" hidden="1">
      <c r="A425" s="2" t="s">
        <v>34</v>
      </c>
      <c r="B425" s="2" t="s">
        <v>1675</v>
      </c>
      <c r="C425" s="2" t="s">
        <v>1676</v>
      </c>
      <c r="D425" s="2" t="s">
        <v>174</v>
      </c>
      <c r="E425" s="4">
        <v>16.0</v>
      </c>
      <c r="F425" s="2" t="s">
        <v>181</v>
      </c>
      <c r="G425" s="2" t="s">
        <v>89</v>
      </c>
      <c r="H425" s="6"/>
    </row>
    <row r="426" hidden="1">
      <c r="A426" s="2" t="s">
        <v>34</v>
      </c>
      <c r="B426" s="2" t="s">
        <v>1679</v>
      </c>
      <c r="C426" s="2" t="s">
        <v>1679</v>
      </c>
      <c r="D426" s="2" t="s">
        <v>53</v>
      </c>
      <c r="E426" s="4">
        <v>2.0</v>
      </c>
      <c r="F426" s="2" t="s">
        <v>181</v>
      </c>
      <c r="G426" s="2" t="s">
        <v>89</v>
      </c>
      <c r="H426" s="6"/>
    </row>
    <row r="427" hidden="1">
      <c r="A427" s="2" t="s">
        <v>34</v>
      </c>
      <c r="B427" s="2" t="s">
        <v>1683</v>
      </c>
      <c r="C427" s="2" t="s">
        <v>1685</v>
      </c>
      <c r="D427" s="2" t="s">
        <v>177</v>
      </c>
      <c r="E427" s="4">
        <v>32.0</v>
      </c>
      <c r="F427" s="2" t="s">
        <v>181</v>
      </c>
      <c r="G427" s="2" t="s">
        <v>89</v>
      </c>
      <c r="H427" s="6"/>
    </row>
    <row r="428" hidden="1">
      <c r="A428" s="2" t="s">
        <v>104</v>
      </c>
      <c r="B428" s="2" t="s">
        <v>1687</v>
      </c>
      <c r="C428" s="2" t="s">
        <v>426</v>
      </c>
      <c r="D428" s="2" t="s">
        <v>183</v>
      </c>
      <c r="E428" s="4">
        <v>1.0</v>
      </c>
      <c r="F428" s="2" t="s">
        <v>181</v>
      </c>
      <c r="G428" s="2" t="s">
        <v>89</v>
      </c>
      <c r="H428" s="6"/>
    </row>
    <row r="429" hidden="1">
      <c r="A429" s="2" t="s">
        <v>34</v>
      </c>
      <c r="B429" s="2" t="s">
        <v>1689</v>
      </c>
      <c r="C429" s="2" t="s">
        <v>1690</v>
      </c>
      <c r="D429" s="2" t="s">
        <v>199</v>
      </c>
      <c r="E429" s="4">
        <v>14.0</v>
      </c>
      <c r="F429" s="2" t="s">
        <v>181</v>
      </c>
      <c r="G429" s="2" t="s">
        <v>89</v>
      </c>
      <c r="H429" s="6"/>
    </row>
    <row r="430" hidden="1">
      <c r="A430" s="2" t="s">
        <v>34</v>
      </c>
      <c r="B430" s="2" t="s">
        <v>1693</v>
      </c>
      <c r="C430" s="2" t="s">
        <v>1694</v>
      </c>
      <c r="D430" s="2" t="s">
        <v>174</v>
      </c>
      <c r="E430" s="4">
        <v>12.0</v>
      </c>
      <c r="F430" s="2" t="s">
        <v>181</v>
      </c>
      <c r="G430" s="2" t="s">
        <v>89</v>
      </c>
      <c r="H430" s="6"/>
    </row>
    <row r="431" hidden="1">
      <c r="A431" s="2" t="s">
        <v>34</v>
      </c>
      <c r="B431" s="2" t="s">
        <v>1697</v>
      </c>
      <c r="C431" s="2" t="s">
        <v>1698</v>
      </c>
      <c r="D431" s="2" t="s">
        <v>199</v>
      </c>
      <c r="E431" s="4">
        <v>9.0</v>
      </c>
      <c r="F431" s="2" t="s">
        <v>181</v>
      </c>
      <c r="G431" s="2" t="s">
        <v>89</v>
      </c>
      <c r="H431" s="6"/>
    </row>
    <row r="432" hidden="1">
      <c r="A432" s="2" t="s">
        <v>34</v>
      </c>
      <c r="B432" s="2" t="s">
        <v>1700</v>
      </c>
      <c r="C432" s="2" t="s">
        <v>1702</v>
      </c>
      <c r="D432" s="2" t="s">
        <v>428</v>
      </c>
      <c r="E432" s="4">
        <v>1.0</v>
      </c>
      <c r="F432" s="2" t="s">
        <v>181</v>
      </c>
      <c r="G432" s="2" t="s">
        <v>89</v>
      </c>
      <c r="H432" s="6"/>
    </row>
    <row r="433" hidden="1">
      <c r="A433" s="2" t="s">
        <v>49</v>
      </c>
      <c r="B433" s="2" t="s">
        <v>1700</v>
      </c>
      <c r="C433" s="2" t="s">
        <v>1702</v>
      </c>
      <c r="D433" s="2" t="s">
        <v>133</v>
      </c>
      <c r="E433" s="4">
        <v>2.0</v>
      </c>
      <c r="F433" s="2" t="s">
        <v>181</v>
      </c>
      <c r="G433" s="2" t="s">
        <v>89</v>
      </c>
      <c r="H433" s="6"/>
    </row>
    <row r="434" hidden="1">
      <c r="A434" s="2" t="s">
        <v>49</v>
      </c>
      <c r="B434" s="2" t="s">
        <v>1693</v>
      </c>
      <c r="C434" s="2" t="s">
        <v>1694</v>
      </c>
      <c r="D434" s="2" t="s">
        <v>133</v>
      </c>
      <c r="E434" s="4">
        <v>9.0</v>
      </c>
      <c r="F434" s="2" t="s">
        <v>181</v>
      </c>
      <c r="G434" s="2" t="s">
        <v>89</v>
      </c>
      <c r="H434" s="6"/>
    </row>
    <row r="435" hidden="1">
      <c r="A435" s="2" t="s">
        <v>49</v>
      </c>
      <c r="B435" s="2" t="s">
        <v>1693</v>
      </c>
      <c r="C435" s="2" t="s">
        <v>1694</v>
      </c>
      <c r="D435" s="2" t="s">
        <v>219</v>
      </c>
      <c r="E435" s="4">
        <v>1.0</v>
      </c>
      <c r="F435" s="2" t="s">
        <v>181</v>
      </c>
      <c r="G435" s="2" t="s">
        <v>89</v>
      </c>
      <c r="H435" s="6"/>
    </row>
    <row r="436" hidden="1">
      <c r="A436" s="2" t="s">
        <v>49</v>
      </c>
      <c r="B436" s="2" t="s">
        <v>1697</v>
      </c>
      <c r="C436" s="2" t="s">
        <v>1698</v>
      </c>
      <c r="D436" s="2" t="s">
        <v>133</v>
      </c>
      <c r="E436" s="4">
        <v>6.0</v>
      </c>
      <c r="F436" s="2" t="s">
        <v>181</v>
      </c>
      <c r="G436" s="2" t="s">
        <v>89</v>
      </c>
      <c r="H436" s="6"/>
    </row>
    <row r="437" hidden="1">
      <c r="A437" s="2" t="s">
        <v>49</v>
      </c>
      <c r="B437" s="2" t="s">
        <v>1697</v>
      </c>
      <c r="C437" s="2" t="s">
        <v>1698</v>
      </c>
      <c r="D437" s="2" t="s">
        <v>219</v>
      </c>
      <c r="E437" s="4">
        <v>1.0</v>
      </c>
      <c r="F437" s="2" t="s">
        <v>181</v>
      </c>
      <c r="G437" s="2" t="s">
        <v>89</v>
      </c>
      <c r="H437" s="6"/>
    </row>
    <row r="438" hidden="1">
      <c r="A438" s="2" t="s">
        <v>49</v>
      </c>
      <c r="B438" s="2" t="s">
        <v>1679</v>
      </c>
      <c r="C438" s="2" t="s">
        <v>1679</v>
      </c>
      <c r="D438" s="2" t="s">
        <v>133</v>
      </c>
      <c r="E438" s="4">
        <v>3.0</v>
      </c>
      <c r="F438" s="2" t="s">
        <v>181</v>
      </c>
      <c r="G438" s="2" t="s">
        <v>89</v>
      </c>
      <c r="H438" s="6"/>
    </row>
    <row r="439" hidden="1">
      <c r="A439" s="2" t="s">
        <v>49</v>
      </c>
      <c r="B439" s="2" t="s">
        <v>1675</v>
      </c>
      <c r="C439" s="2" t="s">
        <v>1676</v>
      </c>
      <c r="D439" s="2" t="s">
        <v>133</v>
      </c>
      <c r="E439" s="4">
        <v>16.0</v>
      </c>
      <c r="F439" s="2" t="s">
        <v>181</v>
      </c>
      <c r="G439" s="2" t="s">
        <v>89</v>
      </c>
      <c r="H439" s="6"/>
    </row>
    <row r="440" hidden="1">
      <c r="A440" s="2" t="s">
        <v>49</v>
      </c>
      <c r="B440" s="2" t="s">
        <v>1646</v>
      </c>
      <c r="C440" s="2" t="s">
        <v>1648</v>
      </c>
      <c r="D440" s="2" t="s">
        <v>138</v>
      </c>
      <c r="E440" s="4">
        <v>36.0</v>
      </c>
      <c r="F440" s="2" t="s">
        <v>181</v>
      </c>
      <c r="G440" s="2" t="s">
        <v>89</v>
      </c>
      <c r="H440" s="6"/>
    </row>
    <row r="441" hidden="1">
      <c r="A441" s="2" t="s">
        <v>49</v>
      </c>
      <c r="B441" s="2" t="s">
        <v>1689</v>
      </c>
      <c r="C441" s="2" t="s">
        <v>1722</v>
      </c>
      <c r="D441" s="2" t="s">
        <v>138</v>
      </c>
      <c r="E441" s="4">
        <v>10.0</v>
      </c>
      <c r="F441" s="2" t="s">
        <v>181</v>
      </c>
      <c r="G441" s="2" t="s">
        <v>89</v>
      </c>
      <c r="H441" s="6"/>
    </row>
    <row r="442" hidden="1">
      <c r="A442" s="2" t="s">
        <v>49</v>
      </c>
      <c r="B442" s="2" t="s">
        <v>1689</v>
      </c>
      <c r="C442" s="2" t="s">
        <v>1722</v>
      </c>
      <c r="D442" s="2" t="s">
        <v>224</v>
      </c>
      <c r="E442" s="4">
        <v>2.0</v>
      </c>
      <c r="F442" s="2" t="s">
        <v>181</v>
      </c>
      <c r="G442" s="2" t="s">
        <v>89</v>
      </c>
      <c r="H442" s="6"/>
    </row>
    <row r="443" hidden="1">
      <c r="A443" s="2" t="s">
        <v>49</v>
      </c>
      <c r="B443" s="2" t="s">
        <v>1683</v>
      </c>
      <c r="C443" s="2" t="s">
        <v>1685</v>
      </c>
      <c r="D443" s="2" t="s">
        <v>138</v>
      </c>
      <c r="E443" s="4">
        <v>28.0</v>
      </c>
      <c r="F443" s="2" t="s">
        <v>181</v>
      </c>
      <c r="G443" s="2" t="s">
        <v>89</v>
      </c>
      <c r="H443" s="6"/>
    </row>
    <row r="444" hidden="1">
      <c r="A444" s="2" t="s">
        <v>49</v>
      </c>
      <c r="B444" s="2" t="s">
        <v>863</v>
      </c>
      <c r="C444" s="2" t="s">
        <v>863</v>
      </c>
      <c r="D444" s="2" t="s">
        <v>138</v>
      </c>
      <c r="E444" s="4">
        <v>17.0</v>
      </c>
      <c r="F444" s="2" t="s">
        <v>181</v>
      </c>
      <c r="G444" s="2" t="s">
        <v>89</v>
      </c>
      <c r="H444" s="6"/>
    </row>
    <row r="445" hidden="1">
      <c r="A445" s="2" t="s">
        <v>49</v>
      </c>
      <c r="B445" s="2" t="s">
        <v>1731</v>
      </c>
      <c r="C445" s="2" t="s">
        <v>1732</v>
      </c>
      <c r="D445" s="2" t="s">
        <v>138</v>
      </c>
      <c r="E445" s="4">
        <v>53.0</v>
      </c>
      <c r="F445" s="2" t="s">
        <v>181</v>
      </c>
      <c r="G445" s="2" t="s">
        <v>89</v>
      </c>
      <c r="H445" s="6"/>
    </row>
    <row r="446" hidden="1">
      <c r="A446" s="2" t="s">
        <v>49</v>
      </c>
      <c r="B446" s="2" t="s">
        <v>853</v>
      </c>
      <c r="C446" s="2" t="s">
        <v>1651</v>
      </c>
      <c r="D446" s="2" t="s">
        <v>138</v>
      </c>
      <c r="E446" s="4">
        <v>26.0</v>
      </c>
      <c r="F446" s="2" t="s">
        <v>181</v>
      </c>
      <c r="G446" s="2" t="s">
        <v>89</v>
      </c>
      <c r="H446" s="6"/>
    </row>
    <row r="447" hidden="1">
      <c r="A447" s="2" t="s">
        <v>49</v>
      </c>
      <c r="B447" s="2" t="s">
        <v>853</v>
      </c>
      <c r="C447" s="2" t="s">
        <v>1651</v>
      </c>
      <c r="D447" s="2" t="s">
        <v>224</v>
      </c>
      <c r="E447" s="4">
        <v>4.0</v>
      </c>
      <c r="F447" s="2" t="s">
        <v>181</v>
      </c>
      <c r="G447" s="2" t="s">
        <v>89</v>
      </c>
      <c r="H447" s="6"/>
    </row>
    <row r="448" hidden="1">
      <c r="A448" s="2" t="s">
        <v>34</v>
      </c>
      <c r="B448" s="2" t="s">
        <v>1738</v>
      </c>
      <c r="C448" s="2" t="s">
        <v>1738</v>
      </c>
      <c r="D448" s="2" t="s">
        <v>191</v>
      </c>
      <c r="E448" s="4">
        <v>3.0</v>
      </c>
      <c r="F448" s="2" t="s">
        <v>181</v>
      </c>
      <c r="G448" s="2" t="s">
        <v>89</v>
      </c>
      <c r="H448" s="6"/>
    </row>
    <row r="449" hidden="1">
      <c r="A449" s="2" t="s">
        <v>61</v>
      </c>
      <c r="B449" s="2" t="s">
        <v>1738</v>
      </c>
      <c r="C449" s="2" t="s">
        <v>1738</v>
      </c>
      <c r="D449" s="2" t="s">
        <v>53</v>
      </c>
      <c r="E449" s="4">
        <v>1.0</v>
      </c>
      <c r="F449" s="2" t="s">
        <v>181</v>
      </c>
      <c r="G449" s="2" t="s">
        <v>89</v>
      </c>
      <c r="H449" s="6"/>
    </row>
    <row r="450" hidden="1">
      <c r="A450" s="2" t="s">
        <v>34</v>
      </c>
      <c r="B450" s="2" t="s">
        <v>1731</v>
      </c>
      <c r="C450" s="2" t="s">
        <v>1745</v>
      </c>
      <c r="D450" s="2" t="s">
        <v>224</v>
      </c>
      <c r="E450" s="4">
        <v>7.0</v>
      </c>
      <c r="F450" s="2" t="s">
        <v>181</v>
      </c>
      <c r="G450" s="2" t="s">
        <v>89</v>
      </c>
      <c r="H450" s="6"/>
    </row>
    <row r="451" hidden="1">
      <c r="A451" s="2" t="s">
        <v>104</v>
      </c>
      <c r="B451" s="2" t="s">
        <v>1747</v>
      </c>
      <c r="C451" s="2" t="s">
        <v>376</v>
      </c>
      <c r="D451" s="2" t="s">
        <v>17</v>
      </c>
      <c r="E451" s="4">
        <v>1.0</v>
      </c>
      <c r="F451" s="2" t="s">
        <v>181</v>
      </c>
      <c r="G451" s="2" t="s">
        <v>89</v>
      </c>
      <c r="H451" s="6"/>
    </row>
    <row r="452" hidden="1">
      <c r="A452" s="2" t="s">
        <v>104</v>
      </c>
      <c r="B452" s="2" t="s">
        <v>1749</v>
      </c>
      <c r="C452" s="2" t="s">
        <v>376</v>
      </c>
      <c r="D452" s="2" t="s">
        <v>17</v>
      </c>
      <c r="E452" s="4">
        <v>1.0</v>
      </c>
      <c r="F452" s="2" t="s">
        <v>181</v>
      </c>
      <c r="G452" s="2" t="s">
        <v>89</v>
      </c>
      <c r="H452" s="6"/>
    </row>
    <row r="453" hidden="1">
      <c r="A453" s="2" t="s">
        <v>104</v>
      </c>
      <c r="B453" s="2" t="s">
        <v>1750</v>
      </c>
      <c r="C453" s="2" t="s">
        <v>376</v>
      </c>
      <c r="D453" s="2" t="s">
        <v>362</v>
      </c>
      <c r="E453" s="4">
        <v>2.0</v>
      </c>
      <c r="F453" s="2" t="s">
        <v>181</v>
      </c>
      <c r="G453" s="2" t="s">
        <v>89</v>
      </c>
      <c r="H453" s="6"/>
    </row>
    <row r="454" hidden="1">
      <c r="A454" s="2" t="s">
        <v>104</v>
      </c>
      <c r="B454" s="2" t="s">
        <v>1751</v>
      </c>
      <c r="C454" s="2" t="s">
        <v>1751</v>
      </c>
      <c r="D454" s="2" t="s">
        <v>183</v>
      </c>
      <c r="E454" s="4">
        <v>1.0</v>
      </c>
      <c r="F454" s="2" t="s">
        <v>181</v>
      </c>
      <c r="G454" s="2" t="s">
        <v>89</v>
      </c>
      <c r="H454" s="6"/>
    </row>
    <row r="455" hidden="1">
      <c r="A455" s="2" t="s">
        <v>104</v>
      </c>
      <c r="B455" s="2" t="s">
        <v>726</v>
      </c>
      <c r="C455" s="2" t="s">
        <v>30</v>
      </c>
      <c r="D455" s="2" t="s">
        <v>292</v>
      </c>
      <c r="E455" s="4">
        <v>1.0</v>
      </c>
      <c r="F455" s="2" t="s">
        <v>181</v>
      </c>
      <c r="G455" s="2" t="s">
        <v>89</v>
      </c>
      <c r="H455" s="6"/>
    </row>
    <row r="456" hidden="1">
      <c r="A456" s="2" t="s">
        <v>104</v>
      </c>
      <c r="B456" s="2" t="s">
        <v>769</v>
      </c>
      <c r="C456" s="2" t="s">
        <v>30</v>
      </c>
      <c r="D456" s="2" t="s">
        <v>284</v>
      </c>
      <c r="E456" s="4">
        <v>8.0</v>
      </c>
      <c r="F456" s="2" t="s">
        <v>181</v>
      </c>
      <c r="G456" s="2" t="s">
        <v>89</v>
      </c>
      <c r="H456" s="6"/>
    </row>
    <row r="457" hidden="1">
      <c r="A457" s="2" t="s">
        <v>34</v>
      </c>
      <c r="B457" s="2" t="s">
        <v>1752</v>
      </c>
      <c r="C457" s="2" t="s">
        <v>1752</v>
      </c>
      <c r="D457" s="2" t="s">
        <v>206</v>
      </c>
      <c r="E457" s="4">
        <v>1.0</v>
      </c>
      <c r="F457" s="2" t="s">
        <v>181</v>
      </c>
      <c r="G457" s="2" t="s">
        <v>89</v>
      </c>
      <c r="H457" s="6"/>
    </row>
    <row r="458" hidden="1">
      <c r="A458" s="2" t="s">
        <v>104</v>
      </c>
      <c r="B458" s="2" t="s">
        <v>1753</v>
      </c>
      <c r="C458" s="2" t="s">
        <v>376</v>
      </c>
      <c r="D458" s="2" t="s">
        <v>17</v>
      </c>
      <c r="E458" s="4">
        <v>1.0</v>
      </c>
      <c r="F458" s="2" t="s">
        <v>181</v>
      </c>
      <c r="G458" s="2" t="s">
        <v>89</v>
      </c>
      <c r="H458" s="6"/>
    </row>
    <row r="459" hidden="1">
      <c r="A459" s="2" t="s">
        <v>104</v>
      </c>
      <c r="B459" s="2" t="s">
        <v>1754</v>
      </c>
      <c r="C459" s="2" t="s">
        <v>376</v>
      </c>
      <c r="D459" s="2" t="s">
        <v>17</v>
      </c>
      <c r="E459" s="4">
        <v>1.0</v>
      </c>
      <c r="F459" s="2" t="s">
        <v>181</v>
      </c>
      <c r="G459" s="2" t="s">
        <v>89</v>
      </c>
      <c r="H459" s="6"/>
    </row>
    <row r="460" hidden="1">
      <c r="A460" s="2" t="s">
        <v>75</v>
      </c>
      <c r="B460" s="2" t="s">
        <v>1755</v>
      </c>
      <c r="C460" s="2" t="s">
        <v>376</v>
      </c>
      <c r="D460" s="2" t="s">
        <v>17</v>
      </c>
      <c r="E460" s="4">
        <v>26.0</v>
      </c>
      <c r="F460" s="2" t="s">
        <v>181</v>
      </c>
      <c r="G460" s="2" t="s">
        <v>89</v>
      </c>
      <c r="H460" s="6"/>
    </row>
    <row r="461" hidden="1">
      <c r="A461" s="2" t="s">
        <v>104</v>
      </c>
      <c r="B461" s="2" t="s">
        <v>1758</v>
      </c>
      <c r="C461" s="2" t="s">
        <v>376</v>
      </c>
      <c r="D461" s="2" t="s">
        <v>17</v>
      </c>
      <c r="E461" s="4">
        <v>2.0</v>
      </c>
      <c r="F461" s="2" t="s">
        <v>181</v>
      </c>
      <c r="G461" s="2" t="s">
        <v>89</v>
      </c>
      <c r="H461" s="6"/>
    </row>
    <row r="462" hidden="1">
      <c r="A462" s="2" t="s">
        <v>34</v>
      </c>
      <c r="B462" s="2" t="s">
        <v>1760</v>
      </c>
      <c r="C462" s="2" t="s">
        <v>1760</v>
      </c>
      <c r="D462" s="2" t="s">
        <v>88</v>
      </c>
      <c r="E462" s="4">
        <v>2.0</v>
      </c>
      <c r="F462" s="2" t="s">
        <v>181</v>
      </c>
      <c r="G462" s="2" t="s">
        <v>89</v>
      </c>
      <c r="H462" s="6"/>
    </row>
    <row r="463" hidden="1">
      <c r="A463" s="2" t="s">
        <v>104</v>
      </c>
      <c r="B463" s="2" t="s">
        <v>1763</v>
      </c>
      <c r="C463" s="2" t="s">
        <v>1764</v>
      </c>
      <c r="D463" s="2" t="s">
        <v>17</v>
      </c>
      <c r="E463" s="4">
        <v>1.0</v>
      </c>
      <c r="F463" s="2" t="s">
        <v>181</v>
      </c>
      <c r="G463" s="2" t="s">
        <v>89</v>
      </c>
      <c r="H463" s="6"/>
    </row>
    <row r="464" hidden="1">
      <c r="A464" s="2"/>
      <c r="B464" s="2"/>
      <c r="C464" s="2"/>
      <c r="D464" s="2"/>
      <c r="E464" s="4"/>
      <c r="F464" s="2"/>
      <c r="G464" s="2"/>
      <c r="H464" s="6"/>
    </row>
    <row r="465" hidden="1">
      <c r="A465" s="2"/>
      <c r="B465" s="2"/>
      <c r="C465" s="2"/>
      <c r="D465" s="2"/>
      <c r="E465" s="4"/>
      <c r="F465" s="2"/>
      <c r="G465" s="2"/>
      <c r="H465" s="6"/>
    </row>
    <row r="466" hidden="1">
      <c r="A466" s="2"/>
      <c r="B466" s="2"/>
      <c r="C466" s="2"/>
      <c r="D466" s="2"/>
      <c r="E466" s="4"/>
      <c r="F466" s="2"/>
      <c r="G466" s="2"/>
      <c r="H466" s="6"/>
    </row>
    <row r="467" hidden="1">
      <c r="A467" s="2"/>
      <c r="B467" s="2"/>
      <c r="C467" s="2"/>
      <c r="D467" s="2"/>
      <c r="E467" s="4"/>
      <c r="F467" s="2"/>
      <c r="G467" s="2"/>
      <c r="H467" s="6"/>
    </row>
    <row r="468" hidden="1">
      <c r="A468" s="2"/>
      <c r="B468" s="2"/>
      <c r="C468" s="2"/>
      <c r="D468" s="2"/>
      <c r="E468" s="4"/>
      <c r="F468" s="2"/>
      <c r="G468" s="2"/>
      <c r="H468" s="6"/>
    </row>
    <row r="469" hidden="1">
      <c r="A469" s="2"/>
      <c r="B469" s="2"/>
      <c r="C469" s="2"/>
      <c r="D469" s="2"/>
      <c r="E469" s="4"/>
      <c r="F469" s="2"/>
      <c r="G469" s="2"/>
      <c r="H469" s="6"/>
    </row>
    <row r="470" hidden="1">
      <c r="A470" s="2"/>
      <c r="B470" s="2"/>
      <c r="C470" s="2"/>
      <c r="D470" s="2"/>
      <c r="E470" s="4"/>
      <c r="F470" s="2"/>
      <c r="G470" s="2"/>
      <c r="H470" s="6"/>
    </row>
    <row r="471" hidden="1">
      <c r="A471" s="2"/>
      <c r="B471" s="2"/>
      <c r="C471" s="2"/>
      <c r="D471" s="2"/>
      <c r="E471" s="4"/>
      <c r="F471" s="2"/>
      <c r="G471" s="2"/>
      <c r="H471" s="6"/>
    </row>
    <row r="472" hidden="1">
      <c r="A472" s="2"/>
      <c r="B472" s="2"/>
      <c r="C472" s="2"/>
      <c r="D472" s="2"/>
      <c r="E472" s="4"/>
      <c r="F472" s="2"/>
      <c r="G472" s="2"/>
      <c r="H472" s="6"/>
    </row>
    <row r="473" hidden="1">
      <c r="A473" s="2"/>
      <c r="B473" s="2"/>
      <c r="C473" s="2"/>
      <c r="D473" s="2"/>
      <c r="E473" s="4"/>
      <c r="F473" s="2"/>
      <c r="G473" s="2"/>
      <c r="H473" s="6"/>
    </row>
    <row r="474" hidden="1">
      <c r="A474" s="2"/>
      <c r="B474" s="2"/>
      <c r="C474" s="2"/>
      <c r="D474" s="2"/>
      <c r="E474" s="4"/>
      <c r="F474" s="2"/>
      <c r="G474" s="2"/>
      <c r="H474" s="6"/>
    </row>
    <row r="475" hidden="1">
      <c r="A475" s="2"/>
      <c r="B475" s="2"/>
      <c r="C475" s="2"/>
      <c r="D475" s="2"/>
      <c r="E475" s="4"/>
      <c r="F475" s="2"/>
      <c r="G475" s="2"/>
      <c r="H475" s="6"/>
    </row>
    <row r="476" hidden="1">
      <c r="A476" s="2"/>
      <c r="B476" s="2"/>
      <c r="C476" s="2"/>
      <c r="D476" s="2"/>
      <c r="E476" s="4"/>
      <c r="F476" s="2"/>
      <c r="G476" s="2"/>
      <c r="H476" s="6"/>
    </row>
    <row r="477" hidden="1">
      <c r="A477" s="2"/>
      <c r="B477" s="2"/>
      <c r="C477" s="2"/>
      <c r="D477" s="2"/>
      <c r="E477" s="4"/>
      <c r="F477" s="2"/>
      <c r="G477" s="2"/>
      <c r="H477" s="6"/>
    </row>
    <row r="478" hidden="1">
      <c r="A478" s="2"/>
      <c r="B478" s="2"/>
      <c r="C478" s="2"/>
      <c r="D478" s="2"/>
      <c r="E478" s="4"/>
      <c r="F478" s="2"/>
      <c r="G478" s="2"/>
      <c r="H478" s="6"/>
    </row>
    <row r="479" hidden="1">
      <c r="A479" s="2"/>
      <c r="B479" s="2"/>
      <c r="C479" s="2"/>
      <c r="D479" s="2"/>
      <c r="E479" s="4"/>
      <c r="F479" s="2"/>
      <c r="G479" s="2"/>
      <c r="H479" s="6"/>
    </row>
    <row r="480" hidden="1">
      <c r="A480" s="2"/>
      <c r="B480" s="2"/>
      <c r="C480" s="2"/>
      <c r="D480" s="2"/>
      <c r="E480" s="4"/>
      <c r="F480" s="2"/>
      <c r="G480" s="2"/>
      <c r="H480" s="6"/>
    </row>
    <row r="481" hidden="1">
      <c r="A481" s="2"/>
      <c r="B481" s="2"/>
      <c r="C481" s="2"/>
      <c r="D481" s="2"/>
      <c r="E481" s="4"/>
      <c r="F481" s="2"/>
      <c r="G481" s="2"/>
      <c r="H481" s="6"/>
    </row>
    <row r="482" hidden="1">
      <c r="A482" s="2"/>
      <c r="B482" s="2"/>
      <c r="C482" s="2"/>
      <c r="D482" s="2"/>
      <c r="E482" s="4"/>
      <c r="F482" s="2"/>
      <c r="G482" s="2"/>
      <c r="H482" s="6"/>
    </row>
    <row r="483" hidden="1">
      <c r="A483" s="2"/>
      <c r="B483" s="2"/>
      <c r="C483" s="2"/>
      <c r="D483" s="2"/>
      <c r="E483" s="4"/>
      <c r="F483" s="2"/>
      <c r="G483" s="2"/>
      <c r="H483" s="6"/>
    </row>
    <row r="484" hidden="1">
      <c r="A484" s="2"/>
      <c r="B484" s="2"/>
      <c r="C484" s="2"/>
      <c r="D484" s="2"/>
      <c r="E484" s="4"/>
      <c r="F484" s="2"/>
      <c r="G484" s="2"/>
      <c r="H484" s="6"/>
    </row>
    <row r="485">
      <c r="H485" s="6"/>
    </row>
    <row r="486">
      <c r="H486" s="6"/>
    </row>
    <row r="487">
      <c r="H487" s="6"/>
    </row>
    <row r="488">
      <c r="H488" s="6"/>
    </row>
    <row r="489">
      <c r="H489" s="6"/>
    </row>
    <row r="490">
      <c r="H490" s="6"/>
    </row>
    <row r="491">
      <c r="H491" s="6"/>
    </row>
    <row r="492">
      <c r="H492" s="6"/>
    </row>
    <row r="493">
      <c r="H493" s="6"/>
    </row>
    <row r="494">
      <c r="H494" s="6"/>
    </row>
    <row r="495">
      <c r="H495" s="6"/>
    </row>
    <row r="496">
      <c r="H496" s="6"/>
    </row>
    <row r="497">
      <c r="H497" s="6"/>
    </row>
    <row r="498">
      <c r="H498" s="6"/>
    </row>
    <row r="499">
      <c r="H499" s="6"/>
    </row>
    <row r="500">
      <c r="H500" s="6"/>
    </row>
    <row r="501">
      <c r="H501" s="6"/>
    </row>
    <row r="502">
      <c r="H502" s="6"/>
    </row>
    <row r="503">
      <c r="H503" s="6"/>
    </row>
    <row r="504">
      <c r="H504" s="6"/>
    </row>
    <row r="505">
      <c r="H505" s="6"/>
    </row>
    <row r="506">
      <c r="H506" s="6"/>
    </row>
    <row r="507">
      <c r="H507" s="6"/>
    </row>
    <row r="508">
      <c r="H508" s="6"/>
    </row>
    <row r="509">
      <c r="H509" s="6"/>
    </row>
    <row r="510">
      <c r="H510" s="6"/>
    </row>
    <row r="511">
      <c r="H511" s="6"/>
    </row>
    <row r="512">
      <c r="H512" s="6"/>
    </row>
    <row r="513">
      <c r="H513" s="6"/>
    </row>
    <row r="514">
      <c r="H514" s="6"/>
    </row>
    <row r="515">
      <c r="H515" s="6"/>
    </row>
    <row r="516">
      <c r="H516" s="6"/>
    </row>
    <row r="517">
      <c r="H517" s="6"/>
    </row>
    <row r="518">
      <c r="H518" s="6"/>
    </row>
    <row r="519">
      <c r="H519" s="6"/>
    </row>
    <row r="520">
      <c r="H520" s="6"/>
    </row>
    <row r="521">
      <c r="H521" s="6"/>
    </row>
    <row r="522">
      <c r="H522" s="6"/>
    </row>
    <row r="523">
      <c r="H523" s="6"/>
    </row>
    <row r="524">
      <c r="H524" s="6"/>
    </row>
    <row r="525">
      <c r="H525" s="6"/>
    </row>
    <row r="526">
      <c r="H526" s="6"/>
    </row>
    <row r="527">
      <c r="H527" s="6"/>
    </row>
    <row r="528">
      <c r="H528" s="6"/>
    </row>
    <row r="529">
      <c r="H529" s="6"/>
    </row>
    <row r="530">
      <c r="H530" s="6"/>
    </row>
    <row r="531">
      <c r="H531" s="6"/>
    </row>
    <row r="532">
      <c r="H532" s="6"/>
    </row>
    <row r="533">
      <c r="H533" s="6"/>
    </row>
    <row r="534">
      <c r="H534" s="6"/>
    </row>
    <row r="535">
      <c r="H535" s="6"/>
    </row>
    <row r="536">
      <c r="H536" s="6"/>
    </row>
    <row r="537">
      <c r="H537" s="6"/>
    </row>
    <row r="538">
      <c r="H538" s="6"/>
    </row>
    <row r="539">
      <c r="H539" s="6"/>
    </row>
    <row r="540">
      <c r="H540" s="6"/>
    </row>
    <row r="541">
      <c r="H541" s="6"/>
    </row>
    <row r="542">
      <c r="H542" s="6"/>
    </row>
    <row r="543">
      <c r="H543" s="6"/>
    </row>
    <row r="544">
      <c r="H544" s="6"/>
    </row>
    <row r="545">
      <c r="H545" s="6"/>
    </row>
    <row r="546">
      <c r="H546" s="6"/>
    </row>
    <row r="547">
      <c r="H547" s="6"/>
    </row>
    <row r="548">
      <c r="H548" s="6"/>
    </row>
    <row r="549">
      <c r="H549" s="6"/>
    </row>
    <row r="550">
      <c r="H550" s="6"/>
    </row>
    <row r="551">
      <c r="H551" s="6"/>
    </row>
    <row r="552">
      <c r="H552" s="6"/>
    </row>
    <row r="553">
      <c r="H553" s="6"/>
    </row>
    <row r="554">
      <c r="H554" s="6"/>
    </row>
    <row r="555">
      <c r="H555" s="6"/>
    </row>
    <row r="556">
      <c r="H556" s="6"/>
    </row>
    <row r="557">
      <c r="H557" s="6"/>
    </row>
    <row r="558">
      <c r="H558" s="6"/>
    </row>
    <row r="559">
      <c r="H559" s="6"/>
    </row>
    <row r="560">
      <c r="H560" s="6"/>
    </row>
    <row r="561">
      <c r="H561" s="6"/>
    </row>
    <row r="562">
      <c r="H562" s="6"/>
    </row>
    <row r="563">
      <c r="H563" s="6"/>
    </row>
    <row r="564">
      <c r="H564" s="6"/>
    </row>
    <row r="565">
      <c r="H565" s="6"/>
    </row>
    <row r="566">
      <c r="H566" s="6"/>
    </row>
    <row r="567">
      <c r="H567" s="6"/>
    </row>
    <row r="568">
      <c r="H568" s="6"/>
    </row>
    <row r="569">
      <c r="H569" s="6"/>
    </row>
    <row r="570">
      <c r="H570" s="6"/>
    </row>
    <row r="571">
      <c r="H571" s="6"/>
    </row>
    <row r="572">
      <c r="H572" s="6"/>
    </row>
    <row r="573">
      <c r="H573" s="6"/>
    </row>
    <row r="574">
      <c r="H574" s="6"/>
    </row>
    <row r="575">
      <c r="H575" s="6"/>
    </row>
    <row r="576">
      <c r="H576" s="6"/>
    </row>
    <row r="577">
      <c r="H577" s="6"/>
    </row>
    <row r="578">
      <c r="H578" s="6"/>
    </row>
    <row r="579">
      <c r="H579" s="6"/>
    </row>
    <row r="580">
      <c r="H580" s="6"/>
    </row>
    <row r="581">
      <c r="H581" s="6"/>
    </row>
    <row r="582">
      <c r="H582" s="6"/>
    </row>
    <row r="583">
      <c r="H583" s="6"/>
    </row>
    <row r="584">
      <c r="H584" s="6"/>
    </row>
    <row r="585">
      <c r="H585" s="6"/>
    </row>
    <row r="586">
      <c r="H586" s="6"/>
    </row>
    <row r="587">
      <c r="H587" s="6"/>
    </row>
    <row r="588">
      <c r="H588" s="6"/>
    </row>
    <row r="589">
      <c r="H589" s="6"/>
    </row>
    <row r="590">
      <c r="H590" s="6"/>
    </row>
    <row r="591">
      <c r="H591" s="6"/>
    </row>
    <row r="592">
      <c r="H592" s="6"/>
    </row>
    <row r="593">
      <c r="H593" s="6"/>
    </row>
    <row r="594">
      <c r="H594" s="6"/>
    </row>
    <row r="595">
      <c r="H595" s="6"/>
    </row>
    <row r="596">
      <c r="H596" s="6"/>
    </row>
    <row r="597">
      <c r="H597" s="6"/>
    </row>
    <row r="598">
      <c r="H598" s="6"/>
    </row>
    <row r="599">
      <c r="H599" s="6"/>
    </row>
    <row r="600">
      <c r="H600" s="6"/>
    </row>
    <row r="601">
      <c r="H601" s="6"/>
    </row>
    <row r="602">
      <c r="H602" s="6"/>
    </row>
    <row r="603">
      <c r="H603" s="6"/>
    </row>
    <row r="604">
      <c r="H604" s="6"/>
    </row>
    <row r="605">
      <c r="H605" s="6"/>
    </row>
    <row r="606">
      <c r="H606" s="6"/>
    </row>
    <row r="607">
      <c r="H607" s="6"/>
    </row>
    <row r="608">
      <c r="H608" s="6"/>
    </row>
    <row r="609">
      <c r="H609" s="6"/>
    </row>
    <row r="610">
      <c r="H610" s="6"/>
    </row>
    <row r="611">
      <c r="H611" s="6"/>
    </row>
    <row r="612">
      <c r="H612" s="6"/>
    </row>
    <row r="613">
      <c r="H613" s="6"/>
    </row>
    <row r="614">
      <c r="H614" s="6"/>
    </row>
    <row r="615">
      <c r="H615" s="6"/>
    </row>
    <row r="616">
      <c r="H616" s="6"/>
    </row>
    <row r="617">
      <c r="H617" s="6"/>
    </row>
    <row r="618">
      <c r="H618" s="6"/>
    </row>
    <row r="619">
      <c r="H619" s="6"/>
    </row>
    <row r="620">
      <c r="H620" s="6"/>
    </row>
    <row r="621">
      <c r="H621" s="6"/>
    </row>
    <row r="622">
      <c r="H622" s="6"/>
    </row>
    <row r="623">
      <c r="H623" s="6"/>
    </row>
    <row r="624">
      <c r="H624" s="6"/>
    </row>
    <row r="625">
      <c r="H625" s="6"/>
    </row>
    <row r="626">
      <c r="H626" s="6"/>
    </row>
    <row r="627">
      <c r="H627" s="6"/>
    </row>
    <row r="628">
      <c r="H628" s="6"/>
    </row>
    <row r="629">
      <c r="H629" s="6"/>
    </row>
    <row r="630">
      <c r="H630" s="6"/>
    </row>
    <row r="631">
      <c r="H631" s="6"/>
    </row>
    <row r="632">
      <c r="H632" s="6"/>
    </row>
    <row r="633">
      <c r="H633" s="6"/>
    </row>
    <row r="634">
      <c r="H634" s="6"/>
    </row>
    <row r="635">
      <c r="H635" s="6"/>
    </row>
    <row r="636">
      <c r="H636" s="6"/>
    </row>
    <row r="637">
      <c r="H637" s="6"/>
    </row>
    <row r="638">
      <c r="H638" s="6"/>
    </row>
    <row r="639">
      <c r="H639" s="6"/>
    </row>
    <row r="640">
      <c r="H640" s="6"/>
    </row>
    <row r="641">
      <c r="H641" s="6"/>
    </row>
    <row r="642">
      <c r="H642" s="6"/>
    </row>
    <row r="643">
      <c r="H643" s="6"/>
    </row>
    <row r="644">
      <c r="H644" s="6"/>
    </row>
    <row r="645">
      <c r="H645" s="6"/>
    </row>
    <row r="646">
      <c r="H646" s="6"/>
    </row>
    <row r="647">
      <c r="H647" s="6"/>
    </row>
    <row r="648">
      <c r="H648" s="6"/>
    </row>
    <row r="649">
      <c r="H649" s="6"/>
    </row>
    <row r="650">
      <c r="H650" s="6"/>
    </row>
    <row r="651">
      <c r="H651" s="6"/>
    </row>
    <row r="652">
      <c r="H652" s="6"/>
    </row>
    <row r="653">
      <c r="H653" s="6"/>
    </row>
    <row r="654">
      <c r="H654" s="6"/>
    </row>
    <row r="655">
      <c r="H655" s="6"/>
    </row>
    <row r="656">
      <c r="H656" s="6"/>
    </row>
    <row r="657">
      <c r="H657" s="6"/>
    </row>
    <row r="658">
      <c r="H658" s="6"/>
    </row>
    <row r="659">
      <c r="H659" s="6"/>
    </row>
    <row r="660">
      <c r="H660" s="6"/>
    </row>
    <row r="661">
      <c r="H661" s="6"/>
    </row>
    <row r="662">
      <c r="H662" s="6"/>
    </row>
    <row r="663">
      <c r="H663" s="6"/>
    </row>
    <row r="664">
      <c r="H664" s="6"/>
    </row>
    <row r="665">
      <c r="H665" s="6"/>
    </row>
    <row r="666">
      <c r="H666" s="6"/>
    </row>
    <row r="667">
      <c r="H667" s="6"/>
    </row>
    <row r="668">
      <c r="H668" s="6"/>
    </row>
    <row r="669">
      <c r="H669" s="6"/>
    </row>
    <row r="670">
      <c r="H670" s="6"/>
    </row>
    <row r="671">
      <c r="H671" s="6"/>
    </row>
    <row r="672">
      <c r="H672" s="6"/>
    </row>
    <row r="673">
      <c r="H673" s="6"/>
    </row>
    <row r="674">
      <c r="H674" s="6"/>
    </row>
    <row r="675">
      <c r="H675" s="6"/>
    </row>
    <row r="676">
      <c r="H676" s="6"/>
    </row>
    <row r="677">
      <c r="H677" s="6"/>
    </row>
    <row r="678">
      <c r="H678" s="6"/>
    </row>
    <row r="679">
      <c r="H679" s="6"/>
    </row>
    <row r="680">
      <c r="H680" s="6"/>
    </row>
    <row r="681">
      <c r="H681" s="6"/>
    </row>
    <row r="682">
      <c r="H682" s="6"/>
    </row>
    <row r="683">
      <c r="H683" s="6"/>
    </row>
    <row r="684">
      <c r="H684" s="6"/>
    </row>
    <row r="685">
      <c r="H685" s="6"/>
    </row>
    <row r="686">
      <c r="H686" s="6"/>
    </row>
    <row r="687">
      <c r="H687" s="6"/>
    </row>
    <row r="688">
      <c r="H688" s="6"/>
    </row>
    <row r="689">
      <c r="H689" s="6"/>
    </row>
    <row r="690">
      <c r="H690" s="6"/>
    </row>
    <row r="691">
      <c r="H691" s="6"/>
    </row>
    <row r="692">
      <c r="H692" s="6"/>
    </row>
    <row r="693">
      <c r="H693" s="6"/>
    </row>
    <row r="694">
      <c r="H694" s="6"/>
    </row>
    <row r="695">
      <c r="H695" s="6"/>
    </row>
    <row r="696">
      <c r="H696" s="6"/>
    </row>
    <row r="697">
      <c r="H697" s="6"/>
    </row>
    <row r="698">
      <c r="H698" s="6"/>
    </row>
    <row r="699">
      <c r="H699" s="6"/>
    </row>
    <row r="700">
      <c r="H700" s="6"/>
    </row>
    <row r="701">
      <c r="H701" s="6"/>
    </row>
    <row r="702">
      <c r="H702" s="6"/>
    </row>
    <row r="703">
      <c r="H703" s="6"/>
    </row>
    <row r="704">
      <c r="H704" s="6"/>
    </row>
    <row r="705">
      <c r="H705" s="6"/>
    </row>
    <row r="706">
      <c r="H706" s="6"/>
    </row>
    <row r="707">
      <c r="H707" s="6"/>
    </row>
    <row r="708">
      <c r="H708" s="6"/>
    </row>
    <row r="709">
      <c r="H709" s="6"/>
    </row>
    <row r="710">
      <c r="H710" s="6"/>
    </row>
    <row r="711">
      <c r="H711" s="6"/>
    </row>
    <row r="712">
      <c r="H712" s="6"/>
    </row>
    <row r="713">
      <c r="H713" s="6"/>
    </row>
    <row r="714">
      <c r="H714" s="6"/>
    </row>
    <row r="715">
      <c r="H715" s="6"/>
    </row>
    <row r="716">
      <c r="H716" s="6"/>
    </row>
    <row r="717">
      <c r="H717" s="6"/>
    </row>
    <row r="718">
      <c r="H718" s="6"/>
    </row>
    <row r="719">
      <c r="H719" s="6"/>
    </row>
    <row r="720">
      <c r="H720" s="6"/>
    </row>
    <row r="721">
      <c r="H721" s="6"/>
    </row>
    <row r="722">
      <c r="H722" s="6"/>
    </row>
    <row r="723">
      <c r="H723" s="6"/>
    </row>
    <row r="724">
      <c r="H724" s="6"/>
    </row>
    <row r="725">
      <c r="H725" s="6"/>
    </row>
    <row r="726">
      <c r="H726" s="6"/>
    </row>
    <row r="727">
      <c r="H727" s="6"/>
    </row>
    <row r="728">
      <c r="H728" s="6"/>
    </row>
    <row r="729">
      <c r="H729" s="6"/>
    </row>
    <row r="730">
      <c r="H730" s="6"/>
    </row>
    <row r="731">
      <c r="H731" s="6"/>
    </row>
    <row r="732">
      <c r="H732" s="6"/>
    </row>
    <row r="733">
      <c r="H733" s="6"/>
    </row>
    <row r="734">
      <c r="H734" s="6"/>
    </row>
    <row r="735">
      <c r="H735" s="6"/>
    </row>
    <row r="736">
      <c r="H736" s="6"/>
    </row>
    <row r="737">
      <c r="H737" s="6"/>
    </row>
    <row r="738">
      <c r="H738" s="6"/>
    </row>
    <row r="739">
      <c r="H739" s="6"/>
    </row>
    <row r="740">
      <c r="H740" s="6"/>
    </row>
    <row r="741">
      <c r="H741" s="6"/>
    </row>
    <row r="742">
      <c r="H742" s="6"/>
    </row>
    <row r="743">
      <c r="H743" s="6"/>
    </row>
    <row r="744">
      <c r="H744" s="6"/>
    </row>
    <row r="745">
      <c r="H745" s="6"/>
    </row>
    <row r="746">
      <c r="H746" s="6"/>
    </row>
    <row r="747">
      <c r="H747" s="6"/>
    </row>
    <row r="748">
      <c r="H748" s="6"/>
    </row>
    <row r="749">
      <c r="H749" s="6"/>
    </row>
    <row r="750">
      <c r="H750" s="6"/>
    </row>
    <row r="751">
      <c r="H751" s="6"/>
    </row>
    <row r="752">
      <c r="H752" s="6"/>
    </row>
    <row r="753">
      <c r="H753" s="6"/>
    </row>
    <row r="754">
      <c r="H754" s="6"/>
    </row>
    <row r="755">
      <c r="H755" s="6"/>
    </row>
    <row r="756">
      <c r="H756" s="6"/>
    </row>
    <row r="757">
      <c r="H757" s="6"/>
    </row>
    <row r="758">
      <c r="H758" s="6"/>
    </row>
    <row r="759">
      <c r="H759" s="6"/>
    </row>
    <row r="760">
      <c r="H760" s="6"/>
    </row>
    <row r="761">
      <c r="H761" s="6"/>
    </row>
    <row r="762">
      <c r="H762" s="6"/>
    </row>
    <row r="763">
      <c r="H763" s="6"/>
    </row>
    <row r="764">
      <c r="H764" s="6"/>
    </row>
    <row r="765">
      <c r="H765" s="6"/>
    </row>
    <row r="766">
      <c r="H766" s="6"/>
    </row>
    <row r="767">
      <c r="H767" s="6"/>
    </row>
    <row r="768">
      <c r="H768" s="6"/>
    </row>
    <row r="769">
      <c r="H769" s="6"/>
    </row>
    <row r="770">
      <c r="H770" s="6"/>
    </row>
    <row r="771">
      <c r="H771" s="6"/>
    </row>
    <row r="772">
      <c r="H772" s="6"/>
    </row>
    <row r="773">
      <c r="H773" s="6"/>
    </row>
    <row r="774">
      <c r="H774" s="6"/>
    </row>
    <row r="775">
      <c r="H775" s="6"/>
    </row>
    <row r="776">
      <c r="H776" s="6"/>
    </row>
    <row r="777">
      <c r="H777" s="6"/>
    </row>
    <row r="778">
      <c r="H778" s="6"/>
    </row>
    <row r="779">
      <c r="H779" s="6"/>
    </row>
    <row r="780">
      <c r="H780" s="6"/>
    </row>
    <row r="781">
      <c r="H781" s="6"/>
    </row>
    <row r="782">
      <c r="H782" s="6"/>
    </row>
    <row r="783">
      <c r="H783" s="6"/>
    </row>
    <row r="784">
      <c r="H784" s="6"/>
    </row>
    <row r="785">
      <c r="H785" s="6"/>
    </row>
    <row r="786">
      <c r="H786" s="6"/>
    </row>
    <row r="787">
      <c r="H787" s="6"/>
    </row>
    <row r="788">
      <c r="H788" s="6"/>
    </row>
    <row r="789">
      <c r="H789" s="6"/>
    </row>
    <row r="790">
      <c r="H790" s="6"/>
    </row>
    <row r="791">
      <c r="H791" s="6"/>
    </row>
    <row r="792">
      <c r="H792" s="6"/>
    </row>
    <row r="793">
      <c r="H793" s="6"/>
    </row>
    <row r="794">
      <c r="H794" s="6"/>
    </row>
    <row r="795">
      <c r="H795" s="6"/>
    </row>
    <row r="796">
      <c r="H796" s="6"/>
    </row>
    <row r="797">
      <c r="H797" s="6"/>
    </row>
    <row r="798">
      <c r="H798" s="6"/>
    </row>
    <row r="799">
      <c r="H799" s="6"/>
    </row>
    <row r="800">
      <c r="H800" s="6"/>
    </row>
    <row r="801">
      <c r="H801" s="6"/>
    </row>
    <row r="802">
      <c r="H802" s="6"/>
    </row>
    <row r="803">
      <c r="H803" s="6"/>
    </row>
    <row r="804">
      <c r="H804" s="6"/>
    </row>
    <row r="805">
      <c r="H805" s="6"/>
    </row>
    <row r="806">
      <c r="H806" s="6"/>
    </row>
    <row r="807">
      <c r="H807" s="6"/>
    </row>
    <row r="808">
      <c r="H808" s="6"/>
    </row>
    <row r="809">
      <c r="H809" s="6"/>
    </row>
    <row r="810">
      <c r="H810" s="6"/>
    </row>
    <row r="811">
      <c r="H811" s="6"/>
    </row>
    <row r="812">
      <c r="H812" s="6"/>
    </row>
    <row r="813">
      <c r="H813" s="6"/>
    </row>
    <row r="814">
      <c r="H814" s="6"/>
    </row>
    <row r="815">
      <c r="H815" s="6"/>
    </row>
    <row r="816">
      <c r="H816" s="6"/>
    </row>
    <row r="817">
      <c r="H817" s="6"/>
    </row>
    <row r="818">
      <c r="H818" s="6"/>
    </row>
    <row r="819">
      <c r="H819" s="6"/>
    </row>
    <row r="820">
      <c r="H820" s="6"/>
    </row>
    <row r="821">
      <c r="H821" s="6"/>
    </row>
    <row r="822">
      <c r="H822" s="6"/>
    </row>
    <row r="823">
      <c r="H823" s="6"/>
    </row>
    <row r="824">
      <c r="H824" s="6"/>
    </row>
    <row r="825">
      <c r="H825" s="6"/>
    </row>
    <row r="826">
      <c r="H826" s="6"/>
    </row>
    <row r="827">
      <c r="H827" s="6"/>
    </row>
    <row r="828">
      <c r="H828" s="6"/>
    </row>
    <row r="829">
      <c r="H829" s="6"/>
    </row>
    <row r="830">
      <c r="H830" s="6"/>
    </row>
    <row r="831">
      <c r="H831" s="6"/>
    </row>
    <row r="832">
      <c r="H832" s="6"/>
    </row>
    <row r="833">
      <c r="H833" s="6"/>
    </row>
    <row r="834">
      <c r="H834" s="6"/>
    </row>
    <row r="835">
      <c r="H835" s="6"/>
    </row>
    <row r="836">
      <c r="H836" s="6"/>
    </row>
    <row r="837">
      <c r="H837" s="6"/>
    </row>
    <row r="838">
      <c r="H838" s="6"/>
    </row>
    <row r="839">
      <c r="H839" s="6"/>
    </row>
    <row r="840">
      <c r="H840" s="6"/>
    </row>
    <row r="841">
      <c r="H841" s="6"/>
    </row>
    <row r="842">
      <c r="H842" s="6"/>
    </row>
    <row r="843">
      <c r="H843" s="6"/>
    </row>
    <row r="844">
      <c r="H844" s="6"/>
    </row>
    <row r="845">
      <c r="H845" s="6"/>
    </row>
    <row r="846">
      <c r="H846" s="6"/>
    </row>
    <row r="847">
      <c r="H847" s="6"/>
    </row>
    <row r="848">
      <c r="H848" s="6"/>
    </row>
    <row r="849">
      <c r="H849" s="6"/>
    </row>
    <row r="850">
      <c r="H850" s="6"/>
    </row>
    <row r="851">
      <c r="H851" s="6"/>
    </row>
    <row r="852">
      <c r="H852" s="6"/>
    </row>
    <row r="853">
      <c r="H853" s="6"/>
    </row>
    <row r="854">
      <c r="H854" s="6"/>
    </row>
    <row r="855">
      <c r="H855" s="6"/>
    </row>
    <row r="856">
      <c r="H856" s="6"/>
    </row>
    <row r="857">
      <c r="H857" s="6"/>
    </row>
    <row r="858">
      <c r="H858" s="6"/>
    </row>
    <row r="859">
      <c r="H859" s="6"/>
    </row>
    <row r="860">
      <c r="H860" s="6"/>
    </row>
    <row r="861">
      <c r="H861" s="6"/>
    </row>
    <row r="862">
      <c r="H862" s="6"/>
    </row>
    <row r="863">
      <c r="H863" s="6"/>
    </row>
    <row r="864">
      <c r="H864" s="6"/>
    </row>
    <row r="865">
      <c r="H865" s="6"/>
    </row>
    <row r="866">
      <c r="H866" s="6"/>
    </row>
    <row r="867">
      <c r="H867" s="6"/>
    </row>
    <row r="868">
      <c r="H868" s="6"/>
    </row>
    <row r="869">
      <c r="H869" s="6"/>
    </row>
    <row r="870">
      <c r="H870" s="6"/>
    </row>
    <row r="871">
      <c r="H871" s="6"/>
    </row>
    <row r="872">
      <c r="H872" s="6"/>
    </row>
    <row r="873">
      <c r="H873" s="6"/>
    </row>
    <row r="874">
      <c r="H874" s="6"/>
    </row>
    <row r="875">
      <c r="H875" s="6"/>
    </row>
    <row r="876">
      <c r="H876" s="6"/>
    </row>
    <row r="877">
      <c r="H877" s="6"/>
    </row>
    <row r="878">
      <c r="H878" s="6"/>
    </row>
    <row r="879">
      <c r="H879" s="6"/>
    </row>
    <row r="880">
      <c r="H880" s="6"/>
    </row>
    <row r="881">
      <c r="H881" s="6"/>
    </row>
    <row r="882">
      <c r="H882" s="6"/>
    </row>
    <row r="883">
      <c r="H883" s="6"/>
    </row>
    <row r="884">
      <c r="H884" s="6"/>
    </row>
    <row r="885">
      <c r="H885" s="6"/>
    </row>
    <row r="886">
      <c r="H886" s="6"/>
    </row>
    <row r="887">
      <c r="H887" s="6"/>
    </row>
    <row r="888">
      <c r="H888" s="6"/>
    </row>
    <row r="889">
      <c r="H889" s="6"/>
    </row>
    <row r="890">
      <c r="H890" s="6"/>
    </row>
    <row r="891">
      <c r="H891" s="6"/>
    </row>
    <row r="892">
      <c r="H892" s="6"/>
    </row>
    <row r="893">
      <c r="H893" s="6"/>
    </row>
    <row r="894">
      <c r="H894" s="6"/>
    </row>
    <row r="895">
      <c r="H895" s="6"/>
    </row>
    <row r="896">
      <c r="H896" s="6"/>
    </row>
    <row r="897">
      <c r="H897" s="6"/>
    </row>
    <row r="898">
      <c r="H898" s="6"/>
    </row>
    <row r="899">
      <c r="H899" s="6"/>
    </row>
    <row r="900">
      <c r="H900" s="6"/>
    </row>
    <row r="901">
      <c r="H901" s="6"/>
    </row>
    <row r="902">
      <c r="H902" s="6"/>
    </row>
    <row r="903">
      <c r="H903" s="6"/>
    </row>
    <row r="904">
      <c r="H904" s="6"/>
    </row>
    <row r="905">
      <c r="H905" s="6"/>
    </row>
    <row r="906">
      <c r="H906" s="6"/>
    </row>
    <row r="907">
      <c r="H907" s="6"/>
    </row>
    <row r="908">
      <c r="H908" s="6"/>
    </row>
    <row r="909">
      <c r="H909" s="6"/>
    </row>
    <row r="910">
      <c r="H910" s="6"/>
    </row>
    <row r="911">
      <c r="H911" s="6"/>
    </row>
    <row r="912">
      <c r="H912" s="6"/>
    </row>
    <row r="913">
      <c r="H913" s="6"/>
    </row>
    <row r="914">
      <c r="H914" s="6"/>
    </row>
    <row r="915">
      <c r="H915" s="6"/>
    </row>
    <row r="916">
      <c r="H916" s="6"/>
    </row>
    <row r="917">
      <c r="H917" s="6"/>
    </row>
    <row r="918">
      <c r="H918" s="6"/>
    </row>
    <row r="919">
      <c r="H919" s="6"/>
    </row>
    <row r="920">
      <c r="H920" s="6"/>
    </row>
    <row r="921">
      <c r="H921" s="6"/>
    </row>
    <row r="922">
      <c r="H922" s="6"/>
    </row>
    <row r="923">
      <c r="H923" s="6"/>
    </row>
    <row r="924">
      <c r="H924" s="6"/>
    </row>
    <row r="925">
      <c r="H925" s="6"/>
    </row>
    <row r="926">
      <c r="H926" s="6"/>
    </row>
    <row r="927">
      <c r="H927" s="6"/>
    </row>
    <row r="928">
      <c r="H928" s="6"/>
    </row>
    <row r="929">
      <c r="H929" s="6"/>
    </row>
    <row r="930">
      <c r="H930" s="6"/>
    </row>
    <row r="931">
      <c r="H931" s="6"/>
    </row>
    <row r="932">
      <c r="H932" s="6"/>
    </row>
    <row r="933">
      <c r="H933" s="6"/>
    </row>
    <row r="934">
      <c r="H934" s="6"/>
    </row>
    <row r="935">
      <c r="H935" s="6"/>
    </row>
    <row r="936">
      <c r="H936" s="6"/>
    </row>
    <row r="937">
      <c r="H937" s="6"/>
    </row>
    <row r="938">
      <c r="H938" s="6"/>
    </row>
    <row r="939">
      <c r="H939" s="6"/>
    </row>
    <row r="940">
      <c r="H940" s="6"/>
    </row>
    <row r="941">
      <c r="H941" s="6"/>
    </row>
    <row r="942">
      <c r="H942" s="6"/>
    </row>
    <row r="943">
      <c r="H943" s="6"/>
    </row>
    <row r="944">
      <c r="H944" s="6"/>
    </row>
    <row r="945">
      <c r="H945" s="6"/>
    </row>
    <row r="946">
      <c r="H946" s="6"/>
    </row>
    <row r="947">
      <c r="H947" s="6"/>
    </row>
    <row r="948">
      <c r="H948" s="6"/>
    </row>
    <row r="949">
      <c r="H949" s="6"/>
    </row>
    <row r="950">
      <c r="H950" s="6"/>
    </row>
    <row r="951">
      <c r="H951" s="6"/>
    </row>
    <row r="952">
      <c r="H952" s="6"/>
    </row>
    <row r="953">
      <c r="H953" s="6"/>
    </row>
    <row r="954">
      <c r="H954" s="6"/>
    </row>
    <row r="955">
      <c r="H955" s="6"/>
    </row>
    <row r="956">
      <c r="H956" s="6"/>
    </row>
    <row r="957">
      <c r="H957" s="6"/>
    </row>
    <row r="958">
      <c r="H958" s="6"/>
    </row>
    <row r="959">
      <c r="H959" s="6"/>
    </row>
    <row r="960">
      <c r="H960" s="6"/>
    </row>
    <row r="961">
      <c r="H961" s="6"/>
    </row>
    <row r="962">
      <c r="H962" s="6"/>
    </row>
    <row r="963">
      <c r="H963" s="6"/>
    </row>
    <row r="964">
      <c r="H964" s="6"/>
    </row>
    <row r="965">
      <c r="H965" s="6"/>
    </row>
    <row r="966">
      <c r="H966" s="6"/>
    </row>
    <row r="967">
      <c r="H967" s="6"/>
    </row>
    <row r="968">
      <c r="H968" s="6"/>
    </row>
    <row r="969">
      <c r="H969" s="6"/>
    </row>
    <row r="970">
      <c r="H970" s="6"/>
    </row>
    <row r="971">
      <c r="H971" s="6"/>
    </row>
    <row r="972">
      <c r="H972" s="6"/>
    </row>
    <row r="973">
      <c r="H973" s="6"/>
    </row>
    <row r="974">
      <c r="H974" s="6"/>
    </row>
    <row r="975">
      <c r="H975" s="6"/>
    </row>
    <row r="976">
      <c r="H976" s="6"/>
    </row>
    <row r="977">
      <c r="H977" s="6"/>
    </row>
    <row r="978">
      <c r="H978" s="6"/>
    </row>
    <row r="979">
      <c r="H979" s="6"/>
    </row>
    <row r="980">
      <c r="H980" s="6"/>
    </row>
    <row r="981">
      <c r="H981" s="6"/>
    </row>
    <row r="982">
      <c r="H982" s="6"/>
    </row>
    <row r="983">
      <c r="H983" s="6"/>
    </row>
    <row r="984">
      <c r="H984" s="6"/>
    </row>
    <row r="985">
      <c r="H985" s="6"/>
    </row>
    <row r="986">
      <c r="H986" s="6"/>
    </row>
    <row r="987">
      <c r="H987" s="6"/>
    </row>
    <row r="988">
      <c r="H988" s="6"/>
    </row>
    <row r="989">
      <c r="H989" s="6"/>
    </row>
    <row r="990">
      <c r="H990" s="6"/>
    </row>
    <row r="991">
      <c r="H991" s="6"/>
    </row>
    <row r="992">
      <c r="H992" s="6"/>
    </row>
    <row r="993">
      <c r="H993" s="6"/>
    </row>
    <row r="994">
      <c r="H994" s="6"/>
    </row>
    <row r="995">
      <c r="H995" s="6"/>
    </row>
    <row r="996">
      <c r="H996" s="6"/>
    </row>
    <row r="997">
      <c r="H997" s="6"/>
    </row>
    <row r="998">
      <c r="H998" s="6"/>
    </row>
    <row r="999">
      <c r="H999" s="6"/>
    </row>
    <row r="1000">
      <c r="H1000" s="6"/>
    </row>
  </sheetData>
  <autoFilter ref="$A$1:$H$484">
    <filterColumn colId="1">
      <filters>
        <filter val="CAMDEN COMMONS"/>
        <filter val="CG MARK"/>
        <filter val="CAMDEN COMMONS 11/12"/>
      </filters>
    </filterColumn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7.25"/>
    <col customWidth="1" min="3" max="3" width="15.63"/>
    <col customWidth="1" min="4" max="4" width="39.13"/>
  </cols>
  <sheetData>
    <row r="1">
      <c r="A1" s="1"/>
      <c r="B1" s="1"/>
      <c r="C1" s="1"/>
      <c r="D1" s="1"/>
    </row>
    <row r="2">
      <c r="A2" s="6">
        <v>46149.88063402778</v>
      </c>
      <c r="B2" s="2" t="s">
        <v>434</v>
      </c>
      <c r="C2" s="2" t="s">
        <v>52</v>
      </c>
      <c r="D2" s="2" t="s">
        <v>436</v>
      </c>
    </row>
    <row r="3">
      <c r="A3" s="6">
        <v>46150.577125208336</v>
      </c>
      <c r="B3" s="2" t="s">
        <v>434</v>
      </c>
      <c r="C3" s="2" t="s">
        <v>52</v>
      </c>
      <c r="D3" s="2" t="s">
        <v>438</v>
      </c>
    </row>
    <row r="4">
      <c r="A4" s="6">
        <v>46150.58844545139</v>
      </c>
      <c r="B4" s="2" t="s">
        <v>434</v>
      </c>
      <c r="C4" s="2" t="s">
        <v>52</v>
      </c>
      <c r="D4" s="2" t="s">
        <v>441</v>
      </c>
    </row>
    <row r="5">
      <c r="A5" s="6">
        <v>46150.63330505787</v>
      </c>
      <c r="B5" s="2" t="s">
        <v>434</v>
      </c>
      <c r="C5" s="2" t="s">
        <v>52</v>
      </c>
      <c r="D5" s="2" t="s">
        <v>444</v>
      </c>
    </row>
    <row r="6">
      <c r="A6" s="6">
        <v>46150.64401048611</v>
      </c>
      <c r="B6" s="2" t="s">
        <v>434</v>
      </c>
      <c r="C6" s="2" t="s">
        <v>52</v>
      </c>
      <c r="D6" s="2" t="s">
        <v>445</v>
      </c>
    </row>
    <row r="7">
      <c r="A7" s="6">
        <v>46150.678387754626</v>
      </c>
      <c r="B7" s="2" t="s">
        <v>434</v>
      </c>
      <c r="C7" s="2" t="s">
        <v>52</v>
      </c>
      <c r="D7" s="2" t="s">
        <v>448</v>
      </c>
    </row>
    <row r="8">
      <c r="A8" s="6">
        <v>46150.68877959491</v>
      </c>
      <c r="B8" s="2" t="s">
        <v>434</v>
      </c>
      <c r="C8" s="2" t="s">
        <v>52</v>
      </c>
      <c r="D8" s="2" t="s">
        <v>452</v>
      </c>
    </row>
    <row r="9">
      <c r="A9" s="6">
        <v>46150.68997482639</v>
      </c>
      <c r="B9" s="2" t="s">
        <v>434</v>
      </c>
      <c r="C9" s="2" t="s">
        <v>52</v>
      </c>
      <c r="D9" s="2" t="s">
        <v>453</v>
      </c>
    </row>
    <row r="10">
      <c r="A10" s="6">
        <v>46150.692226134255</v>
      </c>
      <c r="B10" s="2" t="s">
        <v>434</v>
      </c>
      <c r="C10" s="2" t="s">
        <v>52</v>
      </c>
      <c r="D10" s="2" t="s">
        <v>457</v>
      </c>
    </row>
    <row r="11">
      <c r="A11" s="6">
        <v>46150.69444842593</v>
      </c>
      <c r="B11" s="2" t="s">
        <v>434</v>
      </c>
      <c r="C11" s="2" t="s">
        <v>52</v>
      </c>
      <c r="D11" s="2" t="s">
        <v>458</v>
      </c>
    </row>
    <row r="12">
      <c r="A12" s="6">
        <v>46150.69448287037</v>
      </c>
      <c r="B12" s="2" t="s">
        <v>434</v>
      </c>
      <c r="C12" s="2" t="s">
        <v>52</v>
      </c>
      <c r="D12" s="2" t="s">
        <v>458</v>
      </c>
    </row>
    <row r="13">
      <c r="A13" s="6">
        <v>46150.696244189814</v>
      </c>
      <c r="B13" s="2" t="s">
        <v>434</v>
      </c>
      <c r="C13" s="2" t="s">
        <v>52</v>
      </c>
      <c r="D13" s="2" t="s">
        <v>458</v>
      </c>
    </row>
    <row r="14">
      <c r="A14" s="6">
        <v>46153.36940494213</v>
      </c>
      <c r="B14" s="2" t="s">
        <v>434</v>
      </c>
      <c r="C14" s="2" t="s">
        <v>52</v>
      </c>
      <c r="D14" s="2" t="s">
        <v>468</v>
      </c>
    </row>
    <row r="15">
      <c r="A15" s="6">
        <v>46153.371719884264</v>
      </c>
      <c r="B15" s="2" t="s">
        <v>434</v>
      </c>
      <c r="C15" s="2" t="s">
        <v>52</v>
      </c>
      <c r="D15" s="2" t="s">
        <v>472</v>
      </c>
    </row>
    <row r="16">
      <c r="A16" s="6">
        <v>46153.37370079861</v>
      </c>
      <c r="B16" s="2" t="s">
        <v>434</v>
      </c>
      <c r="C16" s="2" t="s">
        <v>52</v>
      </c>
      <c r="D16" s="2" t="s">
        <v>476</v>
      </c>
    </row>
    <row r="17">
      <c r="A17" s="6">
        <v>46153.376392962964</v>
      </c>
      <c r="B17" s="2" t="s">
        <v>434</v>
      </c>
      <c r="C17" s="2" t="s">
        <v>52</v>
      </c>
      <c r="D17" s="2" t="s">
        <v>481</v>
      </c>
    </row>
    <row r="18">
      <c r="A18" s="6">
        <v>46153.377409305554</v>
      </c>
      <c r="B18" s="2" t="s">
        <v>434</v>
      </c>
      <c r="C18" s="2" t="s">
        <v>52</v>
      </c>
      <c r="D18" s="2" t="s">
        <v>483</v>
      </c>
    </row>
    <row r="19">
      <c r="A19" s="6">
        <v>46153.378940173614</v>
      </c>
      <c r="B19" s="2" t="s">
        <v>434</v>
      </c>
      <c r="C19" s="2" t="s">
        <v>52</v>
      </c>
      <c r="D19" s="2" t="s">
        <v>486</v>
      </c>
    </row>
    <row r="20">
      <c r="A20" s="6">
        <v>46153.39039480324</v>
      </c>
      <c r="B20" s="2" t="s">
        <v>434</v>
      </c>
      <c r="C20" s="2" t="s">
        <v>52</v>
      </c>
      <c r="D20" s="2" t="s">
        <v>490</v>
      </c>
    </row>
    <row r="21">
      <c r="A21" s="6">
        <v>46153.39208101852</v>
      </c>
      <c r="B21" s="2" t="s">
        <v>434</v>
      </c>
      <c r="C21" s="2" t="s">
        <v>52</v>
      </c>
      <c r="D21" s="2" t="s">
        <v>491</v>
      </c>
    </row>
    <row r="22">
      <c r="A22" s="6">
        <v>46153.393694074075</v>
      </c>
      <c r="B22" s="2" t="s">
        <v>434</v>
      </c>
      <c r="C22" s="2" t="s">
        <v>52</v>
      </c>
      <c r="D22" s="2" t="s">
        <v>494</v>
      </c>
    </row>
    <row r="23">
      <c r="A23" s="6">
        <v>46153.43292896991</v>
      </c>
      <c r="B23" s="2" t="s">
        <v>434</v>
      </c>
      <c r="C23" s="2" t="s">
        <v>52</v>
      </c>
      <c r="D23" s="2" t="s">
        <v>498</v>
      </c>
    </row>
    <row r="24">
      <c r="A24" s="6">
        <v>46153.583005277775</v>
      </c>
      <c r="B24" s="2" t="s">
        <v>434</v>
      </c>
      <c r="C24" s="2" t="s">
        <v>52</v>
      </c>
      <c r="D24" s="2" t="s">
        <v>500</v>
      </c>
    </row>
    <row r="25">
      <c r="A25" s="6">
        <v>46154.336265509264</v>
      </c>
      <c r="B25" s="2" t="s">
        <v>434</v>
      </c>
      <c r="C25" s="2" t="s">
        <v>52</v>
      </c>
      <c r="D25" s="2" t="s">
        <v>503</v>
      </c>
    </row>
    <row r="26">
      <c r="A26" s="6">
        <v>46154.34493245371</v>
      </c>
      <c r="B26" s="2" t="s">
        <v>434</v>
      </c>
      <c r="C26" s="2" t="s">
        <v>52</v>
      </c>
      <c r="D26" s="2" t="s">
        <v>507</v>
      </c>
    </row>
    <row r="27">
      <c r="A27" s="6">
        <v>46154.34914178241</v>
      </c>
      <c r="B27" s="2" t="s">
        <v>434</v>
      </c>
      <c r="C27" s="2" t="s">
        <v>52</v>
      </c>
      <c r="D27" s="2" t="s">
        <v>510</v>
      </c>
    </row>
    <row r="28">
      <c r="A28" s="6">
        <v>46154.35450783565</v>
      </c>
      <c r="B28" s="2" t="s">
        <v>434</v>
      </c>
      <c r="C28" s="2" t="s">
        <v>52</v>
      </c>
      <c r="D28" s="2" t="s">
        <v>514</v>
      </c>
    </row>
    <row r="29">
      <c r="A29" s="6">
        <v>46154.356121793986</v>
      </c>
      <c r="B29" s="2" t="s">
        <v>434</v>
      </c>
      <c r="C29" s="2" t="s">
        <v>52</v>
      </c>
      <c r="D29" s="2" t="s">
        <v>516</v>
      </c>
    </row>
    <row r="30">
      <c r="A30" s="6">
        <v>46154.35773304398</v>
      </c>
      <c r="B30" s="2" t="s">
        <v>434</v>
      </c>
      <c r="C30" s="2" t="s">
        <v>52</v>
      </c>
      <c r="D30" s="2" t="s">
        <v>522</v>
      </c>
    </row>
    <row r="31">
      <c r="A31" s="6">
        <v>46154.36280862268</v>
      </c>
      <c r="B31" s="2" t="s">
        <v>434</v>
      </c>
      <c r="C31" s="2" t="s">
        <v>52</v>
      </c>
      <c r="D31" s="2" t="s">
        <v>524</v>
      </c>
    </row>
    <row r="32">
      <c r="A32" s="6">
        <v>46154.36606583333</v>
      </c>
      <c r="B32" s="2" t="s">
        <v>434</v>
      </c>
      <c r="C32" s="2" t="s">
        <v>52</v>
      </c>
      <c r="D32" s="2" t="s">
        <v>498</v>
      </c>
    </row>
    <row r="33">
      <c r="A33" s="6">
        <v>46154.366717627316</v>
      </c>
      <c r="B33" s="2" t="s">
        <v>434</v>
      </c>
      <c r="C33" s="2" t="s">
        <v>52</v>
      </c>
      <c r="D33" s="2" t="s">
        <v>529</v>
      </c>
    </row>
    <row r="34">
      <c r="A34" s="6">
        <v>46154.368256898146</v>
      </c>
      <c r="B34" s="2" t="s">
        <v>434</v>
      </c>
      <c r="C34" s="2" t="s">
        <v>52</v>
      </c>
      <c r="D34" s="2" t="s">
        <v>514</v>
      </c>
    </row>
    <row r="35">
      <c r="A35" s="6">
        <v>46154.36876355324</v>
      </c>
      <c r="B35" s="2" t="s">
        <v>434</v>
      </c>
      <c r="C35" s="2" t="s">
        <v>52</v>
      </c>
      <c r="D35" s="2" t="s">
        <v>510</v>
      </c>
    </row>
    <row r="36">
      <c r="A36" s="6">
        <v>46154.36926644676</v>
      </c>
      <c r="B36" s="2" t="s">
        <v>434</v>
      </c>
      <c r="C36" s="2" t="s">
        <v>52</v>
      </c>
      <c r="D36" s="2" t="s">
        <v>516</v>
      </c>
    </row>
    <row r="37">
      <c r="A37" s="6">
        <v>46154.369856296296</v>
      </c>
      <c r="B37" s="2" t="s">
        <v>434</v>
      </c>
      <c r="C37" s="2" t="s">
        <v>52</v>
      </c>
      <c r="D37" s="2" t="s">
        <v>522</v>
      </c>
    </row>
    <row r="38">
      <c r="A38" s="6">
        <v>46154.37054952546</v>
      </c>
      <c r="B38" s="2" t="s">
        <v>434</v>
      </c>
      <c r="C38" s="2" t="s">
        <v>52</v>
      </c>
      <c r="D38" s="2" t="s">
        <v>540</v>
      </c>
    </row>
    <row r="39">
      <c r="A39" s="6">
        <v>46154.595387291665</v>
      </c>
      <c r="B39" s="2" t="s">
        <v>434</v>
      </c>
      <c r="C39" s="2" t="s">
        <v>52</v>
      </c>
      <c r="D39" s="2" t="s">
        <v>541</v>
      </c>
    </row>
    <row r="40">
      <c r="A40" s="6">
        <v>46154.600731909726</v>
      </c>
      <c r="B40" s="2" t="s">
        <v>434</v>
      </c>
      <c r="C40" s="2" t="s">
        <v>52</v>
      </c>
      <c r="D40" s="2" t="s">
        <v>546</v>
      </c>
    </row>
    <row r="41">
      <c r="A41" s="6">
        <v>46155.34266349537</v>
      </c>
      <c r="B41" s="2" t="s">
        <v>434</v>
      </c>
      <c r="C41" s="2" t="s">
        <v>52</v>
      </c>
      <c r="D41" s="2" t="s">
        <v>550</v>
      </c>
    </row>
    <row r="42">
      <c r="A42" s="6">
        <v>46155.54454457176</v>
      </c>
      <c r="B42" s="2" t="s">
        <v>552</v>
      </c>
      <c r="C42" s="2" t="s">
        <v>52</v>
      </c>
      <c r="D42" s="2" t="s">
        <v>554</v>
      </c>
    </row>
    <row r="43">
      <c r="A43" s="6">
        <v>46155.54781099537</v>
      </c>
      <c r="B43" s="2" t="s">
        <v>552</v>
      </c>
      <c r="C43" s="2" t="s">
        <v>52</v>
      </c>
      <c r="D43" s="2" t="s">
        <v>557</v>
      </c>
    </row>
    <row r="44">
      <c r="A44" s="6">
        <v>46155.548562372685</v>
      </c>
      <c r="B44" s="2" t="s">
        <v>552</v>
      </c>
      <c r="C44" s="2" t="s">
        <v>52</v>
      </c>
      <c r="D44" s="2" t="s">
        <v>559</v>
      </c>
    </row>
    <row r="45">
      <c r="A45" s="6">
        <v>46155.54888447917</v>
      </c>
      <c r="B45" s="2" t="s">
        <v>552</v>
      </c>
      <c r="C45" s="2" t="s">
        <v>52</v>
      </c>
      <c r="D45" s="2" t="s">
        <v>562</v>
      </c>
    </row>
    <row r="46">
      <c r="A46" s="6">
        <v>46155.54934287037</v>
      </c>
      <c r="B46" s="2" t="s">
        <v>552</v>
      </c>
      <c r="C46" s="2" t="s">
        <v>52</v>
      </c>
      <c r="D46" s="2" t="s">
        <v>564</v>
      </c>
    </row>
    <row r="47">
      <c r="A47" s="6">
        <v>46155.55028011574</v>
      </c>
      <c r="B47" s="2" t="s">
        <v>552</v>
      </c>
      <c r="C47" s="2" t="s">
        <v>52</v>
      </c>
      <c r="D47" s="2" t="s">
        <v>566</v>
      </c>
    </row>
    <row r="48">
      <c r="A48" s="6">
        <v>46155.55084125</v>
      </c>
      <c r="B48" s="2" t="s">
        <v>552</v>
      </c>
      <c r="C48" s="2" t="s">
        <v>52</v>
      </c>
      <c r="D48" s="2" t="s">
        <v>569</v>
      </c>
    </row>
    <row r="49">
      <c r="A49" s="6">
        <v>46155.55168217592</v>
      </c>
      <c r="B49" s="2" t="s">
        <v>552</v>
      </c>
      <c r="C49" s="2" t="s">
        <v>52</v>
      </c>
      <c r="D49" s="2" t="s">
        <v>572</v>
      </c>
    </row>
    <row r="50">
      <c r="A50" s="6">
        <v>46155.55197869213</v>
      </c>
      <c r="B50" s="2" t="s">
        <v>574</v>
      </c>
      <c r="C50" s="2" t="s">
        <v>52</v>
      </c>
      <c r="D50" s="2" t="s">
        <v>575</v>
      </c>
    </row>
    <row r="51">
      <c r="A51" s="6">
        <v>46155.55237203704</v>
      </c>
      <c r="B51" s="2" t="s">
        <v>552</v>
      </c>
      <c r="C51" s="2" t="s">
        <v>52</v>
      </c>
      <c r="D51" s="2" t="s">
        <v>577</v>
      </c>
    </row>
    <row r="52">
      <c r="A52" s="6">
        <v>46155.553015150464</v>
      </c>
      <c r="B52" s="2" t="s">
        <v>552</v>
      </c>
      <c r="C52" s="2" t="s">
        <v>52</v>
      </c>
      <c r="D52" s="2" t="s">
        <v>579</v>
      </c>
    </row>
    <row r="53">
      <c r="A53" s="6">
        <v>46155.55372159722</v>
      </c>
      <c r="B53" s="2" t="s">
        <v>552</v>
      </c>
      <c r="C53" s="2" t="s">
        <v>52</v>
      </c>
      <c r="D53" s="2" t="s">
        <v>583</v>
      </c>
    </row>
    <row r="54">
      <c r="A54" s="6">
        <v>46155.55636898148</v>
      </c>
      <c r="B54" s="2" t="s">
        <v>584</v>
      </c>
      <c r="C54" s="2" t="s">
        <v>52</v>
      </c>
      <c r="D54" s="2" t="s">
        <v>40</v>
      </c>
    </row>
    <row r="55">
      <c r="A55" s="6">
        <v>46155.56432604167</v>
      </c>
      <c r="B55" s="2" t="s">
        <v>552</v>
      </c>
      <c r="C55" s="2" t="s">
        <v>52</v>
      </c>
      <c r="D55" s="2" t="s">
        <v>586</v>
      </c>
    </row>
    <row r="56">
      <c r="A56" s="6">
        <v>46156.60941200232</v>
      </c>
      <c r="B56" s="2" t="s">
        <v>552</v>
      </c>
      <c r="C56" s="2" t="s">
        <v>52</v>
      </c>
      <c r="D56" s="2" t="s">
        <v>591</v>
      </c>
    </row>
    <row r="57">
      <c r="A57" s="6">
        <v>46156.634720462964</v>
      </c>
      <c r="B57" s="2" t="s">
        <v>434</v>
      </c>
      <c r="C57" s="2" t="s">
        <v>52</v>
      </c>
      <c r="D57" s="2" t="s">
        <v>593</v>
      </c>
    </row>
    <row r="58">
      <c r="A58" s="6">
        <v>46156.68065259259</v>
      </c>
      <c r="B58" s="2" t="s">
        <v>434</v>
      </c>
      <c r="C58" s="2" t="s">
        <v>52</v>
      </c>
      <c r="D58" s="2" t="s">
        <v>597</v>
      </c>
    </row>
    <row r="59">
      <c r="A59" s="6">
        <v>46157.7076530787</v>
      </c>
      <c r="B59" s="2" t="s">
        <v>434</v>
      </c>
      <c r="C59" s="2" t="s">
        <v>52</v>
      </c>
      <c r="D59" s="2" t="s">
        <v>599</v>
      </c>
    </row>
    <row r="60">
      <c r="A60" s="6">
        <v>46157.7090378125</v>
      </c>
      <c r="B60" s="2" t="s">
        <v>434</v>
      </c>
      <c r="C60" s="2" t="s">
        <v>52</v>
      </c>
      <c r="D60" s="2" t="s">
        <v>603</v>
      </c>
    </row>
    <row r="61">
      <c r="A61" s="6">
        <v>46160.37759631945</v>
      </c>
      <c r="B61" s="2" t="s">
        <v>434</v>
      </c>
      <c r="C61" s="2" t="s">
        <v>52</v>
      </c>
      <c r="D61" s="2" t="s">
        <v>603</v>
      </c>
    </row>
    <row r="62">
      <c r="A62" s="6">
        <v>46160.377634178236</v>
      </c>
      <c r="B62" s="2" t="s">
        <v>434</v>
      </c>
      <c r="C62" s="2" t="s">
        <v>52</v>
      </c>
      <c r="D62" s="2" t="s">
        <v>605</v>
      </c>
    </row>
    <row r="63">
      <c r="A63" s="6">
        <v>46160.379787604164</v>
      </c>
      <c r="B63" s="2" t="s">
        <v>434</v>
      </c>
      <c r="C63" s="2" t="s">
        <v>52</v>
      </c>
      <c r="D63" s="2" t="s">
        <v>608</v>
      </c>
    </row>
    <row r="64">
      <c r="A64" s="6">
        <v>46160.380327418985</v>
      </c>
      <c r="B64" s="2" t="s">
        <v>434</v>
      </c>
      <c r="C64" s="2" t="s">
        <v>52</v>
      </c>
      <c r="D64" s="2" t="s">
        <v>611</v>
      </c>
    </row>
    <row r="65">
      <c r="A65" s="6">
        <v>46160.38624587963</v>
      </c>
      <c r="B65" s="2" t="s">
        <v>434</v>
      </c>
      <c r="C65" s="2" t="s">
        <v>52</v>
      </c>
      <c r="D65" s="2" t="s">
        <v>613</v>
      </c>
    </row>
    <row r="66">
      <c r="A66" s="6">
        <v>46160.38792271991</v>
      </c>
      <c r="B66" s="2" t="s">
        <v>434</v>
      </c>
      <c r="C66" s="2" t="s">
        <v>52</v>
      </c>
      <c r="D66" s="2" t="s">
        <v>613</v>
      </c>
    </row>
    <row r="67">
      <c r="A67" s="6">
        <v>46160.45874240741</v>
      </c>
      <c r="B67" s="2" t="s">
        <v>434</v>
      </c>
      <c r="C67" s="2" t="s">
        <v>52</v>
      </c>
      <c r="D67" s="2" t="s">
        <v>613</v>
      </c>
    </row>
    <row r="68">
      <c r="A68" s="6">
        <v>46160.45879751157</v>
      </c>
      <c r="B68" s="2" t="s">
        <v>434</v>
      </c>
      <c r="C68" s="2" t="s">
        <v>52</v>
      </c>
      <c r="D68" s="2" t="s">
        <v>613</v>
      </c>
    </row>
    <row r="69">
      <c r="A69" s="6">
        <v>46160.458842685184</v>
      </c>
      <c r="B69" s="2" t="s">
        <v>434</v>
      </c>
      <c r="C69" s="2" t="s">
        <v>52</v>
      </c>
      <c r="D69" s="2" t="s">
        <v>621</v>
      </c>
    </row>
    <row r="70">
      <c r="A70" s="6">
        <v>46160.4602462037</v>
      </c>
      <c r="B70" s="2" t="s">
        <v>434</v>
      </c>
      <c r="C70" s="2" t="s">
        <v>52</v>
      </c>
      <c r="D70" s="2" t="s">
        <v>624</v>
      </c>
    </row>
    <row r="71">
      <c r="A71" s="6">
        <v>46160.4609359375</v>
      </c>
      <c r="B71" s="2" t="s">
        <v>434</v>
      </c>
      <c r="C71" s="2" t="s">
        <v>52</v>
      </c>
      <c r="D71" s="2" t="s">
        <v>628</v>
      </c>
    </row>
    <row r="72">
      <c r="A72" s="6">
        <v>46160.46171822917</v>
      </c>
      <c r="B72" s="2" t="s">
        <v>434</v>
      </c>
      <c r="C72" s="2" t="s">
        <v>52</v>
      </c>
      <c r="D72" s="2" t="s">
        <v>632</v>
      </c>
    </row>
    <row r="73">
      <c r="A73" s="6">
        <v>46160.46264467592</v>
      </c>
      <c r="B73" s="2" t="s">
        <v>434</v>
      </c>
      <c r="C73" s="2" t="s">
        <v>52</v>
      </c>
      <c r="D73" s="2" t="s">
        <v>634</v>
      </c>
    </row>
    <row r="74">
      <c r="A74" s="6">
        <v>46160.4635591088</v>
      </c>
      <c r="B74" s="2" t="s">
        <v>434</v>
      </c>
      <c r="C74" s="2" t="s">
        <v>52</v>
      </c>
      <c r="D74" s="2" t="s">
        <v>637</v>
      </c>
    </row>
    <row r="75">
      <c r="A75" s="6">
        <v>46160.51854493056</v>
      </c>
      <c r="B75" s="2" t="s">
        <v>434</v>
      </c>
      <c r="C75" s="2" t="s">
        <v>52</v>
      </c>
      <c r="D75" s="2" t="s">
        <v>641</v>
      </c>
    </row>
    <row r="76">
      <c r="A76" s="6">
        <v>46160.52048560185</v>
      </c>
      <c r="B76" s="2" t="s">
        <v>434</v>
      </c>
      <c r="C76" s="2" t="s">
        <v>52</v>
      </c>
      <c r="D76" s="2" t="s">
        <v>644</v>
      </c>
    </row>
    <row r="77">
      <c r="A77" s="6">
        <v>46160.521913460645</v>
      </c>
      <c r="B77" s="2" t="s">
        <v>434</v>
      </c>
      <c r="C77" s="2" t="s">
        <v>52</v>
      </c>
      <c r="D77" s="2" t="s">
        <v>649</v>
      </c>
    </row>
    <row r="78">
      <c r="A78" s="6">
        <v>46160.523479236115</v>
      </c>
      <c r="B78" s="2" t="s">
        <v>434</v>
      </c>
      <c r="C78" s="2" t="s">
        <v>52</v>
      </c>
      <c r="D78" s="2" t="s">
        <v>651</v>
      </c>
    </row>
    <row r="79">
      <c r="A79" s="6">
        <v>46160.52352008102</v>
      </c>
      <c r="B79" s="2" t="s">
        <v>434</v>
      </c>
      <c r="C79" s="2" t="s">
        <v>52</v>
      </c>
      <c r="D79" s="2" t="s">
        <v>655</v>
      </c>
    </row>
    <row r="80">
      <c r="A80" s="6">
        <v>46160.52356722222</v>
      </c>
      <c r="B80" s="2" t="s">
        <v>434</v>
      </c>
      <c r="C80" s="2" t="s">
        <v>52</v>
      </c>
      <c r="D80" s="2" t="s">
        <v>655</v>
      </c>
    </row>
    <row r="81">
      <c r="A81" s="6">
        <v>46160.526877384254</v>
      </c>
      <c r="B81" s="2" t="s">
        <v>434</v>
      </c>
      <c r="C81" s="2" t="s">
        <v>52</v>
      </c>
      <c r="D81" s="2" t="s">
        <v>660</v>
      </c>
    </row>
    <row r="82">
      <c r="A82" s="6">
        <v>46160.532066238426</v>
      </c>
      <c r="B82" s="2" t="s">
        <v>434</v>
      </c>
      <c r="C82" s="2" t="s">
        <v>52</v>
      </c>
      <c r="D82" s="2" t="s">
        <v>661</v>
      </c>
    </row>
    <row r="83">
      <c r="A83" s="6">
        <v>46160.56303263889</v>
      </c>
      <c r="B83" s="2" t="s">
        <v>434</v>
      </c>
      <c r="C83" s="2" t="s">
        <v>52</v>
      </c>
      <c r="D83" s="2" t="s">
        <v>665</v>
      </c>
    </row>
    <row r="84">
      <c r="A84" s="6">
        <v>46160.563658969906</v>
      </c>
      <c r="B84" s="2" t="s">
        <v>434</v>
      </c>
      <c r="C84" s="2" t="s">
        <v>52</v>
      </c>
      <c r="D84" s="2" t="s">
        <v>494</v>
      </c>
    </row>
    <row r="85">
      <c r="A85" s="6">
        <v>46160.56414973379</v>
      </c>
      <c r="B85" s="2" t="s">
        <v>434</v>
      </c>
      <c r="C85" s="2" t="s">
        <v>52</v>
      </c>
      <c r="D85" s="2" t="s">
        <v>491</v>
      </c>
    </row>
    <row r="86">
      <c r="A86" s="6">
        <v>46160.565208796295</v>
      </c>
      <c r="B86" s="2" t="s">
        <v>434</v>
      </c>
      <c r="C86" s="2" t="s">
        <v>52</v>
      </c>
      <c r="D86" s="2" t="s">
        <v>674</v>
      </c>
    </row>
    <row r="87">
      <c r="A87" s="6">
        <v>46160.56582038195</v>
      </c>
      <c r="B87" s="2" t="s">
        <v>434</v>
      </c>
      <c r="C87" s="2" t="s">
        <v>52</v>
      </c>
      <c r="D87" s="2" t="s">
        <v>679</v>
      </c>
    </row>
    <row r="88">
      <c r="A88" s="6">
        <v>46160.56632592593</v>
      </c>
      <c r="B88" s="2" t="s">
        <v>434</v>
      </c>
      <c r="C88" s="2" t="s">
        <v>52</v>
      </c>
      <c r="D88" s="2" t="s">
        <v>681</v>
      </c>
    </row>
    <row r="89">
      <c r="A89" s="6">
        <v>46160.570935428244</v>
      </c>
      <c r="B89" s="2" t="s">
        <v>434</v>
      </c>
      <c r="C89" s="2" t="s">
        <v>52</v>
      </c>
      <c r="D89" s="2" t="s">
        <v>686</v>
      </c>
    </row>
    <row r="90">
      <c r="A90" s="6">
        <v>46160.57140195602</v>
      </c>
      <c r="B90" s="2" t="s">
        <v>434</v>
      </c>
      <c r="C90" s="2" t="s">
        <v>52</v>
      </c>
      <c r="D90" s="2" t="s">
        <v>690</v>
      </c>
    </row>
    <row r="91">
      <c r="A91" s="6">
        <v>46160.57211986111</v>
      </c>
      <c r="B91" s="2" t="s">
        <v>434</v>
      </c>
      <c r="C91" s="2" t="s">
        <v>52</v>
      </c>
      <c r="D91" s="2" t="s">
        <v>693</v>
      </c>
    </row>
    <row r="92">
      <c r="A92" s="6">
        <v>46160.585712569446</v>
      </c>
      <c r="B92" s="2" t="s">
        <v>434</v>
      </c>
      <c r="C92" s="2" t="s">
        <v>52</v>
      </c>
      <c r="D92" s="2" t="s">
        <v>695</v>
      </c>
    </row>
    <row r="93">
      <c r="A93" s="6">
        <v>46160.58854118055</v>
      </c>
      <c r="B93" s="2" t="s">
        <v>434</v>
      </c>
      <c r="C93" s="2" t="s">
        <v>52</v>
      </c>
      <c r="D93" s="2" t="s">
        <v>700</v>
      </c>
    </row>
    <row r="94">
      <c r="A94" s="6">
        <v>46160.589385162035</v>
      </c>
      <c r="B94" s="2" t="s">
        <v>434</v>
      </c>
      <c r="C94" s="2" t="s">
        <v>52</v>
      </c>
      <c r="D94" s="2" t="s">
        <v>702</v>
      </c>
    </row>
    <row r="95">
      <c r="A95" s="6">
        <v>46160.590901944444</v>
      </c>
      <c r="B95" s="2" t="s">
        <v>434</v>
      </c>
      <c r="C95" s="2" t="s">
        <v>52</v>
      </c>
      <c r="D95" s="2" t="s">
        <v>695</v>
      </c>
    </row>
    <row r="96">
      <c r="A96" s="6">
        <v>46160.59152646991</v>
      </c>
      <c r="B96" s="2" t="s">
        <v>434</v>
      </c>
      <c r="C96" s="2" t="s">
        <v>52</v>
      </c>
      <c r="D96" s="2" t="s">
        <v>707</v>
      </c>
    </row>
    <row r="97">
      <c r="A97" s="6">
        <v>46160.592150428245</v>
      </c>
      <c r="B97" s="2" t="s">
        <v>434</v>
      </c>
      <c r="C97" s="2" t="s">
        <v>52</v>
      </c>
      <c r="D97" s="2" t="s">
        <v>710</v>
      </c>
    </row>
    <row r="98">
      <c r="A98" s="6">
        <v>46160.59280118055</v>
      </c>
      <c r="B98" s="2" t="s">
        <v>434</v>
      </c>
      <c r="C98" s="2" t="s">
        <v>52</v>
      </c>
      <c r="D98" s="2" t="s">
        <v>714</v>
      </c>
    </row>
    <row r="99">
      <c r="A99" s="6">
        <v>46160.609685104166</v>
      </c>
      <c r="B99" s="2" t="s">
        <v>434</v>
      </c>
      <c r="C99" s="2" t="s">
        <v>52</v>
      </c>
      <c r="D99" s="2" t="s">
        <v>628</v>
      </c>
    </row>
    <row r="100">
      <c r="A100" s="6">
        <v>46160.615536655096</v>
      </c>
      <c r="B100" s="2" t="s">
        <v>434</v>
      </c>
      <c r="C100" s="2" t="s">
        <v>52</v>
      </c>
      <c r="D100" s="2" t="s">
        <v>718</v>
      </c>
    </row>
    <row r="101">
      <c r="A101" s="6">
        <v>46160.61830702546</v>
      </c>
      <c r="B101" s="2" t="s">
        <v>434</v>
      </c>
      <c r="C101" s="2" t="s">
        <v>52</v>
      </c>
      <c r="D101" s="2" t="s">
        <v>721</v>
      </c>
    </row>
    <row r="102">
      <c r="A102" s="6">
        <v>46160.62581287037</v>
      </c>
      <c r="B102" s="2" t="s">
        <v>434</v>
      </c>
      <c r="C102" s="2" t="s">
        <v>52</v>
      </c>
      <c r="D102" s="2" t="s">
        <v>723</v>
      </c>
    </row>
    <row r="103">
      <c r="A103" s="6">
        <v>46160.63412482639</v>
      </c>
      <c r="B103" s="2" t="s">
        <v>434</v>
      </c>
      <c r="C103" s="2" t="s">
        <v>52</v>
      </c>
      <c r="D103" s="2" t="s">
        <v>725</v>
      </c>
    </row>
    <row r="104">
      <c r="A104" s="6">
        <v>46160.63624082176</v>
      </c>
      <c r="B104" s="2" t="s">
        <v>434</v>
      </c>
      <c r="C104" s="2" t="s">
        <v>52</v>
      </c>
      <c r="D104" s="2" t="s">
        <v>727</v>
      </c>
    </row>
    <row r="105">
      <c r="A105" s="6">
        <v>46160.6379771875</v>
      </c>
      <c r="B105" s="2" t="s">
        <v>434</v>
      </c>
      <c r="C105" s="2" t="s">
        <v>52</v>
      </c>
      <c r="D105" s="2" t="s">
        <v>728</v>
      </c>
    </row>
    <row r="106">
      <c r="A106" s="6">
        <v>46160.639769050926</v>
      </c>
      <c r="B106" s="2" t="s">
        <v>434</v>
      </c>
      <c r="C106" s="2" t="s">
        <v>52</v>
      </c>
      <c r="D106" s="2" t="s">
        <v>731</v>
      </c>
    </row>
    <row r="107">
      <c r="A107" s="6">
        <v>46162.41557881945</v>
      </c>
      <c r="B107" s="2" t="s">
        <v>434</v>
      </c>
      <c r="C107" s="2" t="s">
        <v>52</v>
      </c>
      <c r="D107" s="2" t="s">
        <v>732</v>
      </c>
    </row>
    <row r="108">
      <c r="A108" s="6">
        <v>46162.4156190625</v>
      </c>
      <c r="B108" s="2" t="s">
        <v>434</v>
      </c>
      <c r="C108" s="2" t="s">
        <v>52</v>
      </c>
      <c r="D108" s="2" t="s">
        <v>732</v>
      </c>
    </row>
    <row r="109">
      <c r="A109" s="6">
        <v>46162.416511620366</v>
      </c>
      <c r="B109" s="2" t="s">
        <v>434</v>
      </c>
      <c r="C109" s="2" t="s">
        <v>52</v>
      </c>
      <c r="D109" s="2" t="s">
        <v>735</v>
      </c>
    </row>
    <row r="110">
      <c r="A110" s="6">
        <v>46162.416953645836</v>
      </c>
      <c r="B110" s="2" t="s">
        <v>434</v>
      </c>
      <c r="C110" s="2" t="s">
        <v>52</v>
      </c>
      <c r="D110" s="2" t="s">
        <v>737</v>
      </c>
    </row>
    <row r="111">
      <c r="A111" s="6">
        <v>46162.45750633102</v>
      </c>
      <c r="B111" s="2" t="s">
        <v>434</v>
      </c>
      <c r="C111" s="2" t="s">
        <v>52</v>
      </c>
      <c r="D111" s="2" t="s">
        <v>738</v>
      </c>
    </row>
    <row r="112">
      <c r="A112" s="6">
        <v>46162.45803918982</v>
      </c>
      <c r="B112" s="2" t="s">
        <v>434</v>
      </c>
      <c r="C112" s="2" t="s">
        <v>52</v>
      </c>
      <c r="D112" s="2" t="s">
        <v>740</v>
      </c>
    </row>
    <row r="113">
      <c r="A113" s="6">
        <v>46162.45867400463</v>
      </c>
      <c r="B113" s="2" t="s">
        <v>434</v>
      </c>
      <c r="C113" s="2" t="s">
        <v>52</v>
      </c>
      <c r="D113" s="2" t="s">
        <v>742</v>
      </c>
    </row>
    <row r="114">
      <c r="A114" s="6">
        <v>46162.47104502315</v>
      </c>
      <c r="B114" s="2" t="s">
        <v>434</v>
      </c>
      <c r="C114" s="2" t="s">
        <v>52</v>
      </c>
      <c r="D114" s="2" t="s">
        <v>745</v>
      </c>
    </row>
    <row r="115">
      <c r="A115" s="6">
        <v>46162.47686737269</v>
      </c>
      <c r="B115" s="2" t="s">
        <v>434</v>
      </c>
      <c r="C115" s="2" t="s">
        <v>52</v>
      </c>
      <c r="D115" s="2" t="s">
        <v>746</v>
      </c>
    </row>
    <row r="116">
      <c r="A116" s="6">
        <v>46162.493384120375</v>
      </c>
      <c r="B116" s="2" t="s">
        <v>434</v>
      </c>
      <c r="C116" s="2" t="s">
        <v>52</v>
      </c>
      <c r="D116" s="2" t="s">
        <v>748</v>
      </c>
    </row>
    <row r="117">
      <c r="A117" s="6">
        <v>46162.531700775464</v>
      </c>
      <c r="B117" s="2" t="s">
        <v>434</v>
      </c>
      <c r="C117" s="2" t="s">
        <v>52</v>
      </c>
      <c r="D117" s="2" t="s">
        <v>752</v>
      </c>
    </row>
    <row r="118">
      <c r="A118" s="6">
        <v>46162.553759814815</v>
      </c>
      <c r="B118" s="2" t="s">
        <v>434</v>
      </c>
      <c r="C118" s="2" t="s">
        <v>52</v>
      </c>
      <c r="D118" s="2" t="s">
        <v>754</v>
      </c>
    </row>
    <row r="119">
      <c r="A119" s="6">
        <v>46162.55755560185</v>
      </c>
      <c r="B119" s="2" t="s">
        <v>434</v>
      </c>
      <c r="C119" s="2" t="s">
        <v>52</v>
      </c>
      <c r="D119" s="2" t="s">
        <v>757</v>
      </c>
    </row>
    <row r="120">
      <c r="A120" s="6">
        <v>46162.56575484954</v>
      </c>
      <c r="B120" s="2" t="s">
        <v>434</v>
      </c>
      <c r="C120" s="2" t="s">
        <v>52</v>
      </c>
      <c r="D120" s="2" t="s">
        <v>761</v>
      </c>
    </row>
    <row r="121">
      <c r="A121" s="6">
        <v>46162.56607559028</v>
      </c>
      <c r="B121" s="2" t="s">
        <v>434</v>
      </c>
      <c r="C121" s="2" t="s">
        <v>52</v>
      </c>
      <c r="D121" s="2" t="s">
        <v>763</v>
      </c>
    </row>
    <row r="122">
      <c r="A122" s="6">
        <v>46162.568714270834</v>
      </c>
      <c r="B122" s="2" t="s">
        <v>434</v>
      </c>
      <c r="C122" s="2" t="s">
        <v>52</v>
      </c>
      <c r="D122" s="2" t="s">
        <v>765</v>
      </c>
    </row>
    <row r="123">
      <c r="A123" s="6">
        <v>46162.570940370366</v>
      </c>
      <c r="B123" s="2" t="s">
        <v>434</v>
      </c>
      <c r="C123" s="2" t="s">
        <v>52</v>
      </c>
      <c r="D123" s="2" t="s">
        <v>765</v>
      </c>
    </row>
    <row r="124">
      <c r="A124" s="6">
        <v>46162.59199590278</v>
      </c>
      <c r="B124" s="2" t="s">
        <v>767</v>
      </c>
      <c r="C124" s="2" t="s">
        <v>52</v>
      </c>
      <c r="D124" s="2" t="s">
        <v>104</v>
      </c>
      <c r="E124" s="2" t="s">
        <v>769</v>
      </c>
      <c r="F124" s="2" t="s">
        <v>770</v>
      </c>
    </row>
    <row r="125">
      <c r="A125" s="6">
        <v>46162.596060682874</v>
      </c>
      <c r="B125" s="2" t="s">
        <v>434</v>
      </c>
      <c r="C125" s="2" t="s">
        <v>52</v>
      </c>
      <c r="D125" s="2" t="s">
        <v>775</v>
      </c>
    </row>
    <row r="126">
      <c r="A126" s="6">
        <v>46162.60082150463</v>
      </c>
      <c r="B126" s="2" t="s">
        <v>434</v>
      </c>
      <c r="C126" s="2" t="s">
        <v>52</v>
      </c>
      <c r="D126" s="2" t="s">
        <v>776</v>
      </c>
    </row>
    <row r="127">
      <c r="A127" s="6">
        <v>46162.60151807871</v>
      </c>
      <c r="B127" s="2" t="s">
        <v>434</v>
      </c>
      <c r="C127" s="2" t="s">
        <v>52</v>
      </c>
      <c r="D127" s="2" t="s">
        <v>779</v>
      </c>
    </row>
    <row r="128">
      <c r="A128" s="6">
        <v>46162.642187199075</v>
      </c>
      <c r="B128" s="2" t="s">
        <v>434</v>
      </c>
      <c r="C128" s="2" t="s">
        <v>52</v>
      </c>
      <c r="D128" s="2" t="s">
        <v>775</v>
      </c>
    </row>
    <row r="129">
      <c r="A129" s="6">
        <v>46162.64374641204</v>
      </c>
      <c r="B129" s="2" t="s">
        <v>434</v>
      </c>
      <c r="C129" s="2" t="s">
        <v>52</v>
      </c>
      <c r="D129" s="2" t="s">
        <v>757</v>
      </c>
    </row>
    <row r="130">
      <c r="A130" s="6">
        <v>46162.65487104167</v>
      </c>
      <c r="B130" s="2" t="s">
        <v>782</v>
      </c>
      <c r="C130" s="2" t="s">
        <v>52</v>
      </c>
      <c r="D130" s="2" t="s">
        <v>34</v>
      </c>
      <c r="E130" s="2" t="s">
        <v>375</v>
      </c>
      <c r="F130" s="2" t="s">
        <v>785</v>
      </c>
    </row>
    <row r="131">
      <c r="A131" s="6">
        <v>46162.656185405096</v>
      </c>
      <c r="B131" s="2" t="s">
        <v>434</v>
      </c>
      <c r="C131" s="2" t="s">
        <v>52</v>
      </c>
      <c r="D131" s="2" t="s">
        <v>789</v>
      </c>
    </row>
    <row r="132">
      <c r="A132" s="6">
        <v>46162.66030592592</v>
      </c>
      <c r="B132" s="2" t="s">
        <v>434</v>
      </c>
      <c r="C132" s="2" t="s">
        <v>52</v>
      </c>
      <c r="D132" s="2" t="s">
        <v>789</v>
      </c>
    </row>
    <row r="133">
      <c r="A133" s="6">
        <v>46162.66237563657</v>
      </c>
      <c r="B133" s="2" t="s">
        <v>434</v>
      </c>
      <c r="C133" s="2" t="s">
        <v>52</v>
      </c>
      <c r="D133" s="2" t="s">
        <v>794</v>
      </c>
    </row>
    <row r="134">
      <c r="A134" s="6">
        <v>46162.675719328705</v>
      </c>
      <c r="B134" s="2" t="s">
        <v>434</v>
      </c>
      <c r="C134" s="2" t="s">
        <v>52</v>
      </c>
      <c r="D134" s="2" t="s">
        <v>797</v>
      </c>
    </row>
    <row r="135">
      <c r="A135" s="6">
        <v>46163.33692965278</v>
      </c>
      <c r="B135" s="2" t="s">
        <v>434</v>
      </c>
      <c r="C135" s="2" t="s">
        <v>52</v>
      </c>
      <c r="D135" s="2" t="s">
        <v>801</v>
      </c>
    </row>
    <row r="136">
      <c r="A136" s="6">
        <v>46163.338425</v>
      </c>
      <c r="B136" s="2" t="s">
        <v>802</v>
      </c>
      <c r="C136" s="2" t="s">
        <v>52</v>
      </c>
      <c r="D136" s="2" t="s">
        <v>803</v>
      </c>
      <c r="E136" s="2" t="s">
        <v>805</v>
      </c>
      <c r="F136" s="2" t="s">
        <v>806</v>
      </c>
    </row>
    <row r="137">
      <c r="A137" s="6">
        <v>46163.34036916667</v>
      </c>
      <c r="B137" s="2" t="s">
        <v>434</v>
      </c>
      <c r="C137" s="2" t="s">
        <v>52</v>
      </c>
      <c r="D137" s="2" t="s">
        <v>809</v>
      </c>
    </row>
    <row r="138">
      <c r="A138" s="6">
        <v>46163.36025075232</v>
      </c>
      <c r="B138" s="2" t="s">
        <v>434</v>
      </c>
      <c r="C138" s="2" t="s">
        <v>52</v>
      </c>
      <c r="D138" s="2" t="s">
        <v>811</v>
      </c>
    </row>
    <row r="139">
      <c r="A139" s="6">
        <v>46163.36646078704</v>
      </c>
      <c r="B139" s="2" t="s">
        <v>434</v>
      </c>
      <c r="C139" s="2" t="s">
        <v>52</v>
      </c>
      <c r="D139" s="2" t="s">
        <v>813</v>
      </c>
    </row>
    <row r="140">
      <c r="A140" s="6">
        <v>46163.52822423611</v>
      </c>
      <c r="B140" s="2" t="s">
        <v>434</v>
      </c>
      <c r="C140" s="2" t="s">
        <v>52</v>
      </c>
      <c r="D140" s="2" t="s">
        <v>816</v>
      </c>
    </row>
    <row r="141">
      <c r="A141" s="6">
        <v>46164.396368125</v>
      </c>
      <c r="B141" s="2" t="s">
        <v>434</v>
      </c>
      <c r="C141" s="2" t="s">
        <v>52</v>
      </c>
      <c r="D141" s="2" t="s">
        <v>818</v>
      </c>
    </row>
    <row r="142">
      <c r="A142" s="6">
        <v>46164.397101469905</v>
      </c>
      <c r="B142" s="2" t="s">
        <v>434</v>
      </c>
      <c r="C142" s="2" t="s">
        <v>52</v>
      </c>
      <c r="D142" s="2" t="s">
        <v>820</v>
      </c>
    </row>
    <row r="143">
      <c r="A143" s="6">
        <v>46164.40263211806</v>
      </c>
      <c r="B143" s="2" t="s">
        <v>552</v>
      </c>
      <c r="C143" s="2" t="s">
        <v>52</v>
      </c>
      <c r="D143" s="2" t="s">
        <v>822</v>
      </c>
    </row>
    <row r="144">
      <c r="A144" s="6">
        <v>46164.40296290509</v>
      </c>
      <c r="B144" s="2" t="s">
        <v>434</v>
      </c>
      <c r="C144" s="2" t="s">
        <v>52</v>
      </c>
      <c r="D144" s="2" t="s">
        <v>824</v>
      </c>
    </row>
    <row r="145">
      <c r="A145" s="6">
        <v>46164.403902708334</v>
      </c>
      <c r="B145" s="2" t="s">
        <v>434</v>
      </c>
      <c r="C145" s="2" t="s">
        <v>52</v>
      </c>
      <c r="D145" s="2" t="s">
        <v>825</v>
      </c>
    </row>
    <row r="146">
      <c r="A146" s="6">
        <v>46164.40630505787</v>
      </c>
      <c r="B146" s="2" t="s">
        <v>434</v>
      </c>
      <c r="C146" s="2" t="s">
        <v>52</v>
      </c>
      <c r="D146" s="2" t="s">
        <v>827</v>
      </c>
    </row>
    <row r="147">
      <c r="A147" s="6">
        <v>46164.40733028935</v>
      </c>
      <c r="B147" s="2" t="s">
        <v>434</v>
      </c>
      <c r="C147" s="2" t="s">
        <v>52</v>
      </c>
      <c r="D147" s="2" t="s">
        <v>829</v>
      </c>
    </row>
    <row r="148">
      <c r="A148" s="6">
        <v>46164.40812489583</v>
      </c>
      <c r="B148" s="2" t="s">
        <v>434</v>
      </c>
      <c r="C148" s="2" t="s">
        <v>52</v>
      </c>
      <c r="D148" s="2" t="s">
        <v>831</v>
      </c>
    </row>
    <row r="149">
      <c r="A149" s="6">
        <v>46164.47841643519</v>
      </c>
      <c r="B149" s="2" t="s">
        <v>434</v>
      </c>
      <c r="C149" s="2" t="s">
        <v>52</v>
      </c>
      <c r="D149" s="2" t="s">
        <v>835</v>
      </c>
    </row>
    <row r="150">
      <c r="A150" s="6">
        <v>46164.480391944446</v>
      </c>
      <c r="B150" s="2" t="s">
        <v>434</v>
      </c>
      <c r="C150" s="2" t="s">
        <v>52</v>
      </c>
      <c r="D150" s="2" t="s">
        <v>838</v>
      </c>
    </row>
    <row r="151">
      <c r="A151" s="6">
        <v>46164.48427642361</v>
      </c>
      <c r="B151" s="2" t="s">
        <v>434</v>
      </c>
      <c r="C151" s="2" t="s">
        <v>52</v>
      </c>
      <c r="D151" s="2" t="s">
        <v>840</v>
      </c>
    </row>
    <row r="152">
      <c r="A152" s="6">
        <v>46164.48641197917</v>
      </c>
      <c r="B152" s="2" t="s">
        <v>434</v>
      </c>
      <c r="C152" s="2" t="s">
        <v>52</v>
      </c>
      <c r="D152" s="2" t="s">
        <v>843</v>
      </c>
    </row>
    <row r="153">
      <c r="A153" s="6">
        <v>46164.48826758102</v>
      </c>
      <c r="B153" s="2" t="s">
        <v>434</v>
      </c>
      <c r="C153" s="2" t="s">
        <v>52</v>
      </c>
      <c r="D153" s="2" t="s">
        <v>846</v>
      </c>
    </row>
    <row r="154">
      <c r="A154" s="6">
        <v>46164.489366759255</v>
      </c>
      <c r="B154" s="2" t="s">
        <v>434</v>
      </c>
      <c r="C154" s="2" t="s">
        <v>52</v>
      </c>
      <c r="D154" s="2" t="s">
        <v>848</v>
      </c>
    </row>
    <row r="155">
      <c r="A155" s="6">
        <v>46164.49023422453</v>
      </c>
      <c r="B155" s="2" t="s">
        <v>434</v>
      </c>
      <c r="C155" s="2" t="s">
        <v>52</v>
      </c>
      <c r="D155" s="2" t="s">
        <v>850</v>
      </c>
    </row>
    <row r="156">
      <c r="A156" s="6">
        <v>46164.543617766205</v>
      </c>
      <c r="B156" s="2" t="s">
        <v>434</v>
      </c>
      <c r="C156" s="2" t="s">
        <v>52</v>
      </c>
      <c r="D156" s="2" t="s">
        <v>852</v>
      </c>
    </row>
    <row r="157">
      <c r="A157" s="6">
        <v>46164.54840932871</v>
      </c>
      <c r="B157" s="2" t="s">
        <v>434</v>
      </c>
      <c r="C157" s="2" t="s">
        <v>52</v>
      </c>
      <c r="D157" s="2" t="s">
        <v>840</v>
      </c>
    </row>
    <row r="158">
      <c r="A158" s="6">
        <v>46164.55291888889</v>
      </c>
      <c r="B158" s="2" t="s">
        <v>434</v>
      </c>
      <c r="C158" s="2" t="s">
        <v>52</v>
      </c>
      <c r="D158" s="2" t="s">
        <v>855</v>
      </c>
    </row>
    <row r="159">
      <c r="A159" s="6">
        <v>46164.55464177083</v>
      </c>
      <c r="B159" s="2" t="s">
        <v>434</v>
      </c>
      <c r="C159" s="2" t="s">
        <v>52</v>
      </c>
      <c r="D159" s="2" t="s">
        <v>858</v>
      </c>
    </row>
    <row r="160">
      <c r="A160" s="6">
        <v>46164.555399317134</v>
      </c>
      <c r="B160" s="2" t="s">
        <v>434</v>
      </c>
      <c r="C160" s="2" t="s">
        <v>52</v>
      </c>
      <c r="D160" s="2" t="s">
        <v>846</v>
      </c>
    </row>
    <row r="161">
      <c r="A161" s="6">
        <v>46164.556133148144</v>
      </c>
      <c r="B161" s="2" t="s">
        <v>434</v>
      </c>
      <c r="C161" s="2" t="s">
        <v>52</v>
      </c>
      <c r="D161" s="2" t="s">
        <v>848</v>
      </c>
    </row>
    <row r="162">
      <c r="A162" s="6">
        <v>46164.55739689815</v>
      </c>
      <c r="B162" s="2" t="s">
        <v>434</v>
      </c>
      <c r="C162" s="2" t="s">
        <v>52</v>
      </c>
      <c r="D162" s="2" t="s">
        <v>864</v>
      </c>
    </row>
    <row r="163">
      <c r="A163" s="6">
        <v>46164.63700993056</v>
      </c>
      <c r="B163" s="2" t="s">
        <v>434</v>
      </c>
      <c r="C163" s="2" t="s">
        <v>52</v>
      </c>
      <c r="D163" s="2" t="s">
        <v>867</v>
      </c>
    </row>
    <row r="164">
      <c r="A164" s="6">
        <v>46164.6397628125</v>
      </c>
      <c r="B164" s="2" t="s">
        <v>434</v>
      </c>
      <c r="C164" s="2" t="s">
        <v>52</v>
      </c>
      <c r="D164" s="2" t="s">
        <v>870</v>
      </c>
    </row>
    <row r="165">
      <c r="A165" s="6">
        <v>46164.64141256944</v>
      </c>
      <c r="B165" s="2" t="s">
        <v>434</v>
      </c>
      <c r="C165" s="2" t="s">
        <v>52</v>
      </c>
      <c r="D165" s="2" t="s">
        <v>871</v>
      </c>
    </row>
    <row r="166">
      <c r="A166" s="6">
        <v>46168.390950636574</v>
      </c>
      <c r="B166" s="2" t="s">
        <v>434</v>
      </c>
      <c r="C166" s="2" t="s">
        <v>52</v>
      </c>
      <c r="D166" s="2" t="s">
        <v>872</v>
      </c>
    </row>
    <row r="167">
      <c r="A167" s="6">
        <v>46168.391656458334</v>
      </c>
      <c r="B167" s="2" t="s">
        <v>802</v>
      </c>
      <c r="C167" s="2" t="s">
        <v>52</v>
      </c>
      <c r="D167" s="2" t="s">
        <v>873</v>
      </c>
      <c r="E167" s="2" t="s">
        <v>805</v>
      </c>
      <c r="F167" s="2" t="s">
        <v>874</v>
      </c>
    </row>
    <row r="168">
      <c r="A168" s="6">
        <v>46168.39259207176</v>
      </c>
      <c r="B168" s="2" t="s">
        <v>802</v>
      </c>
      <c r="C168" s="2" t="s">
        <v>52</v>
      </c>
      <c r="D168" s="2" t="s">
        <v>803</v>
      </c>
      <c r="E168" s="2" t="s">
        <v>805</v>
      </c>
      <c r="F168" s="2" t="s">
        <v>875</v>
      </c>
    </row>
    <row r="169">
      <c r="A169" s="6">
        <v>46168.41462917824</v>
      </c>
      <c r="B169" s="2" t="s">
        <v>876</v>
      </c>
      <c r="C169" s="2" t="s">
        <v>52</v>
      </c>
      <c r="D169" s="2" t="s">
        <v>877</v>
      </c>
      <c r="E169" s="2" t="s">
        <v>878</v>
      </c>
    </row>
    <row r="170">
      <c r="A170" s="6">
        <v>46168.415461956014</v>
      </c>
      <c r="B170" s="2" t="s">
        <v>802</v>
      </c>
      <c r="C170" s="2" t="s">
        <v>52</v>
      </c>
      <c r="D170" s="2" t="s">
        <v>879</v>
      </c>
      <c r="E170" s="2" t="s">
        <v>805</v>
      </c>
      <c r="F170" s="2" t="s">
        <v>880</v>
      </c>
    </row>
    <row r="171">
      <c r="A171" s="6">
        <v>46168.416093796295</v>
      </c>
      <c r="B171" s="2" t="s">
        <v>876</v>
      </c>
      <c r="C171" s="2" t="s">
        <v>52</v>
      </c>
      <c r="D171" s="2" t="s">
        <v>881</v>
      </c>
      <c r="E171" s="2" t="s">
        <v>883</v>
      </c>
    </row>
    <row r="172">
      <c r="A172" s="6">
        <v>46168.47599748842</v>
      </c>
      <c r="B172" s="2" t="s">
        <v>434</v>
      </c>
      <c r="C172" s="2" t="s">
        <v>52</v>
      </c>
      <c r="D172" s="2" t="s">
        <v>884</v>
      </c>
    </row>
    <row r="173">
      <c r="A173" s="6">
        <v>46168.476052893515</v>
      </c>
      <c r="B173" s="2" t="s">
        <v>434</v>
      </c>
      <c r="C173" s="2" t="s">
        <v>52</v>
      </c>
      <c r="D173" s="2" t="s">
        <v>885</v>
      </c>
    </row>
    <row r="174">
      <c r="A174" s="6">
        <v>46168.47754619213</v>
      </c>
      <c r="B174" s="2" t="s">
        <v>876</v>
      </c>
      <c r="C174" s="2" t="s">
        <v>52</v>
      </c>
      <c r="D174" s="2" t="s">
        <v>887</v>
      </c>
      <c r="E174" s="2" t="s">
        <v>888</v>
      </c>
    </row>
    <row r="175">
      <c r="A175" s="6">
        <v>46168.48139880787</v>
      </c>
      <c r="B175" s="2" t="s">
        <v>434</v>
      </c>
      <c r="C175" s="2" t="s">
        <v>52</v>
      </c>
      <c r="D175" s="2" t="s">
        <v>889</v>
      </c>
    </row>
    <row r="176">
      <c r="A176" s="6">
        <v>46168.66659006945</v>
      </c>
      <c r="B176" s="2" t="s">
        <v>434</v>
      </c>
      <c r="C176" s="2" t="s">
        <v>52</v>
      </c>
      <c r="D176" s="2" t="s">
        <v>890</v>
      </c>
    </row>
    <row r="177">
      <c r="A177" s="6">
        <v>46168.6671908912</v>
      </c>
      <c r="B177" s="2" t="s">
        <v>434</v>
      </c>
      <c r="C177" s="2" t="s">
        <v>52</v>
      </c>
      <c r="D177" s="2" t="s">
        <v>892</v>
      </c>
    </row>
    <row r="178">
      <c r="A178" s="6">
        <v>46168.66723597222</v>
      </c>
      <c r="B178" s="2" t="s">
        <v>434</v>
      </c>
      <c r="C178" s="2" t="s">
        <v>52</v>
      </c>
      <c r="D178" s="2" t="s">
        <v>893</v>
      </c>
    </row>
    <row r="179">
      <c r="A179" s="6">
        <v>46169.32337841435</v>
      </c>
      <c r="B179" s="2" t="s">
        <v>782</v>
      </c>
      <c r="C179" s="2" t="s">
        <v>52</v>
      </c>
      <c r="D179" s="2" t="s">
        <v>49</v>
      </c>
      <c r="E179" s="2">
        <v>1111.0</v>
      </c>
      <c r="F179" s="2" t="s">
        <v>894</v>
      </c>
    </row>
    <row r="180">
      <c r="A180" s="6">
        <v>46169.323425497685</v>
      </c>
      <c r="B180" s="2" t="s">
        <v>782</v>
      </c>
      <c r="C180" s="2" t="s">
        <v>52</v>
      </c>
      <c r="D180" s="2" t="s">
        <v>34</v>
      </c>
      <c r="E180" s="2">
        <v>1111.0</v>
      </c>
      <c r="F180" s="2" t="s">
        <v>896</v>
      </c>
    </row>
    <row r="181">
      <c r="A181" s="6">
        <v>46169.41262512731</v>
      </c>
      <c r="B181" s="2" t="s">
        <v>434</v>
      </c>
      <c r="C181" s="2" t="s">
        <v>52</v>
      </c>
      <c r="D181" s="2" t="s">
        <v>897</v>
      </c>
    </row>
    <row r="182">
      <c r="A182" s="6">
        <v>46169.41768912037</v>
      </c>
      <c r="B182" s="2" t="s">
        <v>434</v>
      </c>
      <c r="C182" s="2" t="s">
        <v>52</v>
      </c>
      <c r="D182" s="2" t="s">
        <v>898</v>
      </c>
    </row>
    <row r="183">
      <c r="A183" s="6">
        <v>46169.51680894676</v>
      </c>
      <c r="B183" s="2" t="s">
        <v>434</v>
      </c>
      <c r="C183" s="2" t="s">
        <v>52</v>
      </c>
      <c r="D183" s="2" t="s">
        <v>899</v>
      </c>
    </row>
    <row r="184">
      <c r="A184" s="6">
        <v>46169.51768884259</v>
      </c>
      <c r="B184" s="2" t="s">
        <v>434</v>
      </c>
      <c r="C184" s="2" t="s">
        <v>52</v>
      </c>
      <c r="D184" s="2" t="s">
        <v>901</v>
      </c>
    </row>
    <row r="185">
      <c r="A185" s="6">
        <v>46169.51827394676</v>
      </c>
      <c r="B185" s="2" t="s">
        <v>434</v>
      </c>
      <c r="C185" s="2" t="s">
        <v>52</v>
      </c>
      <c r="D185" s="2" t="s">
        <v>902</v>
      </c>
    </row>
    <row r="186">
      <c r="A186" s="6">
        <v>46169.53206488426</v>
      </c>
      <c r="B186" s="2" t="s">
        <v>434</v>
      </c>
      <c r="C186" s="2" t="s">
        <v>52</v>
      </c>
      <c r="D186" s="2" t="s">
        <v>903</v>
      </c>
    </row>
    <row r="187">
      <c r="A187" s="6">
        <v>46169.53639298611</v>
      </c>
      <c r="B187" s="2" t="s">
        <v>434</v>
      </c>
      <c r="C187" s="2" t="s">
        <v>52</v>
      </c>
      <c r="D187" s="2" t="s">
        <v>904</v>
      </c>
    </row>
    <row r="188">
      <c r="A188" s="6">
        <v>46171.39236773148</v>
      </c>
      <c r="B188" s="2" t="s">
        <v>434</v>
      </c>
      <c r="C188" s="2" t="s">
        <v>52</v>
      </c>
      <c r="D188" s="2" t="s">
        <v>905</v>
      </c>
    </row>
    <row r="189">
      <c r="A189" s="6">
        <v>46171.40691208333</v>
      </c>
      <c r="B189" s="2" t="s">
        <v>434</v>
      </c>
      <c r="C189" s="2" t="s">
        <v>52</v>
      </c>
      <c r="D189" s="2" t="s">
        <v>906</v>
      </c>
    </row>
    <row r="190">
      <c r="A190" s="6">
        <v>46171.40698997685</v>
      </c>
      <c r="B190" s="2" t="s">
        <v>434</v>
      </c>
      <c r="C190" s="2" t="s">
        <v>52</v>
      </c>
      <c r="D190" s="2" t="s">
        <v>908</v>
      </c>
    </row>
    <row r="191">
      <c r="A191" s="6">
        <v>46171.41108986111</v>
      </c>
      <c r="B191" s="2" t="s">
        <v>434</v>
      </c>
      <c r="C191" s="2" t="s">
        <v>52</v>
      </c>
      <c r="D191" s="2" t="s">
        <v>909</v>
      </c>
    </row>
    <row r="192">
      <c r="A192" s="6">
        <v>46171.41115233796</v>
      </c>
      <c r="B192" s="2" t="s">
        <v>434</v>
      </c>
      <c r="C192" s="2" t="s">
        <v>52</v>
      </c>
      <c r="D192" s="2" t="s">
        <v>910</v>
      </c>
    </row>
    <row r="193">
      <c r="A193" s="6">
        <v>46171.48439121528</v>
      </c>
      <c r="B193" s="2" t="s">
        <v>434</v>
      </c>
      <c r="C193" s="2" t="s">
        <v>52</v>
      </c>
      <c r="D193" s="2" t="s">
        <v>911</v>
      </c>
    </row>
    <row r="194">
      <c r="A194" s="6">
        <v>46171.48445268518</v>
      </c>
      <c r="B194" s="2" t="s">
        <v>434</v>
      </c>
      <c r="C194" s="2" t="s">
        <v>52</v>
      </c>
      <c r="D194" s="2" t="s">
        <v>912</v>
      </c>
    </row>
    <row r="195">
      <c r="A195" s="6">
        <v>46171.484625625</v>
      </c>
      <c r="B195" s="2" t="s">
        <v>434</v>
      </c>
      <c r="C195" s="2" t="s">
        <v>52</v>
      </c>
      <c r="D195" s="2" t="s">
        <v>913</v>
      </c>
    </row>
    <row r="196">
      <c r="A196" s="6">
        <v>46171.5099974537</v>
      </c>
      <c r="B196" s="2" t="s">
        <v>434</v>
      </c>
      <c r="C196" s="2" t="s">
        <v>52</v>
      </c>
      <c r="D196" s="2" t="s">
        <v>914</v>
      </c>
    </row>
    <row r="197">
      <c r="A197" s="6">
        <v>46171.51112604167</v>
      </c>
      <c r="B197" s="2" t="s">
        <v>434</v>
      </c>
      <c r="C197" s="2" t="s">
        <v>52</v>
      </c>
      <c r="D197" s="2" t="s">
        <v>915</v>
      </c>
    </row>
    <row r="198">
      <c r="A198" s="6">
        <v>46171.51118611111</v>
      </c>
      <c r="B198" s="2" t="s">
        <v>434</v>
      </c>
      <c r="C198" s="2" t="s">
        <v>52</v>
      </c>
      <c r="D198" s="2" t="s">
        <v>915</v>
      </c>
    </row>
    <row r="199">
      <c r="A199" s="6">
        <v>46171.51278099537</v>
      </c>
      <c r="B199" s="2" t="s">
        <v>434</v>
      </c>
      <c r="C199" s="2" t="s">
        <v>52</v>
      </c>
      <c r="D199" s="2" t="s">
        <v>916</v>
      </c>
    </row>
    <row r="200">
      <c r="A200" s="6">
        <v>46171.51284232639</v>
      </c>
      <c r="B200" s="2" t="s">
        <v>434</v>
      </c>
      <c r="C200" s="2" t="s">
        <v>52</v>
      </c>
      <c r="D200" s="2" t="s">
        <v>916</v>
      </c>
    </row>
    <row r="201">
      <c r="A201" s="6">
        <v>46171.516119583335</v>
      </c>
      <c r="B201" s="2" t="s">
        <v>434</v>
      </c>
      <c r="C201" s="2" t="s">
        <v>52</v>
      </c>
      <c r="D201" s="2" t="s">
        <v>917</v>
      </c>
    </row>
    <row r="202">
      <c r="A202" s="6">
        <v>46171.516190740746</v>
      </c>
      <c r="B202" s="2" t="s">
        <v>434</v>
      </c>
      <c r="C202" s="2" t="s">
        <v>52</v>
      </c>
      <c r="D202" s="2" t="s">
        <v>917</v>
      </c>
    </row>
    <row r="203">
      <c r="A203" s="6">
        <v>46174.34620684027</v>
      </c>
      <c r="B203" s="2" t="s">
        <v>434</v>
      </c>
      <c r="C203" s="2" t="s">
        <v>52</v>
      </c>
      <c r="D203" s="2" t="s">
        <v>918</v>
      </c>
    </row>
    <row r="204">
      <c r="A204" s="6">
        <v>46174.34784773148</v>
      </c>
      <c r="B204" s="2" t="s">
        <v>434</v>
      </c>
      <c r="C204" s="2" t="s">
        <v>52</v>
      </c>
      <c r="D204" s="2" t="s">
        <v>919</v>
      </c>
    </row>
    <row r="205">
      <c r="A205" s="6">
        <v>46174.34905734954</v>
      </c>
      <c r="B205" s="2" t="s">
        <v>434</v>
      </c>
      <c r="C205" s="2" t="s">
        <v>52</v>
      </c>
      <c r="D205" s="2" t="s">
        <v>920</v>
      </c>
    </row>
    <row r="206">
      <c r="A206" s="6">
        <v>46174.35008287037</v>
      </c>
      <c r="B206" s="2" t="s">
        <v>434</v>
      </c>
      <c r="C206" s="2" t="s">
        <v>52</v>
      </c>
      <c r="D206" s="2" t="s">
        <v>922</v>
      </c>
    </row>
    <row r="207">
      <c r="A207" s="6">
        <v>46174.35144679398</v>
      </c>
      <c r="B207" s="2" t="s">
        <v>434</v>
      </c>
      <c r="C207" s="2" t="s">
        <v>52</v>
      </c>
      <c r="D207" s="2" t="s">
        <v>923</v>
      </c>
    </row>
    <row r="208">
      <c r="A208" s="6">
        <v>46174.352749074074</v>
      </c>
      <c r="B208" s="2" t="s">
        <v>434</v>
      </c>
      <c r="C208" s="2" t="s">
        <v>52</v>
      </c>
      <c r="D208" s="2" t="s">
        <v>924</v>
      </c>
    </row>
    <row r="209">
      <c r="A209" s="6">
        <v>46174.354209826386</v>
      </c>
      <c r="B209" s="2" t="s">
        <v>434</v>
      </c>
      <c r="C209" s="2" t="s">
        <v>52</v>
      </c>
      <c r="D209" s="2" t="s">
        <v>926</v>
      </c>
    </row>
    <row r="210">
      <c r="A210" s="6">
        <v>46174.35535460648</v>
      </c>
      <c r="B210" s="2" t="s">
        <v>434</v>
      </c>
      <c r="C210" s="2" t="s">
        <v>52</v>
      </c>
      <c r="D210" s="2" t="s">
        <v>928</v>
      </c>
    </row>
    <row r="211">
      <c r="A211" s="6">
        <v>46174.356288668976</v>
      </c>
      <c r="B211" s="2" t="s">
        <v>434</v>
      </c>
      <c r="C211" s="2" t="s">
        <v>52</v>
      </c>
      <c r="D211" s="2" t="s">
        <v>930</v>
      </c>
    </row>
    <row r="212">
      <c r="A212" s="6">
        <v>46174.43495376158</v>
      </c>
      <c r="B212" s="2" t="s">
        <v>434</v>
      </c>
      <c r="C212" s="2" t="s">
        <v>52</v>
      </c>
      <c r="D212" s="2" t="s">
        <v>931</v>
      </c>
    </row>
    <row r="213">
      <c r="A213" s="6">
        <v>46174.4383890162</v>
      </c>
      <c r="B213" s="2" t="s">
        <v>876</v>
      </c>
      <c r="C213" s="2" t="s">
        <v>52</v>
      </c>
      <c r="D213" s="2" t="s">
        <v>933</v>
      </c>
      <c r="E213" s="2" t="s">
        <v>934</v>
      </c>
    </row>
    <row r="214">
      <c r="A214" s="6">
        <v>46174.56442016204</v>
      </c>
      <c r="B214" s="2" t="s">
        <v>434</v>
      </c>
      <c r="C214" s="2" t="s">
        <v>52</v>
      </c>
      <c r="D214" s="2" t="s">
        <v>936</v>
      </c>
    </row>
    <row r="215">
      <c r="A215" s="6">
        <v>46174.56567202546</v>
      </c>
      <c r="B215" s="2" t="s">
        <v>434</v>
      </c>
      <c r="C215" s="2" t="s">
        <v>52</v>
      </c>
      <c r="D215" s="2" t="s">
        <v>937</v>
      </c>
    </row>
    <row r="216">
      <c r="A216" s="6">
        <v>46174.566953807866</v>
      </c>
      <c r="B216" s="2" t="s">
        <v>434</v>
      </c>
      <c r="C216" s="2" t="s">
        <v>52</v>
      </c>
      <c r="D216" s="2" t="s">
        <v>939</v>
      </c>
    </row>
    <row r="217">
      <c r="A217" s="6">
        <v>46174.570043750005</v>
      </c>
      <c r="B217" s="2" t="s">
        <v>434</v>
      </c>
      <c r="C217" s="2" t="s">
        <v>52</v>
      </c>
      <c r="D217" s="2" t="s">
        <v>941</v>
      </c>
    </row>
    <row r="218">
      <c r="A218" s="6">
        <v>46174.60568798611</v>
      </c>
      <c r="B218" s="2" t="s">
        <v>434</v>
      </c>
      <c r="C218" s="2" t="s">
        <v>52</v>
      </c>
      <c r="D218" s="2" t="s">
        <v>942</v>
      </c>
    </row>
    <row r="219">
      <c r="A219" s="6">
        <v>46174.606374166666</v>
      </c>
      <c r="B219" s="2" t="s">
        <v>434</v>
      </c>
      <c r="C219" s="2" t="s">
        <v>52</v>
      </c>
      <c r="D219" s="2" t="s">
        <v>944</v>
      </c>
    </row>
    <row r="220">
      <c r="A220" s="6">
        <v>46174.60777398148</v>
      </c>
      <c r="B220" s="2" t="s">
        <v>782</v>
      </c>
      <c r="C220" s="2" t="s">
        <v>52</v>
      </c>
      <c r="D220" s="2" t="s">
        <v>34</v>
      </c>
      <c r="E220" s="2" t="s">
        <v>374</v>
      </c>
      <c r="F220" s="2" t="s">
        <v>946</v>
      </c>
    </row>
    <row r="221">
      <c r="A221" s="6">
        <v>46174.609263252314</v>
      </c>
      <c r="B221" s="2" t="s">
        <v>876</v>
      </c>
      <c r="C221" s="2" t="s">
        <v>52</v>
      </c>
      <c r="D221" s="2" t="s">
        <v>948</v>
      </c>
      <c r="E221" s="2" t="s">
        <v>949</v>
      </c>
    </row>
    <row r="222">
      <c r="A222" s="6">
        <v>46174.61005122685</v>
      </c>
      <c r="B222" s="2" t="s">
        <v>434</v>
      </c>
      <c r="C222" s="2" t="s">
        <v>52</v>
      </c>
      <c r="D222" s="2" t="s">
        <v>952</v>
      </c>
    </row>
    <row r="223">
      <c r="A223" s="6">
        <v>46174.61438787037</v>
      </c>
      <c r="B223" s="2" t="s">
        <v>876</v>
      </c>
      <c r="C223" s="2" t="s">
        <v>52</v>
      </c>
      <c r="D223" s="2" t="s">
        <v>953</v>
      </c>
      <c r="E223" s="2" t="s">
        <v>954</v>
      </c>
    </row>
    <row r="224">
      <c r="A224" s="6">
        <v>46174.61456047454</v>
      </c>
      <c r="B224" s="2" t="s">
        <v>876</v>
      </c>
      <c r="C224" s="2" t="s">
        <v>52</v>
      </c>
      <c r="D224" s="2" t="s">
        <v>955</v>
      </c>
      <c r="E224" s="2" t="s">
        <v>954</v>
      </c>
    </row>
    <row r="225">
      <c r="A225" s="6">
        <v>46174.61701631945</v>
      </c>
      <c r="B225" s="2" t="s">
        <v>434</v>
      </c>
      <c r="C225" s="2" t="s">
        <v>52</v>
      </c>
      <c r="D225" s="2" t="s">
        <v>956</v>
      </c>
    </row>
    <row r="226">
      <c r="A226" s="6">
        <v>46175.417466921295</v>
      </c>
      <c r="B226" s="2" t="s">
        <v>552</v>
      </c>
      <c r="C226" s="2" t="s">
        <v>52</v>
      </c>
      <c r="D226" s="2" t="s">
        <v>957</v>
      </c>
    </row>
    <row r="227">
      <c r="A227" s="6">
        <v>46176.468851956015</v>
      </c>
      <c r="B227" s="2" t="s">
        <v>434</v>
      </c>
      <c r="C227" s="2" t="s">
        <v>52</v>
      </c>
      <c r="D227" s="2" t="s">
        <v>959</v>
      </c>
    </row>
    <row r="228">
      <c r="A228" s="6">
        <v>46176.4710268287</v>
      </c>
      <c r="B228" s="2" t="s">
        <v>434</v>
      </c>
      <c r="C228" s="2" t="s">
        <v>52</v>
      </c>
      <c r="D228" s="2" t="s">
        <v>961</v>
      </c>
    </row>
    <row r="229">
      <c r="A229" s="6">
        <v>46176.48595594907</v>
      </c>
      <c r="B229" s="2" t="s">
        <v>434</v>
      </c>
      <c r="C229" s="2" t="s">
        <v>52</v>
      </c>
      <c r="D229" s="2" t="s">
        <v>962</v>
      </c>
    </row>
    <row r="230">
      <c r="A230" s="6">
        <v>46176.48715677083</v>
      </c>
      <c r="B230" s="2" t="s">
        <v>434</v>
      </c>
      <c r="C230" s="2" t="s">
        <v>52</v>
      </c>
      <c r="D230" s="2" t="s">
        <v>963</v>
      </c>
    </row>
    <row r="231">
      <c r="A231" s="6">
        <v>46176.48819325231</v>
      </c>
      <c r="B231" s="2" t="s">
        <v>434</v>
      </c>
      <c r="C231" s="2" t="s">
        <v>52</v>
      </c>
      <c r="D231" s="2" t="s">
        <v>964</v>
      </c>
    </row>
    <row r="232">
      <c r="A232" s="6">
        <v>46176.48931478009</v>
      </c>
      <c r="B232" s="2" t="s">
        <v>434</v>
      </c>
      <c r="C232" s="2" t="s">
        <v>52</v>
      </c>
      <c r="D232" s="2" t="s">
        <v>965</v>
      </c>
    </row>
    <row r="233">
      <c r="A233" s="6">
        <v>46176.490351388886</v>
      </c>
      <c r="B233" s="2" t="s">
        <v>434</v>
      </c>
      <c r="C233" s="2" t="s">
        <v>52</v>
      </c>
      <c r="D233" s="2" t="s">
        <v>966</v>
      </c>
    </row>
    <row r="234">
      <c r="A234" s="6">
        <v>46176.49172381945</v>
      </c>
      <c r="B234" s="2" t="s">
        <v>434</v>
      </c>
      <c r="C234" s="2" t="s">
        <v>52</v>
      </c>
      <c r="D234" s="2" t="s">
        <v>967</v>
      </c>
    </row>
    <row r="235">
      <c r="A235" s="6">
        <v>46176.4925478125</v>
      </c>
      <c r="B235" s="2" t="s">
        <v>434</v>
      </c>
      <c r="C235" s="2" t="s">
        <v>52</v>
      </c>
      <c r="D235" s="2" t="s">
        <v>968</v>
      </c>
    </row>
    <row r="236">
      <c r="A236" s="6">
        <v>46176.493709918985</v>
      </c>
      <c r="B236" s="2" t="s">
        <v>434</v>
      </c>
      <c r="C236" s="2" t="s">
        <v>52</v>
      </c>
      <c r="D236" s="2" t="s">
        <v>970</v>
      </c>
    </row>
    <row r="237">
      <c r="A237" s="6">
        <v>46176.49569821759</v>
      </c>
      <c r="B237" s="2" t="s">
        <v>434</v>
      </c>
      <c r="C237" s="2" t="s">
        <v>52</v>
      </c>
      <c r="D237" s="2" t="s">
        <v>972</v>
      </c>
    </row>
    <row r="238">
      <c r="A238" s="6">
        <v>46176.49724673611</v>
      </c>
      <c r="B238" s="2" t="s">
        <v>434</v>
      </c>
      <c r="C238" s="2" t="s">
        <v>52</v>
      </c>
      <c r="D238" s="2" t="s">
        <v>973</v>
      </c>
    </row>
    <row r="239">
      <c r="A239" s="6">
        <v>46176.49799555556</v>
      </c>
      <c r="B239" s="2" t="s">
        <v>434</v>
      </c>
      <c r="C239" s="2" t="s">
        <v>52</v>
      </c>
      <c r="D239" s="2" t="s">
        <v>965</v>
      </c>
    </row>
    <row r="240">
      <c r="A240" s="6">
        <v>46176.49887831019</v>
      </c>
      <c r="B240" s="2" t="s">
        <v>434</v>
      </c>
      <c r="C240" s="2" t="s">
        <v>52</v>
      </c>
      <c r="D240" s="2" t="s">
        <v>975</v>
      </c>
    </row>
    <row r="241">
      <c r="A241" s="6">
        <v>46176.500185578705</v>
      </c>
      <c r="B241" s="2" t="s">
        <v>434</v>
      </c>
      <c r="C241" s="2" t="s">
        <v>52</v>
      </c>
      <c r="D241" s="2" t="s">
        <v>976</v>
      </c>
    </row>
    <row r="242">
      <c r="A242" s="6">
        <v>46176.50023684028</v>
      </c>
      <c r="B242" s="2" t="s">
        <v>434</v>
      </c>
      <c r="C242" s="2" t="s">
        <v>52</v>
      </c>
      <c r="D242" s="2" t="s">
        <v>978</v>
      </c>
    </row>
    <row r="243">
      <c r="A243" s="6">
        <v>46176.502005648144</v>
      </c>
      <c r="B243" s="2" t="s">
        <v>434</v>
      </c>
      <c r="C243" s="2" t="s">
        <v>52</v>
      </c>
      <c r="D243" s="2" t="s">
        <v>979</v>
      </c>
    </row>
    <row r="244">
      <c r="A244" s="6">
        <v>46176.502073634256</v>
      </c>
      <c r="B244" s="2" t="s">
        <v>434</v>
      </c>
      <c r="C244" s="2" t="s">
        <v>52</v>
      </c>
      <c r="D244" s="2" t="s">
        <v>981</v>
      </c>
    </row>
    <row r="245">
      <c r="A245" s="6">
        <v>46176.50298447917</v>
      </c>
      <c r="B245" s="2" t="s">
        <v>434</v>
      </c>
      <c r="C245" s="2" t="s">
        <v>52</v>
      </c>
      <c r="D245" s="2" t="s">
        <v>983</v>
      </c>
    </row>
    <row r="246">
      <c r="A246" s="6">
        <v>46176.5045450926</v>
      </c>
      <c r="B246" s="2" t="s">
        <v>434</v>
      </c>
      <c r="C246" s="2" t="s">
        <v>52</v>
      </c>
      <c r="D246" s="2" t="s">
        <v>984</v>
      </c>
    </row>
    <row r="247">
      <c r="A247" s="6">
        <v>46177.33832440972</v>
      </c>
      <c r="B247" s="2" t="s">
        <v>434</v>
      </c>
      <c r="C247" s="2" t="s">
        <v>52</v>
      </c>
      <c r="D247" s="2" t="s">
        <v>987</v>
      </c>
    </row>
    <row r="248">
      <c r="A248" s="6">
        <v>46177.34525791666</v>
      </c>
      <c r="B248" s="2" t="s">
        <v>434</v>
      </c>
      <c r="C248" s="2" t="s">
        <v>52</v>
      </c>
      <c r="D248" s="2" t="s">
        <v>988</v>
      </c>
    </row>
    <row r="249">
      <c r="A249" s="6">
        <v>46177.348772060184</v>
      </c>
      <c r="B249" s="2" t="s">
        <v>876</v>
      </c>
      <c r="C249" s="2" t="s">
        <v>52</v>
      </c>
      <c r="D249" s="2" t="s">
        <v>990</v>
      </c>
      <c r="E249" s="2" t="s">
        <v>991</v>
      </c>
    </row>
    <row r="250">
      <c r="A250" s="6">
        <v>46177.34936811343</v>
      </c>
      <c r="B250" s="2" t="s">
        <v>876</v>
      </c>
      <c r="C250" s="2" t="s">
        <v>52</v>
      </c>
      <c r="D250" s="2" t="s">
        <v>992</v>
      </c>
      <c r="E250" s="2" t="s">
        <v>993</v>
      </c>
    </row>
    <row r="251">
      <c r="A251" s="6">
        <v>46177.34950277778</v>
      </c>
      <c r="B251" s="2" t="s">
        <v>876</v>
      </c>
      <c r="C251" s="2" t="s">
        <v>52</v>
      </c>
      <c r="D251" s="2" t="s">
        <v>994</v>
      </c>
      <c r="E251" s="2" t="s">
        <v>993</v>
      </c>
    </row>
    <row r="252">
      <c r="A252" s="6">
        <v>46177.35031072916</v>
      </c>
      <c r="B252" s="2" t="s">
        <v>876</v>
      </c>
      <c r="C252" s="2" t="s">
        <v>52</v>
      </c>
      <c r="D252" s="2" t="s">
        <v>995</v>
      </c>
      <c r="E252" s="2" t="s">
        <v>954</v>
      </c>
    </row>
    <row r="253">
      <c r="A253" s="6">
        <v>46177.35067263889</v>
      </c>
      <c r="B253" s="2" t="s">
        <v>876</v>
      </c>
      <c r="C253" s="2" t="s">
        <v>52</v>
      </c>
      <c r="D253" s="2" t="s">
        <v>996</v>
      </c>
      <c r="E253" s="2" t="s">
        <v>997</v>
      </c>
    </row>
    <row r="254">
      <c r="A254" s="6">
        <v>46177.35164760417</v>
      </c>
      <c r="B254" s="2" t="s">
        <v>876</v>
      </c>
      <c r="C254" s="2" t="s">
        <v>52</v>
      </c>
      <c r="D254" s="2" t="s">
        <v>999</v>
      </c>
      <c r="E254" s="2" t="s">
        <v>1000</v>
      </c>
    </row>
    <row r="255">
      <c r="A255" s="6">
        <v>46177.35327395833</v>
      </c>
      <c r="B255" s="2" t="s">
        <v>434</v>
      </c>
      <c r="C255" s="2" t="s">
        <v>52</v>
      </c>
      <c r="D255" s="2" t="s">
        <v>1002</v>
      </c>
    </row>
    <row r="256">
      <c r="A256" s="6">
        <v>46177.354419780095</v>
      </c>
      <c r="B256" s="2" t="s">
        <v>434</v>
      </c>
      <c r="C256" s="2" t="s">
        <v>52</v>
      </c>
      <c r="D256" s="2" t="s">
        <v>1003</v>
      </c>
    </row>
    <row r="257">
      <c r="A257" s="6">
        <v>46177.354994189816</v>
      </c>
      <c r="B257" s="2" t="s">
        <v>876</v>
      </c>
      <c r="C257" s="2" t="s">
        <v>52</v>
      </c>
      <c r="D257" s="2" t="s">
        <v>1005</v>
      </c>
      <c r="E257" s="2" t="s">
        <v>1006</v>
      </c>
    </row>
    <row r="258">
      <c r="A258" s="6">
        <v>46177.356478437505</v>
      </c>
      <c r="B258" s="2" t="s">
        <v>434</v>
      </c>
      <c r="C258" s="2" t="s">
        <v>52</v>
      </c>
      <c r="D258" s="2" t="s">
        <v>1007</v>
      </c>
    </row>
    <row r="259">
      <c r="A259" s="6">
        <v>46177.357388171295</v>
      </c>
      <c r="B259" s="2" t="s">
        <v>434</v>
      </c>
      <c r="C259" s="2" t="s">
        <v>52</v>
      </c>
      <c r="D259" s="2" t="s">
        <v>1008</v>
      </c>
    </row>
    <row r="260">
      <c r="A260" s="6">
        <v>46177.357910983796</v>
      </c>
      <c r="B260" s="2" t="s">
        <v>876</v>
      </c>
      <c r="C260" s="2" t="s">
        <v>52</v>
      </c>
      <c r="D260" s="2" t="s">
        <v>1010</v>
      </c>
      <c r="E260" s="2" t="s">
        <v>1011</v>
      </c>
    </row>
    <row r="261">
      <c r="A261" s="6">
        <v>46177.35972796296</v>
      </c>
      <c r="B261" s="2" t="s">
        <v>434</v>
      </c>
      <c r="C261" s="2" t="s">
        <v>52</v>
      </c>
      <c r="D261" s="2" t="s">
        <v>1013</v>
      </c>
    </row>
    <row r="262">
      <c r="A262" s="6">
        <v>46177.41316318287</v>
      </c>
      <c r="B262" s="2" t="s">
        <v>552</v>
      </c>
      <c r="C262" s="2" t="s">
        <v>52</v>
      </c>
      <c r="D262" s="2" t="s">
        <v>1014</v>
      </c>
    </row>
    <row r="263">
      <c r="A263" s="6">
        <v>46177.63079145833</v>
      </c>
      <c r="B263" s="2" t="s">
        <v>876</v>
      </c>
      <c r="C263" s="2" t="s">
        <v>52</v>
      </c>
      <c r="D263" s="2" t="s">
        <v>1015</v>
      </c>
      <c r="E263" s="2" t="s">
        <v>1016</v>
      </c>
    </row>
    <row r="264">
      <c r="A264" s="6">
        <v>46177.631022245376</v>
      </c>
      <c r="B264" s="2" t="s">
        <v>876</v>
      </c>
      <c r="C264" s="2" t="s">
        <v>52</v>
      </c>
      <c r="D264" s="2" t="s">
        <v>1018</v>
      </c>
      <c r="E264" s="2" t="s">
        <v>1016</v>
      </c>
    </row>
    <row r="265">
      <c r="A265" s="6">
        <v>46177.635977557875</v>
      </c>
      <c r="B265" s="2" t="s">
        <v>876</v>
      </c>
      <c r="C265" s="2" t="s">
        <v>52</v>
      </c>
      <c r="D265" s="2" t="s">
        <v>1019</v>
      </c>
      <c r="E265" s="2" t="s">
        <v>1022</v>
      </c>
    </row>
    <row r="266">
      <c r="A266" s="6">
        <v>46177.63622054398</v>
      </c>
      <c r="B266" s="2" t="s">
        <v>876</v>
      </c>
      <c r="C266" s="2" t="s">
        <v>52</v>
      </c>
      <c r="D266" s="2" t="s">
        <v>1023</v>
      </c>
      <c r="E266" s="2" t="s">
        <v>1022</v>
      </c>
    </row>
    <row r="267">
      <c r="A267" s="6">
        <v>46177.63738355324</v>
      </c>
      <c r="B267" s="2" t="s">
        <v>876</v>
      </c>
      <c r="C267" s="2" t="s">
        <v>52</v>
      </c>
      <c r="D267" s="2" t="s">
        <v>1025</v>
      </c>
      <c r="E267" s="2" t="s">
        <v>1026</v>
      </c>
    </row>
    <row r="268">
      <c r="A268" s="6">
        <v>46177.63756658565</v>
      </c>
      <c r="B268" s="2" t="s">
        <v>876</v>
      </c>
      <c r="C268" s="2" t="s">
        <v>52</v>
      </c>
      <c r="D268" s="2" t="s">
        <v>1027</v>
      </c>
      <c r="E268" s="2" t="s">
        <v>1026</v>
      </c>
    </row>
    <row r="269">
      <c r="A269" s="6">
        <v>46177.63772921296</v>
      </c>
      <c r="B269" s="2" t="s">
        <v>876</v>
      </c>
      <c r="C269" s="2" t="s">
        <v>52</v>
      </c>
      <c r="D269" s="2" t="s">
        <v>1028</v>
      </c>
      <c r="E269" s="2" t="s">
        <v>1026</v>
      </c>
    </row>
    <row r="270">
      <c r="A270" s="6">
        <v>46177.6379780787</v>
      </c>
      <c r="B270" s="2" t="s">
        <v>876</v>
      </c>
      <c r="C270" s="2" t="s">
        <v>52</v>
      </c>
      <c r="D270" s="2" t="s">
        <v>1029</v>
      </c>
      <c r="E270" s="2" t="s">
        <v>1026</v>
      </c>
    </row>
    <row r="271">
      <c r="A271" s="6">
        <v>46177.63821310185</v>
      </c>
      <c r="B271" s="2" t="s">
        <v>876</v>
      </c>
      <c r="C271" s="2" t="s">
        <v>52</v>
      </c>
      <c r="D271" s="2" t="s">
        <v>1031</v>
      </c>
      <c r="E271" s="2" t="s">
        <v>1026</v>
      </c>
    </row>
    <row r="272">
      <c r="A272" s="6">
        <v>46177.64011603009</v>
      </c>
      <c r="B272" s="2" t="s">
        <v>434</v>
      </c>
      <c r="C272" s="2" t="s">
        <v>52</v>
      </c>
      <c r="D272" s="2" t="s">
        <v>1033</v>
      </c>
    </row>
    <row r="273">
      <c r="A273" s="6">
        <v>46178.41020302083</v>
      </c>
      <c r="B273" s="2" t="s">
        <v>434</v>
      </c>
      <c r="C273" s="2" t="s">
        <v>52</v>
      </c>
      <c r="D273" s="2" t="s">
        <v>1035</v>
      </c>
    </row>
    <row r="274">
      <c r="A274" s="6">
        <v>46178.41474255787</v>
      </c>
      <c r="B274" s="2" t="s">
        <v>876</v>
      </c>
      <c r="C274" s="2" t="s">
        <v>52</v>
      </c>
      <c r="D274" s="2" t="s">
        <v>1036</v>
      </c>
      <c r="E274" s="2" t="s">
        <v>1037</v>
      </c>
    </row>
    <row r="275">
      <c r="A275" s="6">
        <v>46178.415771643515</v>
      </c>
      <c r="B275" s="2" t="s">
        <v>876</v>
      </c>
      <c r="C275" s="2" t="s">
        <v>52</v>
      </c>
      <c r="D275" s="2" t="s">
        <v>1040</v>
      </c>
      <c r="E275" s="2" t="s">
        <v>1041</v>
      </c>
    </row>
    <row r="276">
      <c r="A276" s="6">
        <v>46178.55451243056</v>
      </c>
      <c r="B276" s="2" t="s">
        <v>434</v>
      </c>
      <c r="C276" s="2" t="s">
        <v>52</v>
      </c>
      <c r="D276" s="2" t="s">
        <v>1043</v>
      </c>
    </row>
    <row r="277">
      <c r="A277" s="6">
        <v>46178.55563938657</v>
      </c>
      <c r="B277" s="2" t="s">
        <v>434</v>
      </c>
      <c r="C277" s="2" t="s">
        <v>52</v>
      </c>
      <c r="D277" s="2" t="s">
        <v>1044</v>
      </c>
    </row>
    <row r="278">
      <c r="A278" s="6">
        <v>46178.55722190972</v>
      </c>
      <c r="B278" s="2" t="s">
        <v>434</v>
      </c>
      <c r="C278" s="2" t="s">
        <v>52</v>
      </c>
      <c r="D278" s="2" t="s">
        <v>1046</v>
      </c>
    </row>
    <row r="279">
      <c r="A279" s="6">
        <v>46178.557835370375</v>
      </c>
      <c r="B279" s="2" t="s">
        <v>434</v>
      </c>
      <c r="C279" s="2" t="s">
        <v>52</v>
      </c>
      <c r="D279" s="2" t="s">
        <v>1047</v>
      </c>
    </row>
    <row r="280">
      <c r="A280" s="6">
        <v>46178.55999255787</v>
      </c>
      <c r="B280" s="2" t="s">
        <v>434</v>
      </c>
      <c r="C280" s="2" t="s">
        <v>52</v>
      </c>
      <c r="D280" s="2" t="s">
        <v>1049</v>
      </c>
    </row>
    <row r="281">
      <c r="A281" s="6">
        <v>46178.56130018519</v>
      </c>
      <c r="B281" s="2" t="s">
        <v>434</v>
      </c>
      <c r="C281" s="2" t="s">
        <v>52</v>
      </c>
      <c r="D281" s="2" t="s">
        <v>1051</v>
      </c>
    </row>
    <row r="282">
      <c r="A282" s="6">
        <v>46178.563756689815</v>
      </c>
      <c r="B282" s="2" t="s">
        <v>434</v>
      </c>
      <c r="C282" s="2" t="s">
        <v>52</v>
      </c>
      <c r="D282" s="2" t="s">
        <v>1052</v>
      </c>
    </row>
    <row r="283">
      <c r="A283" s="6">
        <v>46178.564847835645</v>
      </c>
      <c r="B283" s="2" t="s">
        <v>434</v>
      </c>
      <c r="C283" s="2" t="s">
        <v>52</v>
      </c>
      <c r="D283" s="2" t="s">
        <v>1053</v>
      </c>
    </row>
    <row r="284">
      <c r="A284" s="6">
        <v>46178.5681630787</v>
      </c>
      <c r="B284" s="2" t="s">
        <v>434</v>
      </c>
      <c r="C284" s="2" t="s">
        <v>52</v>
      </c>
      <c r="D284" s="2" t="s">
        <v>1054</v>
      </c>
    </row>
    <row r="285">
      <c r="A285" s="6">
        <v>46178.569695694445</v>
      </c>
      <c r="B285" s="2" t="s">
        <v>434</v>
      </c>
      <c r="C285" s="2" t="s">
        <v>52</v>
      </c>
      <c r="D285" s="2" t="s">
        <v>1055</v>
      </c>
    </row>
    <row r="286">
      <c r="A286" s="6">
        <v>46178.57109054398</v>
      </c>
      <c r="B286" s="2" t="s">
        <v>434</v>
      </c>
      <c r="C286" s="2" t="s">
        <v>52</v>
      </c>
      <c r="D286" s="2" t="s">
        <v>1057</v>
      </c>
    </row>
    <row r="287">
      <c r="A287" s="6">
        <v>46178.59059865741</v>
      </c>
      <c r="B287" s="2" t="s">
        <v>434</v>
      </c>
      <c r="C287" s="2" t="s">
        <v>52</v>
      </c>
      <c r="D287" s="2" t="s">
        <v>1058</v>
      </c>
    </row>
    <row r="288">
      <c r="A288" s="6">
        <v>46181.39006005787</v>
      </c>
      <c r="B288" s="2" t="s">
        <v>434</v>
      </c>
      <c r="C288" s="2" t="s">
        <v>52</v>
      </c>
      <c r="D288" s="2" t="s">
        <v>1059</v>
      </c>
    </row>
    <row r="289">
      <c r="A289" s="6">
        <v>46181.438009143516</v>
      </c>
      <c r="B289" s="2" t="s">
        <v>434</v>
      </c>
      <c r="C289" s="2" t="s">
        <v>52</v>
      </c>
      <c r="D289" s="2" t="s">
        <v>1062</v>
      </c>
    </row>
    <row r="290">
      <c r="A290" s="6">
        <v>46181.558775868056</v>
      </c>
      <c r="B290" s="2" t="s">
        <v>434</v>
      </c>
      <c r="C290" s="2" t="s">
        <v>52</v>
      </c>
      <c r="D290" s="2" t="s">
        <v>1063</v>
      </c>
    </row>
    <row r="291">
      <c r="A291" s="6">
        <v>46181.5595515625</v>
      </c>
      <c r="B291" s="2" t="s">
        <v>434</v>
      </c>
      <c r="C291" s="2" t="s">
        <v>52</v>
      </c>
      <c r="D291" s="2" t="s">
        <v>1064</v>
      </c>
    </row>
    <row r="292">
      <c r="A292" s="6">
        <v>46182.54995934028</v>
      </c>
      <c r="B292" s="2" t="s">
        <v>434</v>
      </c>
      <c r="C292" s="2" t="s">
        <v>52</v>
      </c>
      <c r="D292" s="2" t="s">
        <v>1065</v>
      </c>
    </row>
    <row r="293">
      <c r="A293" s="6">
        <v>46182.55114865741</v>
      </c>
      <c r="B293" s="2" t="s">
        <v>434</v>
      </c>
      <c r="C293" s="2" t="s">
        <v>52</v>
      </c>
      <c r="D293" s="2" t="s">
        <v>1067</v>
      </c>
    </row>
    <row r="294">
      <c r="A294" s="6">
        <v>46182.55119834491</v>
      </c>
      <c r="B294" s="2" t="s">
        <v>434</v>
      </c>
      <c r="C294" s="2" t="s">
        <v>52</v>
      </c>
      <c r="D294" s="2" t="s">
        <v>1067</v>
      </c>
    </row>
    <row r="295">
      <c r="A295" s="6">
        <v>46183.38813298611</v>
      </c>
      <c r="B295" s="2" t="s">
        <v>552</v>
      </c>
      <c r="C295" s="2" t="s">
        <v>52</v>
      </c>
      <c r="D295" s="2" t="s">
        <v>1068</v>
      </c>
    </row>
    <row r="296">
      <c r="A296" s="6">
        <v>46183.416717581014</v>
      </c>
      <c r="B296" s="2" t="s">
        <v>434</v>
      </c>
      <c r="C296" s="2" t="s">
        <v>52</v>
      </c>
      <c r="D296" s="2" t="s">
        <v>1069</v>
      </c>
    </row>
    <row r="297">
      <c r="A297" s="6">
        <v>46183.41782930556</v>
      </c>
      <c r="B297" s="2" t="s">
        <v>434</v>
      </c>
      <c r="C297" s="2" t="s">
        <v>52</v>
      </c>
      <c r="D297" s="2" t="s">
        <v>1070</v>
      </c>
    </row>
    <row r="298">
      <c r="A298" s="6">
        <v>46183.42222354167</v>
      </c>
      <c r="B298" s="2" t="s">
        <v>434</v>
      </c>
      <c r="C298" s="2" t="s">
        <v>52</v>
      </c>
      <c r="D298" s="2" t="s">
        <v>1071</v>
      </c>
    </row>
    <row r="299">
      <c r="A299" s="6">
        <v>46183.43990641204</v>
      </c>
      <c r="B299" s="2" t="s">
        <v>434</v>
      </c>
      <c r="C299" s="2" t="s">
        <v>52</v>
      </c>
      <c r="D299" s="2" t="s">
        <v>1072</v>
      </c>
    </row>
    <row r="300">
      <c r="A300" s="6">
        <v>46183.482959189816</v>
      </c>
      <c r="B300" s="2" t="s">
        <v>434</v>
      </c>
      <c r="C300" s="2" t="s">
        <v>52</v>
      </c>
      <c r="D300" s="2" t="s">
        <v>1073</v>
      </c>
    </row>
    <row r="301">
      <c r="A301" s="6">
        <v>46183.50039553241</v>
      </c>
      <c r="B301" s="2" t="s">
        <v>434</v>
      </c>
      <c r="C301" s="2" t="s">
        <v>52</v>
      </c>
      <c r="D301" s="2" t="s">
        <v>1074</v>
      </c>
    </row>
    <row r="302">
      <c r="A302" s="6">
        <v>46184.332425636574</v>
      </c>
      <c r="B302" s="2" t="s">
        <v>434</v>
      </c>
      <c r="C302" s="2" t="s">
        <v>52</v>
      </c>
      <c r="D302" s="2" t="s">
        <v>1075</v>
      </c>
    </row>
    <row r="303">
      <c r="A303" s="6">
        <v>46184.34065300926</v>
      </c>
      <c r="B303" s="2" t="s">
        <v>434</v>
      </c>
      <c r="C303" s="2" t="s">
        <v>52</v>
      </c>
      <c r="D303" s="2" t="s">
        <v>1076</v>
      </c>
    </row>
    <row r="304">
      <c r="A304" s="6">
        <v>46184.34378015046</v>
      </c>
      <c r="B304" s="2" t="s">
        <v>434</v>
      </c>
      <c r="C304" s="2" t="s">
        <v>52</v>
      </c>
      <c r="D304" s="2" t="s">
        <v>1077</v>
      </c>
    </row>
    <row r="305">
      <c r="A305" s="6">
        <v>46184.34414047454</v>
      </c>
      <c r="B305" s="2" t="s">
        <v>876</v>
      </c>
      <c r="C305" s="2" t="s">
        <v>52</v>
      </c>
      <c r="D305" s="2" t="s">
        <v>1078</v>
      </c>
      <c r="E305" s="2" t="s">
        <v>1079</v>
      </c>
    </row>
    <row r="306">
      <c r="A306" s="6">
        <v>46184.35066776621</v>
      </c>
      <c r="B306" s="2" t="s">
        <v>434</v>
      </c>
      <c r="C306" s="2" t="s">
        <v>52</v>
      </c>
      <c r="D306" s="2" t="s">
        <v>1080</v>
      </c>
    </row>
    <row r="307">
      <c r="A307" s="6">
        <v>46184.37598996528</v>
      </c>
      <c r="B307" s="2" t="s">
        <v>434</v>
      </c>
      <c r="C307" s="2" t="s">
        <v>52</v>
      </c>
      <c r="D307" s="2" t="s">
        <v>1081</v>
      </c>
    </row>
    <row r="308">
      <c r="A308" s="6">
        <v>46184.37726961805</v>
      </c>
      <c r="B308" s="2" t="s">
        <v>434</v>
      </c>
      <c r="C308" s="2" t="s">
        <v>52</v>
      </c>
      <c r="D308" s="2" t="s">
        <v>1083</v>
      </c>
    </row>
    <row r="309">
      <c r="A309" s="6">
        <v>46184.40855359954</v>
      </c>
      <c r="B309" s="2" t="s">
        <v>434</v>
      </c>
      <c r="C309" s="2" t="s">
        <v>52</v>
      </c>
      <c r="D309" s="2" t="s">
        <v>1084</v>
      </c>
    </row>
    <row r="310">
      <c r="A310" s="6">
        <v>46184.427419687505</v>
      </c>
      <c r="B310" s="2" t="s">
        <v>434</v>
      </c>
      <c r="C310" s="2" t="s">
        <v>52</v>
      </c>
      <c r="D310" s="2" t="s">
        <v>1086</v>
      </c>
    </row>
    <row r="311">
      <c r="A311" s="6">
        <v>46184.43144130787</v>
      </c>
      <c r="B311" s="2" t="s">
        <v>434</v>
      </c>
      <c r="C311" s="2" t="s">
        <v>52</v>
      </c>
      <c r="D311" s="2" t="s">
        <v>1087</v>
      </c>
    </row>
    <row r="312">
      <c r="A312" s="6">
        <v>46184.4336546875</v>
      </c>
      <c r="B312" s="2" t="s">
        <v>434</v>
      </c>
      <c r="C312" s="2" t="s">
        <v>52</v>
      </c>
      <c r="D312" s="2" t="s">
        <v>1088</v>
      </c>
    </row>
    <row r="313">
      <c r="A313" s="6">
        <v>46184.433987303244</v>
      </c>
      <c r="B313" s="2" t="s">
        <v>434</v>
      </c>
      <c r="C313" s="2" t="s">
        <v>52</v>
      </c>
      <c r="D313" s="2" t="s">
        <v>1089</v>
      </c>
    </row>
    <row r="314">
      <c r="A314" s="6">
        <v>46184.43432375</v>
      </c>
      <c r="B314" s="2" t="s">
        <v>434</v>
      </c>
      <c r="C314" s="2" t="s">
        <v>52</v>
      </c>
      <c r="D314" s="2" t="s">
        <v>1091</v>
      </c>
    </row>
    <row r="315">
      <c r="A315" s="6">
        <v>46184.43481024305</v>
      </c>
      <c r="B315" s="2" t="s">
        <v>434</v>
      </c>
      <c r="C315" s="2" t="s">
        <v>52</v>
      </c>
      <c r="D315" s="2" t="s">
        <v>1092</v>
      </c>
    </row>
    <row r="316">
      <c r="A316" s="6">
        <v>46184.43765952546</v>
      </c>
      <c r="B316" s="2" t="s">
        <v>434</v>
      </c>
      <c r="C316" s="2" t="s">
        <v>52</v>
      </c>
      <c r="D316" s="2" t="s">
        <v>1093</v>
      </c>
    </row>
    <row r="317">
      <c r="A317" s="6">
        <v>46184.4385621875</v>
      </c>
      <c r="B317" s="2" t="s">
        <v>434</v>
      </c>
      <c r="C317" s="2" t="s">
        <v>52</v>
      </c>
      <c r="D317" s="2" t="s">
        <v>1094</v>
      </c>
    </row>
    <row r="318">
      <c r="A318" s="6">
        <v>46184.439710439816</v>
      </c>
      <c r="B318" s="2" t="s">
        <v>434</v>
      </c>
      <c r="C318" s="2" t="s">
        <v>52</v>
      </c>
      <c r="D318" s="2" t="s">
        <v>1095</v>
      </c>
    </row>
    <row r="319">
      <c r="A319" s="6">
        <v>46184.4412478125</v>
      </c>
      <c r="B319" s="2" t="s">
        <v>434</v>
      </c>
      <c r="C319" s="2" t="s">
        <v>52</v>
      </c>
      <c r="D319" s="2" t="s">
        <v>1097</v>
      </c>
    </row>
    <row r="320">
      <c r="A320" s="6">
        <v>46184.443331539354</v>
      </c>
      <c r="B320" s="2" t="s">
        <v>434</v>
      </c>
      <c r="C320" s="2" t="s">
        <v>52</v>
      </c>
      <c r="D320" s="2" t="s">
        <v>1099</v>
      </c>
    </row>
    <row r="321">
      <c r="A321" s="6">
        <v>46184.44584702546</v>
      </c>
      <c r="B321" s="2" t="s">
        <v>434</v>
      </c>
      <c r="C321" s="2" t="s">
        <v>52</v>
      </c>
      <c r="D321" s="2" t="s">
        <v>1100</v>
      </c>
    </row>
    <row r="322">
      <c r="A322" s="6">
        <v>46184.44830805555</v>
      </c>
      <c r="B322" s="2" t="s">
        <v>876</v>
      </c>
      <c r="C322" s="2" t="s">
        <v>52</v>
      </c>
      <c r="D322" s="2" t="s">
        <v>1101</v>
      </c>
      <c r="E322" s="2" t="s">
        <v>1102</v>
      </c>
    </row>
    <row r="323">
      <c r="A323" s="6">
        <v>46184.45074344907</v>
      </c>
      <c r="B323" s="2" t="s">
        <v>876</v>
      </c>
      <c r="C323" s="2" t="s">
        <v>52</v>
      </c>
      <c r="D323" s="2" t="s">
        <v>1105</v>
      </c>
      <c r="E323" s="2" t="s">
        <v>1106</v>
      </c>
    </row>
    <row r="324">
      <c r="A324" s="6">
        <v>46184.4537202662</v>
      </c>
      <c r="B324" s="2" t="s">
        <v>434</v>
      </c>
      <c r="C324" s="2" t="s">
        <v>52</v>
      </c>
      <c r="D324" s="2" t="s">
        <v>1109</v>
      </c>
    </row>
    <row r="325">
      <c r="A325" s="6">
        <v>46184.458792743055</v>
      </c>
      <c r="B325" s="2" t="s">
        <v>434</v>
      </c>
      <c r="C325" s="2" t="s">
        <v>52</v>
      </c>
      <c r="D325" s="2" t="s">
        <v>1110</v>
      </c>
    </row>
    <row r="326">
      <c r="A326" s="6">
        <v>46184.461393101854</v>
      </c>
      <c r="B326" s="2" t="s">
        <v>876</v>
      </c>
      <c r="C326" s="2" t="s">
        <v>52</v>
      </c>
      <c r="D326" s="2" t="s">
        <v>1113</v>
      </c>
      <c r="E326" s="2" t="s">
        <v>1114</v>
      </c>
    </row>
    <row r="327">
      <c r="A327" s="6">
        <v>46184.50455572917</v>
      </c>
      <c r="B327" s="2" t="s">
        <v>434</v>
      </c>
      <c r="C327" s="2" t="s">
        <v>52</v>
      </c>
      <c r="D327" s="2" t="s">
        <v>1115</v>
      </c>
    </row>
    <row r="328">
      <c r="A328" s="6">
        <v>46184.529151678245</v>
      </c>
      <c r="B328" s="2" t="s">
        <v>434</v>
      </c>
      <c r="C328" s="2" t="s">
        <v>52</v>
      </c>
      <c r="D328" s="2" t="s">
        <v>1116</v>
      </c>
    </row>
    <row r="329">
      <c r="A329" s="6">
        <v>46184.53519538195</v>
      </c>
      <c r="B329" s="2" t="s">
        <v>434</v>
      </c>
      <c r="C329" s="2" t="s">
        <v>52</v>
      </c>
      <c r="D329" s="2" t="s">
        <v>1118</v>
      </c>
    </row>
    <row r="330">
      <c r="A330" s="6">
        <v>46184.54437509259</v>
      </c>
      <c r="B330" s="2" t="s">
        <v>434</v>
      </c>
      <c r="C330" s="2" t="s">
        <v>52</v>
      </c>
      <c r="D330" s="2" t="s">
        <v>1120</v>
      </c>
    </row>
    <row r="331">
      <c r="A331" s="6">
        <v>46184.55234541667</v>
      </c>
      <c r="B331" s="2" t="s">
        <v>434</v>
      </c>
      <c r="C331" s="2" t="s">
        <v>52</v>
      </c>
      <c r="D331" s="2" t="s">
        <v>1121</v>
      </c>
    </row>
    <row r="332">
      <c r="A332" s="6">
        <v>46184.56396608797</v>
      </c>
      <c r="B332" s="2" t="s">
        <v>434</v>
      </c>
      <c r="C332" s="2" t="s">
        <v>52</v>
      </c>
      <c r="D332" s="2" t="s">
        <v>1123</v>
      </c>
    </row>
    <row r="333">
      <c r="A333" s="6">
        <v>46184.571245127314</v>
      </c>
      <c r="B333" s="2" t="s">
        <v>434</v>
      </c>
      <c r="C333" s="2" t="s">
        <v>52</v>
      </c>
      <c r="D333" s="2" t="s">
        <v>1125</v>
      </c>
    </row>
    <row r="334">
      <c r="A334" s="6">
        <v>46184.573564108796</v>
      </c>
      <c r="B334" s="2" t="s">
        <v>434</v>
      </c>
      <c r="C334" s="2" t="s">
        <v>52</v>
      </c>
      <c r="D334" s="2" t="s">
        <v>1126</v>
      </c>
    </row>
    <row r="335">
      <c r="A335" s="6">
        <v>46184.650599664354</v>
      </c>
      <c r="B335" s="2" t="s">
        <v>434</v>
      </c>
      <c r="C335" s="2" t="s">
        <v>52</v>
      </c>
      <c r="D335" s="2" t="s">
        <v>1127</v>
      </c>
    </row>
    <row r="336">
      <c r="A336" s="6">
        <v>46184.65170773148</v>
      </c>
      <c r="B336" s="2" t="s">
        <v>876</v>
      </c>
      <c r="C336" s="2" t="s">
        <v>52</v>
      </c>
      <c r="D336" s="2" t="s">
        <v>1128</v>
      </c>
      <c r="E336" s="2" t="s">
        <v>1129</v>
      </c>
    </row>
    <row r="337">
      <c r="A337" s="6">
        <v>46184.65235325231</v>
      </c>
      <c r="B337" s="2" t="s">
        <v>434</v>
      </c>
      <c r="C337" s="2" t="s">
        <v>52</v>
      </c>
      <c r="D337" s="2" t="s">
        <v>1131</v>
      </c>
    </row>
    <row r="338">
      <c r="A338" s="6">
        <v>46185.603934004626</v>
      </c>
      <c r="B338" s="2" t="s">
        <v>434</v>
      </c>
      <c r="C338" s="2" t="s">
        <v>52</v>
      </c>
      <c r="D338" s="2" t="s">
        <v>1132</v>
      </c>
    </row>
    <row r="339">
      <c r="A339" s="6">
        <v>46185.62088268518</v>
      </c>
      <c r="B339" s="2" t="s">
        <v>434</v>
      </c>
      <c r="C339" s="2" t="s">
        <v>52</v>
      </c>
      <c r="D339" s="2" t="s">
        <v>1133</v>
      </c>
    </row>
    <row r="340">
      <c r="A340" s="6">
        <v>46185.62118873843</v>
      </c>
      <c r="B340" s="2" t="s">
        <v>876</v>
      </c>
      <c r="C340" s="2" t="s">
        <v>52</v>
      </c>
      <c r="D340" s="2" t="s">
        <v>1135</v>
      </c>
      <c r="E340" s="2" t="s">
        <v>1136</v>
      </c>
    </row>
    <row r="341">
      <c r="A341" s="6">
        <v>46185.62256053241</v>
      </c>
      <c r="B341" s="2" t="s">
        <v>434</v>
      </c>
      <c r="C341" s="2" t="s">
        <v>52</v>
      </c>
      <c r="D341" s="2" t="s">
        <v>1137</v>
      </c>
    </row>
    <row r="342">
      <c r="A342" s="6">
        <v>46185.625531261576</v>
      </c>
      <c r="B342" s="2" t="s">
        <v>434</v>
      </c>
      <c r="C342" s="2" t="s">
        <v>52</v>
      </c>
      <c r="D342" s="2" t="s">
        <v>1138</v>
      </c>
    </row>
    <row r="343">
      <c r="A343" s="6">
        <v>46188.345544791664</v>
      </c>
      <c r="B343" s="2" t="s">
        <v>434</v>
      </c>
      <c r="C343" s="2" t="s">
        <v>52</v>
      </c>
      <c r="D343" s="2" t="s">
        <v>1140</v>
      </c>
    </row>
    <row r="344">
      <c r="A344" s="6">
        <v>46188.34633010416</v>
      </c>
      <c r="B344" s="2" t="s">
        <v>434</v>
      </c>
      <c r="C344" s="2" t="s">
        <v>52</v>
      </c>
      <c r="D344" s="2" t="s">
        <v>1141</v>
      </c>
    </row>
    <row r="345">
      <c r="A345" s="6">
        <v>46188.347258657406</v>
      </c>
      <c r="B345" s="2" t="s">
        <v>434</v>
      </c>
      <c r="C345" s="2" t="s">
        <v>52</v>
      </c>
      <c r="D345" s="2" t="s">
        <v>1142</v>
      </c>
    </row>
    <row r="346">
      <c r="A346" s="6">
        <v>46188.35227184028</v>
      </c>
      <c r="B346" s="2" t="s">
        <v>434</v>
      </c>
      <c r="C346" s="2" t="s">
        <v>52</v>
      </c>
      <c r="D346" s="2" t="s">
        <v>1143</v>
      </c>
    </row>
    <row r="347">
      <c r="A347" s="6">
        <v>46188.35479848379</v>
      </c>
      <c r="B347" s="2" t="s">
        <v>434</v>
      </c>
      <c r="C347" s="2" t="s">
        <v>52</v>
      </c>
      <c r="D347" s="2" t="s">
        <v>1145</v>
      </c>
    </row>
    <row r="348">
      <c r="A348" s="6">
        <v>46188.356663125</v>
      </c>
      <c r="B348" s="2" t="s">
        <v>434</v>
      </c>
      <c r="C348" s="2" t="s">
        <v>52</v>
      </c>
      <c r="D348" s="2" t="s">
        <v>1146</v>
      </c>
    </row>
    <row r="349">
      <c r="A349" s="6">
        <v>46188.3598715625</v>
      </c>
      <c r="B349" s="2" t="s">
        <v>434</v>
      </c>
      <c r="C349" s="2" t="s">
        <v>52</v>
      </c>
      <c r="D349" s="2" t="s">
        <v>1148</v>
      </c>
    </row>
    <row r="350">
      <c r="A350" s="6">
        <v>46188.36078204861</v>
      </c>
      <c r="B350" s="2" t="s">
        <v>434</v>
      </c>
      <c r="C350" s="2" t="s">
        <v>52</v>
      </c>
      <c r="D350" s="2" t="s">
        <v>1149</v>
      </c>
    </row>
    <row r="351">
      <c r="A351" s="6">
        <v>46188.362129988425</v>
      </c>
      <c r="B351" s="2" t="s">
        <v>434</v>
      </c>
      <c r="C351" s="2" t="s">
        <v>52</v>
      </c>
      <c r="D351" s="2" t="s">
        <v>1152</v>
      </c>
    </row>
    <row r="352">
      <c r="A352" s="6">
        <v>46188.36484620371</v>
      </c>
      <c r="B352" s="2" t="s">
        <v>434</v>
      </c>
      <c r="C352" s="2" t="s">
        <v>52</v>
      </c>
      <c r="D352" s="2" t="s">
        <v>1153</v>
      </c>
    </row>
    <row r="353">
      <c r="A353" s="6">
        <v>46188.461911481485</v>
      </c>
      <c r="B353" s="2" t="s">
        <v>434</v>
      </c>
      <c r="C353" s="2" t="s">
        <v>52</v>
      </c>
      <c r="D353" s="2" t="s">
        <v>1154</v>
      </c>
    </row>
    <row r="354">
      <c r="A354" s="6">
        <v>46189.366903125</v>
      </c>
      <c r="B354" s="2" t="s">
        <v>434</v>
      </c>
      <c r="C354" s="2" t="s">
        <v>52</v>
      </c>
      <c r="D354" s="2" t="s">
        <v>1156</v>
      </c>
    </row>
    <row r="355">
      <c r="A355" s="6">
        <v>46189.36829278935</v>
      </c>
      <c r="B355" s="2" t="s">
        <v>434</v>
      </c>
      <c r="C355" s="2" t="s">
        <v>52</v>
      </c>
      <c r="D355" s="2" t="s">
        <v>1157</v>
      </c>
    </row>
    <row r="356">
      <c r="A356" s="6">
        <v>46189.38292873843</v>
      </c>
      <c r="B356" s="2" t="s">
        <v>434</v>
      </c>
      <c r="C356" s="2" t="s">
        <v>52</v>
      </c>
      <c r="D356" s="2" t="s">
        <v>1159</v>
      </c>
    </row>
    <row r="357">
      <c r="A357" s="6">
        <v>46189.38439070602</v>
      </c>
      <c r="B357" s="2" t="s">
        <v>434</v>
      </c>
      <c r="C357" s="2" t="s">
        <v>52</v>
      </c>
      <c r="D357" s="2" t="s">
        <v>1162</v>
      </c>
    </row>
    <row r="358">
      <c r="A358" s="6">
        <v>46189.38563267361</v>
      </c>
      <c r="B358" s="2" t="s">
        <v>434</v>
      </c>
      <c r="C358" s="2" t="s">
        <v>52</v>
      </c>
      <c r="D358" s="2" t="s">
        <v>1163</v>
      </c>
    </row>
    <row r="359">
      <c r="A359" s="6">
        <v>46189.386501030094</v>
      </c>
      <c r="B359" s="2" t="s">
        <v>434</v>
      </c>
      <c r="C359" s="2" t="s">
        <v>52</v>
      </c>
      <c r="D359" s="2" t="s">
        <v>1165</v>
      </c>
    </row>
    <row r="360">
      <c r="A360" s="6">
        <v>46189.389236689814</v>
      </c>
      <c r="B360" s="2" t="s">
        <v>434</v>
      </c>
      <c r="C360" s="2" t="s">
        <v>52</v>
      </c>
      <c r="D360" s="2" t="s">
        <v>1168</v>
      </c>
    </row>
    <row r="361">
      <c r="A361" s="6">
        <v>46189.392756875</v>
      </c>
      <c r="B361" s="2" t="s">
        <v>434</v>
      </c>
      <c r="C361" s="2" t="s">
        <v>52</v>
      </c>
      <c r="D361" s="2" t="s">
        <v>1169</v>
      </c>
    </row>
    <row r="362">
      <c r="A362" s="6">
        <v>46189.39430054398</v>
      </c>
      <c r="B362" s="2" t="s">
        <v>434</v>
      </c>
      <c r="C362" s="2" t="s">
        <v>52</v>
      </c>
      <c r="D362" s="2" t="s">
        <v>1171</v>
      </c>
    </row>
    <row r="363">
      <c r="A363" s="6">
        <v>46189.396609918986</v>
      </c>
      <c r="B363" s="2" t="s">
        <v>434</v>
      </c>
      <c r="C363" s="2" t="s">
        <v>52</v>
      </c>
      <c r="D363" s="2" t="s">
        <v>1172</v>
      </c>
    </row>
    <row r="364">
      <c r="A364" s="6">
        <v>46189.39825550926</v>
      </c>
      <c r="B364" s="2" t="s">
        <v>434</v>
      </c>
      <c r="C364" s="2" t="s">
        <v>52</v>
      </c>
      <c r="D364" s="2" t="s">
        <v>1173</v>
      </c>
    </row>
    <row r="365">
      <c r="A365" s="6">
        <v>46189.4002249537</v>
      </c>
      <c r="B365" s="2" t="s">
        <v>434</v>
      </c>
      <c r="C365" s="2" t="s">
        <v>52</v>
      </c>
      <c r="D365" s="2" t="s">
        <v>1174</v>
      </c>
    </row>
    <row r="366">
      <c r="A366" s="6">
        <v>46189.40068152778</v>
      </c>
      <c r="B366" s="2" t="s">
        <v>434</v>
      </c>
      <c r="C366" s="2" t="s">
        <v>52</v>
      </c>
      <c r="D366" s="2" t="s">
        <v>1175</v>
      </c>
    </row>
    <row r="367">
      <c r="A367" s="6">
        <v>46189.40287259259</v>
      </c>
      <c r="B367" s="2" t="s">
        <v>434</v>
      </c>
      <c r="C367" s="2" t="s">
        <v>52</v>
      </c>
      <c r="D367" s="2" t="s">
        <v>1176</v>
      </c>
    </row>
    <row r="368">
      <c r="A368" s="6">
        <v>46189.4033909375</v>
      </c>
      <c r="B368" s="2" t="s">
        <v>434</v>
      </c>
      <c r="C368" s="2" t="s">
        <v>52</v>
      </c>
      <c r="D368" s="2" t="s">
        <v>1177</v>
      </c>
    </row>
    <row r="369">
      <c r="A369" s="6">
        <v>46189.40462501158</v>
      </c>
      <c r="B369" s="2" t="s">
        <v>434</v>
      </c>
      <c r="C369" s="2" t="s">
        <v>52</v>
      </c>
      <c r="D369" s="2" t="s">
        <v>1178</v>
      </c>
    </row>
    <row r="370">
      <c r="A370" s="6">
        <v>46189.40575423611</v>
      </c>
      <c r="B370" s="2" t="s">
        <v>434</v>
      </c>
      <c r="C370" s="2" t="s">
        <v>52</v>
      </c>
      <c r="D370" s="2" t="s">
        <v>1179</v>
      </c>
    </row>
    <row r="371">
      <c r="A371" s="6">
        <v>46189.40768431713</v>
      </c>
      <c r="B371" s="2" t="s">
        <v>434</v>
      </c>
      <c r="C371" s="2" t="s">
        <v>52</v>
      </c>
      <c r="D371" s="2" t="s">
        <v>1180</v>
      </c>
    </row>
    <row r="372">
      <c r="A372" s="6">
        <v>46189.425667488424</v>
      </c>
      <c r="B372" s="2" t="s">
        <v>434</v>
      </c>
      <c r="C372" s="2" t="s">
        <v>52</v>
      </c>
      <c r="D372" s="2" t="s">
        <v>1181</v>
      </c>
    </row>
    <row r="373">
      <c r="A373" s="6">
        <v>46189.42657251157</v>
      </c>
      <c r="B373" s="2" t="s">
        <v>434</v>
      </c>
      <c r="C373" s="2" t="s">
        <v>52</v>
      </c>
      <c r="D373" s="2" t="s">
        <v>1182</v>
      </c>
    </row>
    <row r="374">
      <c r="A374" s="6">
        <v>46189.53053394676</v>
      </c>
      <c r="B374" s="2" t="s">
        <v>434</v>
      </c>
      <c r="C374" s="2" t="s">
        <v>52</v>
      </c>
      <c r="D374" s="2" t="s">
        <v>1183</v>
      </c>
    </row>
    <row r="375">
      <c r="A375" s="6">
        <v>46190.362578761575</v>
      </c>
      <c r="B375" s="2" t="s">
        <v>434</v>
      </c>
      <c r="C375" s="2" t="s">
        <v>52</v>
      </c>
      <c r="D375" s="2" t="s">
        <v>1185</v>
      </c>
    </row>
    <row r="376">
      <c r="A376" s="6">
        <v>46190.48786202546</v>
      </c>
      <c r="B376" s="2" t="s">
        <v>434</v>
      </c>
      <c r="C376" s="2" t="s">
        <v>52</v>
      </c>
      <c r="D376" s="2" t="s">
        <v>1186</v>
      </c>
    </row>
    <row r="377">
      <c r="A377" s="6">
        <v>46190.489853692125</v>
      </c>
      <c r="B377" s="2" t="s">
        <v>434</v>
      </c>
      <c r="C377" s="2" t="s">
        <v>52</v>
      </c>
      <c r="D377" s="2" t="s">
        <v>1187</v>
      </c>
    </row>
    <row r="378">
      <c r="A378" s="6">
        <v>46190.496932511574</v>
      </c>
      <c r="B378" s="2" t="s">
        <v>434</v>
      </c>
      <c r="C378" s="2" t="s">
        <v>52</v>
      </c>
      <c r="D378" s="2" t="s">
        <v>1188</v>
      </c>
    </row>
    <row r="379">
      <c r="A379" s="6">
        <v>46190.49800025463</v>
      </c>
      <c r="B379" s="2" t="s">
        <v>782</v>
      </c>
      <c r="C379" s="2" t="s">
        <v>52</v>
      </c>
      <c r="D379" s="2" t="s">
        <v>34</v>
      </c>
      <c r="E379" s="2" t="s">
        <v>804</v>
      </c>
      <c r="F379" s="2" t="s">
        <v>1189</v>
      </c>
    </row>
    <row r="380">
      <c r="A380" s="6">
        <v>46190.49904175926</v>
      </c>
      <c r="B380" s="2" t="s">
        <v>434</v>
      </c>
      <c r="C380" s="2" t="s">
        <v>52</v>
      </c>
      <c r="D380" s="2" t="s">
        <v>1190</v>
      </c>
    </row>
    <row r="381">
      <c r="A381" s="6">
        <v>46190.50012099537</v>
      </c>
      <c r="B381" s="2" t="s">
        <v>434</v>
      </c>
      <c r="C381" s="2" t="s">
        <v>52</v>
      </c>
      <c r="D381" s="2" t="s">
        <v>1191</v>
      </c>
    </row>
    <row r="382">
      <c r="A382" s="6">
        <v>46190.50773627315</v>
      </c>
      <c r="B382" s="2" t="s">
        <v>434</v>
      </c>
      <c r="C382" s="2" t="s">
        <v>52</v>
      </c>
      <c r="D382" s="2" t="s">
        <v>1193</v>
      </c>
    </row>
    <row r="383">
      <c r="A383" s="6">
        <v>46190.508024849536</v>
      </c>
      <c r="B383" s="2" t="s">
        <v>434</v>
      </c>
      <c r="C383" s="2" t="s">
        <v>52</v>
      </c>
      <c r="D383" s="2" t="s">
        <v>1194</v>
      </c>
    </row>
    <row r="384">
      <c r="A384" s="6">
        <v>46190.51054157407</v>
      </c>
      <c r="B384" s="2" t="s">
        <v>434</v>
      </c>
      <c r="C384" s="2" t="s">
        <v>52</v>
      </c>
      <c r="D384" s="2" t="s">
        <v>1195</v>
      </c>
    </row>
    <row r="385">
      <c r="A385" s="6">
        <v>46190.6297853125</v>
      </c>
      <c r="B385" s="2" t="s">
        <v>434</v>
      </c>
      <c r="C385" s="2" t="s">
        <v>52</v>
      </c>
      <c r="D385" s="2" t="s">
        <v>1196</v>
      </c>
    </row>
    <row r="386">
      <c r="A386" s="6">
        <v>46190.63632871528</v>
      </c>
      <c r="B386" s="2" t="s">
        <v>434</v>
      </c>
      <c r="C386" s="2" t="s">
        <v>52</v>
      </c>
      <c r="D386" s="2" t="s">
        <v>1197</v>
      </c>
    </row>
    <row r="387">
      <c r="A387" s="6">
        <v>46190.63775085648</v>
      </c>
      <c r="B387" s="2" t="s">
        <v>434</v>
      </c>
      <c r="C387" s="2" t="s">
        <v>52</v>
      </c>
      <c r="D387" s="2" t="s">
        <v>1198</v>
      </c>
    </row>
    <row r="388">
      <c r="A388" s="6">
        <v>46190.640420474534</v>
      </c>
      <c r="B388" s="2" t="s">
        <v>434</v>
      </c>
      <c r="C388" s="2" t="s">
        <v>52</v>
      </c>
      <c r="D388" s="2" t="s">
        <v>1199</v>
      </c>
    </row>
    <row r="389">
      <c r="A389" s="6">
        <v>46190.64153133101</v>
      </c>
      <c r="B389" s="2" t="s">
        <v>434</v>
      </c>
      <c r="C389" s="2" t="s">
        <v>52</v>
      </c>
      <c r="D389" s="2" t="s">
        <v>1201</v>
      </c>
    </row>
    <row r="390">
      <c r="A390" s="6">
        <v>46190.64327422454</v>
      </c>
      <c r="B390" s="2" t="s">
        <v>434</v>
      </c>
      <c r="C390" s="2" t="s">
        <v>52</v>
      </c>
      <c r="D390" s="2" t="s">
        <v>1203</v>
      </c>
    </row>
    <row r="391">
      <c r="A391" s="6">
        <v>46190.644342893516</v>
      </c>
      <c r="B391" s="2" t="s">
        <v>434</v>
      </c>
      <c r="C391" s="2" t="s">
        <v>52</v>
      </c>
      <c r="D391" s="2" t="s">
        <v>1204</v>
      </c>
    </row>
    <row r="392">
      <c r="A392" s="6">
        <v>46190.6454204051</v>
      </c>
      <c r="B392" s="2" t="s">
        <v>434</v>
      </c>
      <c r="C392" s="2" t="s">
        <v>52</v>
      </c>
      <c r="D392" s="2" t="s">
        <v>1205</v>
      </c>
    </row>
    <row r="393">
      <c r="A393" s="6">
        <v>46192.661018784725</v>
      </c>
      <c r="B393" s="2" t="s">
        <v>434</v>
      </c>
      <c r="C393" s="2" t="s">
        <v>52</v>
      </c>
      <c r="D393" s="2" t="s">
        <v>1207</v>
      </c>
    </row>
    <row r="394">
      <c r="A394" s="6">
        <v>46192.66191318287</v>
      </c>
      <c r="B394" s="2" t="s">
        <v>434</v>
      </c>
      <c r="C394" s="2" t="s">
        <v>52</v>
      </c>
      <c r="D394" s="2" t="s">
        <v>1209</v>
      </c>
    </row>
    <row r="395">
      <c r="A395" s="6">
        <v>46192.66254628472</v>
      </c>
      <c r="B395" s="2" t="s">
        <v>434</v>
      </c>
      <c r="C395" s="2" t="s">
        <v>52</v>
      </c>
      <c r="D395" s="2" t="s">
        <v>1210</v>
      </c>
    </row>
    <row r="396">
      <c r="A396" s="6">
        <v>46192.66306518519</v>
      </c>
      <c r="B396" s="2" t="s">
        <v>434</v>
      </c>
      <c r="C396" s="2" t="s">
        <v>52</v>
      </c>
      <c r="D396" s="2" t="s">
        <v>1212</v>
      </c>
    </row>
    <row r="397">
      <c r="A397" s="6">
        <v>46192.6646743287</v>
      </c>
      <c r="B397" s="2" t="s">
        <v>434</v>
      </c>
      <c r="C397" s="2" t="s">
        <v>52</v>
      </c>
      <c r="D397" s="2" t="s">
        <v>1213</v>
      </c>
    </row>
    <row r="398">
      <c r="A398" s="6">
        <v>46192.66513202546</v>
      </c>
      <c r="B398" s="2" t="s">
        <v>876</v>
      </c>
      <c r="C398" s="2" t="s">
        <v>52</v>
      </c>
      <c r="D398" s="2" t="s">
        <v>1215</v>
      </c>
      <c r="E398" s="2" t="s">
        <v>1216</v>
      </c>
    </row>
    <row r="399">
      <c r="A399" s="6">
        <v>46192.6658115625</v>
      </c>
      <c r="B399" s="2" t="s">
        <v>434</v>
      </c>
      <c r="C399" s="2" t="s">
        <v>52</v>
      </c>
      <c r="D399" s="2" t="s">
        <v>1218</v>
      </c>
    </row>
    <row r="400">
      <c r="A400" s="6">
        <v>46192.66688821759</v>
      </c>
      <c r="B400" s="2" t="s">
        <v>876</v>
      </c>
      <c r="C400" s="2" t="s">
        <v>52</v>
      </c>
      <c r="D400" s="2" t="s">
        <v>1219</v>
      </c>
      <c r="E400" s="2" t="s">
        <v>1220</v>
      </c>
    </row>
    <row r="401">
      <c r="A401" s="6">
        <v>46195.34427717593</v>
      </c>
      <c r="B401" s="2" t="s">
        <v>434</v>
      </c>
      <c r="C401" s="2" t="s">
        <v>52</v>
      </c>
      <c r="D401" s="2" t="s">
        <v>1223</v>
      </c>
    </row>
    <row r="402">
      <c r="A402" s="6">
        <v>46195.34654965278</v>
      </c>
      <c r="B402" s="2" t="s">
        <v>876</v>
      </c>
      <c r="C402" s="2" t="s">
        <v>52</v>
      </c>
      <c r="D402" s="2" t="s">
        <v>1224</v>
      </c>
      <c r="E402" s="2" t="s">
        <v>1226</v>
      </c>
    </row>
    <row r="403">
      <c r="A403" s="6">
        <v>46195.34743923611</v>
      </c>
      <c r="B403" s="2" t="s">
        <v>434</v>
      </c>
      <c r="C403" s="2" t="s">
        <v>52</v>
      </c>
      <c r="D403" s="2" t="s">
        <v>1227</v>
      </c>
    </row>
    <row r="404">
      <c r="A404" s="6">
        <v>46195.360910069445</v>
      </c>
      <c r="B404" s="2" t="s">
        <v>434</v>
      </c>
      <c r="C404" s="2" t="s">
        <v>52</v>
      </c>
      <c r="D404" s="2" t="s">
        <v>1230</v>
      </c>
    </row>
    <row r="405">
      <c r="A405" s="6">
        <v>46195.361907893515</v>
      </c>
      <c r="B405" s="2" t="s">
        <v>434</v>
      </c>
      <c r="C405" s="2" t="s">
        <v>52</v>
      </c>
      <c r="D405" s="2" t="s">
        <v>1231</v>
      </c>
    </row>
    <row r="406">
      <c r="A406" s="6">
        <v>46195.36279760417</v>
      </c>
      <c r="B406" s="2" t="s">
        <v>434</v>
      </c>
      <c r="C406" s="2" t="s">
        <v>52</v>
      </c>
      <c r="D406" s="2" t="s">
        <v>1232</v>
      </c>
    </row>
    <row r="407">
      <c r="A407" s="6">
        <v>46195.36365151621</v>
      </c>
      <c r="B407" s="2" t="s">
        <v>434</v>
      </c>
      <c r="C407" s="2" t="s">
        <v>52</v>
      </c>
      <c r="D407" s="2" t="s">
        <v>1234</v>
      </c>
    </row>
    <row r="408">
      <c r="A408" s="6">
        <v>46195.36570804398</v>
      </c>
      <c r="B408" s="2" t="s">
        <v>434</v>
      </c>
      <c r="C408" s="2" t="s">
        <v>52</v>
      </c>
      <c r="D408" s="2" t="s">
        <v>1235</v>
      </c>
    </row>
    <row r="409">
      <c r="A409" s="6">
        <v>46195.3661927662</v>
      </c>
      <c r="B409" s="2" t="s">
        <v>876</v>
      </c>
      <c r="C409" s="2" t="s">
        <v>52</v>
      </c>
      <c r="D409" s="2" t="s">
        <v>1238</v>
      </c>
      <c r="E409" s="2" t="s">
        <v>1239</v>
      </c>
    </row>
    <row r="410">
      <c r="A410" s="6">
        <v>46195.37085494213</v>
      </c>
      <c r="B410" s="2" t="s">
        <v>434</v>
      </c>
      <c r="C410" s="2" t="s">
        <v>52</v>
      </c>
      <c r="D410" s="2" t="s">
        <v>1240</v>
      </c>
    </row>
    <row r="411">
      <c r="A411" s="6">
        <v>46195.56349100695</v>
      </c>
      <c r="B411" s="2" t="s">
        <v>434</v>
      </c>
      <c r="C411" s="2" t="s">
        <v>52</v>
      </c>
      <c r="D411" s="2" t="s">
        <v>1241</v>
      </c>
    </row>
    <row r="412">
      <c r="A412" s="6">
        <v>46195.56465431713</v>
      </c>
      <c r="B412" s="2" t="s">
        <v>434</v>
      </c>
      <c r="C412" s="2" t="s">
        <v>52</v>
      </c>
      <c r="D412" s="2" t="s">
        <v>1242</v>
      </c>
    </row>
    <row r="413">
      <c r="A413" s="6">
        <v>46195.56541196759</v>
      </c>
      <c r="B413" s="2" t="s">
        <v>434</v>
      </c>
      <c r="C413" s="2" t="s">
        <v>52</v>
      </c>
      <c r="D413" s="2" t="s">
        <v>1244</v>
      </c>
    </row>
    <row r="414">
      <c r="A414" s="6">
        <v>46196.59544966435</v>
      </c>
      <c r="B414" s="2" t="s">
        <v>434</v>
      </c>
      <c r="C414" s="2" t="s">
        <v>40</v>
      </c>
      <c r="D414" s="2" t="s">
        <v>1247</v>
      </c>
    </row>
    <row r="415">
      <c r="A415" s="6">
        <v>46196.59665010417</v>
      </c>
      <c r="B415" s="2" t="s">
        <v>434</v>
      </c>
      <c r="C415" s="2" t="s">
        <v>40</v>
      </c>
      <c r="D415" s="2" t="s">
        <v>1249</v>
      </c>
    </row>
    <row r="416">
      <c r="A416" s="6">
        <v>46197.545903252314</v>
      </c>
      <c r="B416" s="2" t="s">
        <v>434</v>
      </c>
      <c r="C416" s="2" t="s">
        <v>52</v>
      </c>
      <c r="D416" s="2" t="s">
        <v>1250</v>
      </c>
    </row>
    <row r="417">
      <c r="A417" s="6">
        <v>46197.54673417824</v>
      </c>
      <c r="B417" s="2" t="s">
        <v>876</v>
      </c>
      <c r="C417" s="2" t="s">
        <v>52</v>
      </c>
      <c r="D417" s="2" t="s">
        <v>1252</v>
      </c>
      <c r="E417" s="2" t="s">
        <v>1253</v>
      </c>
    </row>
    <row r="418">
      <c r="A418" s="6">
        <v>46197.54715724537</v>
      </c>
      <c r="B418" s="2" t="s">
        <v>876</v>
      </c>
      <c r="C418" s="2" t="s">
        <v>52</v>
      </c>
      <c r="D418" s="2" t="s">
        <v>1255</v>
      </c>
      <c r="E418" s="2" t="s">
        <v>1256</v>
      </c>
    </row>
    <row r="419">
      <c r="A419" s="6">
        <v>46197.54734777778</v>
      </c>
      <c r="B419" s="2" t="s">
        <v>876</v>
      </c>
      <c r="C419" s="2" t="s">
        <v>52</v>
      </c>
      <c r="D419" s="2" t="s">
        <v>1258</v>
      </c>
      <c r="E419" s="2" t="s">
        <v>1256</v>
      </c>
    </row>
    <row r="420">
      <c r="A420" s="6">
        <v>46198.438108807866</v>
      </c>
      <c r="B420" s="2" t="s">
        <v>434</v>
      </c>
      <c r="C420" s="2" t="s">
        <v>124</v>
      </c>
      <c r="D420" s="2" t="s">
        <v>1259</v>
      </c>
    </row>
    <row r="421">
      <c r="A421" s="6">
        <v>46198.44329635416</v>
      </c>
      <c r="B421" s="2" t="s">
        <v>434</v>
      </c>
      <c r="C421" s="2" t="s">
        <v>124</v>
      </c>
      <c r="D421" s="2" t="s">
        <v>1261</v>
      </c>
    </row>
    <row r="422">
      <c r="A422" s="6">
        <v>46198.44756320602</v>
      </c>
      <c r="B422" s="2" t="s">
        <v>434</v>
      </c>
      <c r="C422" s="2" t="s">
        <v>124</v>
      </c>
      <c r="D422" s="2" t="s">
        <v>1262</v>
      </c>
    </row>
    <row r="423">
      <c r="A423" s="6">
        <v>46198.449192002314</v>
      </c>
      <c r="B423" s="2" t="s">
        <v>434</v>
      </c>
      <c r="C423" s="2" t="s">
        <v>124</v>
      </c>
      <c r="D423" s="2" t="s">
        <v>1265</v>
      </c>
    </row>
    <row r="424">
      <c r="A424" s="6">
        <v>46198.451287476855</v>
      </c>
      <c r="B424" s="2" t="s">
        <v>434</v>
      </c>
      <c r="C424" s="2" t="s">
        <v>124</v>
      </c>
      <c r="D424" s="2" t="s">
        <v>1267</v>
      </c>
    </row>
    <row r="425">
      <c r="A425" s="6">
        <v>46199.311423067134</v>
      </c>
      <c r="B425" s="2" t="s">
        <v>434</v>
      </c>
      <c r="C425" s="2" t="s">
        <v>52</v>
      </c>
      <c r="D425" s="2" t="s">
        <v>1268</v>
      </c>
    </row>
    <row r="426">
      <c r="A426" s="6">
        <v>46199.312168020835</v>
      </c>
      <c r="B426" s="2" t="s">
        <v>434</v>
      </c>
      <c r="C426" s="2" t="s">
        <v>52</v>
      </c>
      <c r="D426" s="2" t="s">
        <v>1269</v>
      </c>
    </row>
    <row r="427">
      <c r="A427" s="6">
        <v>46199.31286802083</v>
      </c>
      <c r="B427" s="2" t="s">
        <v>434</v>
      </c>
      <c r="C427" s="2" t="s">
        <v>52</v>
      </c>
      <c r="D427" s="2" t="s">
        <v>1270</v>
      </c>
    </row>
    <row r="428">
      <c r="A428" s="6">
        <v>46199.314108715276</v>
      </c>
      <c r="B428" s="2" t="s">
        <v>434</v>
      </c>
      <c r="C428" s="2" t="s">
        <v>52</v>
      </c>
      <c r="D428" s="2" t="s">
        <v>1271</v>
      </c>
    </row>
    <row r="429">
      <c r="A429" s="6">
        <v>46199.3147883912</v>
      </c>
      <c r="B429" s="2" t="s">
        <v>434</v>
      </c>
      <c r="C429" s="2" t="s">
        <v>52</v>
      </c>
      <c r="D429" s="2" t="s">
        <v>1053</v>
      </c>
    </row>
    <row r="430">
      <c r="A430" s="6">
        <v>46199.31531798611</v>
      </c>
      <c r="B430" s="2" t="s">
        <v>434</v>
      </c>
      <c r="C430" s="2" t="s">
        <v>52</v>
      </c>
      <c r="D430" s="2" t="s">
        <v>1054</v>
      </c>
    </row>
    <row r="431">
      <c r="A431" s="6">
        <v>46199.316986307866</v>
      </c>
      <c r="B431" s="2" t="s">
        <v>876</v>
      </c>
      <c r="C431" s="2" t="s">
        <v>52</v>
      </c>
      <c r="D431" s="2" t="s">
        <v>1272</v>
      </c>
      <c r="E431" s="2" t="s">
        <v>1273</v>
      </c>
    </row>
    <row r="432">
      <c r="A432" s="6">
        <v>46199.318117523144</v>
      </c>
      <c r="B432" s="2" t="s">
        <v>876</v>
      </c>
      <c r="C432" s="2" t="s">
        <v>52</v>
      </c>
      <c r="D432" s="2" t="s">
        <v>1274</v>
      </c>
      <c r="E432" s="2" t="s">
        <v>1275</v>
      </c>
    </row>
    <row r="433">
      <c r="A433" s="6">
        <v>46199.33234126157</v>
      </c>
      <c r="B433" s="2" t="s">
        <v>876</v>
      </c>
      <c r="C433" s="2" t="s">
        <v>52</v>
      </c>
      <c r="D433" s="2" t="s">
        <v>1277</v>
      </c>
      <c r="E433" s="2" t="s">
        <v>1278</v>
      </c>
    </row>
    <row r="434">
      <c r="A434" s="6">
        <v>46199.33279438657</v>
      </c>
      <c r="B434" s="2" t="s">
        <v>876</v>
      </c>
      <c r="C434" s="2" t="s">
        <v>52</v>
      </c>
      <c r="D434" s="2" t="s">
        <v>1280</v>
      </c>
      <c r="E434" s="2" t="s">
        <v>1282</v>
      </c>
    </row>
    <row r="435">
      <c r="A435" s="6">
        <v>46199.450103298615</v>
      </c>
      <c r="B435" s="2" t="s">
        <v>802</v>
      </c>
      <c r="C435" s="2" t="s">
        <v>52</v>
      </c>
      <c r="D435" s="2" t="s">
        <v>879</v>
      </c>
      <c r="E435" s="2" t="s">
        <v>805</v>
      </c>
      <c r="F435" s="2" t="s">
        <v>1284</v>
      </c>
    </row>
    <row r="436">
      <c r="A436" s="6">
        <v>46199.45078428241</v>
      </c>
      <c r="B436" s="2" t="s">
        <v>802</v>
      </c>
      <c r="C436" s="2" t="s">
        <v>52</v>
      </c>
      <c r="D436" s="2" t="s">
        <v>873</v>
      </c>
      <c r="E436" s="2" t="s">
        <v>805</v>
      </c>
      <c r="F436" s="2" t="s">
        <v>1286</v>
      </c>
    </row>
    <row r="437">
      <c r="A437" s="6">
        <v>46199.4530455787</v>
      </c>
      <c r="B437" s="2" t="s">
        <v>434</v>
      </c>
      <c r="C437" s="2" t="s">
        <v>52</v>
      </c>
      <c r="D437" s="2" t="s">
        <v>1288</v>
      </c>
    </row>
    <row r="438">
      <c r="A438" s="6">
        <v>46202.37215539352</v>
      </c>
      <c r="B438" s="2" t="s">
        <v>434</v>
      </c>
      <c r="C438" s="2" t="s">
        <v>52</v>
      </c>
      <c r="D438" s="2" t="s">
        <v>1289</v>
      </c>
    </row>
    <row r="439">
      <c r="A439" s="6">
        <v>46202.381072199074</v>
      </c>
      <c r="B439" s="2" t="s">
        <v>434</v>
      </c>
      <c r="C439" s="2" t="s">
        <v>52</v>
      </c>
      <c r="D439" s="2" t="s">
        <v>1291</v>
      </c>
    </row>
    <row r="440">
      <c r="A440" s="6">
        <v>46202.390175775465</v>
      </c>
      <c r="B440" s="2" t="s">
        <v>434</v>
      </c>
      <c r="C440" s="2" t="s">
        <v>52</v>
      </c>
      <c r="D440" s="2" t="s">
        <v>1292</v>
      </c>
    </row>
    <row r="441">
      <c r="A441" s="6">
        <v>46202.39652776621</v>
      </c>
      <c r="B441" s="2" t="s">
        <v>434</v>
      </c>
      <c r="C441" s="2" t="s">
        <v>52</v>
      </c>
      <c r="D441" s="2" t="s">
        <v>1294</v>
      </c>
    </row>
    <row r="442">
      <c r="A442" s="6">
        <v>46202.563513009256</v>
      </c>
      <c r="B442" s="2" t="s">
        <v>434</v>
      </c>
      <c r="C442" s="2" t="s">
        <v>52</v>
      </c>
      <c r="D442" s="2" t="s">
        <v>1295</v>
      </c>
    </row>
    <row r="443">
      <c r="A443" s="6">
        <v>46202.565052997685</v>
      </c>
      <c r="B443" s="2" t="s">
        <v>434</v>
      </c>
      <c r="C443" s="2" t="s">
        <v>52</v>
      </c>
      <c r="D443" s="2" t="s">
        <v>1296</v>
      </c>
    </row>
    <row r="444">
      <c r="A444" s="6">
        <v>46202.565545405094</v>
      </c>
      <c r="B444" s="2" t="s">
        <v>434</v>
      </c>
      <c r="C444" s="2" t="s">
        <v>52</v>
      </c>
      <c r="D444" s="2" t="s">
        <v>1297</v>
      </c>
    </row>
    <row r="445">
      <c r="A445" s="6">
        <v>46202.56985306713</v>
      </c>
      <c r="B445" s="2" t="s">
        <v>434</v>
      </c>
      <c r="C445" s="2" t="s">
        <v>52</v>
      </c>
      <c r="D445" s="2" t="s">
        <v>1298</v>
      </c>
    </row>
    <row r="446">
      <c r="A446" s="6">
        <v>46202.58784230324</v>
      </c>
      <c r="B446" s="2" t="s">
        <v>434</v>
      </c>
      <c r="C446" s="2" t="s">
        <v>52</v>
      </c>
      <c r="D446" s="2" t="s">
        <v>1299</v>
      </c>
    </row>
    <row r="447">
      <c r="A447" s="6">
        <v>46202.59587394676</v>
      </c>
      <c r="B447" s="2" t="s">
        <v>434</v>
      </c>
      <c r="C447" s="2" t="s">
        <v>52</v>
      </c>
      <c r="D447" s="2" t="s">
        <v>1300</v>
      </c>
    </row>
    <row r="448">
      <c r="A448" s="6">
        <v>46202.59900728009</v>
      </c>
      <c r="B448" s="2" t="s">
        <v>434</v>
      </c>
      <c r="C448" s="2" t="s">
        <v>52</v>
      </c>
      <c r="D448" s="2" t="s">
        <v>1301</v>
      </c>
    </row>
    <row r="449">
      <c r="A449" s="6">
        <v>46202.64781122685</v>
      </c>
      <c r="B449" s="2" t="s">
        <v>434</v>
      </c>
      <c r="C449" s="2" t="s">
        <v>52</v>
      </c>
      <c r="D449" s="2" t="s">
        <v>1302</v>
      </c>
    </row>
    <row r="450">
      <c r="A450" s="6">
        <v>46202.65083003472</v>
      </c>
      <c r="B450" s="2" t="s">
        <v>434</v>
      </c>
      <c r="C450" s="2" t="s">
        <v>52</v>
      </c>
      <c r="D450" s="2" t="s">
        <v>1303</v>
      </c>
    </row>
    <row r="451">
      <c r="A451" s="6">
        <v>46202.66095260417</v>
      </c>
      <c r="B451" s="2" t="s">
        <v>434</v>
      </c>
      <c r="C451" s="2" t="s">
        <v>52</v>
      </c>
      <c r="D451" s="2" t="s">
        <v>1304</v>
      </c>
    </row>
    <row r="452">
      <c r="A452" s="6">
        <v>46202.66503109953</v>
      </c>
      <c r="B452" s="2" t="s">
        <v>782</v>
      </c>
      <c r="C452" s="2" t="s">
        <v>52</v>
      </c>
      <c r="D452" s="2" t="s">
        <v>75</v>
      </c>
      <c r="E452" s="2" t="s">
        <v>1306</v>
      </c>
      <c r="F452" s="2" t="s">
        <v>1308</v>
      </c>
    </row>
    <row r="453">
      <c r="A453" s="6">
        <v>46202.66522869213</v>
      </c>
      <c r="B453" s="2" t="s">
        <v>782</v>
      </c>
      <c r="C453" s="2" t="s">
        <v>52</v>
      </c>
      <c r="D453" s="2" t="s">
        <v>68</v>
      </c>
      <c r="E453" s="2" t="s">
        <v>1309</v>
      </c>
      <c r="F453" s="2" t="s">
        <v>1311</v>
      </c>
    </row>
    <row r="454">
      <c r="A454" s="6">
        <v>46203.353641828704</v>
      </c>
      <c r="B454" s="2" t="s">
        <v>434</v>
      </c>
      <c r="C454" s="2" t="s">
        <v>52</v>
      </c>
      <c r="D454" s="2" t="s">
        <v>1312</v>
      </c>
    </row>
    <row r="455">
      <c r="A455" s="6">
        <v>46203.35412296296</v>
      </c>
      <c r="B455" s="2" t="s">
        <v>434</v>
      </c>
      <c r="C455" s="2" t="s">
        <v>52</v>
      </c>
      <c r="D455" s="2" t="s">
        <v>1313</v>
      </c>
    </row>
    <row r="456">
      <c r="A456" s="6">
        <v>46203.35786451389</v>
      </c>
      <c r="B456" s="2" t="s">
        <v>434</v>
      </c>
      <c r="C456" s="2" t="s">
        <v>52</v>
      </c>
      <c r="D456" s="2" t="s">
        <v>1315</v>
      </c>
    </row>
    <row r="457">
      <c r="A457" s="6">
        <v>46204.342746979164</v>
      </c>
      <c r="B457" s="2" t="s">
        <v>434</v>
      </c>
      <c r="C457" s="2" t="s">
        <v>52</v>
      </c>
      <c r="D457" s="2" t="s">
        <v>1303</v>
      </c>
    </row>
    <row r="458">
      <c r="A458" s="6">
        <v>46204.3534362037</v>
      </c>
      <c r="B458" s="2" t="s">
        <v>434</v>
      </c>
      <c r="C458" s="2" t="s">
        <v>52</v>
      </c>
      <c r="D458" s="2" t="s">
        <v>1317</v>
      </c>
    </row>
    <row r="459">
      <c r="A459" s="6">
        <v>46204.36960479167</v>
      </c>
      <c r="B459" s="2" t="s">
        <v>434</v>
      </c>
      <c r="C459" s="2" t="s">
        <v>52</v>
      </c>
      <c r="D459" s="2" t="s">
        <v>1319</v>
      </c>
    </row>
    <row r="460">
      <c r="A460" s="6">
        <v>46204.37202607639</v>
      </c>
      <c r="B460" s="2" t="s">
        <v>434</v>
      </c>
      <c r="C460" s="2" t="s">
        <v>52</v>
      </c>
      <c r="D460" s="2" t="s">
        <v>1321</v>
      </c>
    </row>
    <row r="461">
      <c r="A461" s="6">
        <v>46204.37633409722</v>
      </c>
      <c r="B461" s="2" t="s">
        <v>434</v>
      </c>
      <c r="C461" s="2" t="s">
        <v>52</v>
      </c>
      <c r="D461" s="2" t="s">
        <v>1323</v>
      </c>
    </row>
    <row r="462">
      <c r="A462" s="6">
        <v>46204.37721107639</v>
      </c>
      <c r="B462" s="2" t="s">
        <v>434</v>
      </c>
      <c r="C462" s="2" t="s">
        <v>52</v>
      </c>
      <c r="D462" s="2" t="s">
        <v>1325</v>
      </c>
    </row>
    <row r="463">
      <c r="A463" s="6">
        <v>46204.37824395833</v>
      </c>
      <c r="B463" s="2" t="s">
        <v>782</v>
      </c>
      <c r="C463" s="2" t="s">
        <v>52</v>
      </c>
      <c r="D463" s="2" t="s">
        <v>34</v>
      </c>
      <c r="E463" s="2" t="s">
        <v>1327</v>
      </c>
      <c r="F463" s="2" t="s">
        <v>1328</v>
      </c>
    </row>
    <row r="464">
      <c r="A464" s="6">
        <v>46204.37868739583</v>
      </c>
      <c r="B464" s="2" t="s">
        <v>876</v>
      </c>
      <c r="C464" s="2" t="s">
        <v>52</v>
      </c>
      <c r="D464" s="2" t="s">
        <v>1330</v>
      </c>
      <c r="E464" s="2" t="s">
        <v>1331</v>
      </c>
    </row>
    <row r="465">
      <c r="A465" s="6">
        <v>46204.406625358795</v>
      </c>
      <c r="B465" s="2" t="s">
        <v>434</v>
      </c>
      <c r="C465" s="2" t="s">
        <v>52</v>
      </c>
      <c r="D465" s="2" t="s">
        <v>1332</v>
      </c>
    </row>
    <row r="466">
      <c r="A466" s="6">
        <v>46204.40878481482</v>
      </c>
      <c r="B466" s="2" t="s">
        <v>434</v>
      </c>
      <c r="C466" s="2" t="s">
        <v>52</v>
      </c>
      <c r="D466" s="2" t="s">
        <v>1334</v>
      </c>
    </row>
    <row r="467">
      <c r="A467" s="6">
        <v>46204.413978553246</v>
      </c>
      <c r="B467" s="2" t="s">
        <v>434</v>
      </c>
      <c r="C467" s="2" t="s">
        <v>52</v>
      </c>
      <c r="D467" s="2" t="s">
        <v>1336</v>
      </c>
    </row>
    <row r="468">
      <c r="A468" s="6">
        <v>46204.418523506945</v>
      </c>
      <c r="B468" s="2" t="s">
        <v>434</v>
      </c>
      <c r="C468" s="2" t="s">
        <v>52</v>
      </c>
      <c r="D468" s="2" t="s">
        <v>1338</v>
      </c>
    </row>
    <row r="469">
      <c r="A469" s="6">
        <v>46204.42099762731</v>
      </c>
      <c r="B469" s="2" t="s">
        <v>434</v>
      </c>
      <c r="C469" s="2" t="s">
        <v>52</v>
      </c>
      <c r="D469" s="2" t="s">
        <v>1339</v>
      </c>
    </row>
    <row r="470">
      <c r="A470" s="6">
        <v>46204.42271083333</v>
      </c>
      <c r="B470" s="2" t="s">
        <v>434</v>
      </c>
      <c r="C470" s="2" t="s">
        <v>52</v>
      </c>
      <c r="D470" s="2" t="s">
        <v>1340</v>
      </c>
    </row>
    <row r="471">
      <c r="A471" s="6">
        <v>46204.423186932865</v>
      </c>
      <c r="B471" s="2" t="s">
        <v>876</v>
      </c>
      <c r="C471" s="2" t="s">
        <v>52</v>
      </c>
      <c r="D471" s="2" t="s">
        <v>1342</v>
      </c>
      <c r="E471" s="2" t="s">
        <v>1343</v>
      </c>
    </row>
    <row r="472">
      <c r="A472" s="6">
        <v>46204.42387961806</v>
      </c>
      <c r="B472" s="2" t="s">
        <v>876</v>
      </c>
      <c r="C472" s="2" t="s">
        <v>52</v>
      </c>
      <c r="D472" s="2" t="s">
        <v>1345</v>
      </c>
      <c r="E472" s="2" t="s">
        <v>1346</v>
      </c>
    </row>
    <row r="473">
      <c r="A473" s="6">
        <v>46204.424139571754</v>
      </c>
      <c r="B473" s="2" t="s">
        <v>876</v>
      </c>
      <c r="C473" s="2" t="s">
        <v>52</v>
      </c>
      <c r="D473" s="2" t="s">
        <v>1348</v>
      </c>
      <c r="E473" s="2" t="s">
        <v>1346</v>
      </c>
    </row>
    <row r="474">
      <c r="A474" s="6">
        <v>46204.42702793982</v>
      </c>
      <c r="B474" s="2" t="s">
        <v>434</v>
      </c>
      <c r="C474" s="2" t="s">
        <v>52</v>
      </c>
      <c r="D474" s="2" t="s">
        <v>1351</v>
      </c>
    </row>
    <row r="475">
      <c r="A475" s="6">
        <v>46204.42830575231</v>
      </c>
      <c r="B475" s="2" t="s">
        <v>876</v>
      </c>
      <c r="C475" s="2" t="s">
        <v>52</v>
      </c>
      <c r="D475" s="2" t="s">
        <v>1353</v>
      </c>
      <c r="E475" s="2" t="s">
        <v>1354</v>
      </c>
    </row>
    <row r="476">
      <c r="A476" s="6">
        <v>46204.47653934028</v>
      </c>
      <c r="B476" s="2" t="s">
        <v>876</v>
      </c>
      <c r="C476" s="2" t="s">
        <v>52</v>
      </c>
      <c r="D476" s="2" t="s">
        <v>1356</v>
      </c>
      <c r="E476" s="2" t="s">
        <v>1357</v>
      </c>
    </row>
    <row r="477">
      <c r="A477" s="6">
        <v>46204.47684153935</v>
      </c>
      <c r="B477" s="2" t="s">
        <v>876</v>
      </c>
      <c r="C477" s="2" t="s">
        <v>52</v>
      </c>
      <c r="D477" s="2" t="s">
        <v>1359</v>
      </c>
      <c r="E477" s="2" t="s">
        <v>1357</v>
      </c>
    </row>
    <row r="478">
      <c r="A478" s="6">
        <v>46205.43342768519</v>
      </c>
      <c r="B478" s="2" t="s">
        <v>434</v>
      </c>
      <c r="C478" s="2" t="s">
        <v>52</v>
      </c>
      <c r="D478" s="2" t="s">
        <v>1360</v>
      </c>
    </row>
    <row r="479">
      <c r="A479" s="6">
        <v>46206.290093020834</v>
      </c>
      <c r="B479" s="2" t="s">
        <v>434</v>
      </c>
      <c r="C479" s="2" t="s">
        <v>52</v>
      </c>
      <c r="D479" s="2" t="s">
        <v>1362</v>
      </c>
    </row>
    <row r="480">
      <c r="A480" s="6">
        <v>46206.29091112268</v>
      </c>
      <c r="B480" s="2" t="s">
        <v>434</v>
      </c>
      <c r="C480" s="2" t="s">
        <v>52</v>
      </c>
      <c r="D480" s="2" t="s">
        <v>1363</v>
      </c>
    </row>
    <row r="481">
      <c r="A481" s="6">
        <v>46206.29500484954</v>
      </c>
      <c r="B481" s="2" t="s">
        <v>434</v>
      </c>
      <c r="C481" s="2" t="s">
        <v>52</v>
      </c>
      <c r="D481" s="2" t="s">
        <v>1364</v>
      </c>
    </row>
    <row r="482">
      <c r="A482" s="6">
        <v>46206.296176979165</v>
      </c>
      <c r="B482" s="2" t="s">
        <v>434</v>
      </c>
      <c r="C482" s="2" t="s">
        <v>52</v>
      </c>
      <c r="D482" s="2" t="s">
        <v>1365</v>
      </c>
    </row>
    <row r="483">
      <c r="A483" s="6">
        <v>46206.29720731481</v>
      </c>
      <c r="B483" s="2" t="s">
        <v>434</v>
      </c>
      <c r="C483" s="2" t="s">
        <v>52</v>
      </c>
      <c r="D483" s="2" t="s">
        <v>1366</v>
      </c>
    </row>
    <row r="484">
      <c r="A484" s="6">
        <v>46206.298460011574</v>
      </c>
      <c r="B484" s="2" t="s">
        <v>434</v>
      </c>
      <c r="C484" s="2" t="s">
        <v>52</v>
      </c>
      <c r="D484" s="2" t="s">
        <v>1368</v>
      </c>
    </row>
    <row r="485">
      <c r="A485" s="6">
        <v>46206.300377997686</v>
      </c>
      <c r="B485" s="2" t="s">
        <v>434</v>
      </c>
      <c r="C485" s="2" t="s">
        <v>52</v>
      </c>
      <c r="D485" s="2" t="s">
        <v>1370</v>
      </c>
    </row>
    <row r="486">
      <c r="A486" s="6">
        <v>46206.30135793981</v>
      </c>
      <c r="B486" s="2" t="s">
        <v>434</v>
      </c>
      <c r="C486" s="2" t="s">
        <v>52</v>
      </c>
      <c r="D486" s="2" t="s">
        <v>1371</v>
      </c>
    </row>
    <row r="487">
      <c r="A487" s="6">
        <v>46206.30171876158</v>
      </c>
      <c r="B487" s="2" t="s">
        <v>876</v>
      </c>
      <c r="C487" s="2" t="s">
        <v>52</v>
      </c>
      <c r="D487" s="2" t="s">
        <v>1373</v>
      </c>
      <c r="E487" s="2" t="s">
        <v>1374</v>
      </c>
    </row>
    <row r="488">
      <c r="A488" s="6">
        <v>46206.30390067129</v>
      </c>
      <c r="B488" s="2" t="s">
        <v>434</v>
      </c>
      <c r="C488" s="2" t="s">
        <v>52</v>
      </c>
      <c r="D488" s="2" t="s">
        <v>1376</v>
      </c>
    </row>
    <row r="489">
      <c r="A489" s="6">
        <v>46206.30719354167</v>
      </c>
      <c r="B489" s="2" t="s">
        <v>434</v>
      </c>
      <c r="C489" s="2" t="s">
        <v>52</v>
      </c>
      <c r="D489" s="2" t="s">
        <v>1377</v>
      </c>
    </row>
    <row r="490">
      <c r="A490" s="6">
        <v>46206.308159629625</v>
      </c>
      <c r="B490" s="2" t="s">
        <v>434</v>
      </c>
      <c r="C490" s="2" t="s">
        <v>52</v>
      </c>
      <c r="D490" s="2" t="s">
        <v>1379</v>
      </c>
    </row>
    <row r="491">
      <c r="A491" s="6">
        <v>46206.30940545139</v>
      </c>
      <c r="B491" s="2" t="s">
        <v>434</v>
      </c>
      <c r="C491" s="2" t="s">
        <v>52</v>
      </c>
      <c r="D491" s="2" t="s">
        <v>1381</v>
      </c>
    </row>
    <row r="492">
      <c r="A492" s="6">
        <v>46206.31235291666</v>
      </c>
      <c r="B492" s="2" t="s">
        <v>434</v>
      </c>
      <c r="C492" s="2" t="s">
        <v>52</v>
      </c>
      <c r="D492" s="2" t="s">
        <v>1383</v>
      </c>
    </row>
    <row r="493">
      <c r="A493" s="6">
        <v>46206.31275331019</v>
      </c>
      <c r="B493" s="2" t="s">
        <v>876</v>
      </c>
      <c r="C493" s="2" t="s">
        <v>52</v>
      </c>
      <c r="D493" s="2" t="s">
        <v>1386</v>
      </c>
      <c r="E493" s="2" t="s">
        <v>1387</v>
      </c>
    </row>
    <row r="494">
      <c r="A494" s="6">
        <v>46206.313511817134</v>
      </c>
      <c r="B494" s="2" t="s">
        <v>434</v>
      </c>
      <c r="C494" s="2" t="s">
        <v>52</v>
      </c>
      <c r="D494" s="2" t="s">
        <v>1390</v>
      </c>
    </row>
    <row r="495">
      <c r="A495" s="6">
        <v>46206.31463403935</v>
      </c>
      <c r="B495" s="2" t="s">
        <v>434</v>
      </c>
      <c r="C495" s="2" t="s">
        <v>52</v>
      </c>
      <c r="D495" s="2" t="s">
        <v>1392</v>
      </c>
    </row>
    <row r="496">
      <c r="A496" s="6">
        <v>46206.31559388889</v>
      </c>
      <c r="B496" s="2" t="s">
        <v>434</v>
      </c>
      <c r="C496" s="2" t="s">
        <v>52</v>
      </c>
      <c r="D496" s="2" t="s">
        <v>1393</v>
      </c>
    </row>
    <row r="497">
      <c r="A497" s="6">
        <v>46206.31701429398</v>
      </c>
      <c r="B497" s="2" t="s">
        <v>434</v>
      </c>
      <c r="C497" s="2" t="s">
        <v>52</v>
      </c>
      <c r="D497" s="2" t="s">
        <v>1396</v>
      </c>
    </row>
    <row r="498">
      <c r="A498" s="6">
        <v>46206.317979837964</v>
      </c>
      <c r="B498" s="2" t="s">
        <v>434</v>
      </c>
      <c r="C498" s="2" t="s">
        <v>52</v>
      </c>
      <c r="D498" s="2" t="s">
        <v>1397</v>
      </c>
    </row>
    <row r="499">
      <c r="A499" s="6">
        <v>46206.31870282408</v>
      </c>
      <c r="B499" s="2" t="s">
        <v>434</v>
      </c>
      <c r="C499" s="2" t="s">
        <v>52</v>
      </c>
      <c r="D499" s="2" t="s">
        <v>1399</v>
      </c>
    </row>
    <row r="500">
      <c r="A500" s="6">
        <v>46209.43037570602</v>
      </c>
      <c r="B500" s="2" t="s">
        <v>434</v>
      </c>
      <c r="C500" s="2" t="s">
        <v>52</v>
      </c>
      <c r="D500" s="2" t="s">
        <v>1400</v>
      </c>
    </row>
    <row r="501">
      <c r="A501" s="6">
        <v>46209.432424375</v>
      </c>
      <c r="B501" s="2" t="s">
        <v>434</v>
      </c>
      <c r="C501" s="2" t="s">
        <v>52</v>
      </c>
      <c r="D501" s="2" t="s">
        <v>1401</v>
      </c>
    </row>
    <row r="502">
      <c r="A502" s="6">
        <v>46209.437742650465</v>
      </c>
      <c r="B502" s="2" t="s">
        <v>434</v>
      </c>
      <c r="C502" s="2" t="s">
        <v>52</v>
      </c>
      <c r="D502" s="2" t="s">
        <v>1403</v>
      </c>
    </row>
    <row r="503">
      <c r="A503" s="6">
        <v>46209.451179247684</v>
      </c>
      <c r="B503" s="2" t="s">
        <v>434</v>
      </c>
      <c r="C503" s="2" t="s">
        <v>52</v>
      </c>
      <c r="D503" s="2" t="s">
        <v>1171</v>
      </c>
    </row>
    <row r="504">
      <c r="A504" s="6">
        <v>46209.588117175925</v>
      </c>
      <c r="B504" s="2" t="s">
        <v>434</v>
      </c>
      <c r="C504" s="2" t="s">
        <v>52</v>
      </c>
      <c r="D504" s="2" t="s">
        <v>1404</v>
      </c>
    </row>
    <row r="505">
      <c r="A505" s="6">
        <v>46209.58871650463</v>
      </c>
      <c r="B505" s="2" t="s">
        <v>876</v>
      </c>
      <c r="C505" s="2" t="s">
        <v>52</v>
      </c>
      <c r="D505" s="2" t="s">
        <v>1406</v>
      </c>
      <c r="E505" s="2" t="s">
        <v>1407</v>
      </c>
    </row>
    <row r="506">
      <c r="A506" s="6">
        <v>46209.58988778935</v>
      </c>
      <c r="B506" s="2" t="s">
        <v>434</v>
      </c>
      <c r="C506" s="2" t="s">
        <v>52</v>
      </c>
      <c r="D506" s="2" t="s">
        <v>1364</v>
      </c>
    </row>
    <row r="507">
      <c r="A507" s="6">
        <v>46209.595925601854</v>
      </c>
      <c r="B507" s="2" t="s">
        <v>434</v>
      </c>
      <c r="C507" s="2" t="s">
        <v>52</v>
      </c>
      <c r="D507" s="2" t="s">
        <v>1408</v>
      </c>
    </row>
    <row r="508">
      <c r="A508" s="6">
        <v>46209.599824432866</v>
      </c>
      <c r="B508" s="2" t="s">
        <v>434</v>
      </c>
      <c r="C508" s="2" t="s">
        <v>52</v>
      </c>
      <c r="D508" s="2" t="s">
        <v>1411</v>
      </c>
    </row>
    <row r="509">
      <c r="A509" s="6">
        <v>46209.60162449074</v>
      </c>
      <c r="B509" s="2" t="s">
        <v>434</v>
      </c>
      <c r="C509" s="2" t="s">
        <v>52</v>
      </c>
      <c r="D509" s="2" t="s">
        <v>1412</v>
      </c>
    </row>
    <row r="510">
      <c r="A510" s="6">
        <v>46209.61138498843</v>
      </c>
      <c r="B510" s="2" t="s">
        <v>434</v>
      </c>
      <c r="C510" s="2" t="s">
        <v>52</v>
      </c>
      <c r="D510" s="2" t="s">
        <v>1413</v>
      </c>
    </row>
    <row r="511">
      <c r="A511" s="6">
        <v>46210.374877118054</v>
      </c>
      <c r="B511" s="2" t="s">
        <v>876</v>
      </c>
      <c r="C511" s="2" t="s">
        <v>52</v>
      </c>
      <c r="D511" s="2" t="s">
        <v>1414</v>
      </c>
      <c r="E511" s="2" t="s">
        <v>1415</v>
      </c>
    </row>
    <row r="512">
      <c r="A512" s="6">
        <v>46210.37508416666</v>
      </c>
      <c r="B512" s="2" t="s">
        <v>876</v>
      </c>
      <c r="C512" s="2" t="s">
        <v>52</v>
      </c>
      <c r="D512" s="2" t="s">
        <v>1416</v>
      </c>
      <c r="E512" s="2" t="s">
        <v>1417</v>
      </c>
    </row>
    <row r="513">
      <c r="A513" s="6">
        <v>46210.375959212965</v>
      </c>
      <c r="B513" s="2" t="s">
        <v>876</v>
      </c>
      <c r="C513" s="2" t="s">
        <v>52</v>
      </c>
      <c r="D513" s="2" t="s">
        <v>1419</v>
      </c>
      <c r="E513" s="2" t="s">
        <v>1420</v>
      </c>
    </row>
    <row r="514">
      <c r="A514" s="6">
        <v>46210.38857650463</v>
      </c>
      <c r="B514" s="2" t="s">
        <v>434</v>
      </c>
      <c r="C514" s="2" t="s">
        <v>52</v>
      </c>
      <c r="D514" s="2" t="s">
        <v>1421</v>
      </c>
    </row>
    <row r="515">
      <c r="A515" s="6">
        <v>46210.39170195602</v>
      </c>
      <c r="B515" s="2" t="s">
        <v>434</v>
      </c>
      <c r="C515" s="2" t="s">
        <v>52</v>
      </c>
      <c r="D515" s="2" t="s">
        <v>1423</v>
      </c>
    </row>
    <row r="516">
      <c r="A516" s="6">
        <v>46210.44357230324</v>
      </c>
      <c r="B516" s="2" t="s">
        <v>876</v>
      </c>
      <c r="C516" s="2" t="s">
        <v>52</v>
      </c>
      <c r="D516" s="2" t="s">
        <v>1424</v>
      </c>
      <c r="E516" s="2" t="s">
        <v>1425</v>
      </c>
    </row>
    <row r="517">
      <c r="A517" s="6">
        <v>46210.44504883102</v>
      </c>
      <c r="B517" s="2" t="s">
        <v>876</v>
      </c>
      <c r="C517" s="2" t="s">
        <v>52</v>
      </c>
      <c r="D517" s="2" t="s">
        <v>1428</v>
      </c>
      <c r="E517" s="2" t="s">
        <v>1429</v>
      </c>
    </row>
    <row r="518">
      <c r="A518" s="6">
        <v>46210.44548663194</v>
      </c>
      <c r="B518" s="2" t="s">
        <v>876</v>
      </c>
      <c r="C518" s="2" t="s">
        <v>52</v>
      </c>
      <c r="D518" s="2" t="s">
        <v>1430</v>
      </c>
      <c r="E518" s="2" t="s">
        <v>1431</v>
      </c>
    </row>
    <row r="519">
      <c r="A519" s="6">
        <v>46210.45265258102</v>
      </c>
      <c r="B519" s="2" t="s">
        <v>876</v>
      </c>
      <c r="C519" s="2" t="s">
        <v>52</v>
      </c>
      <c r="D519" s="2" t="s">
        <v>1434</v>
      </c>
      <c r="E519" s="2" t="s">
        <v>1435</v>
      </c>
    </row>
    <row r="520">
      <c r="A520" s="6">
        <v>46210.54503412037</v>
      </c>
      <c r="B520" s="2" t="s">
        <v>876</v>
      </c>
      <c r="C520" s="2" t="s">
        <v>52</v>
      </c>
      <c r="D520" s="2" t="s">
        <v>1436</v>
      </c>
      <c r="E520" s="2" t="s">
        <v>1425</v>
      </c>
    </row>
    <row r="521">
      <c r="A521" s="6">
        <v>46210.55386277778</v>
      </c>
      <c r="B521" s="2" t="s">
        <v>434</v>
      </c>
      <c r="C521" s="2" t="s">
        <v>52</v>
      </c>
      <c r="D521" s="2" t="s">
        <v>1437</v>
      </c>
    </row>
    <row r="522">
      <c r="A522" s="6">
        <v>46210.55481369213</v>
      </c>
      <c r="B522" s="2" t="s">
        <v>876</v>
      </c>
      <c r="C522" s="2" t="s">
        <v>52</v>
      </c>
      <c r="D522" s="2" t="s">
        <v>1440</v>
      </c>
      <c r="E522" s="2" t="s">
        <v>1441</v>
      </c>
    </row>
    <row r="523">
      <c r="A523" s="6">
        <v>46210.57328557871</v>
      </c>
      <c r="B523" s="2" t="s">
        <v>584</v>
      </c>
      <c r="C523" s="2" t="s">
        <v>52</v>
      </c>
      <c r="D523" s="2" t="s">
        <v>124</v>
      </c>
    </row>
    <row r="524">
      <c r="A524" s="6">
        <v>46210.57340930555</v>
      </c>
      <c r="B524" s="2" t="s">
        <v>584</v>
      </c>
      <c r="C524" s="2" t="s">
        <v>52</v>
      </c>
      <c r="D524" s="2" t="s">
        <v>112</v>
      </c>
    </row>
    <row r="525">
      <c r="A525" s="6">
        <v>46210.574074421296</v>
      </c>
      <c r="B525" s="2" t="s">
        <v>584</v>
      </c>
      <c r="C525" s="2" t="s">
        <v>52</v>
      </c>
      <c r="D525" s="2" t="s">
        <v>130</v>
      </c>
    </row>
    <row r="526">
      <c r="A526" s="6">
        <v>46210.57448028935</v>
      </c>
      <c r="B526" s="2" t="s">
        <v>574</v>
      </c>
      <c r="C526" s="2" t="s">
        <v>52</v>
      </c>
      <c r="D526" s="2" t="s">
        <v>1443</v>
      </c>
    </row>
    <row r="527">
      <c r="A527" s="6">
        <v>46210.589506840275</v>
      </c>
      <c r="B527" s="2" t="s">
        <v>876</v>
      </c>
      <c r="C527" s="2" t="s">
        <v>52</v>
      </c>
      <c r="D527" s="2" t="s">
        <v>1444</v>
      </c>
      <c r="E527" s="2" t="s">
        <v>1445</v>
      </c>
    </row>
    <row r="528">
      <c r="A528" s="6">
        <v>46210.59079666667</v>
      </c>
      <c r="B528" s="2" t="s">
        <v>876</v>
      </c>
      <c r="C528" s="2" t="s">
        <v>52</v>
      </c>
      <c r="D528" s="2" t="s">
        <v>1448</v>
      </c>
      <c r="E528" s="2" t="s">
        <v>1450</v>
      </c>
    </row>
    <row r="529">
      <c r="A529" s="6">
        <v>46210.59430928241</v>
      </c>
      <c r="B529" s="2" t="s">
        <v>876</v>
      </c>
      <c r="C529" s="2" t="s">
        <v>52</v>
      </c>
      <c r="D529" s="2" t="s">
        <v>1451</v>
      </c>
      <c r="E529" s="2" t="s">
        <v>1452</v>
      </c>
    </row>
    <row r="530">
      <c r="A530" s="6">
        <v>46210.59700098379</v>
      </c>
      <c r="B530" s="2" t="s">
        <v>434</v>
      </c>
      <c r="C530" s="2" t="s">
        <v>52</v>
      </c>
      <c r="D530" s="2" t="s">
        <v>1454</v>
      </c>
    </row>
    <row r="531">
      <c r="A531" s="6">
        <v>46210.6532334838</v>
      </c>
      <c r="B531" s="2" t="s">
        <v>434</v>
      </c>
      <c r="C531" s="2" t="s">
        <v>52</v>
      </c>
      <c r="D531" s="2" t="s">
        <v>1455</v>
      </c>
    </row>
    <row r="532">
      <c r="A532" s="6">
        <v>46210.653854502314</v>
      </c>
      <c r="B532" s="2" t="s">
        <v>434</v>
      </c>
      <c r="C532" s="2" t="s">
        <v>52</v>
      </c>
      <c r="D532" s="2" t="s">
        <v>1456</v>
      </c>
    </row>
    <row r="533">
      <c r="A533" s="6">
        <v>46210.65506769676</v>
      </c>
      <c r="B533" s="2" t="s">
        <v>876</v>
      </c>
      <c r="C533" s="2" t="s">
        <v>52</v>
      </c>
      <c r="D533" s="2" t="s">
        <v>1458</v>
      </c>
      <c r="E533" s="2" t="s">
        <v>1460</v>
      </c>
    </row>
    <row r="534">
      <c r="A534" s="6">
        <v>46210.655602314815</v>
      </c>
      <c r="B534" s="2" t="s">
        <v>876</v>
      </c>
      <c r="C534" s="2" t="s">
        <v>52</v>
      </c>
      <c r="D534" s="2" t="s">
        <v>1463</v>
      </c>
      <c r="E534" s="2" t="s">
        <v>1460</v>
      </c>
    </row>
    <row r="535">
      <c r="A535" s="6">
        <v>46210.6567640625</v>
      </c>
      <c r="B535" s="2" t="s">
        <v>876</v>
      </c>
      <c r="C535" s="2" t="s">
        <v>52</v>
      </c>
      <c r="D535" s="2" t="s">
        <v>1465</v>
      </c>
      <c r="E535" s="2" t="s">
        <v>1466</v>
      </c>
    </row>
    <row r="536">
      <c r="A536" s="6">
        <v>46210.65708978009</v>
      </c>
      <c r="B536" s="2" t="s">
        <v>876</v>
      </c>
      <c r="C536" s="2" t="s">
        <v>52</v>
      </c>
      <c r="D536" s="2" t="s">
        <v>1469</v>
      </c>
      <c r="E536" s="2" t="s">
        <v>1470</v>
      </c>
    </row>
    <row r="537">
      <c r="A537" s="6">
        <v>46210.658273078705</v>
      </c>
      <c r="B537" s="2" t="s">
        <v>876</v>
      </c>
      <c r="C537" s="2" t="s">
        <v>52</v>
      </c>
      <c r="D537" s="2" t="s">
        <v>1472</v>
      </c>
      <c r="E537" s="2" t="s">
        <v>1425</v>
      </c>
    </row>
    <row r="538">
      <c r="A538" s="6">
        <v>46210.661923657404</v>
      </c>
      <c r="B538" s="2" t="s">
        <v>876</v>
      </c>
      <c r="C538" s="2" t="s">
        <v>52</v>
      </c>
      <c r="D538" s="2" t="s">
        <v>1475</v>
      </c>
      <c r="E538" s="2" t="s">
        <v>1477</v>
      </c>
    </row>
    <row r="539">
      <c r="A539" s="6">
        <v>46211.34094239584</v>
      </c>
      <c r="B539" s="2" t="s">
        <v>876</v>
      </c>
      <c r="C539" s="2" t="s">
        <v>52</v>
      </c>
      <c r="D539" s="2" t="s">
        <v>1478</v>
      </c>
      <c r="E539" s="2" t="s">
        <v>1479</v>
      </c>
    </row>
    <row r="540">
      <c r="A540" s="6">
        <v>46211.341237650464</v>
      </c>
      <c r="B540" s="2" t="s">
        <v>876</v>
      </c>
      <c r="C540" s="2" t="s">
        <v>52</v>
      </c>
      <c r="D540" s="2" t="s">
        <v>1481</v>
      </c>
      <c r="E540" s="2" t="s">
        <v>1482</v>
      </c>
    </row>
    <row r="541">
      <c r="A541" s="6">
        <v>46211.34520575231</v>
      </c>
      <c r="B541" s="2" t="s">
        <v>434</v>
      </c>
      <c r="C541" s="2" t="s">
        <v>52</v>
      </c>
      <c r="D541" s="2" t="s">
        <v>1484</v>
      </c>
    </row>
    <row r="542">
      <c r="A542" s="6">
        <v>46211.346348657404</v>
      </c>
      <c r="B542" s="2" t="s">
        <v>434</v>
      </c>
      <c r="C542" s="2" t="s">
        <v>52</v>
      </c>
      <c r="D542" s="2" t="s">
        <v>1487</v>
      </c>
    </row>
    <row r="543">
      <c r="A543" s="6">
        <v>46211.34858295139</v>
      </c>
      <c r="B543" s="2" t="s">
        <v>434</v>
      </c>
      <c r="C543" s="2" t="s">
        <v>52</v>
      </c>
      <c r="D543" s="2" t="s">
        <v>1489</v>
      </c>
    </row>
    <row r="544">
      <c r="A544" s="6">
        <v>46211.36061150463</v>
      </c>
      <c r="B544" s="2" t="s">
        <v>434</v>
      </c>
      <c r="C544" s="2" t="s">
        <v>52</v>
      </c>
      <c r="D544" s="2" t="s">
        <v>1492</v>
      </c>
    </row>
    <row r="545">
      <c r="A545" s="6">
        <v>46211.44935928241</v>
      </c>
      <c r="B545" s="2" t="s">
        <v>434</v>
      </c>
      <c r="C545" s="2" t="s">
        <v>52</v>
      </c>
      <c r="D545" s="2" t="s">
        <v>1494</v>
      </c>
    </row>
    <row r="546">
      <c r="A546" s="6">
        <v>46212.428764791664</v>
      </c>
      <c r="B546" s="2" t="s">
        <v>434</v>
      </c>
      <c r="C546" s="2" t="s">
        <v>52</v>
      </c>
      <c r="D546" s="2" t="s">
        <v>1496</v>
      </c>
    </row>
    <row r="547">
      <c r="A547" s="6">
        <v>46212.454360104166</v>
      </c>
      <c r="B547" s="2" t="s">
        <v>434</v>
      </c>
      <c r="C547" s="2" t="s">
        <v>52</v>
      </c>
      <c r="D547" s="2" t="s">
        <v>1498</v>
      </c>
    </row>
    <row r="548">
      <c r="A548" s="6">
        <v>46212.457000173614</v>
      </c>
      <c r="B548" s="2" t="s">
        <v>434</v>
      </c>
      <c r="C548" s="2" t="s">
        <v>52</v>
      </c>
      <c r="D548" s="2" t="s">
        <v>1500</v>
      </c>
    </row>
    <row r="549">
      <c r="A549" s="6">
        <v>46212.458512638885</v>
      </c>
      <c r="B549" s="2" t="s">
        <v>434</v>
      </c>
      <c r="C549" s="2" t="s">
        <v>52</v>
      </c>
      <c r="D549" s="2" t="s">
        <v>1503</v>
      </c>
    </row>
    <row r="550">
      <c r="A550" s="6">
        <v>46212.46787291666</v>
      </c>
      <c r="B550" s="2" t="s">
        <v>434</v>
      </c>
      <c r="C550" s="2" t="s">
        <v>52</v>
      </c>
      <c r="D550" s="2" t="s">
        <v>1506</v>
      </c>
    </row>
    <row r="551">
      <c r="A551" s="6">
        <v>46213.43402424769</v>
      </c>
      <c r="B551" s="2" t="s">
        <v>434</v>
      </c>
      <c r="C551" s="2" t="s">
        <v>52</v>
      </c>
      <c r="D551" s="2" t="s">
        <v>1507</v>
      </c>
    </row>
    <row r="552">
      <c r="A552" s="6">
        <v>46213.44008608796</v>
      </c>
      <c r="B552" s="2" t="s">
        <v>434</v>
      </c>
      <c r="C552" s="2" t="s">
        <v>52</v>
      </c>
      <c r="D552" s="2" t="s">
        <v>1508</v>
      </c>
    </row>
    <row r="553">
      <c r="A553" s="6">
        <v>46213.48284538194</v>
      </c>
      <c r="B553" s="2" t="s">
        <v>434</v>
      </c>
      <c r="C553" s="2" t="s">
        <v>52</v>
      </c>
      <c r="D553" s="2" t="s">
        <v>1509</v>
      </c>
    </row>
    <row r="554">
      <c r="A554" s="6">
        <v>46213.483619039354</v>
      </c>
      <c r="B554" s="2" t="s">
        <v>434</v>
      </c>
      <c r="C554" s="2" t="s">
        <v>52</v>
      </c>
      <c r="D554" s="2" t="s">
        <v>1513</v>
      </c>
    </row>
    <row r="555">
      <c r="A555" s="6">
        <v>46213.48427064814</v>
      </c>
      <c r="B555" s="2" t="s">
        <v>434</v>
      </c>
      <c r="C555" s="2" t="s">
        <v>52</v>
      </c>
      <c r="D555" s="2" t="s">
        <v>1514</v>
      </c>
    </row>
    <row r="556">
      <c r="A556" s="6">
        <v>46213.484909652776</v>
      </c>
      <c r="B556" s="2" t="s">
        <v>876</v>
      </c>
      <c r="C556" s="2" t="s">
        <v>52</v>
      </c>
      <c r="D556" s="2" t="s">
        <v>1515</v>
      </c>
      <c r="E556" s="2" t="s">
        <v>1516</v>
      </c>
    </row>
    <row r="557">
      <c r="A557" s="6">
        <v>46213.485147141204</v>
      </c>
      <c r="B557" s="2" t="s">
        <v>876</v>
      </c>
      <c r="C557" s="2" t="s">
        <v>52</v>
      </c>
      <c r="D557" s="2" t="s">
        <v>1518</v>
      </c>
      <c r="E557" s="2" t="s">
        <v>1516</v>
      </c>
    </row>
    <row r="558">
      <c r="A558" s="6">
        <v>46213.4853605324</v>
      </c>
      <c r="B558" s="2" t="s">
        <v>876</v>
      </c>
      <c r="C558" s="2" t="s">
        <v>52</v>
      </c>
      <c r="D558" s="2" t="s">
        <v>1520</v>
      </c>
      <c r="E558" s="2" t="s">
        <v>1516</v>
      </c>
    </row>
    <row r="559">
      <c r="A559" s="6">
        <v>46213.49543274306</v>
      </c>
      <c r="B559" s="2" t="s">
        <v>434</v>
      </c>
      <c r="C559" s="2" t="s">
        <v>52</v>
      </c>
      <c r="D559" s="2" t="s">
        <v>1524</v>
      </c>
    </row>
    <row r="560">
      <c r="A560" s="6">
        <v>46213.502215659726</v>
      </c>
      <c r="B560" s="2" t="s">
        <v>434</v>
      </c>
      <c r="C560" s="2" t="s">
        <v>52</v>
      </c>
      <c r="D560" s="2" t="s">
        <v>1525</v>
      </c>
    </row>
    <row r="561">
      <c r="A561" s="6">
        <v>46213.504152002315</v>
      </c>
      <c r="B561" s="2" t="s">
        <v>434</v>
      </c>
      <c r="C561" s="2" t="s">
        <v>52</v>
      </c>
      <c r="D561" s="2" t="s">
        <v>1526</v>
      </c>
    </row>
    <row r="562">
      <c r="A562" s="6">
        <v>46213.50724096065</v>
      </c>
      <c r="B562" s="2" t="s">
        <v>434</v>
      </c>
      <c r="C562" s="2" t="s">
        <v>52</v>
      </c>
      <c r="D562" s="2" t="s">
        <v>1529</v>
      </c>
    </row>
    <row r="563">
      <c r="A563" s="6">
        <v>46213.51014817129</v>
      </c>
      <c r="B563" s="2" t="s">
        <v>876</v>
      </c>
      <c r="C563" s="2" t="s">
        <v>52</v>
      </c>
      <c r="D563" s="2" t="s">
        <v>1530</v>
      </c>
      <c r="E563" s="2" t="s">
        <v>1531</v>
      </c>
    </row>
    <row r="564">
      <c r="A564" s="6">
        <v>46213.510403252316</v>
      </c>
      <c r="B564" s="2" t="s">
        <v>876</v>
      </c>
      <c r="C564" s="2" t="s">
        <v>52</v>
      </c>
      <c r="D564" s="2" t="s">
        <v>1533</v>
      </c>
      <c r="E564" s="2" t="s">
        <v>1531</v>
      </c>
    </row>
    <row r="565">
      <c r="A565" s="6">
        <v>46213.51118282408</v>
      </c>
      <c r="B565" s="2" t="s">
        <v>434</v>
      </c>
      <c r="C565" s="2" t="s">
        <v>52</v>
      </c>
      <c r="D565" s="2" t="s">
        <v>1535</v>
      </c>
    </row>
    <row r="566">
      <c r="A566" s="6">
        <v>46216.59733283565</v>
      </c>
      <c r="B566" s="2" t="s">
        <v>802</v>
      </c>
      <c r="C566" s="2" t="s">
        <v>52</v>
      </c>
      <c r="D566" s="2" t="s">
        <v>803</v>
      </c>
      <c r="E566" s="2" t="s">
        <v>805</v>
      </c>
      <c r="F566" s="2" t="s">
        <v>1536</v>
      </c>
    </row>
    <row r="567">
      <c r="A567" s="6">
        <v>46216.60126892361</v>
      </c>
      <c r="B567" s="2" t="s">
        <v>434</v>
      </c>
      <c r="C567" s="2" t="s">
        <v>52</v>
      </c>
      <c r="D567" s="2" t="s">
        <v>1537</v>
      </c>
    </row>
    <row r="568">
      <c r="A568" s="6">
        <v>46216.62156322917</v>
      </c>
      <c r="B568" s="2" t="s">
        <v>434</v>
      </c>
      <c r="C568" s="2" t="s">
        <v>52</v>
      </c>
      <c r="D568" s="2" t="s">
        <v>1538</v>
      </c>
    </row>
    <row r="569">
      <c r="A569" s="6">
        <v>46216.64408269676</v>
      </c>
      <c r="B569" s="2" t="s">
        <v>434</v>
      </c>
      <c r="C569" s="2" t="s">
        <v>52</v>
      </c>
      <c r="D569" s="2" t="s">
        <v>1540</v>
      </c>
    </row>
    <row r="570">
      <c r="A570" s="6">
        <v>46216.64847083333</v>
      </c>
      <c r="B570" s="2" t="s">
        <v>434</v>
      </c>
      <c r="C570" s="2" t="s">
        <v>52</v>
      </c>
      <c r="D570" s="2" t="s">
        <v>1541</v>
      </c>
    </row>
    <row r="571">
      <c r="A571" s="6">
        <v>46216.651864375</v>
      </c>
      <c r="B571" s="2" t="s">
        <v>434</v>
      </c>
      <c r="C571" s="2" t="s">
        <v>52</v>
      </c>
      <c r="D571" s="2" t="s">
        <v>1543</v>
      </c>
    </row>
    <row r="572">
      <c r="A572" s="6">
        <v>46216.653263113425</v>
      </c>
      <c r="B572" s="2" t="s">
        <v>434</v>
      </c>
      <c r="C572" s="2" t="s">
        <v>52</v>
      </c>
      <c r="D572" s="2" t="s">
        <v>1545</v>
      </c>
    </row>
    <row r="573">
      <c r="A573" s="6">
        <v>46216.65406869213</v>
      </c>
      <c r="B573" s="2" t="s">
        <v>876</v>
      </c>
      <c r="C573" s="2" t="s">
        <v>52</v>
      </c>
      <c r="D573" s="2" t="s">
        <v>1546</v>
      </c>
      <c r="E573" s="2" t="s">
        <v>1547</v>
      </c>
    </row>
    <row r="574">
      <c r="A574" s="6">
        <v>46216.654371331024</v>
      </c>
      <c r="B574" s="2" t="s">
        <v>876</v>
      </c>
      <c r="C574" s="2" t="s">
        <v>52</v>
      </c>
      <c r="D574" s="2" t="s">
        <v>1549</v>
      </c>
      <c r="E574" s="2" t="s">
        <v>1550</v>
      </c>
    </row>
    <row r="575">
      <c r="A575" s="6">
        <v>46217.38246153935</v>
      </c>
      <c r="B575" s="2" t="s">
        <v>434</v>
      </c>
      <c r="C575" s="2" t="s">
        <v>52</v>
      </c>
      <c r="D575" s="2" t="s">
        <v>1552</v>
      </c>
    </row>
    <row r="576">
      <c r="A576" s="6">
        <v>46217.39418274305</v>
      </c>
      <c r="B576" s="2" t="s">
        <v>876</v>
      </c>
      <c r="C576" s="2" t="s">
        <v>52</v>
      </c>
      <c r="D576" s="2" t="s">
        <v>1554</v>
      </c>
      <c r="E576" s="2" t="s">
        <v>1555</v>
      </c>
    </row>
    <row r="577">
      <c r="A577" s="6">
        <v>46217.39462258102</v>
      </c>
      <c r="B577" s="2" t="s">
        <v>876</v>
      </c>
      <c r="C577" s="2" t="s">
        <v>52</v>
      </c>
      <c r="D577" s="2" t="s">
        <v>1556</v>
      </c>
      <c r="E577" s="2" t="s">
        <v>1557</v>
      </c>
    </row>
    <row r="578">
      <c r="A578" s="6">
        <v>46217.39653873842</v>
      </c>
      <c r="B578" s="2" t="s">
        <v>434</v>
      </c>
      <c r="C578" s="2" t="s">
        <v>52</v>
      </c>
      <c r="D578" s="2" t="s">
        <v>1559</v>
      </c>
    </row>
    <row r="579">
      <c r="A579" s="6">
        <v>46217.397572754635</v>
      </c>
      <c r="B579" s="2" t="s">
        <v>434</v>
      </c>
      <c r="C579" s="2" t="s">
        <v>52</v>
      </c>
      <c r="D579" s="2" t="s">
        <v>1560</v>
      </c>
    </row>
    <row r="580">
      <c r="A580" s="6">
        <v>46217.39995207176</v>
      </c>
      <c r="B580" s="2" t="s">
        <v>434</v>
      </c>
      <c r="C580" s="2" t="s">
        <v>52</v>
      </c>
      <c r="D580" s="2" t="s">
        <v>1562</v>
      </c>
    </row>
    <row r="581">
      <c r="A581" s="6">
        <v>46217.40430569444</v>
      </c>
      <c r="B581" s="2" t="s">
        <v>876</v>
      </c>
      <c r="C581" s="2" t="s">
        <v>52</v>
      </c>
      <c r="D581" s="2" t="s">
        <v>1563</v>
      </c>
      <c r="E581" s="2" t="s">
        <v>1564</v>
      </c>
    </row>
    <row r="582">
      <c r="A582" s="6">
        <v>46217.405080474535</v>
      </c>
      <c r="B582" s="2" t="s">
        <v>876</v>
      </c>
      <c r="C582" s="2" t="s">
        <v>52</v>
      </c>
      <c r="D582" s="2" t="s">
        <v>1566</v>
      </c>
      <c r="E582" s="2" t="s">
        <v>1567</v>
      </c>
    </row>
    <row r="583">
      <c r="A583" s="6">
        <v>46217.41296605324</v>
      </c>
      <c r="B583" s="2" t="s">
        <v>434</v>
      </c>
      <c r="C583" s="2" t="s">
        <v>52</v>
      </c>
      <c r="D583" s="2" t="s">
        <v>1568</v>
      </c>
    </row>
    <row r="584">
      <c r="A584" s="6">
        <v>46217.41383677084</v>
      </c>
      <c r="B584" s="2" t="s">
        <v>434</v>
      </c>
      <c r="C584" s="2" t="s">
        <v>52</v>
      </c>
      <c r="D584" s="2" t="s">
        <v>1570</v>
      </c>
    </row>
    <row r="585">
      <c r="A585" s="6">
        <v>46217.42558876157</v>
      </c>
      <c r="B585" s="2" t="s">
        <v>434</v>
      </c>
      <c r="C585" s="2" t="s">
        <v>52</v>
      </c>
      <c r="D585" s="2" t="s">
        <v>1571</v>
      </c>
    </row>
    <row r="586">
      <c r="A586" s="6">
        <v>46217.427598379625</v>
      </c>
      <c r="B586" s="2" t="s">
        <v>876</v>
      </c>
      <c r="C586" s="2" t="s">
        <v>52</v>
      </c>
      <c r="D586" s="2" t="s">
        <v>1572</v>
      </c>
      <c r="E586" s="2" t="s">
        <v>1573</v>
      </c>
    </row>
    <row r="587">
      <c r="A587" s="6">
        <v>46217.430829537036</v>
      </c>
      <c r="B587" s="2" t="s">
        <v>434</v>
      </c>
      <c r="C587" s="2" t="s">
        <v>52</v>
      </c>
      <c r="D587" s="2" t="s">
        <v>1575</v>
      </c>
    </row>
    <row r="588">
      <c r="A588" s="6">
        <v>46217.48267618056</v>
      </c>
      <c r="B588" s="2" t="s">
        <v>876</v>
      </c>
      <c r="C588" s="2" t="s">
        <v>52</v>
      </c>
      <c r="D588" s="2" t="s">
        <v>1576</v>
      </c>
      <c r="E588" s="2" t="s">
        <v>1577</v>
      </c>
    </row>
    <row r="589">
      <c r="A589" s="6">
        <v>46217.484939710645</v>
      </c>
      <c r="B589" s="2" t="s">
        <v>434</v>
      </c>
      <c r="C589" s="2" t="s">
        <v>52</v>
      </c>
      <c r="D589" s="2" t="s">
        <v>1578</v>
      </c>
    </row>
    <row r="590">
      <c r="A590" s="6">
        <v>46217.48585646991</v>
      </c>
      <c r="B590" s="2" t="s">
        <v>434</v>
      </c>
      <c r="C590" s="2" t="s">
        <v>52</v>
      </c>
      <c r="D590" s="2" t="s">
        <v>1579</v>
      </c>
    </row>
    <row r="591">
      <c r="A591" s="6">
        <v>46217.58163221065</v>
      </c>
      <c r="B591" s="2" t="s">
        <v>876</v>
      </c>
      <c r="C591" s="2" t="s">
        <v>52</v>
      </c>
      <c r="D591" s="2" t="s">
        <v>1580</v>
      </c>
      <c r="E591" s="2" t="s">
        <v>1581</v>
      </c>
    </row>
    <row r="592">
      <c r="A592" s="6">
        <v>46218.37237703704</v>
      </c>
      <c r="B592" s="2" t="s">
        <v>434</v>
      </c>
      <c r="C592" s="2" t="s">
        <v>52</v>
      </c>
      <c r="D592" s="2" t="s">
        <v>1582</v>
      </c>
    </row>
    <row r="593">
      <c r="A593" s="6">
        <v>46218.40897913194</v>
      </c>
      <c r="B593" s="2" t="s">
        <v>434</v>
      </c>
      <c r="C593" s="2" t="s">
        <v>52</v>
      </c>
      <c r="D593" s="2" t="s">
        <v>1583</v>
      </c>
    </row>
    <row r="594">
      <c r="A594" s="6">
        <v>46218.424915254625</v>
      </c>
      <c r="B594" s="2" t="s">
        <v>1584</v>
      </c>
      <c r="C594" s="2" t="s">
        <v>52</v>
      </c>
      <c r="D594" s="2" t="s">
        <v>1585</v>
      </c>
    </row>
    <row r="595">
      <c r="A595" s="6">
        <v>46218.427041840274</v>
      </c>
      <c r="B595" s="2" t="s">
        <v>1584</v>
      </c>
      <c r="C595" s="2" t="s">
        <v>52</v>
      </c>
      <c r="D595" s="2" t="s">
        <v>1587</v>
      </c>
    </row>
    <row r="596">
      <c r="A596" s="6">
        <v>46218.43418591435</v>
      </c>
      <c r="B596" s="2" t="s">
        <v>1588</v>
      </c>
      <c r="C596" s="2" t="s">
        <v>52</v>
      </c>
      <c r="D596" s="2" t="s">
        <v>1589</v>
      </c>
      <c r="F596" s="2" t="s">
        <v>276</v>
      </c>
    </row>
    <row r="597">
      <c r="A597" s="6">
        <v>46218.448460011576</v>
      </c>
      <c r="B597" s="2" t="s">
        <v>1584</v>
      </c>
      <c r="C597" s="2" t="s">
        <v>52</v>
      </c>
      <c r="D597" s="2" t="s">
        <v>1590</v>
      </c>
    </row>
    <row r="598">
      <c r="A598" s="6">
        <v>46218.62078452546</v>
      </c>
      <c r="B598" s="2" t="s">
        <v>434</v>
      </c>
      <c r="C598" s="2" t="s">
        <v>52</v>
      </c>
      <c r="D598" s="2" t="s">
        <v>1593</v>
      </c>
    </row>
    <row r="599">
      <c r="A599" s="6">
        <v>46219.56829578704</v>
      </c>
      <c r="B599" s="2" t="s">
        <v>434</v>
      </c>
      <c r="C599" s="2" t="s">
        <v>52</v>
      </c>
      <c r="D599" s="2" t="s">
        <v>1595</v>
      </c>
    </row>
    <row r="600">
      <c r="A600" s="6">
        <v>46219.56979795139</v>
      </c>
      <c r="B600" s="2" t="s">
        <v>434</v>
      </c>
      <c r="C600" s="2" t="s">
        <v>52</v>
      </c>
      <c r="D600" s="2" t="s">
        <v>1597</v>
      </c>
    </row>
    <row r="601">
      <c r="A601" s="6">
        <v>46219.58096868056</v>
      </c>
      <c r="B601" s="2" t="s">
        <v>434</v>
      </c>
      <c r="C601" s="2" t="s">
        <v>52</v>
      </c>
      <c r="D601" s="2" t="s">
        <v>1598</v>
      </c>
    </row>
    <row r="602">
      <c r="A602" s="6">
        <v>46219.58154133102</v>
      </c>
      <c r="B602" s="2" t="s">
        <v>876</v>
      </c>
      <c r="C602" s="2" t="s">
        <v>52</v>
      </c>
      <c r="D602" s="2" t="s">
        <v>1599</v>
      </c>
      <c r="E602" s="2" t="s">
        <v>1600</v>
      </c>
    </row>
    <row r="603">
      <c r="A603" s="6">
        <v>46219.58205570602</v>
      </c>
      <c r="B603" s="2" t="s">
        <v>434</v>
      </c>
      <c r="C603" s="2" t="s">
        <v>52</v>
      </c>
      <c r="D603" s="2" t="s">
        <v>1602</v>
      </c>
    </row>
    <row r="604">
      <c r="A604" s="6">
        <v>46219.58239423611</v>
      </c>
      <c r="B604" s="2" t="s">
        <v>434</v>
      </c>
      <c r="C604" s="2" t="s">
        <v>52</v>
      </c>
      <c r="D604" s="2" t="s">
        <v>1604</v>
      </c>
    </row>
    <row r="605">
      <c r="A605" s="6">
        <v>46219.65688552083</v>
      </c>
      <c r="B605" s="2" t="s">
        <v>434</v>
      </c>
      <c r="C605" s="2" t="s">
        <v>52</v>
      </c>
      <c r="D605" s="2" t="s">
        <v>1606</v>
      </c>
    </row>
    <row r="606">
      <c r="A606" s="6">
        <v>46219.657786180556</v>
      </c>
      <c r="B606" s="2" t="s">
        <v>434</v>
      </c>
      <c r="C606" s="2" t="s">
        <v>52</v>
      </c>
      <c r="D606" s="2" t="s">
        <v>1608</v>
      </c>
    </row>
    <row r="607">
      <c r="A607" s="6">
        <v>46219.658639664354</v>
      </c>
      <c r="B607" s="2" t="s">
        <v>876</v>
      </c>
      <c r="C607" s="2" t="s">
        <v>52</v>
      </c>
      <c r="D607" s="2" t="s">
        <v>1609</v>
      </c>
      <c r="E607" s="2" t="s">
        <v>1611</v>
      </c>
    </row>
    <row r="608">
      <c r="A608" s="6">
        <v>46219.65996451389</v>
      </c>
      <c r="B608" s="2" t="s">
        <v>434</v>
      </c>
      <c r="C608" s="2" t="s">
        <v>52</v>
      </c>
      <c r="D608" s="2" t="s">
        <v>1612</v>
      </c>
    </row>
    <row r="609">
      <c r="A609" s="6">
        <v>46219.6610569676</v>
      </c>
      <c r="B609" s="2" t="s">
        <v>434</v>
      </c>
      <c r="C609" s="2" t="s">
        <v>52</v>
      </c>
      <c r="D609" s="2" t="s">
        <v>1613</v>
      </c>
    </row>
    <row r="610">
      <c r="A610" s="6">
        <v>46219.66235295139</v>
      </c>
      <c r="B610" s="2" t="s">
        <v>876</v>
      </c>
      <c r="C610" s="2" t="s">
        <v>52</v>
      </c>
      <c r="D610" s="2" t="s">
        <v>1614</v>
      </c>
      <c r="E610" s="2" t="s">
        <v>1615</v>
      </c>
    </row>
    <row r="611">
      <c r="A611" s="6">
        <v>46219.66728259259</v>
      </c>
      <c r="B611" s="2" t="s">
        <v>434</v>
      </c>
      <c r="C611" s="2" t="s">
        <v>52</v>
      </c>
      <c r="D611" s="2" t="s">
        <v>1618</v>
      </c>
    </row>
    <row r="612">
      <c r="A612" s="6">
        <v>46219.66950049769</v>
      </c>
      <c r="B612" s="2" t="s">
        <v>434</v>
      </c>
      <c r="C612" s="2" t="s">
        <v>52</v>
      </c>
      <c r="D612" s="2" t="s">
        <v>1619</v>
      </c>
    </row>
    <row r="613">
      <c r="A613" s="6">
        <v>46219.67093289352</v>
      </c>
      <c r="B613" s="2" t="s">
        <v>434</v>
      </c>
      <c r="C613" s="2" t="s">
        <v>52</v>
      </c>
      <c r="D613" s="2" t="s">
        <v>1623</v>
      </c>
    </row>
    <row r="614">
      <c r="A614" s="6">
        <v>46220.56637677083</v>
      </c>
      <c r="B614" s="2" t="s">
        <v>434</v>
      </c>
      <c r="C614" s="2" t="s">
        <v>52</v>
      </c>
      <c r="D614" s="2" t="s">
        <v>1624</v>
      </c>
    </row>
    <row r="615">
      <c r="A615" s="6">
        <v>46220.56822577547</v>
      </c>
      <c r="B615" s="2" t="s">
        <v>434</v>
      </c>
      <c r="C615" s="2" t="s">
        <v>52</v>
      </c>
      <c r="D615" s="2" t="s">
        <v>1625</v>
      </c>
    </row>
    <row r="616">
      <c r="A616" s="6">
        <v>46220.56879409723</v>
      </c>
      <c r="B616" s="2" t="s">
        <v>434</v>
      </c>
      <c r="C616" s="2" t="s">
        <v>52</v>
      </c>
      <c r="D616" s="2" t="s">
        <v>1626</v>
      </c>
    </row>
    <row r="617">
      <c r="A617" s="6">
        <v>46220.57278584491</v>
      </c>
      <c r="B617" s="2" t="s">
        <v>434</v>
      </c>
      <c r="C617" s="2" t="s">
        <v>52</v>
      </c>
      <c r="D617" s="2" t="s">
        <v>1629</v>
      </c>
    </row>
    <row r="618">
      <c r="A618" s="6">
        <v>46220.57359944444</v>
      </c>
      <c r="B618" s="2" t="s">
        <v>434</v>
      </c>
      <c r="C618" s="2" t="s">
        <v>52</v>
      </c>
      <c r="D618" s="2" t="s">
        <v>1630</v>
      </c>
    </row>
    <row r="619">
      <c r="A619" s="6">
        <v>46220.574385740736</v>
      </c>
      <c r="B619" s="2" t="s">
        <v>434</v>
      </c>
      <c r="C619" s="2" t="s">
        <v>52</v>
      </c>
      <c r="D619" s="2" t="s">
        <v>1632</v>
      </c>
    </row>
    <row r="620">
      <c r="A620" s="6">
        <v>46220.577595173614</v>
      </c>
      <c r="B620" s="2" t="s">
        <v>434</v>
      </c>
      <c r="C620" s="2" t="s">
        <v>52</v>
      </c>
      <c r="D620" s="2" t="s">
        <v>1633</v>
      </c>
    </row>
    <row r="621">
      <c r="A621" s="6">
        <v>46220.57864930556</v>
      </c>
      <c r="B621" s="2" t="s">
        <v>434</v>
      </c>
      <c r="C621" s="2" t="s">
        <v>52</v>
      </c>
      <c r="D621" s="2" t="s">
        <v>1635</v>
      </c>
    </row>
    <row r="622">
      <c r="A622" s="6">
        <v>46220.58329166667</v>
      </c>
      <c r="B622" s="2" t="s">
        <v>434</v>
      </c>
      <c r="C622" s="2" t="s">
        <v>52</v>
      </c>
      <c r="D622" s="2" t="s">
        <v>1637</v>
      </c>
    </row>
    <row r="623">
      <c r="A623" s="6">
        <v>46220.584518159725</v>
      </c>
      <c r="B623" s="2" t="s">
        <v>434</v>
      </c>
      <c r="C623" s="2" t="s">
        <v>52</v>
      </c>
      <c r="D623" s="2" t="s">
        <v>1640</v>
      </c>
    </row>
    <row r="624">
      <c r="A624" s="6">
        <v>46220.58507244213</v>
      </c>
      <c r="B624" s="2" t="s">
        <v>434</v>
      </c>
      <c r="C624" s="2" t="s">
        <v>52</v>
      </c>
      <c r="D624" s="2" t="s">
        <v>1642</v>
      </c>
    </row>
    <row r="625">
      <c r="A625" s="6">
        <v>46220.585729004626</v>
      </c>
      <c r="B625" s="2" t="s">
        <v>434</v>
      </c>
      <c r="C625" s="2" t="s">
        <v>52</v>
      </c>
      <c r="D625" s="2" t="s">
        <v>1645</v>
      </c>
    </row>
    <row r="626">
      <c r="A626" s="6">
        <v>46220.58671467593</v>
      </c>
      <c r="B626" s="2" t="s">
        <v>434</v>
      </c>
      <c r="C626" s="2" t="s">
        <v>52</v>
      </c>
      <c r="D626" s="2" t="s">
        <v>1647</v>
      </c>
    </row>
    <row r="627">
      <c r="A627" s="6">
        <v>46220.58707851852</v>
      </c>
      <c r="B627" s="2" t="s">
        <v>876</v>
      </c>
      <c r="C627" s="2" t="s">
        <v>52</v>
      </c>
      <c r="D627" s="2" t="s">
        <v>1649</v>
      </c>
      <c r="E627" s="2" t="s">
        <v>1650</v>
      </c>
    </row>
    <row r="628">
      <c r="A628" s="6">
        <v>46220.59192517361</v>
      </c>
      <c r="B628" s="2" t="s">
        <v>434</v>
      </c>
      <c r="C628" s="2" t="s">
        <v>52</v>
      </c>
      <c r="D628" s="2" t="s">
        <v>1653</v>
      </c>
    </row>
    <row r="629">
      <c r="A629" s="6">
        <v>46220.593996261574</v>
      </c>
      <c r="B629" s="2" t="s">
        <v>434</v>
      </c>
      <c r="C629" s="2" t="s">
        <v>52</v>
      </c>
      <c r="D629" s="2" t="s">
        <v>1655</v>
      </c>
    </row>
    <row r="630">
      <c r="A630" s="6">
        <v>46220.59521009259</v>
      </c>
      <c r="B630" s="2" t="s">
        <v>434</v>
      </c>
      <c r="C630" s="2" t="s">
        <v>52</v>
      </c>
      <c r="D630" s="2" t="s">
        <v>1656</v>
      </c>
    </row>
    <row r="631">
      <c r="A631" s="6">
        <v>46220.59588927083</v>
      </c>
      <c r="B631" s="2" t="s">
        <v>434</v>
      </c>
      <c r="C631" s="2" t="s">
        <v>52</v>
      </c>
      <c r="D631" s="2" t="s">
        <v>1657</v>
      </c>
    </row>
    <row r="632">
      <c r="A632" s="6">
        <v>46220.596846134256</v>
      </c>
      <c r="B632" s="2" t="s">
        <v>434</v>
      </c>
      <c r="C632" s="2" t="s">
        <v>52</v>
      </c>
      <c r="D632" s="2" t="s">
        <v>1659</v>
      </c>
    </row>
    <row r="633">
      <c r="A633" s="6">
        <v>46220.59796646991</v>
      </c>
      <c r="B633" s="2" t="s">
        <v>434</v>
      </c>
      <c r="C633" s="2" t="s">
        <v>52</v>
      </c>
      <c r="D633" s="2" t="s">
        <v>1660</v>
      </c>
    </row>
    <row r="634">
      <c r="A634" s="6">
        <v>46220.59891369213</v>
      </c>
      <c r="B634" s="2" t="s">
        <v>434</v>
      </c>
      <c r="C634" s="2" t="s">
        <v>52</v>
      </c>
      <c r="D634" s="2" t="s">
        <v>1663</v>
      </c>
    </row>
    <row r="635">
      <c r="A635" s="6">
        <v>46220.59992548611</v>
      </c>
      <c r="B635" s="2" t="s">
        <v>434</v>
      </c>
      <c r="C635" s="2" t="s">
        <v>52</v>
      </c>
      <c r="D635" s="2" t="s">
        <v>1664</v>
      </c>
    </row>
    <row r="636">
      <c r="A636" s="6">
        <v>46223.364804780096</v>
      </c>
      <c r="B636" s="2" t="s">
        <v>434</v>
      </c>
      <c r="C636" s="2" t="s">
        <v>52</v>
      </c>
      <c r="D636" s="2" t="s">
        <v>1668</v>
      </c>
    </row>
    <row r="637">
      <c r="A637" s="6">
        <v>46223.372355</v>
      </c>
      <c r="B637" s="2" t="s">
        <v>434</v>
      </c>
      <c r="C637" s="2" t="s">
        <v>52</v>
      </c>
      <c r="D637" s="2" t="s">
        <v>1670</v>
      </c>
    </row>
    <row r="638">
      <c r="A638" s="6">
        <v>46223.3998384838</v>
      </c>
      <c r="B638" s="2" t="s">
        <v>434</v>
      </c>
      <c r="C638" s="2" t="s">
        <v>52</v>
      </c>
      <c r="D638" s="2" t="s">
        <v>1671</v>
      </c>
    </row>
    <row r="639">
      <c r="A639" s="6">
        <v>46223.40040938657</v>
      </c>
      <c r="B639" s="2" t="s">
        <v>434</v>
      </c>
      <c r="C639" s="2" t="s">
        <v>52</v>
      </c>
      <c r="D639" s="2" t="s">
        <v>1673</v>
      </c>
    </row>
    <row r="640">
      <c r="A640" s="6">
        <v>46223.438403101856</v>
      </c>
      <c r="B640" s="2" t="s">
        <v>434</v>
      </c>
      <c r="C640" s="2" t="s">
        <v>52</v>
      </c>
      <c r="D640" s="2" t="s">
        <v>1674</v>
      </c>
    </row>
    <row r="641">
      <c r="A641" s="6">
        <v>46223.441956863426</v>
      </c>
      <c r="B641" s="2" t="s">
        <v>434</v>
      </c>
      <c r="C641" s="2" t="s">
        <v>52</v>
      </c>
      <c r="D641" s="2" t="s">
        <v>1677</v>
      </c>
    </row>
    <row r="642">
      <c r="A642" s="6">
        <v>46223.444073067134</v>
      </c>
      <c r="B642" s="2" t="s">
        <v>434</v>
      </c>
      <c r="C642" s="2" t="s">
        <v>52</v>
      </c>
      <c r="D642" s="2" t="s">
        <v>1678</v>
      </c>
    </row>
    <row r="643">
      <c r="A643" s="6">
        <v>46223.44477983796</v>
      </c>
      <c r="B643" s="2" t="s">
        <v>876</v>
      </c>
      <c r="C643" s="2" t="s">
        <v>52</v>
      </c>
      <c r="D643" s="2" t="s">
        <v>1680</v>
      </c>
      <c r="E643" s="2" t="s">
        <v>1681</v>
      </c>
    </row>
    <row r="644">
      <c r="A644" s="6">
        <v>46223.44813599537</v>
      </c>
      <c r="B644" s="2" t="s">
        <v>434</v>
      </c>
      <c r="C644" s="2" t="s">
        <v>52</v>
      </c>
      <c r="D644" s="2" t="s">
        <v>1684</v>
      </c>
    </row>
    <row r="645">
      <c r="A645" s="6">
        <v>46223.450065509256</v>
      </c>
      <c r="B645" s="2" t="s">
        <v>434</v>
      </c>
      <c r="C645" s="2" t="s">
        <v>52</v>
      </c>
      <c r="D645" s="2" t="s">
        <v>1686</v>
      </c>
    </row>
    <row r="646">
      <c r="A646" s="6">
        <v>46223.4602671412</v>
      </c>
      <c r="B646" s="2" t="s">
        <v>434</v>
      </c>
      <c r="C646" s="2" t="s">
        <v>52</v>
      </c>
      <c r="D646" s="2" t="s">
        <v>1688</v>
      </c>
    </row>
    <row r="647">
      <c r="A647" s="6">
        <v>46223.463514849536</v>
      </c>
      <c r="B647" s="2" t="s">
        <v>434</v>
      </c>
      <c r="C647" s="2" t="s">
        <v>52</v>
      </c>
      <c r="D647" s="2" t="s">
        <v>1691</v>
      </c>
    </row>
    <row r="648">
      <c r="A648" s="6">
        <v>46223.4711656713</v>
      </c>
      <c r="B648" s="2" t="s">
        <v>434</v>
      </c>
      <c r="C648" s="2" t="s">
        <v>52</v>
      </c>
      <c r="D648" s="2" t="s">
        <v>1692</v>
      </c>
    </row>
    <row r="649">
      <c r="A649" s="6">
        <v>46223.474202129626</v>
      </c>
      <c r="B649" s="2" t="s">
        <v>434</v>
      </c>
      <c r="C649" s="2" t="s">
        <v>52</v>
      </c>
      <c r="D649" s="2" t="s">
        <v>1695</v>
      </c>
    </row>
    <row r="650">
      <c r="A650" s="6">
        <v>46223.47691405093</v>
      </c>
      <c r="B650" s="2" t="s">
        <v>434</v>
      </c>
      <c r="C650" s="2" t="s">
        <v>52</v>
      </c>
      <c r="D650" s="2" t="s">
        <v>1696</v>
      </c>
    </row>
    <row r="651">
      <c r="A651" s="6">
        <v>46223.48272355324</v>
      </c>
      <c r="B651" s="2" t="s">
        <v>434</v>
      </c>
      <c r="C651" s="2" t="s">
        <v>52</v>
      </c>
      <c r="D651" s="2" t="s">
        <v>1699</v>
      </c>
    </row>
    <row r="652">
      <c r="A652" s="6">
        <v>46223.49088570602</v>
      </c>
      <c r="B652" s="2" t="s">
        <v>434</v>
      </c>
      <c r="C652" s="2" t="s">
        <v>52</v>
      </c>
      <c r="D652" s="2" t="s">
        <v>1701</v>
      </c>
    </row>
    <row r="653">
      <c r="A653" s="6">
        <v>46223.49315491898</v>
      </c>
      <c r="B653" s="2" t="s">
        <v>434</v>
      </c>
      <c r="C653" s="2" t="s">
        <v>52</v>
      </c>
      <c r="D653" s="2" t="s">
        <v>1704</v>
      </c>
    </row>
    <row r="654">
      <c r="A654" s="6">
        <v>46223.56399362268</v>
      </c>
      <c r="B654" s="2" t="s">
        <v>434</v>
      </c>
      <c r="C654" s="2" t="s">
        <v>52</v>
      </c>
      <c r="D654" s="2" t="s">
        <v>1705</v>
      </c>
    </row>
    <row r="655">
      <c r="A655" s="6">
        <v>46223.564510543976</v>
      </c>
      <c r="B655" s="2" t="s">
        <v>876</v>
      </c>
      <c r="C655" s="2" t="s">
        <v>52</v>
      </c>
      <c r="D655" s="2" t="s">
        <v>1706</v>
      </c>
      <c r="E655" s="2" t="s">
        <v>1707</v>
      </c>
    </row>
    <row r="656">
      <c r="A656" s="6">
        <v>46224.415635185185</v>
      </c>
      <c r="B656" s="2" t="s">
        <v>434</v>
      </c>
      <c r="C656" s="2" t="s">
        <v>52</v>
      </c>
      <c r="D656" s="2" t="s">
        <v>1708</v>
      </c>
    </row>
    <row r="657">
      <c r="A657" s="6">
        <v>46224.41588084491</v>
      </c>
      <c r="B657" s="2" t="s">
        <v>802</v>
      </c>
      <c r="C657" s="2" t="s">
        <v>52</v>
      </c>
      <c r="D657" s="2" t="s">
        <v>803</v>
      </c>
      <c r="E657" s="2" t="s">
        <v>1709</v>
      </c>
      <c r="F657" s="2" t="s">
        <v>1711</v>
      </c>
    </row>
    <row r="658">
      <c r="A658" s="6">
        <v>46224.42376554398</v>
      </c>
      <c r="B658" s="2" t="s">
        <v>434</v>
      </c>
      <c r="C658" s="2" t="s">
        <v>52</v>
      </c>
      <c r="D658" s="2" t="s">
        <v>1713</v>
      </c>
    </row>
    <row r="659">
      <c r="A659" s="6">
        <v>46224.4253065625</v>
      </c>
      <c r="B659" s="2" t="s">
        <v>434</v>
      </c>
      <c r="C659" s="2" t="s">
        <v>52</v>
      </c>
      <c r="D659" s="2" t="s">
        <v>1714</v>
      </c>
    </row>
    <row r="660">
      <c r="A660" s="6">
        <v>46224.50102809028</v>
      </c>
      <c r="B660" s="2" t="s">
        <v>434</v>
      </c>
      <c r="C660" s="2" t="s">
        <v>52</v>
      </c>
      <c r="D660" s="2" t="s">
        <v>1716</v>
      </c>
    </row>
    <row r="661">
      <c r="A661" s="6">
        <v>46224.55435269676</v>
      </c>
      <c r="B661" s="2" t="s">
        <v>434</v>
      </c>
      <c r="C661" s="2" t="s">
        <v>52</v>
      </c>
      <c r="D661" s="2" t="s">
        <v>1717</v>
      </c>
    </row>
    <row r="662">
      <c r="A662" s="6">
        <v>46225.334684201385</v>
      </c>
      <c r="B662" s="2" t="s">
        <v>876</v>
      </c>
      <c r="C662" s="2" t="s">
        <v>52</v>
      </c>
      <c r="D662" s="2" t="s">
        <v>1718</v>
      </c>
      <c r="E662" s="2" t="s">
        <v>1719</v>
      </c>
    </row>
    <row r="663">
      <c r="A663" s="6">
        <v>46225.36449440972</v>
      </c>
      <c r="B663" s="2" t="s">
        <v>434</v>
      </c>
      <c r="C663" s="2" t="s">
        <v>52</v>
      </c>
      <c r="D663" s="2" t="s">
        <v>1720</v>
      </c>
    </row>
    <row r="664">
      <c r="A664" s="6">
        <v>46225.58278550926</v>
      </c>
      <c r="B664" s="2" t="s">
        <v>876</v>
      </c>
      <c r="C664" s="2" t="s">
        <v>52</v>
      </c>
      <c r="D664" s="2" t="s">
        <v>1721</v>
      </c>
      <c r="E664" s="2" t="s">
        <v>1723</v>
      </c>
    </row>
    <row r="665">
      <c r="A665" s="6">
        <v>46226.34854064815</v>
      </c>
      <c r="B665" s="2" t="s">
        <v>434</v>
      </c>
      <c r="C665" s="2" t="s">
        <v>52</v>
      </c>
      <c r="D665" s="2" t="s">
        <v>1724</v>
      </c>
    </row>
    <row r="666">
      <c r="A666" s="6">
        <v>46226.355133819445</v>
      </c>
      <c r="B666" s="2" t="s">
        <v>434</v>
      </c>
      <c r="C666" s="2" t="s">
        <v>52</v>
      </c>
      <c r="D666" s="2" t="s">
        <v>1725</v>
      </c>
    </row>
    <row r="667">
      <c r="A667" s="6">
        <v>46226.36922262731</v>
      </c>
      <c r="B667" s="2" t="s">
        <v>434</v>
      </c>
      <c r="C667" s="2" t="s">
        <v>52</v>
      </c>
      <c r="D667" s="2" t="s">
        <v>1726</v>
      </c>
    </row>
    <row r="668">
      <c r="A668" s="6">
        <v>46226.410862812496</v>
      </c>
      <c r="B668" s="2" t="s">
        <v>782</v>
      </c>
      <c r="C668" s="2" t="s">
        <v>52</v>
      </c>
      <c r="D668" s="2" t="s">
        <v>34</v>
      </c>
      <c r="E668" s="2" t="s">
        <v>48</v>
      </c>
      <c r="F668" s="2" t="s">
        <v>1728</v>
      </c>
    </row>
    <row r="669">
      <c r="A669" s="6">
        <v>46226.49077261574</v>
      </c>
      <c r="B669" s="2" t="s">
        <v>434</v>
      </c>
      <c r="C669" s="2" t="s">
        <v>52</v>
      </c>
      <c r="D669" s="2" t="s">
        <v>1729</v>
      </c>
    </row>
    <row r="670">
      <c r="A670" s="6">
        <v>46226.49329915509</v>
      </c>
      <c r="B670" s="2" t="s">
        <v>434</v>
      </c>
      <c r="C670" s="2" t="s">
        <v>52</v>
      </c>
      <c r="D670" s="2" t="s">
        <v>1730</v>
      </c>
    </row>
    <row r="671">
      <c r="A671" s="6">
        <v>46226.49599199074</v>
      </c>
      <c r="B671" s="2" t="s">
        <v>434</v>
      </c>
      <c r="C671" s="2" t="s">
        <v>52</v>
      </c>
      <c r="D671" s="2" t="s">
        <v>1733</v>
      </c>
    </row>
    <row r="672">
      <c r="A672" s="6">
        <v>46226.501986793985</v>
      </c>
      <c r="B672" s="2" t="s">
        <v>434</v>
      </c>
      <c r="C672" s="2" t="s">
        <v>52</v>
      </c>
      <c r="D672" s="2" t="s">
        <v>1734</v>
      </c>
    </row>
    <row r="673">
      <c r="A673" s="6">
        <v>46226.510629004624</v>
      </c>
      <c r="B673" s="2" t="s">
        <v>434</v>
      </c>
      <c r="C673" s="2" t="s">
        <v>52</v>
      </c>
      <c r="D673" s="2" t="s">
        <v>1735</v>
      </c>
    </row>
    <row r="674">
      <c r="A674" s="6">
        <v>46226.51204163194</v>
      </c>
      <c r="B674" s="2" t="s">
        <v>434</v>
      </c>
      <c r="C674" s="2" t="s">
        <v>52</v>
      </c>
      <c r="D674" s="2" t="s">
        <v>1736</v>
      </c>
    </row>
    <row r="675">
      <c r="A675" s="6">
        <v>46226.51790545139</v>
      </c>
      <c r="B675" s="2" t="s">
        <v>876</v>
      </c>
      <c r="C675" s="2" t="s">
        <v>52</v>
      </c>
      <c r="D675" s="2" t="s">
        <v>1737</v>
      </c>
      <c r="E675" s="2" t="s">
        <v>1739</v>
      </c>
    </row>
    <row r="676">
      <c r="A676" s="6">
        <v>46226.587651979164</v>
      </c>
      <c r="B676" s="2" t="s">
        <v>434</v>
      </c>
      <c r="C676" s="2" t="s">
        <v>52</v>
      </c>
      <c r="D676" s="2" t="s">
        <v>1740</v>
      </c>
    </row>
    <row r="677">
      <c r="A677" s="6">
        <v>46226.62421069444</v>
      </c>
      <c r="B677" s="2" t="s">
        <v>802</v>
      </c>
      <c r="C677" s="2" t="s">
        <v>52</v>
      </c>
      <c r="D677" s="2" t="s">
        <v>1742</v>
      </c>
      <c r="E677" s="2" t="s">
        <v>1743</v>
      </c>
      <c r="F677" s="2" t="s">
        <v>1744</v>
      </c>
    </row>
    <row r="678">
      <c r="A678" s="6">
        <v>46226.62435493055</v>
      </c>
      <c r="B678" s="2" t="s">
        <v>802</v>
      </c>
      <c r="C678" s="2" t="s">
        <v>52</v>
      </c>
      <c r="D678" s="2" t="s">
        <v>1742</v>
      </c>
      <c r="E678" s="2" t="s">
        <v>1743</v>
      </c>
      <c r="F678" s="2" t="s">
        <v>1746</v>
      </c>
    </row>
    <row r="679">
      <c r="A679" s="6">
        <v>46226.626875856484</v>
      </c>
      <c r="B679" s="2" t="s">
        <v>802</v>
      </c>
      <c r="C679" s="2" t="s">
        <v>52</v>
      </c>
      <c r="D679" s="2" t="s">
        <v>1742</v>
      </c>
      <c r="E679" s="2" t="s">
        <v>1743</v>
      </c>
      <c r="F679" s="2" t="s">
        <v>1744</v>
      </c>
    </row>
    <row r="680">
      <c r="A680" s="6">
        <v>46227.564135567125</v>
      </c>
      <c r="B680" s="2" t="s">
        <v>802</v>
      </c>
      <c r="C680" s="2" t="s">
        <v>52</v>
      </c>
      <c r="D680" s="2" t="s">
        <v>1742</v>
      </c>
      <c r="E680" s="2" t="s">
        <v>1743</v>
      </c>
      <c r="F680" s="2" t="s">
        <v>1746</v>
      </c>
    </row>
    <row r="681">
      <c r="A681" s="6">
        <v>46227.56926721065</v>
      </c>
      <c r="B681" s="2" t="s">
        <v>1748</v>
      </c>
      <c r="C681" s="2" t="s">
        <v>52</v>
      </c>
      <c r="D681" s="2" t="s">
        <v>17</v>
      </c>
      <c r="F681" s="5" t="s">
        <v>20</v>
      </c>
    </row>
    <row r="682">
      <c r="A682" s="6">
        <v>46227.57541931713</v>
      </c>
      <c r="B682" s="2" t="s">
        <v>434</v>
      </c>
      <c r="C682" s="2" t="s">
        <v>52</v>
      </c>
      <c r="D682" s="2" t="s">
        <v>1756</v>
      </c>
    </row>
    <row r="683">
      <c r="A683" s="6">
        <v>46227.58279888889</v>
      </c>
      <c r="B683" s="2" t="s">
        <v>434</v>
      </c>
      <c r="C683" s="2" t="s">
        <v>52</v>
      </c>
      <c r="D683" s="2" t="s">
        <v>1757</v>
      </c>
    </row>
    <row r="684">
      <c r="A684" s="6">
        <v>46230.52295583334</v>
      </c>
      <c r="B684" s="2" t="s">
        <v>782</v>
      </c>
      <c r="C684" s="2" t="s">
        <v>52</v>
      </c>
      <c r="D684" s="2" t="s">
        <v>34</v>
      </c>
      <c r="E684" s="2" t="s">
        <v>1759</v>
      </c>
      <c r="F684" s="2" t="s">
        <v>1761</v>
      </c>
    </row>
    <row r="685">
      <c r="A685" s="6">
        <v>46230.52298328704</v>
      </c>
      <c r="B685" s="2" t="s">
        <v>782</v>
      </c>
      <c r="C685" s="2" t="s">
        <v>52</v>
      </c>
      <c r="D685" s="2" t="s">
        <v>34</v>
      </c>
      <c r="E685" s="2" t="s">
        <v>1759</v>
      </c>
      <c r="F685" s="2" t="s">
        <v>1762</v>
      </c>
    </row>
    <row r="686">
      <c r="A686" s="6">
        <v>46230.530064328705</v>
      </c>
      <c r="B686" s="2" t="s">
        <v>434</v>
      </c>
      <c r="C686" s="2" t="s">
        <v>52</v>
      </c>
      <c r="D686" s="2" t="s">
        <v>1757</v>
      </c>
    </row>
    <row r="687">
      <c r="A687" s="6">
        <v>46230.57881206019</v>
      </c>
      <c r="B687" s="2" t="s">
        <v>434</v>
      </c>
      <c r="C687" s="2" t="s">
        <v>52</v>
      </c>
      <c r="D687" s="2" t="s">
        <v>1757</v>
      </c>
    </row>
    <row r="688">
      <c r="A688" s="6">
        <v>46230.582165127315</v>
      </c>
      <c r="B688" s="2" t="s">
        <v>434</v>
      </c>
      <c r="C688" s="2" t="s">
        <v>52</v>
      </c>
      <c r="D688" s="2" t="s">
        <v>1757</v>
      </c>
    </row>
    <row r="689">
      <c r="A689" s="6">
        <v>46230.6090912963</v>
      </c>
      <c r="B689" s="2" t="s">
        <v>434</v>
      </c>
      <c r="C689" s="2" t="s">
        <v>52</v>
      </c>
      <c r="D689" s="2" t="s">
        <v>1765</v>
      </c>
    </row>
    <row r="690">
      <c r="A690" s="6">
        <v>46230.61623608797</v>
      </c>
      <c r="B690" s="2" t="s">
        <v>434</v>
      </c>
      <c r="C690" s="2" t="s">
        <v>52</v>
      </c>
      <c r="D690" s="2" t="s">
        <v>1757</v>
      </c>
    </row>
    <row r="691">
      <c r="A691" s="6">
        <v>46230.61682539352</v>
      </c>
      <c r="B691" s="2" t="s">
        <v>434</v>
      </c>
      <c r="C691" s="2" t="s">
        <v>52</v>
      </c>
      <c r="D691" s="2" t="s">
        <v>1757</v>
      </c>
    </row>
    <row r="692">
      <c r="A692" s="6">
        <v>46230.62019847222</v>
      </c>
      <c r="B692" s="2" t="s">
        <v>434</v>
      </c>
      <c r="C692" s="2" t="s">
        <v>52</v>
      </c>
      <c r="D692" s="2" t="s">
        <v>1766</v>
      </c>
    </row>
    <row r="693">
      <c r="A693" s="6">
        <v>46230.62566810186</v>
      </c>
      <c r="B693" s="2" t="s">
        <v>782</v>
      </c>
      <c r="C693" s="2" t="s">
        <v>52</v>
      </c>
      <c r="D693" s="2" t="s">
        <v>34</v>
      </c>
      <c r="E693" s="2" t="s">
        <v>1759</v>
      </c>
      <c r="F693" s="2" t="s">
        <v>1767</v>
      </c>
    </row>
    <row r="694">
      <c r="A694" s="6">
        <v>46230.62569424769</v>
      </c>
      <c r="B694" s="2" t="s">
        <v>782</v>
      </c>
      <c r="C694" s="2" t="s">
        <v>52</v>
      </c>
      <c r="D694" s="2" t="s">
        <v>34</v>
      </c>
      <c r="E694" s="2" t="s">
        <v>1759</v>
      </c>
      <c r="F694" s="2" t="s">
        <v>1768</v>
      </c>
    </row>
    <row r="695">
      <c r="A695" s="6">
        <v>46230.62570960648</v>
      </c>
      <c r="B695" s="2" t="s">
        <v>782</v>
      </c>
      <c r="C695" s="2" t="s">
        <v>52</v>
      </c>
      <c r="D695" s="2" t="s">
        <v>34</v>
      </c>
      <c r="E695" s="2" t="s">
        <v>1759</v>
      </c>
      <c r="F695" s="2" t="s">
        <v>1769</v>
      </c>
    </row>
    <row r="696">
      <c r="A696" s="6">
        <v>46230.625762800926</v>
      </c>
      <c r="B696" s="2" t="s">
        <v>782</v>
      </c>
      <c r="C696" s="2" t="s">
        <v>52</v>
      </c>
      <c r="D696" s="2" t="s">
        <v>34</v>
      </c>
      <c r="E696" s="2" t="s">
        <v>1759</v>
      </c>
      <c r="F696" s="2" t="s">
        <v>1770</v>
      </c>
    </row>
    <row r="697">
      <c r="A697" s="6">
        <v>46230.6257634375</v>
      </c>
      <c r="B697" s="2" t="s">
        <v>782</v>
      </c>
      <c r="C697" s="2" t="s">
        <v>52</v>
      </c>
      <c r="D697" s="2" t="s">
        <v>34</v>
      </c>
      <c r="E697" s="2" t="s">
        <v>1759</v>
      </c>
      <c r="F697" s="2" t="s">
        <v>1771</v>
      </c>
    </row>
    <row r="698">
      <c r="A698" s="6">
        <v>46230.62578298611</v>
      </c>
      <c r="B698" s="2" t="s">
        <v>782</v>
      </c>
      <c r="C698" s="2" t="s">
        <v>52</v>
      </c>
      <c r="D698" s="2" t="s">
        <v>34</v>
      </c>
      <c r="E698" s="2" t="s">
        <v>1759</v>
      </c>
      <c r="F698" s="2" t="s">
        <v>1772</v>
      </c>
    </row>
    <row r="699">
      <c r="A699" s="6">
        <v>46230.62613914352</v>
      </c>
      <c r="B699" s="2" t="s">
        <v>782</v>
      </c>
      <c r="C699" s="2" t="s">
        <v>52</v>
      </c>
      <c r="D699" s="2" t="s">
        <v>34</v>
      </c>
      <c r="E699" s="2" t="s">
        <v>1759</v>
      </c>
      <c r="F699" s="2" t="s">
        <v>1773</v>
      </c>
    </row>
    <row r="700">
      <c r="A700" s="6">
        <v>46230.667699247686</v>
      </c>
      <c r="B700" s="2" t="s">
        <v>434</v>
      </c>
      <c r="C700" s="2" t="s">
        <v>52</v>
      </c>
      <c r="D700" s="2" t="s">
        <v>1774</v>
      </c>
    </row>
    <row r="701">
      <c r="A701" s="6">
        <v>46230.68658797454</v>
      </c>
      <c r="B701" s="2" t="s">
        <v>434</v>
      </c>
      <c r="C701" s="2" t="s">
        <v>52</v>
      </c>
      <c r="D701" s="2" t="s">
        <v>1775</v>
      </c>
    </row>
    <row r="702">
      <c r="A702" s="6">
        <v>46230.68833344907</v>
      </c>
      <c r="B702" s="2" t="s">
        <v>782</v>
      </c>
      <c r="C702" s="2" t="s">
        <v>52</v>
      </c>
      <c r="D702" s="2" t="s">
        <v>49</v>
      </c>
      <c r="E702" s="2" t="s">
        <v>558</v>
      </c>
      <c r="F702" s="2" t="s">
        <v>1776</v>
      </c>
    </row>
    <row r="703">
      <c r="A703" s="6">
        <v>46230.69139607639</v>
      </c>
      <c r="B703" s="2" t="s">
        <v>434</v>
      </c>
      <c r="C703" s="2" t="s">
        <v>52</v>
      </c>
      <c r="D703" s="2" t="s">
        <v>1777</v>
      </c>
    </row>
    <row r="704">
      <c r="A704" s="6">
        <v>46230.69398606481</v>
      </c>
      <c r="B704" s="2" t="s">
        <v>802</v>
      </c>
      <c r="C704" s="2" t="s">
        <v>52</v>
      </c>
      <c r="D704" s="2" t="s">
        <v>1742</v>
      </c>
      <c r="E704" s="2" t="s">
        <v>1743</v>
      </c>
      <c r="F704" s="2" t="s">
        <v>1744</v>
      </c>
    </row>
    <row r="705">
      <c r="A705" s="6">
        <v>46230.694161736115</v>
      </c>
      <c r="B705" s="2" t="s">
        <v>802</v>
      </c>
      <c r="C705" s="2" t="s">
        <v>52</v>
      </c>
      <c r="D705" s="2" t="s">
        <v>1742</v>
      </c>
      <c r="E705" s="2" t="s">
        <v>1743</v>
      </c>
      <c r="F705" s="2" t="s">
        <v>1746</v>
      </c>
    </row>
    <row r="706">
      <c r="A706" s="6">
        <v>46231.330349745374</v>
      </c>
      <c r="B706" s="2" t="s">
        <v>434</v>
      </c>
      <c r="C706" s="2" t="s">
        <v>52</v>
      </c>
      <c r="D706" s="2" t="s">
        <v>1778</v>
      </c>
    </row>
    <row r="707">
      <c r="A707" s="6">
        <v>46231.52263019676</v>
      </c>
      <c r="B707" s="2" t="s">
        <v>434</v>
      </c>
      <c r="C707" s="2" t="s">
        <v>52</v>
      </c>
      <c r="D707" s="2" t="s">
        <v>1779</v>
      </c>
    </row>
    <row r="708">
      <c r="A708" s="6">
        <v>46231.53049295139</v>
      </c>
      <c r="B708" s="2" t="s">
        <v>434</v>
      </c>
      <c r="C708" s="2" t="s">
        <v>52</v>
      </c>
      <c r="D708" s="2" t="s">
        <v>1780</v>
      </c>
    </row>
    <row r="709">
      <c r="A709" s="6">
        <v>46231.531574039356</v>
      </c>
      <c r="B709" s="2" t="s">
        <v>434</v>
      </c>
      <c r="C709" s="2" t="s">
        <v>52</v>
      </c>
      <c r="D709" s="2" t="s">
        <v>1781</v>
      </c>
    </row>
    <row r="710">
      <c r="A710" s="6">
        <v>46231.53281497685</v>
      </c>
      <c r="B710" s="2" t="s">
        <v>434</v>
      </c>
      <c r="C710" s="2" t="s">
        <v>52</v>
      </c>
      <c r="D710" s="2" t="s">
        <v>1782</v>
      </c>
    </row>
    <row r="711">
      <c r="A711" s="6">
        <v>46231.53590777778</v>
      </c>
      <c r="B711" s="2" t="s">
        <v>434</v>
      </c>
      <c r="C711" s="2" t="s">
        <v>52</v>
      </c>
      <c r="D711" s="2" t="s">
        <v>1783</v>
      </c>
    </row>
    <row r="712">
      <c r="A712" s="6">
        <v>46231.53695836806</v>
      </c>
      <c r="B712" s="2" t="s">
        <v>434</v>
      </c>
      <c r="C712" s="2" t="s">
        <v>52</v>
      </c>
      <c r="D712" s="2" t="s">
        <v>1784</v>
      </c>
    </row>
    <row r="713">
      <c r="A713" s="6">
        <v>46231.5655684375</v>
      </c>
      <c r="B713" s="2" t="s">
        <v>1785</v>
      </c>
      <c r="C713" s="2" t="s">
        <v>52</v>
      </c>
      <c r="D713" s="2" t="s">
        <v>805</v>
      </c>
      <c r="E713" s="2" t="s">
        <v>7</v>
      </c>
      <c r="F713" s="2" t="s">
        <v>9</v>
      </c>
    </row>
    <row r="714">
      <c r="A714" s="6">
        <v>46231.574780254625</v>
      </c>
      <c r="B714" s="2" t="s">
        <v>1785</v>
      </c>
      <c r="C714" s="2" t="s">
        <v>52</v>
      </c>
      <c r="D714" s="2" t="s">
        <v>805</v>
      </c>
      <c r="E714" s="2" t="s">
        <v>13</v>
      </c>
      <c r="F714" s="2" t="s">
        <v>15</v>
      </c>
    </row>
    <row r="715">
      <c r="A715" s="6">
        <v>46231.575259467594</v>
      </c>
      <c r="B715" s="2" t="s">
        <v>1785</v>
      </c>
      <c r="C715" s="2" t="s">
        <v>52</v>
      </c>
      <c r="D715" s="2" t="s">
        <v>805</v>
      </c>
      <c r="E715" s="2" t="s">
        <v>18</v>
      </c>
      <c r="F715" s="2" t="s">
        <v>21</v>
      </c>
    </row>
    <row r="716">
      <c r="A716" s="6">
        <v>46231.57592685185</v>
      </c>
      <c r="B716" s="2" t="s">
        <v>1785</v>
      </c>
      <c r="C716" s="2" t="s">
        <v>52</v>
      </c>
      <c r="D716" s="2" t="s">
        <v>805</v>
      </c>
      <c r="E716" s="2" t="s">
        <v>23</v>
      </c>
      <c r="F716" s="2" t="s">
        <v>25</v>
      </c>
    </row>
    <row r="717">
      <c r="A717" s="6">
        <v>46231.576328634255</v>
      </c>
      <c r="B717" s="2" t="s">
        <v>1785</v>
      </c>
      <c r="C717" s="2" t="s">
        <v>52</v>
      </c>
      <c r="D717" s="2" t="s">
        <v>805</v>
      </c>
      <c r="E717" s="2" t="s">
        <v>27</v>
      </c>
      <c r="F717" s="2" t="s">
        <v>29</v>
      </c>
    </row>
    <row r="718">
      <c r="A718" s="6">
        <v>46231.57664481481</v>
      </c>
      <c r="B718" s="2" t="s">
        <v>1785</v>
      </c>
      <c r="C718" s="2" t="s">
        <v>52</v>
      </c>
      <c r="D718" s="2" t="s">
        <v>805</v>
      </c>
      <c r="E718" s="2" t="s">
        <v>31</v>
      </c>
      <c r="F718" s="2" t="s">
        <v>33</v>
      </c>
    </row>
    <row r="719">
      <c r="A719" s="6">
        <v>46231.5770849074</v>
      </c>
      <c r="B719" s="2" t="s">
        <v>1785</v>
      </c>
      <c r="C719" s="2" t="s">
        <v>52</v>
      </c>
      <c r="D719" s="2" t="s">
        <v>805</v>
      </c>
      <c r="E719" s="2" t="s">
        <v>36</v>
      </c>
      <c r="F719" s="2" t="s">
        <v>39</v>
      </c>
    </row>
    <row r="720">
      <c r="A720" s="6">
        <v>46231.57748116898</v>
      </c>
      <c r="B720" s="2" t="s">
        <v>1785</v>
      </c>
      <c r="C720" s="2" t="s">
        <v>52</v>
      </c>
      <c r="D720" s="2" t="s">
        <v>805</v>
      </c>
      <c r="E720" s="2" t="s">
        <v>41</v>
      </c>
      <c r="F720" s="2" t="s">
        <v>42</v>
      </c>
    </row>
    <row r="721">
      <c r="A721" s="6">
        <v>46231.57911888889</v>
      </c>
      <c r="B721" s="2" t="s">
        <v>1785</v>
      </c>
      <c r="C721" s="2" t="s">
        <v>52</v>
      </c>
      <c r="D721" s="2" t="s">
        <v>805</v>
      </c>
      <c r="E721" s="2" t="s">
        <v>44</v>
      </c>
      <c r="F721" s="2" t="s">
        <v>45</v>
      </c>
    </row>
    <row r="722">
      <c r="A722" s="6">
        <v>46231.579474722224</v>
      </c>
      <c r="B722" s="2" t="s">
        <v>1785</v>
      </c>
      <c r="C722" s="2" t="s">
        <v>52</v>
      </c>
      <c r="D722" s="2" t="s">
        <v>805</v>
      </c>
      <c r="E722" s="2" t="s">
        <v>48</v>
      </c>
      <c r="F722" s="2" t="s">
        <v>52</v>
      </c>
    </row>
    <row r="723">
      <c r="A723" s="6">
        <v>46231.57996853009</v>
      </c>
      <c r="B723" s="2" t="s">
        <v>1785</v>
      </c>
      <c r="C723" s="2" t="s">
        <v>52</v>
      </c>
      <c r="D723" s="2" t="s">
        <v>805</v>
      </c>
      <c r="E723" s="2" t="s">
        <v>55</v>
      </c>
      <c r="F723" s="2" t="s">
        <v>56</v>
      </c>
    </row>
    <row r="724">
      <c r="A724" s="6">
        <v>46232.32315334491</v>
      </c>
      <c r="B724" s="2" t="s">
        <v>434</v>
      </c>
      <c r="C724" s="2" t="s">
        <v>52</v>
      </c>
      <c r="D724" s="2" t="s">
        <v>1786</v>
      </c>
    </row>
    <row r="725">
      <c r="A725" s="6">
        <v>46232.49683679398</v>
      </c>
      <c r="B725" s="2" t="s">
        <v>1588</v>
      </c>
      <c r="C725" s="2" t="s">
        <v>52</v>
      </c>
      <c r="D725" s="2" t="s">
        <v>1787</v>
      </c>
      <c r="F725" s="2" t="s">
        <v>286</v>
      </c>
    </row>
    <row r="726">
      <c r="A726" s="6">
        <v>46232.50252678241</v>
      </c>
      <c r="B726" s="2" t="s">
        <v>876</v>
      </c>
      <c r="C726" s="2" t="s">
        <v>52</v>
      </c>
      <c r="D726" s="2" t="s">
        <v>1788</v>
      </c>
      <c r="E726" s="2" t="s">
        <v>1789</v>
      </c>
    </row>
    <row r="727">
      <c r="A727" s="6">
        <v>46232.5811303588</v>
      </c>
      <c r="B727" s="2" t="s">
        <v>434</v>
      </c>
      <c r="C727" s="2" t="s">
        <v>52</v>
      </c>
      <c r="D727" s="2" t="s">
        <v>1790</v>
      </c>
    </row>
    <row r="728">
      <c r="A728" s="6">
        <v>46232.659389884255</v>
      </c>
      <c r="B728" s="2" t="s">
        <v>1791</v>
      </c>
      <c r="C728" s="2" t="s">
        <v>1792</v>
      </c>
      <c r="D728" s="2" t="s">
        <v>1793</v>
      </c>
    </row>
    <row r="729">
      <c r="A729" s="6">
        <v>46237.38418538195</v>
      </c>
      <c r="B729" s="2" t="s">
        <v>1794</v>
      </c>
      <c r="C729" s="2" t="s">
        <v>1792</v>
      </c>
      <c r="D729" s="2" t="s">
        <v>1795</v>
      </c>
      <c r="F729" s="2" t="s">
        <v>1796</v>
      </c>
    </row>
    <row r="730">
      <c r="A730" s="6">
        <v>46237.386663240744</v>
      </c>
      <c r="B730" s="2" t="s">
        <v>574</v>
      </c>
      <c r="C730" s="2" t="s">
        <v>52</v>
      </c>
      <c r="D730" s="2" t="s">
        <v>1797</v>
      </c>
    </row>
    <row r="731">
      <c r="A731" s="6">
        <v>46237.38967188657</v>
      </c>
      <c r="B731" s="2" t="s">
        <v>434</v>
      </c>
      <c r="C731" s="2" t="s">
        <v>52</v>
      </c>
      <c r="D731" s="2" t="s">
        <v>1798</v>
      </c>
    </row>
    <row r="732">
      <c r="A732" s="6">
        <v>46237.39247104166</v>
      </c>
      <c r="B732" s="2" t="s">
        <v>434</v>
      </c>
      <c r="C732" s="2" t="s">
        <v>52</v>
      </c>
      <c r="D732" s="2" t="s">
        <v>1799</v>
      </c>
    </row>
    <row r="733">
      <c r="A733" s="6">
        <v>46237.399965439814</v>
      </c>
      <c r="B733" s="2" t="s">
        <v>434</v>
      </c>
      <c r="C733" s="2" t="s">
        <v>52</v>
      </c>
      <c r="D733" s="2" t="s">
        <v>1800</v>
      </c>
    </row>
    <row r="734">
      <c r="A734" s="6">
        <v>46237.40063462963</v>
      </c>
      <c r="B734" s="2" t="s">
        <v>434</v>
      </c>
      <c r="C734" s="2" t="s">
        <v>52</v>
      </c>
      <c r="D734" s="2" t="s">
        <v>1801</v>
      </c>
    </row>
    <row r="735">
      <c r="A735" s="6">
        <v>46237.53066340278</v>
      </c>
      <c r="B735" s="2" t="s">
        <v>434</v>
      </c>
      <c r="C735" s="2" t="s">
        <v>52</v>
      </c>
      <c r="D735" s="2" t="s">
        <v>1803</v>
      </c>
    </row>
    <row r="736">
      <c r="A736" s="6">
        <v>46237.530675173606</v>
      </c>
      <c r="B736" s="2" t="s">
        <v>1804</v>
      </c>
      <c r="C736" s="2" t="s">
        <v>52</v>
      </c>
      <c r="D736" s="2" t="s">
        <v>1805</v>
      </c>
    </row>
    <row r="737">
      <c r="A737" s="6">
        <v>46237.54732766203</v>
      </c>
      <c r="B737" s="2" t="s">
        <v>782</v>
      </c>
      <c r="C737" s="2" t="s">
        <v>52</v>
      </c>
      <c r="D737" s="2" t="s">
        <v>34</v>
      </c>
      <c r="E737" s="2" t="s">
        <v>1806</v>
      </c>
      <c r="F737" s="2" t="s">
        <v>1807</v>
      </c>
    </row>
    <row r="738">
      <c r="A738" s="6">
        <v>46237.54736456019</v>
      </c>
      <c r="B738" s="2" t="s">
        <v>782</v>
      </c>
      <c r="C738" s="2" t="s">
        <v>52</v>
      </c>
      <c r="D738" s="2" t="s">
        <v>68</v>
      </c>
      <c r="E738" s="2" t="s">
        <v>48</v>
      </c>
      <c r="F738" s="2" t="s">
        <v>1808</v>
      </c>
    </row>
    <row r="739">
      <c r="A739" s="6">
        <v>46237.54737502315</v>
      </c>
      <c r="B739" s="2" t="s">
        <v>782</v>
      </c>
      <c r="C739" s="2" t="s">
        <v>52</v>
      </c>
      <c r="D739" s="2" t="s">
        <v>91</v>
      </c>
      <c r="E739" s="2" t="s">
        <v>1809</v>
      </c>
      <c r="F739" s="2" t="s">
        <v>1811</v>
      </c>
    </row>
    <row r="740">
      <c r="A740" s="6">
        <v>46237.5474034838</v>
      </c>
      <c r="B740" s="2" t="s">
        <v>782</v>
      </c>
      <c r="C740" s="2" t="s">
        <v>52</v>
      </c>
      <c r="F740" s="2" t="s">
        <v>1812</v>
      </c>
    </row>
    <row r="741">
      <c r="A741" s="6">
        <v>46237.54743358796</v>
      </c>
      <c r="B741" s="2" t="s">
        <v>782</v>
      </c>
      <c r="C741" s="2" t="s">
        <v>52</v>
      </c>
      <c r="F741" s="2" t="s">
        <v>1813</v>
      </c>
    </row>
    <row r="742">
      <c r="A742" s="6">
        <v>46237.56759177083</v>
      </c>
      <c r="B742" s="2" t="s">
        <v>876</v>
      </c>
      <c r="C742" s="2" t="s">
        <v>52</v>
      </c>
      <c r="D742" s="2" t="s">
        <v>1814</v>
      </c>
      <c r="E742" s="2" t="s">
        <v>1815</v>
      </c>
    </row>
    <row r="743">
      <c r="A743" s="6">
        <v>46237.568363645834</v>
      </c>
      <c r="B743" s="2" t="s">
        <v>782</v>
      </c>
      <c r="C743" s="2" t="s">
        <v>52</v>
      </c>
      <c r="D743" s="2" t="s">
        <v>49</v>
      </c>
      <c r="E743" s="2" t="s">
        <v>1816</v>
      </c>
      <c r="F743" s="2" t="s">
        <v>1817</v>
      </c>
    </row>
    <row r="744">
      <c r="A744" s="6">
        <v>46237.57081824074</v>
      </c>
      <c r="B744" s="2" t="s">
        <v>876</v>
      </c>
      <c r="C744" s="2" t="s">
        <v>52</v>
      </c>
      <c r="D744" s="2" t="s">
        <v>1818</v>
      </c>
      <c r="E744" s="2" t="s">
        <v>1819</v>
      </c>
    </row>
    <row r="745">
      <c r="A745" s="6">
        <v>46237.592492118056</v>
      </c>
      <c r="B745" s="2" t="s">
        <v>876</v>
      </c>
      <c r="C745" s="2" t="s">
        <v>52</v>
      </c>
      <c r="D745" s="2" t="s">
        <v>1821</v>
      </c>
      <c r="E745" s="2" t="s">
        <v>1822</v>
      </c>
    </row>
    <row r="746">
      <c r="A746" s="6">
        <v>46237.59397634259</v>
      </c>
      <c r="B746" s="2" t="s">
        <v>434</v>
      </c>
      <c r="C746" s="2" t="s">
        <v>52</v>
      </c>
      <c r="D746" s="2" t="s">
        <v>1823</v>
      </c>
    </row>
    <row r="747">
      <c r="A747" s="6">
        <v>46237.59692412037</v>
      </c>
      <c r="B747" s="2" t="s">
        <v>434</v>
      </c>
      <c r="C747" s="2" t="s">
        <v>52</v>
      </c>
      <c r="D747" s="2" t="s">
        <v>1824</v>
      </c>
    </row>
    <row r="748">
      <c r="A748" s="6">
        <v>46237.637018865746</v>
      </c>
      <c r="B748" s="2" t="s">
        <v>782</v>
      </c>
      <c r="C748" s="2" t="s">
        <v>52</v>
      </c>
      <c r="D748" s="2" t="s">
        <v>34</v>
      </c>
      <c r="E748" s="2" t="s">
        <v>1825</v>
      </c>
      <c r="F748" s="2" t="s">
        <v>1826</v>
      </c>
    </row>
    <row r="749">
      <c r="A749" s="6">
        <v>46237.637056203705</v>
      </c>
      <c r="B749" s="2" t="s">
        <v>782</v>
      </c>
      <c r="C749" s="2" t="s">
        <v>52</v>
      </c>
      <c r="D749" s="2" t="s">
        <v>34</v>
      </c>
      <c r="E749" s="2" t="s">
        <v>48</v>
      </c>
      <c r="F749" s="2" t="s">
        <v>1827</v>
      </c>
    </row>
    <row r="750">
      <c r="A750" s="6">
        <v>46237.637078935186</v>
      </c>
      <c r="B750" s="2" t="s">
        <v>782</v>
      </c>
      <c r="C750" s="2" t="s">
        <v>52</v>
      </c>
      <c r="D750" s="2" t="s">
        <v>75</v>
      </c>
      <c r="E750" s="2" t="s">
        <v>1829</v>
      </c>
      <c r="F750" s="2" t="s">
        <v>1830</v>
      </c>
    </row>
    <row r="751">
      <c r="A751" s="6">
        <v>46237.63959315972</v>
      </c>
      <c r="B751" s="2" t="s">
        <v>434</v>
      </c>
      <c r="C751" s="2" t="s">
        <v>52</v>
      </c>
      <c r="D751" s="2" t="s">
        <v>1831</v>
      </c>
    </row>
    <row r="752">
      <c r="A752" s="6">
        <v>46237.659553668986</v>
      </c>
      <c r="B752" s="2" t="s">
        <v>782</v>
      </c>
      <c r="C752" s="2" t="s">
        <v>52</v>
      </c>
      <c r="D752" s="2" t="s">
        <v>34</v>
      </c>
      <c r="E752" s="2" t="s">
        <v>1825</v>
      </c>
      <c r="F752" s="2" t="s">
        <v>1832</v>
      </c>
    </row>
  </sheetData>
  <hyperlinks>
    <hyperlink r:id="rId1" ref="F68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8.38"/>
    <col customWidth="1" min="3" max="3" width="32.38"/>
    <col customWidth="1" min="4" max="4" width="18.0"/>
    <col customWidth="1" min="5" max="5" width="9.63"/>
    <col customWidth="1" min="6" max="6" width="5.0"/>
    <col customWidth="1" min="7" max="7" width="6.0"/>
    <col customWidth="1" min="8" max="8" width="16.13"/>
    <col customWidth="1" min="9" max="9" width="29.25"/>
    <col customWidth="1" min="10" max="10" width="18.63"/>
    <col customWidth="1" min="11" max="11" width="28.13"/>
    <col customWidth="1" min="12" max="12" width="13.38"/>
    <col customWidth="1" min="13" max="13" width="19.13"/>
    <col customWidth="1" min="14" max="14" width="27.75"/>
    <col customWidth="1" min="15" max="15" width="31.5"/>
    <col customWidth="1" min="16" max="16" width="81.63"/>
    <col customWidth="1" min="17" max="17" width="21.25"/>
    <col customWidth="1" min="18" max="18" width="29.75"/>
    <col customWidth="1" min="19" max="19" width="13.88"/>
  </cols>
  <sheetData>
    <row r="1" ht="27.75" customHeight="1">
      <c r="A1" s="1" t="s">
        <v>4</v>
      </c>
      <c r="B1" s="1" t="s">
        <v>11</v>
      </c>
      <c r="C1" s="1" t="s">
        <v>1</v>
      </c>
      <c r="D1" s="1" t="s">
        <v>19</v>
      </c>
      <c r="E1" s="10" t="s">
        <v>24</v>
      </c>
      <c r="F1" s="1" t="s">
        <v>28</v>
      </c>
      <c r="G1" s="1" t="s">
        <v>32</v>
      </c>
      <c r="H1" s="1" t="s">
        <v>37</v>
      </c>
      <c r="I1" s="1" t="s">
        <v>43</v>
      </c>
      <c r="J1" s="1" t="s">
        <v>46</v>
      </c>
      <c r="K1" s="1" t="s">
        <v>50</v>
      </c>
      <c r="L1" s="1" t="s">
        <v>54</v>
      </c>
      <c r="M1" s="1" t="s">
        <v>57</v>
      </c>
      <c r="N1" s="1" t="s">
        <v>60</v>
      </c>
      <c r="O1" s="1" t="s">
        <v>64</v>
      </c>
      <c r="P1" s="1" t="s">
        <v>67</v>
      </c>
      <c r="Q1" s="1" t="s">
        <v>72</v>
      </c>
      <c r="R1" s="1" t="s">
        <v>74</v>
      </c>
      <c r="S1" s="1" t="s">
        <v>78</v>
      </c>
      <c r="T1" s="1" t="s">
        <v>79</v>
      </c>
    </row>
    <row r="2" ht="26.25" customHeight="1">
      <c r="A2" s="11">
        <v>46106.56314763889</v>
      </c>
      <c r="B2" s="12" t="s">
        <v>96</v>
      </c>
      <c r="C2" s="13" t="s">
        <v>361</v>
      </c>
      <c r="D2" s="13"/>
      <c r="E2" s="14"/>
      <c r="F2" s="13">
        <v>90.0</v>
      </c>
      <c r="G2" s="12" t="s">
        <v>363</v>
      </c>
      <c r="H2" s="15">
        <v>46098.0</v>
      </c>
      <c r="I2" s="13" t="s">
        <v>228</v>
      </c>
      <c r="J2" s="12" t="s">
        <v>62</v>
      </c>
      <c r="K2" s="12" t="s">
        <v>1446</v>
      </c>
      <c r="L2" s="16" t="s">
        <v>1447</v>
      </c>
      <c r="M2" s="17"/>
      <c r="N2" s="17"/>
      <c r="O2" s="16" t="s">
        <v>1453</v>
      </c>
      <c r="P2" s="18"/>
      <c r="Q2" s="17"/>
      <c r="R2" s="17"/>
      <c r="S2" s="17"/>
      <c r="T2" s="16"/>
    </row>
    <row r="3" ht="26.25" customHeight="1">
      <c r="A3" s="11">
        <v>46107.311319050925</v>
      </c>
      <c r="B3" s="12" t="s">
        <v>96</v>
      </c>
      <c r="C3" s="12" t="s">
        <v>402</v>
      </c>
      <c r="D3" s="13"/>
      <c r="E3" s="14"/>
      <c r="F3" s="13">
        <v>2.0</v>
      </c>
      <c r="G3" s="12" t="s">
        <v>363</v>
      </c>
      <c r="H3" s="15"/>
      <c r="I3" s="13" t="s">
        <v>226</v>
      </c>
      <c r="J3" s="12" t="s">
        <v>1461</v>
      </c>
      <c r="K3" s="13" t="s">
        <v>1462</v>
      </c>
      <c r="L3" s="16" t="s">
        <v>1447</v>
      </c>
      <c r="M3" s="17"/>
      <c r="N3" s="17"/>
      <c r="O3" s="16" t="s">
        <v>1464</v>
      </c>
      <c r="P3" s="18"/>
      <c r="Q3" s="17"/>
      <c r="R3" s="17"/>
      <c r="S3" s="17"/>
      <c r="T3" s="16"/>
    </row>
    <row r="4" ht="26.25" customHeight="1">
      <c r="A4" s="11">
        <v>46107.31978075231</v>
      </c>
      <c r="B4" s="12" t="s">
        <v>96</v>
      </c>
      <c r="C4" s="12" t="s">
        <v>402</v>
      </c>
      <c r="D4" s="13"/>
      <c r="E4" s="14"/>
      <c r="F4" s="13">
        <v>7.5</v>
      </c>
      <c r="G4" s="12" t="s">
        <v>363</v>
      </c>
      <c r="H4" s="15"/>
      <c r="I4" s="13" t="s">
        <v>233</v>
      </c>
      <c r="J4" s="12" t="s">
        <v>62</v>
      </c>
      <c r="K4" s="13" t="s">
        <v>1474</v>
      </c>
      <c r="L4" s="16" t="s">
        <v>1447</v>
      </c>
      <c r="M4" s="17"/>
      <c r="N4" s="17"/>
      <c r="O4" s="16" t="s">
        <v>1464</v>
      </c>
      <c r="P4" s="18"/>
      <c r="Q4" s="17"/>
      <c r="R4" s="17"/>
      <c r="S4" s="17"/>
      <c r="T4" s="16"/>
    </row>
    <row r="5" ht="26.25" customHeight="1">
      <c r="A5" s="11">
        <v>46107.5727434375</v>
      </c>
      <c r="B5" s="12" t="s">
        <v>34</v>
      </c>
      <c r="C5" s="13" t="s">
        <v>367</v>
      </c>
      <c r="D5" s="12" t="s">
        <v>1485</v>
      </c>
      <c r="E5" s="14"/>
      <c r="F5" s="13">
        <v>1.0</v>
      </c>
      <c r="G5" s="12" t="s">
        <v>181</v>
      </c>
      <c r="H5" s="15">
        <v>46107.0</v>
      </c>
      <c r="I5" s="13" t="s">
        <v>206</v>
      </c>
      <c r="J5" s="12" t="s">
        <v>82</v>
      </c>
      <c r="K5" s="12" t="s">
        <v>1488</v>
      </c>
      <c r="L5" s="16" t="s">
        <v>1447</v>
      </c>
      <c r="M5" s="17"/>
      <c r="N5" s="13" t="s">
        <v>367</v>
      </c>
      <c r="O5" s="16" t="s">
        <v>1491</v>
      </c>
      <c r="P5" s="18"/>
      <c r="Q5" s="16" t="s">
        <v>52</v>
      </c>
      <c r="R5" s="13" t="s">
        <v>206</v>
      </c>
      <c r="S5" s="16" t="s">
        <v>1493</v>
      </c>
      <c r="T5" s="16"/>
    </row>
    <row r="6" ht="26.25" customHeight="1">
      <c r="A6" s="11">
        <v>46107.573804432875</v>
      </c>
      <c r="B6" s="12" t="s">
        <v>34</v>
      </c>
      <c r="C6" s="13" t="s">
        <v>368</v>
      </c>
      <c r="D6" s="13"/>
      <c r="E6" s="14"/>
      <c r="F6" s="13">
        <v>23.0</v>
      </c>
      <c r="G6" s="12" t="s">
        <v>181</v>
      </c>
      <c r="H6" s="15">
        <v>46107.0</v>
      </c>
      <c r="I6" s="13" t="s">
        <v>183</v>
      </c>
      <c r="J6" s="12" t="s">
        <v>82</v>
      </c>
      <c r="K6" s="12" t="s">
        <v>1499</v>
      </c>
      <c r="L6" s="16" t="s">
        <v>1447</v>
      </c>
      <c r="M6" s="17"/>
      <c r="N6" s="17"/>
      <c r="O6" s="16" t="s">
        <v>1502</v>
      </c>
      <c r="P6" s="18"/>
      <c r="Q6" s="17"/>
      <c r="R6" s="16" t="s">
        <v>183</v>
      </c>
      <c r="S6" s="17"/>
      <c r="T6" s="16"/>
    </row>
    <row r="7" ht="26.25" customHeight="1">
      <c r="A7" s="11">
        <v>46107.57531024306</v>
      </c>
      <c r="B7" s="12" t="s">
        <v>34</v>
      </c>
      <c r="C7" s="13" t="s">
        <v>371</v>
      </c>
      <c r="D7" s="13"/>
      <c r="E7" s="14"/>
      <c r="F7" s="13">
        <v>19.0</v>
      </c>
      <c r="G7" s="12" t="s">
        <v>181</v>
      </c>
      <c r="H7" s="15">
        <v>46107.0</v>
      </c>
      <c r="I7" s="13" t="s">
        <v>183</v>
      </c>
      <c r="J7" s="12" t="s">
        <v>82</v>
      </c>
      <c r="K7" s="12" t="s">
        <v>1499</v>
      </c>
      <c r="L7" s="16" t="s">
        <v>1447</v>
      </c>
      <c r="M7" s="17"/>
      <c r="N7" s="17"/>
      <c r="O7" s="16" t="s">
        <v>1512</v>
      </c>
      <c r="P7" s="18"/>
      <c r="Q7" s="17"/>
      <c r="R7" s="16" t="s">
        <v>183</v>
      </c>
      <c r="S7" s="17"/>
      <c r="T7" s="16"/>
    </row>
    <row r="8" ht="26.25" customHeight="1">
      <c r="A8" s="11">
        <v>46107.618993449076</v>
      </c>
      <c r="B8" s="12" t="s">
        <v>34</v>
      </c>
      <c r="C8" s="12" t="s">
        <v>375</v>
      </c>
      <c r="D8" s="12" t="s">
        <v>1517</v>
      </c>
      <c r="E8" s="14"/>
      <c r="F8" s="13">
        <v>19.0</v>
      </c>
      <c r="G8" s="12" t="s">
        <v>181</v>
      </c>
      <c r="H8" s="15">
        <v>46069.0</v>
      </c>
      <c r="I8" s="13" t="s">
        <v>164</v>
      </c>
      <c r="J8" s="12" t="s">
        <v>35</v>
      </c>
      <c r="K8" s="12" t="s">
        <v>1521</v>
      </c>
      <c r="L8" s="16" t="s">
        <v>1447</v>
      </c>
      <c r="M8" s="17"/>
      <c r="N8" s="16" t="s">
        <v>1522</v>
      </c>
      <c r="O8" s="16" t="s">
        <v>1523</v>
      </c>
      <c r="P8" s="18"/>
      <c r="Q8" s="16" t="s">
        <v>52</v>
      </c>
      <c r="R8" s="16" t="s">
        <v>164</v>
      </c>
      <c r="S8" s="16" t="s">
        <v>1493</v>
      </c>
      <c r="T8" s="16"/>
    </row>
    <row r="9" ht="26.25" customHeight="1">
      <c r="A9" s="19">
        <v>46107.62091636574</v>
      </c>
      <c r="B9" s="12" t="s">
        <v>34</v>
      </c>
      <c r="C9" s="12" t="s">
        <v>380</v>
      </c>
      <c r="D9" s="13"/>
      <c r="E9" s="14"/>
      <c r="F9" s="20">
        <v>18.0</v>
      </c>
      <c r="G9" s="12" t="s">
        <v>181</v>
      </c>
      <c r="H9" s="21">
        <v>46079.0</v>
      </c>
      <c r="I9" s="12" t="s">
        <v>158</v>
      </c>
      <c r="J9" s="12" t="s">
        <v>51</v>
      </c>
      <c r="K9" s="12" t="s">
        <v>1532</v>
      </c>
      <c r="L9" s="16" t="s">
        <v>1447</v>
      </c>
      <c r="M9" s="17"/>
      <c r="N9" s="12" t="s">
        <v>380</v>
      </c>
      <c r="O9" s="16" t="s">
        <v>1534</v>
      </c>
      <c r="P9" s="18"/>
      <c r="Q9" s="16" t="s">
        <v>52</v>
      </c>
      <c r="R9" s="16" t="s">
        <v>158</v>
      </c>
      <c r="S9" s="16" t="s">
        <v>1493</v>
      </c>
      <c r="T9" s="16"/>
    </row>
    <row r="10" ht="26.25" customHeight="1">
      <c r="A10" s="11">
        <v>46107.64553789352</v>
      </c>
      <c r="B10" s="12" t="s">
        <v>34</v>
      </c>
      <c r="C10" s="13" t="s">
        <v>381</v>
      </c>
      <c r="D10" s="12" t="s">
        <v>1061</v>
      </c>
      <c r="E10" s="14"/>
      <c r="F10" s="12">
        <v>25.0</v>
      </c>
      <c r="G10" s="12" t="s">
        <v>181</v>
      </c>
      <c r="H10" s="15">
        <v>46107.0</v>
      </c>
      <c r="I10" s="12" t="s">
        <v>177</v>
      </c>
      <c r="J10" s="12" t="s">
        <v>51</v>
      </c>
      <c r="K10" s="13" t="s">
        <v>1544</v>
      </c>
      <c r="L10" s="16" t="s">
        <v>1447</v>
      </c>
      <c r="M10" s="17"/>
      <c r="N10" s="13" t="s">
        <v>381</v>
      </c>
      <c r="O10" s="16" t="s">
        <v>1548</v>
      </c>
      <c r="P10" s="18"/>
      <c r="Q10" s="16" t="s">
        <v>52</v>
      </c>
      <c r="R10" s="12" t="s">
        <v>177</v>
      </c>
      <c r="S10" s="16" t="s">
        <v>1493</v>
      </c>
      <c r="T10" s="16"/>
    </row>
    <row r="11" ht="26.25" customHeight="1">
      <c r="A11" s="19">
        <v>46107.64560185185</v>
      </c>
      <c r="B11" s="12" t="s">
        <v>34</v>
      </c>
      <c r="C11" s="13" t="s">
        <v>381</v>
      </c>
      <c r="D11" s="12" t="s">
        <v>1061</v>
      </c>
      <c r="E11" s="14"/>
      <c r="F11" s="12">
        <v>29.0</v>
      </c>
      <c r="G11" s="12" t="s">
        <v>181</v>
      </c>
      <c r="H11" s="15">
        <v>46107.0</v>
      </c>
      <c r="I11" s="12" t="s">
        <v>202</v>
      </c>
      <c r="J11" s="12" t="s">
        <v>51</v>
      </c>
      <c r="K11" s="13" t="s">
        <v>1544</v>
      </c>
      <c r="L11" s="16" t="s">
        <v>1447</v>
      </c>
      <c r="M11" s="17"/>
      <c r="N11" s="13" t="s">
        <v>381</v>
      </c>
      <c r="O11" s="16" t="s">
        <v>1548</v>
      </c>
      <c r="P11" s="18"/>
      <c r="Q11" s="16" t="s">
        <v>52</v>
      </c>
      <c r="R11" s="12" t="s">
        <v>202</v>
      </c>
      <c r="S11" s="16" t="s">
        <v>1493</v>
      </c>
      <c r="T11" s="16"/>
    </row>
    <row r="12" ht="26.25" customHeight="1">
      <c r="A12" s="11">
        <v>46107.64744369213</v>
      </c>
      <c r="B12" s="12" t="s">
        <v>34</v>
      </c>
      <c r="C12" s="12" t="s">
        <v>384</v>
      </c>
      <c r="D12" s="12" t="s">
        <v>1517</v>
      </c>
      <c r="E12" s="14"/>
      <c r="F12" s="13">
        <v>1.0</v>
      </c>
      <c r="G12" s="12" t="s">
        <v>181</v>
      </c>
      <c r="H12" s="15">
        <v>46082.0</v>
      </c>
      <c r="I12" s="13" t="s">
        <v>199</v>
      </c>
      <c r="J12" s="13"/>
      <c r="K12" s="13"/>
      <c r="L12" s="16" t="s">
        <v>1447</v>
      </c>
      <c r="M12" s="17"/>
      <c r="N12" s="16" t="s">
        <v>1522</v>
      </c>
      <c r="O12" s="16" t="s">
        <v>1586</v>
      </c>
      <c r="P12" s="18"/>
      <c r="Q12" s="17"/>
      <c r="R12" s="16" t="s">
        <v>199</v>
      </c>
      <c r="S12" s="16" t="s">
        <v>1493</v>
      </c>
      <c r="T12" s="16"/>
    </row>
    <row r="13" ht="26.25" customHeight="1">
      <c r="A13" s="11">
        <v>46107.64744369213</v>
      </c>
      <c r="B13" s="12" t="s">
        <v>34</v>
      </c>
      <c r="C13" s="12" t="s">
        <v>384</v>
      </c>
      <c r="D13" s="12" t="s">
        <v>1517</v>
      </c>
      <c r="E13" s="14"/>
      <c r="F13" s="12">
        <v>-1.0</v>
      </c>
      <c r="G13" s="12" t="s">
        <v>181</v>
      </c>
      <c r="H13" s="15">
        <v>46082.0</v>
      </c>
      <c r="I13" s="13" t="s">
        <v>199</v>
      </c>
      <c r="J13" s="13"/>
      <c r="K13" s="13"/>
      <c r="L13" s="16" t="s">
        <v>1601</v>
      </c>
      <c r="M13" s="17"/>
      <c r="N13" s="16" t="s">
        <v>1522</v>
      </c>
      <c r="O13" s="16" t="s">
        <v>1586</v>
      </c>
      <c r="P13" s="18"/>
      <c r="Q13" s="17"/>
      <c r="R13" s="12" t="s">
        <v>384</v>
      </c>
      <c r="S13" s="16" t="s">
        <v>1607</v>
      </c>
      <c r="T13" s="16"/>
    </row>
    <row r="14" ht="26.25" customHeight="1">
      <c r="A14" s="11">
        <v>46107.66215736111</v>
      </c>
      <c r="B14" s="12" t="s">
        <v>49</v>
      </c>
      <c r="C14" s="13" t="s">
        <v>371</v>
      </c>
      <c r="D14" s="13"/>
      <c r="E14" s="14"/>
      <c r="F14" s="13">
        <v>16.0</v>
      </c>
      <c r="G14" s="12" t="s">
        <v>181</v>
      </c>
      <c r="H14" s="15">
        <v>46107.0</v>
      </c>
      <c r="I14" s="13" t="s">
        <v>185</v>
      </c>
      <c r="J14" s="13"/>
      <c r="K14" s="12" t="s">
        <v>422</v>
      </c>
      <c r="L14" s="16" t="s">
        <v>1447</v>
      </c>
      <c r="M14" s="17"/>
      <c r="N14" s="13" t="s">
        <v>371</v>
      </c>
      <c r="O14" s="16" t="s">
        <v>1620</v>
      </c>
      <c r="P14" s="18"/>
      <c r="Q14" s="17"/>
      <c r="R14" s="16" t="s">
        <v>185</v>
      </c>
      <c r="S14" s="16" t="s">
        <v>1493</v>
      </c>
      <c r="T14" s="16"/>
    </row>
    <row r="15" ht="26.25" customHeight="1">
      <c r="A15" s="11">
        <v>46107.66347175926</v>
      </c>
      <c r="B15" s="12" t="s">
        <v>49</v>
      </c>
      <c r="C15" s="13" t="s">
        <v>368</v>
      </c>
      <c r="D15" s="13"/>
      <c r="E15" s="14"/>
      <c r="F15" s="13">
        <v>24.0</v>
      </c>
      <c r="G15" s="12" t="s">
        <v>181</v>
      </c>
      <c r="H15" s="15">
        <v>46107.0</v>
      </c>
      <c r="I15" s="13" t="s">
        <v>185</v>
      </c>
      <c r="J15" s="13"/>
      <c r="K15" s="12" t="s">
        <v>422</v>
      </c>
      <c r="L15" s="16" t="s">
        <v>1447</v>
      </c>
      <c r="M15" s="17"/>
      <c r="N15" s="13" t="s">
        <v>368</v>
      </c>
      <c r="O15" s="16" t="s">
        <v>1636</v>
      </c>
      <c r="P15" s="18"/>
      <c r="Q15" s="17"/>
      <c r="R15" s="16" t="s">
        <v>185</v>
      </c>
      <c r="S15" s="16" t="s">
        <v>1493</v>
      </c>
      <c r="T15" s="16"/>
    </row>
    <row r="16" ht="26.25" customHeight="1">
      <c r="A16" s="11">
        <v>46108.31199043982</v>
      </c>
      <c r="B16" s="12" t="s">
        <v>49</v>
      </c>
      <c r="C16" s="12" t="s">
        <v>387</v>
      </c>
      <c r="D16" s="12" t="s">
        <v>1517</v>
      </c>
      <c r="E16" s="14"/>
      <c r="F16" s="13">
        <v>11.0</v>
      </c>
      <c r="G16" s="12" t="s">
        <v>181</v>
      </c>
      <c r="H16" s="15"/>
      <c r="I16" s="13" t="s">
        <v>111</v>
      </c>
      <c r="J16" s="13"/>
      <c r="K16" s="12" t="s">
        <v>422</v>
      </c>
      <c r="L16" s="16" t="s">
        <v>1447</v>
      </c>
      <c r="M16" s="17"/>
      <c r="N16" s="16" t="s">
        <v>1522</v>
      </c>
      <c r="O16" s="16" t="s">
        <v>1652</v>
      </c>
      <c r="P16" s="18"/>
      <c r="Q16" s="17"/>
      <c r="R16" s="16" t="s">
        <v>111</v>
      </c>
      <c r="S16" s="16" t="s">
        <v>1493</v>
      </c>
      <c r="T16" s="16"/>
    </row>
    <row r="17" ht="26.25" customHeight="1">
      <c r="A17" s="11">
        <v>46108.31570489584</v>
      </c>
      <c r="B17" s="12" t="s">
        <v>49</v>
      </c>
      <c r="C17" s="13" t="s">
        <v>420</v>
      </c>
      <c r="D17" s="13"/>
      <c r="E17" s="14"/>
      <c r="F17" s="13">
        <v>16.0</v>
      </c>
      <c r="G17" s="12" t="s">
        <v>181</v>
      </c>
      <c r="H17" s="15">
        <v>46091.0</v>
      </c>
      <c r="I17" s="13" t="s">
        <v>161</v>
      </c>
      <c r="J17" s="13"/>
      <c r="K17" s="12" t="s">
        <v>422</v>
      </c>
      <c r="L17" s="16" t="s">
        <v>1447</v>
      </c>
      <c r="M17" s="17"/>
      <c r="N17" s="13" t="s">
        <v>420</v>
      </c>
      <c r="O17" s="16" t="s">
        <v>1665</v>
      </c>
      <c r="P17" s="18"/>
      <c r="Q17" s="17"/>
      <c r="R17" s="16" t="s">
        <v>161</v>
      </c>
      <c r="S17" s="16" t="s">
        <v>1493</v>
      </c>
      <c r="T17" s="16"/>
    </row>
    <row r="18" ht="26.25" customHeight="1">
      <c r="A18" s="11">
        <v>46108.31770128472</v>
      </c>
      <c r="B18" s="12" t="s">
        <v>49</v>
      </c>
      <c r="C18" s="13" t="s">
        <v>380</v>
      </c>
      <c r="D18" s="13"/>
      <c r="E18" s="14"/>
      <c r="F18" s="13">
        <v>19.0</v>
      </c>
      <c r="G18" s="12" t="s">
        <v>181</v>
      </c>
      <c r="H18" s="15">
        <v>46080.0</v>
      </c>
      <c r="I18" s="13" t="s">
        <v>161</v>
      </c>
      <c r="J18" s="12" t="s">
        <v>51</v>
      </c>
      <c r="K18" s="12" t="s">
        <v>422</v>
      </c>
      <c r="L18" s="16" t="s">
        <v>1447</v>
      </c>
      <c r="M18" s="17"/>
      <c r="N18" s="13" t="s">
        <v>380</v>
      </c>
      <c r="O18" s="16" t="s">
        <v>1682</v>
      </c>
      <c r="P18" s="18"/>
      <c r="Q18" s="16" t="s">
        <v>52</v>
      </c>
      <c r="R18" s="16" t="s">
        <v>161</v>
      </c>
      <c r="S18" s="16" t="s">
        <v>1493</v>
      </c>
      <c r="T18" s="16"/>
    </row>
    <row r="19" ht="26.25" customHeight="1">
      <c r="A19" s="11">
        <v>46108.326812430554</v>
      </c>
      <c r="B19" s="12" t="s">
        <v>49</v>
      </c>
      <c r="C19" s="12" t="s">
        <v>375</v>
      </c>
      <c r="D19" s="12" t="s">
        <v>1517</v>
      </c>
      <c r="E19" s="14"/>
      <c r="F19" s="13">
        <v>15.0</v>
      </c>
      <c r="G19" s="12" t="s">
        <v>181</v>
      </c>
      <c r="H19" s="21">
        <v>46069.0</v>
      </c>
      <c r="I19" s="13" t="s">
        <v>165</v>
      </c>
      <c r="J19" s="12" t="s">
        <v>35</v>
      </c>
      <c r="K19" s="12" t="s">
        <v>422</v>
      </c>
      <c r="L19" s="16" t="s">
        <v>1447</v>
      </c>
      <c r="M19" s="17"/>
      <c r="N19" s="16" t="s">
        <v>1522</v>
      </c>
      <c r="O19" s="16" t="s">
        <v>1703</v>
      </c>
      <c r="P19" s="18"/>
      <c r="Q19" s="16" t="s">
        <v>52</v>
      </c>
      <c r="R19" s="16" t="s">
        <v>165</v>
      </c>
      <c r="S19" s="16" t="s">
        <v>1493</v>
      </c>
      <c r="T19" s="16"/>
    </row>
    <row r="20" ht="26.25" customHeight="1">
      <c r="A20" s="11">
        <v>46108.329864583335</v>
      </c>
      <c r="B20" s="12" t="s">
        <v>34</v>
      </c>
      <c r="C20" s="13" t="s">
        <v>108</v>
      </c>
      <c r="D20" s="13"/>
      <c r="E20" s="14"/>
      <c r="F20" s="13">
        <v>85.0</v>
      </c>
      <c r="G20" s="12" t="s">
        <v>181</v>
      </c>
      <c r="H20" s="15">
        <v>46087.0</v>
      </c>
      <c r="I20" s="13" t="s">
        <v>1710</v>
      </c>
      <c r="J20" s="16" t="s">
        <v>35</v>
      </c>
      <c r="K20" s="13" t="s">
        <v>1712</v>
      </c>
      <c r="L20" s="16" t="s">
        <v>1447</v>
      </c>
      <c r="M20" s="17"/>
      <c r="N20" s="17"/>
      <c r="O20" s="16" t="s">
        <v>1715</v>
      </c>
      <c r="P20" s="18"/>
      <c r="Q20" s="16" t="s">
        <v>52</v>
      </c>
      <c r="R20" s="17"/>
      <c r="S20" s="16" t="s">
        <v>1493</v>
      </c>
      <c r="T20" s="16"/>
    </row>
    <row r="21" ht="26.25" customHeight="1">
      <c r="A21" s="11">
        <v>46108.39784815972</v>
      </c>
      <c r="B21" s="12" t="s">
        <v>49</v>
      </c>
      <c r="C21" s="13" t="s">
        <v>432</v>
      </c>
      <c r="D21" s="13"/>
      <c r="E21" s="14"/>
      <c r="F21" s="13">
        <v>9.0</v>
      </c>
      <c r="G21" s="12" t="s">
        <v>181</v>
      </c>
      <c r="H21" s="15">
        <v>46099.0</v>
      </c>
      <c r="I21" s="13" t="s">
        <v>196</v>
      </c>
      <c r="J21" s="13"/>
      <c r="K21" s="12" t="s">
        <v>422</v>
      </c>
      <c r="L21" s="16" t="s">
        <v>1447</v>
      </c>
      <c r="M21" s="17"/>
      <c r="N21" s="13" t="s">
        <v>432</v>
      </c>
      <c r="O21" s="16" t="s">
        <v>1727</v>
      </c>
      <c r="P21" s="18"/>
      <c r="Q21" s="17"/>
      <c r="R21" s="16" t="s">
        <v>196</v>
      </c>
      <c r="S21" s="16" t="s">
        <v>1493</v>
      </c>
      <c r="T21" s="16"/>
    </row>
    <row r="22" ht="26.25" customHeight="1">
      <c r="A22" s="11">
        <v>46108.439391886575</v>
      </c>
      <c r="B22" s="12" t="s">
        <v>49</v>
      </c>
      <c r="C22" s="13" t="s">
        <v>442</v>
      </c>
      <c r="D22" s="12" t="s">
        <v>442</v>
      </c>
      <c r="E22" s="14"/>
      <c r="F22" s="13">
        <v>8.0</v>
      </c>
      <c r="G22" s="12" t="s">
        <v>181</v>
      </c>
      <c r="H22" s="15"/>
      <c r="I22" s="13" t="s">
        <v>196</v>
      </c>
      <c r="J22" s="13"/>
      <c r="K22" s="12" t="s">
        <v>422</v>
      </c>
      <c r="L22" s="16" t="s">
        <v>1447</v>
      </c>
      <c r="M22" s="17"/>
      <c r="N22" s="13" t="s">
        <v>442</v>
      </c>
      <c r="O22" s="16" t="s">
        <v>1741</v>
      </c>
      <c r="P22" s="18"/>
      <c r="Q22" s="17"/>
      <c r="R22" s="16" t="s">
        <v>196</v>
      </c>
      <c r="S22" s="16" t="s">
        <v>1493</v>
      </c>
      <c r="T22" s="16"/>
    </row>
    <row r="23" ht="26.25" customHeight="1">
      <c r="A23" s="11">
        <v>46108.44039822917</v>
      </c>
      <c r="B23" s="12" t="s">
        <v>49</v>
      </c>
      <c r="C23" s="13" t="s">
        <v>442</v>
      </c>
      <c r="D23" s="13" t="s">
        <v>442</v>
      </c>
      <c r="E23" s="14"/>
      <c r="F23" s="13">
        <v>13.0</v>
      </c>
      <c r="G23" s="12" t="s">
        <v>181</v>
      </c>
      <c r="H23" s="15"/>
      <c r="I23" s="13" t="s">
        <v>196</v>
      </c>
      <c r="J23" s="13"/>
      <c r="K23" s="12" t="s">
        <v>422</v>
      </c>
      <c r="L23" s="16" t="s">
        <v>1447</v>
      </c>
      <c r="M23" s="17"/>
      <c r="N23" s="13" t="s">
        <v>442</v>
      </c>
      <c r="O23" s="16" t="s">
        <v>1741</v>
      </c>
      <c r="P23" s="18"/>
      <c r="Q23" s="17"/>
      <c r="R23" s="16" t="s">
        <v>196</v>
      </c>
      <c r="S23" s="16" t="s">
        <v>1493</v>
      </c>
      <c r="T23" s="16"/>
    </row>
    <row r="24" ht="26.25" customHeight="1">
      <c r="A24" s="11">
        <v>46108.44097548611</v>
      </c>
      <c r="B24" s="12" t="s">
        <v>49</v>
      </c>
      <c r="C24" s="13" t="s">
        <v>442</v>
      </c>
      <c r="D24" s="12" t="s">
        <v>442</v>
      </c>
      <c r="E24" s="14"/>
      <c r="F24" s="13">
        <v>13.0</v>
      </c>
      <c r="G24" s="12" t="s">
        <v>181</v>
      </c>
      <c r="H24" s="15"/>
      <c r="I24" s="13" t="s">
        <v>196</v>
      </c>
      <c r="J24" s="13"/>
      <c r="K24" s="12" t="s">
        <v>422</v>
      </c>
      <c r="L24" s="16" t="s">
        <v>1447</v>
      </c>
      <c r="M24" s="17"/>
      <c r="N24" s="13" t="s">
        <v>442</v>
      </c>
      <c r="O24" s="16" t="s">
        <v>1741</v>
      </c>
      <c r="P24" s="18"/>
      <c r="Q24" s="17"/>
      <c r="R24" s="16" t="s">
        <v>196</v>
      </c>
      <c r="S24" s="16" t="s">
        <v>1493</v>
      </c>
      <c r="T24" s="16"/>
    </row>
    <row r="25" ht="26.25" customHeight="1">
      <c r="A25" s="11">
        <v>46108.44149221065</v>
      </c>
      <c r="B25" s="12" t="s">
        <v>49</v>
      </c>
      <c r="C25" s="13" t="s">
        <v>442</v>
      </c>
      <c r="D25" s="13" t="s">
        <v>442</v>
      </c>
      <c r="E25" s="14"/>
      <c r="F25" s="13">
        <v>13.0</v>
      </c>
      <c r="G25" s="12" t="s">
        <v>181</v>
      </c>
      <c r="H25" s="15"/>
      <c r="I25" s="13" t="s">
        <v>196</v>
      </c>
      <c r="J25" s="13"/>
      <c r="K25" s="12" t="s">
        <v>422</v>
      </c>
      <c r="L25" s="16" t="s">
        <v>1447</v>
      </c>
      <c r="M25" s="17"/>
      <c r="N25" s="13" t="s">
        <v>442</v>
      </c>
      <c r="O25" s="16" t="s">
        <v>1741</v>
      </c>
      <c r="P25" s="18"/>
      <c r="Q25" s="17"/>
      <c r="R25" s="16" t="s">
        <v>196</v>
      </c>
      <c r="S25" s="16" t="s">
        <v>1493</v>
      </c>
      <c r="T25" s="16"/>
    </row>
    <row r="26" ht="26.25" customHeight="1">
      <c r="A26" s="11">
        <v>46108.44209496528</v>
      </c>
      <c r="B26" s="12" t="s">
        <v>49</v>
      </c>
      <c r="C26" s="13" t="s">
        <v>442</v>
      </c>
      <c r="D26" s="13" t="s">
        <v>442</v>
      </c>
      <c r="E26" s="14"/>
      <c r="F26" s="13">
        <v>13.0</v>
      </c>
      <c r="G26" s="12" t="s">
        <v>181</v>
      </c>
      <c r="H26" s="15"/>
      <c r="I26" s="13" t="s">
        <v>196</v>
      </c>
      <c r="J26" s="13"/>
      <c r="K26" s="12" t="s">
        <v>422</v>
      </c>
      <c r="L26" s="16" t="s">
        <v>1447</v>
      </c>
      <c r="M26" s="17"/>
      <c r="N26" s="13" t="s">
        <v>442</v>
      </c>
      <c r="O26" s="16" t="s">
        <v>1741</v>
      </c>
      <c r="P26" s="18"/>
      <c r="Q26" s="17"/>
      <c r="R26" s="16" t="s">
        <v>196</v>
      </c>
      <c r="S26" s="16" t="s">
        <v>1493</v>
      </c>
      <c r="T26" s="16"/>
    </row>
    <row r="27" ht="26.25" customHeight="1">
      <c r="A27" s="11">
        <v>46108.442617962966</v>
      </c>
      <c r="B27" s="12" t="s">
        <v>49</v>
      </c>
      <c r="C27" s="13" t="s">
        <v>442</v>
      </c>
      <c r="D27" s="13" t="s">
        <v>442</v>
      </c>
      <c r="E27" s="14"/>
      <c r="F27" s="13">
        <v>10.0</v>
      </c>
      <c r="G27" s="12" t="s">
        <v>181</v>
      </c>
      <c r="H27" s="15"/>
      <c r="I27" s="13" t="s">
        <v>196</v>
      </c>
      <c r="J27" s="13"/>
      <c r="K27" s="12" t="s">
        <v>422</v>
      </c>
      <c r="L27" s="16" t="s">
        <v>1447</v>
      </c>
      <c r="M27" s="17"/>
      <c r="N27" s="13" t="s">
        <v>442</v>
      </c>
      <c r="O27" s="16" t="s">
        <v>1741</v>
      </c>
      <c r="P27" s="18"/>
      <c r="Q27" s="17"/>
      <c r="R27" s="16" t="s">
        <v>196</v>
      </c>
      <c r="S27" s="16" t="s">
        <v>1493</v>
      </c>
      <c r="T27" s="16"/>
    </row>
    <row r="28" ht="26.25" customHeight="1">
      <c r="A28" s="11">
        <v>46108.443269780095</v>
      </c>
      <c r="B28" s="12" t="s">
        <v>49</v>
      </c>
      <c r="C28" s="13" t="s">
        <v>442</v>
      </c>
      <c r="D28" s="13" t="s">
        <v>442</v>
      </c>
      <c r="E28" s="14"/>
      <c r="F28" s="13">
        <v>13.0</v>
      </c>
      <c r="G28" s="12" t="s">
        <v>181</v>
      </c>
      <c r="H28" s="15"/>
      <c r="I28" s="13" t="s">
        <v>196</v>
      </c>
      <c r="J28" s="13"/>
      <c r="K28" s="12" t="s">
        <v>422</v>
      </c>
      <c r="L28" s="16" t="s">
        <v>1447</v>
      </c>
      <c r="M28" s="17"/>
      <c r="N28" s="13" t="s">
        <v>442</v>
      </c>
      <c r="O28" s="16" t="s">
        <v>1741</v>
      </c>
      <c r="P28" s="18"/>
      <c r="Q28" s="17"/>
      <c r="R28" s="16" t="s">
        <v>196</v>
      </c>
      <c r="S28" s="16" t="s">
        <v>1493</v>
      </c>
      <c r="T28" s="16"/>
    </row>
    <row r="29" ht="26.25" customHeight="1">
      <c r="A29" s="11">
        <v>46108.44599795139</v>
      </c>
      <c r="B29" s="12" t="s">
        <v>49</v>
      </c>
      <c r="C29" s="13" t="s">
        <v>442</v>
      </c>
      <c r="D29" s="13" t="s">
        <v>442</v>
      </c>
      <c r="E29" s="14"/>
      <c r="F29" s="13">
        <v>13.0</v>
      </c>
      <c r="G29" s="12" t="s">
        <v>181</v>
      </c>
      <c r="H29" s="15"/>
      <c r="I29" s="13" t="s">
        <v>196</v>
      </c>
      <c r="J29" s="13"/>
      <c r="K29" s="12" t="s">
        <v>422</v>
      </c>
      <c r="L29" s="16" t="s">
        <v>1447</v>
      </c>
      <c r="M29" s="17"/>
      <c r="N29" s="13" t="s">
        <v>442</v>
      </c>
      <c r="O29" s="16" t="s">
        <v>1741</v>
      </c>
      <c r="P29" s="18"/>
      <c r="Q29" s="17"/>
      <c r="R29" s="16" t="s">
        <v>196</v>
      </c>
      <c r="S29" s="16" t="s">
        <v>1493</v>
      </c>
      <c r="T29" s="16"/>
    </row>
    <row r="30" ht="26.25" customHeight="1">
      <c r="A30" s="11">
        <v>46108.44666128472</v>
      </c>
      <c r="B30" s="12" t="s">
        <v>49</v>
      </c>
      <c r="C30" s="13" t="s">
        <v>442</v>
      </c>
      <c r="D30" s="13" t="s">
        <v>442</v>
      </c>
      <c r="E30" s="14"/>
      <c r="F30" s="13">
        <v>13.0</v>
      </c>
      <c r="G30" s="12" t="s">
        <v>181</v>
      </c>
      <c r="H30" s="15"/>
      <c r="I30" s="13" t="s">
        <v>196</v>
      </c>
      <c r="J30" s="13"/>
      <c r="K30" s="12" t="s">
        <v>422</v>
      </c>
      <c r="L30" s="16" t="s">
        <v>1447</v>
      </c>
      <c r="M30" s="17"/>
      <c r="N30" s="13" t="s">
        <v>442</v>
      </c>
      <c r="O30" s="16" t="s">
        <v>1741</v>
      </c>
      <c r="P30" s="18"/>
      <c r="Q30" s="17"/>
      <c r="R30" s="16" t="s">
        <v>196</v>
      </c>
      <c r="S30" s="16" t="s">
        <v>1493</v>
      </c>
      <c r="T30" s="16"/>
    </row>
    <row r="31" ht="26.25" customHeight="1">
      <c r="A31" s="11">
        <v>46108.44712697917</v>
      </c>
      <c r="B31" s="12" t="s">
        <v>49</v>
      </c>
      <c r="C31" s="13" t="s">
        <v>442</v>
      </c>
      <c r="D31" s="13" t="s">
        <v>442</v>
      </c>
      <c r="E31" s="14"/>
      <c r="F31" s="13">
        <v>8.0</v>
      </c>
      <c r="G31" s="12" t="s">
        <v>181</v>
      </c>
      <c r="H31" s="15"/>
      <c r="I31" s="13" t="s">
        <v>196</v>
      </c>
      <c r="J31" s="13"/>
      <c r="K31" s="12" t="s">
        <v>422</v>
      </c>
      <c r="L31" s="16" t="s">
        <v>1447</v>
      </c>
      <c r="M31" s="17"/>
      <c r="N31" s="13" t="s">
        <v>442</v>
      </c>
      <c r="O31" s="16" t="s">
        <v>1741</v>
      </c>
      <c r="P31" s="18"/>
      <c r="Q31" s="17"/>
      <c r="R31" s="16" t="s">
        <v>196</v>
      </c>
      <c r="S31" s="16" t="s">
        <v>1493</v>
      </c>
      <c r="T31" s="16"/>
    </row>
    <row r="32" ht="26.25" customHeight="1">
      <c r="A32" s="11">
        <v>46108.447782731484</v>
      </c>
      <c r="B32" s="12" t="s">
        <v>49</v>
      </c>
      <c r="C32" s="13" t="s">
        <v>442</v>
      </c>
      <c r="D32" s="13" t="s">
        <v>442</v>
      </c>
      <c r="E32" s="14"/>
      <c r="F32" s="13">
        <v>13.0</v>
      </c>
      <c r="G32" s="12" t="s">
        <v>181</v>
      </c>
      <c r="H32" s="15"/>
      <c r="I32" s="13" t="s">
        <v>196</v>
      </c>
      <c r="J32" s="13"/>
      <c r="K32" s="12" t="s">
        <v>422</v>
      </c>
      <c r="L32" s="16" t="s">
        <v>1447</v>
      </c>
      <c r="M32" s="17"/>
      <c r="N32" s="13" t="s">
        <v>442</v>
      </c>
      <c r="O32" s="16" t="s">
        <v>1741</v>
      </c>
      <c r="P32" s="18"/>
      <c r="Q32" s="17"/>
      <c r="R32" s="16" t="s">
        <v>196</v>
      </c>
      <c r="S32" s="16" t="s">
        <v>1493</v>
      </c>
      <c r="T32" s="16"/>
    </row>
    <row r="33" ht="26.25" customHeight="1">
      <c r="A33" s="11">
        <v>46108.44862954861</v>
      </c>
      <c r="B33" s="12" t="s">
        <v>49</v>
      </c>
      <c r="C33" s="13" t="s">
        <v>442</v>
      </c>
      <c r="D33" s="13" t="s">
        <v>442</v>
      </c>
      <c r="E33" s="14"/>
      <c r="F33" s="13">
        <v>12.0</v>
      </c>
      <c r="G33" s="12" t="s">
        <v>181</v>
      </c>
      <c r="H33" s="15"/>
      <c r="I33" s="13" t="s">
        <v>196</v>
      </c>
      <c r="J33" s="13"/>
      <c r="K33" s="12" t="s">
        <v>422</v>
      </c>
      <c r="L33" s="16" t="s">
        <v>1447</v>
      </c>
      <c r="M33" s="17"/>
      <c r="N33" s="13" t="s">
        <v>442</v>
      </c>
      <c r="O33" s="16" t="s">
        <v>1741</v>
      </c>
      <c r="P33" s="18"/>
      <c r="Q33" s="17"/>
      <c r="R33" s="16" t="s">
        <v>196</v>
      </c>
      <c r="S33" s="16" t="s">
        <v>1493</v>
      </c>
      <c r="T33" s="16"/>
    </row>
    <row r="34" ht="26.25" customHeight="1">
      <c r="A34" s="11">
        <v>46108.45536063657</v>
      </c>
      <c r="B34" s="12" t="s">
        <v>49</v>
      </c>
      <c r="C34" s="13" t="s">
        <v>446</v>
      </c>
      <c r="D34" s="12" t="s">
        <v>1802</v>
      </c>
      <c r="E34" s="31"/>
      <c r="F34" s="13">
        <v>13.0</v>
      </c>
      <c r="G34" s="12" t="s">
        <v>181</v>
      </c>
      <c r="H34" s="15"/>
      <c r="I34" s="13" t="s">
        <v>196</v>
      </c>
      <c r="J34" s="13"/>
      <c r="K34" s="12" t="s">
        <v>422</v>
      </c>
      <c r="L34" s="16" t="s">
        <v>1447</v>
      </c>
      <c r="M34" s="17"/>
      <c r="N34" s="13" t="s">
        <v>446</v>
      </c>
      <c r="O34" s="16" t="s">
        <v>1810</v>
      </c>
      <c r="P34" s="18"/>
      <c r="Q34" s="17"/>
      <c r="R34" s="16" t="s">
        <v>196</v>
      </c>
      <c r="S34" s="16" t="s">
        <v>1493</v>
      </c>
      <c r="T34" s="16"/>
    </row>
    <row r="35" ht="26.25" customHeight="1">
      <c r="A35" s="11">
        <v>46108.45615990741</v>
      </c>
      <c r="B35" s="12" t="s">
        <v>49</v>
      </c>
      <c r="C35" s="12" t="s">
        <v>451</v>
      </c>
      <c r="D35" s="12" t="s">
        <v>1517</v>
      </c>
      <c r="E35" s="31"/>
      <c r="F35" s="13">
        <v>5.0</v>
      </c>
      <c r="G35" s="12" t="s">
        <v>181</v>
      </c>
      <c r="H35" s="15"/>
      <c r="I35" s="13" t="s">
        <v>196</v>
      </c>
      <c r="J35" s="13"/>
      <c r="K35" s="12" t="s">
        <v>422</v>
      </c>
      <c r="L35" s="16" t="s">
        <v>1447</v>
      </c>
      <c r="M35" s="17"/>
      <c r="N35" s="16" t="s">
        <v>1522</v>
      </c>
      <c r="O35" s="16" t="s">
        <v>1820</v>
      </c>
      <c r="P35" s="18"/>
      <c r="Q35" s="17"/>
      <c r="R35" s="16" t="s">
        <v>196</v>
      </c>
      <c r="S35" s="16" t="s">
        <v>1493</v>
      </c>
      <c r="T35" s="16"/>
    </row>
    <row r="36" ht="26.25" customHeight="1">
      <c r="A36" s="11">
        <v>46108.45710701389</v>
      </c>
      <c r="B36" s="12" t="s">
        <v>49</v>
      </c>
      <c r="C36" s="12" t="s">
        <v>455</v>
      </c>
      <c r="D36" s="12" t="s">
        <v>1517</v>
      </c>
      <c r="E36" s="14"/>
      <c r="F36" s="13">
        <v>2.0</v>
      </c>
      <c r="G36" s="12" t="s">
        <v>181</v>
      </c>
      <c r="H36" s="15"/>
      <c r="I36" s="13" t="s">
        <v>196</v>
      </c>
      <c r="J36" s="13"/>
      <c r="K36" s="12" t="s">
        <v>422</v>
      </c>
      <c r="L36" s="16" t="s">
        <v>1447</v>
      </c>
      <c r="M36" s="17"/>
      <c r="N36" s="16" t="s">
        <v>1522</v>
      </c>
      <c r="O36" s="16" t="s">
        <v>1828</v>
      </c>
      <c r="P36" s="18"/>
      <c r="Q36" s="17"/>
      <c r="R36" s="16" t="s">
        <v>196</v>
      </c>
      <c r="S36" s="16" t="s">
        <v>1493</v>
      </c>
      <c r="T36" s="16"/>
    </row>
    <row r="37" ht="26.25" customHeight="1">
      <c r="A37" s="11">
        <v>46108.458539768515</v>
      </c>
      <c r="B37" s="12" t="s">
        <v>49</v>
      </c>
      <c r="C37" s="13" t="s">
        <v>462</v>
      </c>
      <c r="D37" s="12" t="s">
        <v>1802</v>
      </c>
      <c r="E37" s="14"/>
      <c r="F37" s="13">
        <v>6.0</v>
      </c>
      <c r="G37" s="12" t="s">
        <v>181</v>
      </c>
      <c r="H37" s="15"/>
      <c r="I37" s="13" t="s">
        <v>196</v>
      </c>
      <c r="J37" s="13"/>
      <c r="K37" s="12" t="s">
        <v>422</v>
      </c>
      <c r="L37" s="16" t="s">
        <v>1447</v>
      </c>
      <c r="M37" s="17"/>
      <c r="N37" s="13" t="s">
        <v>462</v>
      </c>
      <c r="O37" s="16" t="s">
        <v>1833</v>
      </c>
      <c r="P37" s="18"/>
      <c r="Q37" s="17"/>
      <c r="R37" s="16" t="s">
        <v>196</v>
      </c>
      <c r="S37" s="16" t="s">
        <v>1493</v>
      </c>
      <c r="T37" s="16"/>
    </row>
    <row r="38" ht="26.25" customHeight="1">
      <c r="A38" s="11">
        <v>46108.45983378473</v>
      </c>
      <c r="B38" s="12" t="s">
        <v>49</v>
      </c>
      <c r="C38" s="13" t="s">
        <v>465</v>
      </c>
      <c r="D38" s="12" t="s">
        <v>1834</v>
      </c>
      <c r="E38" s="14"/>
      <c r="F38" s="13">
        <v>10.0</v>
      </c>
      <c r="G38" s="12" t="s">
        <v>181</v>
      </c>
      <c r="H38" s="15"/>
      <c r="I38" s="13" t="s">
        <v>196</v>
      </c>
      <c r="J38" s="13"/>
      <c r="K38" s="12" t="s">
        <v>422</v>
      </c>
      <c r="L38" s="16" t="s">
        <v>1447</v>
      </c>
      <c r="M38" s="17"/>
      <c r="N38" s="13" t="s">
        <v>465</v>
      </c>
      <c r="O38" s="16" t="s">
        <v>1835</v>
      </c>
      <c r="P38" s="18"/>
      <c r="Q38" s="17"/>
      <c r="R38" s="16" t="s">
        <v>196</v>
      </c>
      <c r="S38" s="16" t="s">
        <v>1493</v>
      </c>
      <c r="T38" s="16"/>
    </row>
    <row r="39" ht="26.25" customHeight="1">
      <c r="A39" s="11">
        <v>46108.460874791665</v>
      </c>
      <c r="B39" s="12" t="s">
        <v>49</v>
      </c>
      <c r="C39" s="13" t="s">
        <v>473</v>
      </c>
      <c r="D39" s="12" t="s">
        <v>1802</v>
      </c>
      <c r="E39" s="14"/>
      <c r="F39" s="13">
        <v>1.0</v>
      </c>
      <c r="G39" s="12" t="s">
        <v>181</v>
      </c>
      <c r="H39" s="15"/>
      <c r="I39" s="13" t="s">
        <v>196</v>
      </c>
      <c r="J39" s="13"/>
      <c r="K39" s="12" t="s">
        <v>422</v>
      </c>
      <c r="L39" s="16" t="s">
        <v>1447</v>
      </c>
      <c r="M39" s="17"/>
      <c r="N39" s="13" t="s">
        <v>473</v>
      </c>
      <c r="O39" s="16" t="s">
        <v>1836</v>
      </c>
      <c r="P39" s="18"/>
      <c r="Q39" s="17"/>
      <c r="R39" s="16" t="s">
        <v>196</v>
      </c>
      <c r="S39" s="16" t="s">
        <v>1493</v>
      </c>
      <c r="T39" s="16"/>
    </row>
    <row r="40" ht="26.25" customHeight="1">
      <c r="A40" s="11">
        <v>46108.46344245371</v>
      </c>
      <c r="B40" s="12" t="s">
        <v>49</v>
      </c>
      <c r="C40" s="13" t="s">
        <v>478</v>
      </c>
      <c r="D40" s="12" t="s">
        <v>1485</v>
      </c>
      <c r="E40" s="14"/>
      <c r="F40" s="13">
        <v>21.0</v>
      </c>
      <c r="G40" s="12" t="s">
        <v>181</v>
      </c>
      <c r="H40" s="15"/>
      <c r="I40" s="13" t="s">
        <v>196</v>
      </c>
      <c r="J40" s="13"/>
      <c r="K40" s="12" t="s">
        <v>422</v>
      </c>
      <c r="L40" s="16" t="s">
        <v>1447</v>
      </c>
      <c r="M40" s="17"/>
      <c r="N40" s="13" t="s">
        <v>478</v>
      </c>
      <c r="O40" s="16" t="s">
        <v>1837</v>
      </c>
      <c r="P40" s="18"/>
      <c r="Q40" s="17"/>
      <c r="R40" s="16" t="s">
        <v>196</v>
      </c>
      <c r="S40" s="16" t="s">
        <v>1493</v>
      </c>
      <c r="T40" s="16"/>
    </row>
    <row r="41" ht="26.25" customHeight="1">
      <c r="A41" s="11">
        <v>46108.506655868056</v>
      </c>
      <c r="B41" s="12" t="s">
        <v>49</v>
      </c>
      <c r="C41" s="13" t="s">
        <v>1838</v>
      </c>
      <c r="D41" s="13"/>
      <c r="E41" s="14"/>
      <c r="F41" s="13">
        <v>1.0</v>
      </c>
      <c r="G41" s="12" t="s">
        <v>181</v>
      </c>
      <c r="H41" s="15"/>
      <c r="I41" s="13" t="s">
        <v>196</v>
      </c>
      <c r="J41" s="13"/>
      <c r="K41" s="12" t="s">
        <v>422</v>
      </c>
      <c r="L41" s="16" t="s">
        <v>1447</v>
      </c>
      <c r="M41" s="17"/>
      <c r="N41" s="13" t="s">
        <v>1838</v>
      </c>
      <c r="O41" s="16" t="s">
        <v>1839</v>
      </c>
      <c r="P41" s="18"/>
      <c r="Q41" s="17"/>
      <c r="R41" s="16" t="s">
        <v>196</v>
      </c>
      <c r="S41" s="16" t="s">
        <v>1493</v>
      </c>
      <c r="T41" s="16"/>
    </row>
    <row r="42" ht="26.25" customHeight="1">
      <c r="A42" s="11">
        <v>46108.510221689816</v>
      </c>
      <c r="B42" s="12" t="s">
        <v>49</v>
      </c>
      <c r="C42" s="13" t="s">
        <v>488</v>
      </c>
      <c r="D42" s="12" t="s">
        <v>1840</v>
      </c>
      <c r="E42" s="14"/>
      <c r="F42" s="13">
        <v>13.0</v>
      </c>
      <c r="G42" s="12" t="s">
        <v>181</v>
      </c>
      <c r="H42" s="15"/>
      <c r="I42" s="13" t="s">
        <v>196</v>
      </c>
      <c r="J42" s="13"/>
      <c r="K42" s="12" t="s">
        <v>422</v>
      </c>
      <c r="L42" s="16" t="s">
        <v>1447</v>
      </c>
      <c r="M42" s="17"/>
      <c r="N42" s="13" t="s">
        <v>488</v>
      </c>
      <c r="O42" s="16" t="s">
        <v>1841</v>
      </c>
      <c r="P42" s="18"/>
      <c r="Q42" s="17"/>
      <c r="R42" s="16" t="s">
        <v>196</v>
      </c>
      <c r="S42" s="16" t="s">
        <v>1493</v>
      </c>
      <c r="T42" s="16"/>
    </row>
    <row r="43" ht="26.25" customHeight="1">
      <c r="A43" s="11">
        <v>46108.51189179398</v>
      </c>
      <c r="B43" s="12" t="s">
        <v>49</v>
      </c>
      <c r="C43" s="13" t="s">
        <v>493</v>
      </c>
      <c r="D43" s="12" t="s">
        <v>1517</v>
      </c>
      <c r="E43" s="14"/>
      <c r="F43" s="13">
        <v>1.0</v>
      </c>
      <c r="G43" s="12" t="s">
        <v>181</v>
      </c>
      <c r="H43" s="15"/>
      <c r="I43" s="13" t="s">
        <v>196</v>
      </c>
      <c r="J43" s="13"/>
      <c r="K43" s="12" t="s">
        <v>422</v>
      </c>
      <c r="L43" s="16" t="s">
        <v>1447</v>
      </c>
      <c r="M43" s="17"/>
      <c r="N43" s="16" t="s">
        <v>1522</v>
      </c>
      <c r="O43" s="16" t="s">
        <v>1842</v>
      </c>
      <c r="P43" s="18"/>
      <c r="Q43" s="17"/>
      <c r="R43" s="16" t="s">
        <v>196</v>
      </c>
      <c r="S43" s="16" t="s">
        <v>1493</v>
      </c>
      <c r="T43" s="16"/>
    </row>
    <row r="44" ht="26.25" customHeight="1">
      <c r="A44" s="11">
        <v>46108.519934027776</v>
      </c>
      <c r="B44" s="12" t="s">
        <v>49</v>
      </c>
      <c r="C44" s="13" t="s">
        <v>496</v>
      </c>
      <c r="D44" s="12" t="s">
        <v>1061</v>
      </c>
      <c r="E44" s="14"/>
      <c r="F44" s="13">
        <v>2.0</v>
      </c>
      <c r="G44" s="12" t="s">
        <v>181</v>
      </c>
      <c r="H44" s="15"/>
      <c r="I44" s="13" t="s">
        <v>196</v>
      </c>
      <c r="J44" s="13"/>
      <c r="K44" s="12" t="s">
        <v>422</v>
      </c>
      <c r="L44" s="16" t="s">
        <v>1447</v>
      </c>
      <c r="M44" s="17"/>
      <c r="N44" s="13" t="s">
        <v>496</v>
      </c>
      <c r="O44" s="16" t="s">
        <v>1843</v>
      </c>
      <c r="P44" s="18"/>
      <c r="Q44" s="17"/>
      <c r="R44" s="16" t="s">
        <v>196</v>
      </c>
      <c r="S44" s="16" t="s">
        <v>1493</v>
      </c>
      <c r="T44" s="16"/>
    </row>
    <row r="45" ht="26.25" customHeight="1">
      <c r="A45" s="11">
        <v>46108.58104980324</v>
      </c>
      <c r="B45" s="12" t="s">
        <v>49</v>
      </c>
      <c r="C45" s="13" t="s">
        <v>506</v>
      </c>
      <c r="D45" s="13"/>
      <c r="E45" s="14"/>
      <c r="F45" s="13">
        <v>3.0</v>
      </c>
      <c r="G45" s="12" t="s">
        <v>181</v>
      </c>
      <c r="H45" s="15"/>
      <c r="I45" s="13" t="s">
        <v>196</v>
      </c>
      <c r="J45" s="13"/>
      <c r="K45" s="12" t="s">
        <v>422</v>
      </c>
      <c r="L45" s="16" t="s">
        <v>1447</v>
      </c>
      <c r="M45" s="17"/>
      <c r="N45" s="13" t="s">
        <v>506</v>
      </c>
      <c r="O45" s="16" t="s">
        <v>1844</v>
      </c>
      <c r="P45" s="18"/>
      <c r="Q45" s="17"/>
      <c r="R45" s="16" t="s">
        <v>196</v>
      </c>
      <c r="S45" s="16" t="s">
        <v>1493</v>
      </c>
      <c r="T45" s="16"/>
    </row>
    <row r="46" ht="26.25" customHeight="1">
      <c r="A46" s="11">
        <v>46108.596251192124</v>
      </c>
      <c r="B46" s="12" t="s">
        <v>49</v>
      </c>
      <c r="C46" s="13" t="s">
        <v>512</v>
      </c>
      <c r="D46" s="12" t="s">
        <v>1802</v>
      </c>
      <c r="E46" s="31"/>
      <c r="F46" s="13">
        <v>1.0</v>
      </c>
      <c r="G46" s="12" t="s">
        <v>181</v>
      </c>
      <c r="H46" s="15"/>
      <c r="I46" s="13" t="s">
        <v>196</v>
      </c>
      <c r="J46" s="13"/>
      <c r="K46" s="12" t="s">
        <v>422</v>
      </c>
      <c r="L46" s="16" t="s">
        <v>1447</v>
      </c>
      <c r="M46" s="17"/>
      <c r="N46" s="13" t="s">
        <v>512</v>
      </c>
      <c r="O46" s="16" t="s">
        <v>1845</v>
      </c>
      <c r="P46" s="18"/>
      <c r="Q46" s="17"/>
      <c r="R46" s="16" t="s">
        <v>196</v>
      </c>
      <c r="S46" s="16" t="s">
        <v>1493</v>
      </c>
      <c r="T46" s="16"/>
    </row>
    <row r="47" ht="26.25" customHeight="1">
      <c r="A47" s="11">
        <v>46108.59935675926</v>
      </c>
      <c r="B47" s="12" t="s">
        <v>49</v>
      </c>
      <c r="C47" s="12" t="s">
        <v>392</v>
      </c>
      <c r="D47" s="12" t="s">
        <v>1802</v>
      </c>
      <c r="E47" s="31"/>
      <c r="F47" s="13">
        <v>4.0</v>
      </c>
      <c r="G47" s="12" t="s">
        <v>181</v>
      </c>
      <c r="H47" s="15"/>
      <c r="I47" s="13"/>
      <c r="J47" s="13"/>
      <c r="K47" s="12" t="s">
        <v>422</v>
      </c>
      <c r="L47" s="16" t="s">
        <v>1447</v>
      </c>
      <c r="M47" s="17"/>
      <c r="N47" s="12" t="s">
        <v>392</v>
      </c>
      <c r="O47" s="16" t="s">
        <v>1846</v>
      </c>
      <c r="P47" s="34"/>
      <c r="Q47" s="16" t="s">
        <v>52</v>
      </c>
      <c r="R47" s="16" t="s">
        <v>196</v>
      </c>
      <c r="S47" s="16" t="s">
        <v>1493</v>
      </c>
      <c r="T47" s="16"/>
    </row>
    <row r="48">
      <c r="A48" s="11">
        <v>46108.61323768519</v>
      </c>
      <c r="B48" s="12" t="s">
        <v>49</v>
      </c>
      <c r="C48" s="12" t="s">
        <v>517</v>
      </c>
      <c r="D48" s="12" t="s">
        <v>1485</v>
      </c>
      <c r="E48" s="31"/>
      <c r="F48" s="13">
        <v>35.0</v>
      </c>
      <c r="G48" s="12" t="s">
        <v>181</v>
      </c>
      <c r="H48" s="15"/>
      <c r="I48" s="13" t="s">
        <v>196</v>
      </c>
      <c r="J48" s="13"/>
      <c r="K48" s="12" t="s">
        <v>422</v>
      </c>
      <c r="L48" s="16" t="s">
        <v>54</v>
      </c>
      <c r="M48" s="17"/>
      <c r="N48" s="12" t="s">
        <v>518</v>
      </c>
      <c r="O48" s="16" t="s">
        <v>1847</v>
      </c>
      <c r="P48" s="18"/>
      <c r="Q48" s="17"/>
      <c r="R48" s="16" t="s">
        <v>196</v>
      </c>
      <c r="S48" s="16" t="s">
        <v>1493</v>
      </c>
      <c r="T48" s="16"/>
    </row>
    <row r="49" ht="26.25" customHeight="1">
      <c r="A49" s="38">
        <v>46111.645112071754</v>
      </c>
      <c r="B49" s="12" t="s">
        <v>96</v>
      </c>
      <c r="C49" s="16" t="s">
        <v>395</v>
      </c>
      <c r="D49" s="17"/>
      <c r="E49" s="31"/>
      <c r="F49" s="39">
        <v>28.0</v>
      </c>
      <c r="G49" s="16" t="s">
        <v>363</v>
      </c>
      <c r="H49" s="40"/>
      <c r="I49" s="16" t="s">
        <v>233</v>
      </c>
      <c r="J49" s="16" t="s">
        <v>69</v>
      </c>
      <c r="K49" s="13"/>
      <c r="L49" s="16" t="s">
        <v>1447</v>
      </c>
      <c r="M49" s="17"/>
      <c r="N49" s="17"/>
      <c r="O49" s="16" t="s">
        <v>1848</v>
      </c>
      <c r="P49" s="18"/>
      <c r="Q49" s="17"/>
      <c r="R49" s="17"/>
      <c r="S49" s="17"/>
      <c r="T49" s="16"/>
    </row>
    <row r="50" ht="26.25" customHeight="1">
      <c r="A50" s="38">
        <v>46111.64834748843</v>
      </c>
      <c r="B50" s="12" t="s">
        <v>96</v>
      </c>
      <c r="C50" s="16" t="s">
        <v>531</v>
      </c>
      <c r="D50" s="17"/>
      <c r="E50" s="31"/>
      <c r="F50" s="39">
        <v>36.0</v>
      </c>
      <c r="G50" s="16" t="s">
        <v>363</v>
      </c>
      <c r="H50" s="40"/>
      <c r="I50" s="16" t="s">
        <v>234</v>
      </c>
      <c r="J50" s="16" t="s">
        <v>69</v>
      </c>
      <c r="K50" s="13"/>
      <c r="L50" s="16" t="s">
        <v>1447</v>
      </c>
      <c r="M50" s="17"/>
      <c r="N50" s="17"/>
      <c r="O50" s="16" t="s">
        <v>1849</v>
      </c>
      <c r="P50" s="18"/>
      <c r="Q50" s="17"/>
      <c r="R50" s="17"/>
      <c r="S50" s="17"/>
      <c r="T50" s="16"/>
    </row>
    <row r="51" ht="26.25" customHeight="1">
      <c r="A51" s="38">
        <v>46111.64984359954</v>
      </c>
      <c r="B51" s="12" t="s">
        <v>96</v>
      </c>
      <c r="C51" s="16" t="s">
        <v>397</v>
      </c>
      <c r="D51" s="17"/>
      <c r="E51" s="31"/>
      <c r="F51" s="39">
        <v>21.0</v>
      </c>
      <c r="G51" s="16" t="s">
        <v>363</v>
      </c>
      <c r="H51" s="40"/>
      <c r="I51" s="16" t="s">
        <v>237</v>
      </c>
      <c r="J51" s="16" t="s">
        <v>69</v>
      </c>
      <c r="K51" s="13"/>
      <c r="L51" s="16" t="s">
        <v>1447</v>
      </c>
      <c r="M51" s="17"/>
      <c r="N51" s="17"/>
      <c r="O51" s="16" t="s">
        <v>1850</v>
      </c>
      <c r="P51" s="18"/>
      <c r="Q51" s="17"/>
      <c r="R51" s="17"/>
      <c r="S51" s="17"/>
      <c r="T51" s="16"/>
    </row>
    <row r="52" ht="26.25" customHeight="1">
      <c r="A52" s="38">
        <v>46111.650728506946</v>
      </c>
      <c r="B52" s="12" t="s">
        <v>96</v>
      </c>
      <c r="C52" s="16" t="s">
        <v>1851</v>
      </c>
      <c r="D52" s="17"/>
      <c r="E52" s="31"/>
      <c r="F52" s="39">
        <v>27.0</v>
      </c>
      <c r="G52" s="16" t="s">
        <v>363</v>
      </c>
      <c r="H52" s="40"/>
      <c r="I52" s="16" t="s">
        <v>240</v>
      </c>
      <c r="J52" s="16" t="s">
        <v>69</v>
      </c>
      <c r="K52" s="13"/>
      <c r="L52" s="16" t="s">
        <v>1447</v>
      </c>
      <c r="M52" s="17"/>
      <c r="N52" s="17"/>
      <c r="O52" s="16" t="s">
        <v>1850</v>
      </c>
      <c r="P52" s="18"/>
      <c r="Q52" s="17"/>
      <c r="R52" s="17"/>
      <c r="S52" s="17"/>
      <c r="T52" s="16"/>
    </row>
    <row r="53" ht="26.25" customHeight="1">
      <c r="A53" s="38">
        <v>46111.65210309028</v>
      </c>
      <c r="B53" s="12" t="s">
        <v>96</v>
      </c>
      <c r="C53" s="16" t="s">
        <v>401</v>
      </c>
      <c r="D53" s="17"/>
      <c r="E53" s="31"/>
      <c r="F53" s="39">
        <v>8.0</v>
      </c>
      <c r="G53" s="16" t="s">
        <v>363</v>
      </c>
      <c r="H53" s="40"/>
      <c r="I53" s="16" t="s">
        <v>237</v>
      </c>
      <c r="J53" s="16" t="s">
        <v>69</v>
      </c>
      <c r="K53" s="13"/>
      <c r="L53" s="16" t="s">
        <v>1447</v>
      </c>
      <c r="M53" s="17"/>
      <c r="N53" s="17"/>
      <c r="O53" s="16" t="s">
        <v>1852</v>
      </c>
      <c r="P53" s="18"/>
      <c r="Q53" s="17"/>
      <c r="R53" s="17"/>
      <c r="S53" s="17"/>
      <c r="T53" s="16"/>
    </row>
    <row r="54" ht="26.25" customHeight="1">
      <c r="A54" s="38">
        <v>46111.653327928245</v>
      </c>
      <c r="B54" s="12" t="s">
        <v>96</v>
      </c>
      <c r="C54" s="16" t="s">
        <v>401</v>
      </c>
      <c r="D54" s="17"/>
      <c r="E54" s="31"/>
      <c r="F54" s="39">
        <v>16.0</v>
      </c>
      <c r="G54" s="16" t="s">
        <v>363</v>
      </c>
      <c r="H54" s="40"/>
      <c r="I54" s="16" t="s">
        <v>240</v>
      </c>
      <c r="J54" s="16" t="s">
        <v>69</v>
      </c>
      <c r="K54" s="13"/>
      <c r="L54" s="16" t="s">
        <v>1447</v>
      </c>
      <c r="M54" s="17"/>
      <c r="N54" s="17"/>
      <c r="O54" s="16" t="s">
        <v>1852</v>
      </c>
      <c r="P54" s="18"/>
      <c r="Q54" s="17"/>
      <c r="R54" s="17"/>
      <c r="S54" s="17"/>
      <c r="T54" s="16"/>
    </row>
    <row r="55" ht="26.25" customHeight="1">
      <c r="A55" s="38">
        <v>46111.65482472222</v>
      </c>
      <c r="B55" s="12" t="s">
        <v>96</v>
      </c>
      <c r="C55" s="16" t="s">
        <v>548</v>
      </c>
      <c r="D55" s="17"/>
      <c r="E55" s="31"/>
      <c r="F55" s="39">
        <v>12.0</v>
      </c>
      <c r="G55" s="16" t="s">
        <v>363</v>
      </c>
      <c r="H55" s="40"/>
      <c r="I55" s="16" t="s">
        <v>233</v>
      </c>
      <c r="J55" s="16" t="s">
        <v>69</v>
      </c>
      <c r="K55" s="13"/>
      <c r="L55" s="16" t="s">
        <v>1447</v>
      </c>
      <c r="M55" s="17"/>
      <c r="N55" s="17"/>
      <c r="O55" s="16" t="s">
        <v>1853</v>
      </c>
      <c r="P55" s="18"/>
      <c r="Q55" s="17"/>
      <c r="R55" s="17"/>
      <c r="S55" s="17"/>
      <c r="T55" s="16"/>
    </row>
    <row r="56" ht="26.25" customHeight="1">
      <c r="A56" s="41">
        <v>46112.33998283565</v>
      </c>
      <c r="B56" s="12" t="s">
        <v>96</v>
      </c>
      <c r="C56" s="16" t="s">
        <v>327</v>
      </c>
      <c r="D56" s="17"/>
      <c r="E56" s="31"/>
      <c r="F56" s="39">
        <v>18.5</v>
      </c>
      <c r="G56" s="16" t="s">
        <v>363</v>
      </c>
      <c r="H56" s="40"/>
      <c r="I56" s="16" t="s">
        <v>234</v>
      </c>
      <c r="J56" s="16" t="s">
        <v>69</v>
      </c>
      <c r="K56" s="13"/>
      <c r="L56" s="16" t="s">
        <v>1447</v>
      </c>
      <c r="M56" s="17"/>
      <c r="N56" s="17"/>
      <c r="O56" s="16" t="s">
        <v>1854</v>
      </c>
      <c r="P56" s="18"/>
      <c r="Q56" s="17"/>
      <c r="R56" s="17"/>
      <c r="S56" s="17"/>
      <c r="T56" s="16"/>
    </row>
    <row r="57" ht="26.25" customHeight="1">
      <c r="A57" s="41">
        <v>46112.34100922453</v>
      </c>
      <c r="B57" s="12" t="s">
        <v>96</v>
      </c>
      <c r="C57" s="16" t="s">
        <v>339</v>
      </c>
      <c r="D57" s="17"/>
      <c r="E57" s="31"/>
      <c r="F57" s="39">
        <v>11.0</v>
      </c>
      <c r="G57" s="16" t="s">
        <v>363</v>
      </c>
      <c r="H57" s="40"/>
      <c r="I57" s="16" t="s">
        <v>234</v>
      </c>
      <c r="J57" s="16" t="s">
        <v>69</v>
      </c>
      <c r="K57" s="13"/>
      <c r="L57" s="16" t="s">
        <v>1447</v>
      </c>
      <c r="M57" s="17"/>
      <c r="N57" s="17"/>
      <c r="O57" s="16" t="s">
        <v>1849</v>
      </c>
      <c r="P57" s="18"/>
      <c r="Q57" s="17"/>
      <c r="R57" s="17"/>
      <c r="S57" s="17"/>
      <c r="T57" s="16"/>
    </row>
    <row r="58" ht="26.25" customHeight="1">
      <c r="A58" s="41">
        <v>46112.35095688657</v>
      </c>
      <c r="B58" s="12" t="s">
        <v>49</v>
      </c>
      <c r="C58" s="16" t="s">
        <v>403</v>
      </c>
      <c r="D58" s="16" t="s">
        <v>1802</v>
      </c>
      <c r="E58" s="31"/>
      <c r="F58" s="39">
        <v>2.0</v>
      </c>
      <c r="G58" s="12" t="s">
        <v>181</v>
      </c>
      <c r="H58" s="40"/>
      <c r="I58" s="16" t="s">
        <v>212</v>
      </c>
      <c r="J58" s="16" t="s">
        <v>35</v>
      </c>
      <c r="K58" s="12" t="s">
        <v>1855</v>
      </c>
      <c r="L58" s="16" t="s">
        <v>1447</v>
      </c>
      <c r="M58" s="17"/>
      <c r="N58" s="16" t="s">
        <v>403</v>
      </c>
      <c r="O58" s="16" t="s">
        <v>1856</v>
      </c>
      <c r="P58" s="18"/>
      <c r="Q58" s="17"/>
      <c r="R58" s="16" t="s">
        <v>212</v>
      </c>
      <c r="S58" s="16" t="s">
        <v>1493</v>
      </c>
      <c r="T58" s="16"/>
    </row>
    <row r="59" ht="26.25" customHeight="1">
      <c r="A59" s="41">
        <v>46112.38236584491</v>
      </c>
      <c r="B59" s="12" t="s">
        <v>49</v>
      </c>
      <c r="C59" s="16" t="s">
        <v>563</v>
      </c>
      <c r="D59" s="16" t="s">
        <v>1061</v>
      </c>
      <c r="E59" s="42" t="s">
        <v>1857</v>
      </c>
      <c r="F59" s="39">
        <v>1.0</v>
      </c>
      <c r="G59" s="12" t="s">
        <v>181</v>
      </c>
      <c r="H59" s="40"/>
      <c r="I59" s="16" t="s">
        <v>212</v>
      </c>
      <c r="J59" s="16" t="s">
        <v>51</v>
      </c>
      <c r="K59" s="12" t="s">
        <v>1858</v>
      </c>
      <c r="L59" s="16" t="s">
        <v>1447</v>
      </c>
      <c r="M59" s="17"/>
      <c r="N59" s="16" t="s">
        <v>563</v>
      </c>
      <c r="O59" s="16" t="s">
        <v>1859</v>
      </c>
      <c r="P59" s="18"/>
      <c r="Q59" s="17"/>
      <c r="R59" s="16" t="s">
        <v>212</v>
      </c>
      <c r="S59" s="16" t="s">
        <v>1493</v>
      </c>
      <c r="T59" s="16"/>
    </row>
    <row r="60" ht="26.25" customHeight="1">
      <c r="A60" s="41">
        <v>46112.38650997685</v>
      </c>
      <c r="B60" s="12" t="s">
        <v>49</v>
      </c>
      <c r="C60" s="16" t="s">
        <v>567</v>
      </c>
      <c r="D60" s="16" t="s">
        <v>1061</v>
      </c>
      <c r="E60" s="42" t="s">
        <v>1860</v>
      </c>
      <c r="F60" s="39">
        <v>1.0</v>
      </c>
      <c r="G60" s="12" t="s">
        <v>181</v>
      </c>
      <c r="H60" s="40"/>
      <c r="I60" s="16" t="s">
        <v>212</v>
      </c>
      <c r="J60" s="16" t="s">
        <v>51</v>
      </c>
      <c r="K60" s="12" t="s">
        <v>1858</v>
      </c>
      <c r="L60" s="16" t="s">
        <v>1447</v>
      </c>
      <c r="M60" s="17"/>
      <c r="N60" s="16" t="s">
        <v>567</v>
      </c>
      <c r="O60" s="16" t="s">
        <v>1861</v>
      </c>
      <c r="P60" s="18"/>
      <c r="Q60" s="17"/>
      <c r="R60" s="16" t="s">
        <v>212</v>
      </c>
      <c r="S60" s="16" t="s">
        <v>1493</v>
      </c>
      <c r="T60" s="16"/>
    </row>
    <row r="61" ht="26.25" customHeight="1">
      <c r="A61" s="41">
        <v>46112.39053230324</v>
      </c>
      <c r="B61" s="12" t="s">
        <v>49</v>
      </c>
      <c r="C61" s="16" t="s">
        <v>571</v>
      </c>
      <c r="D61" s="16" t="s">
        <v>1061</v>
      </c>
      <c r="E61" s="42" t="s">
        <v>1862</v>
      </c>
      <c r="F61" s="39">
        <v>1.0</v>
      </c>
      <c r="G61" s="12" t="s">
        <v>181</v>
      </c>
      <c r="H61" s="40"/>
      <c r="I61" s="16" t="s">
        <v>212</v>
      </c>
      <c r="J61" s="16" t="s">
        <v>51</v>
      </c>
      <c r="K61" s="12" t="s">
        <v>1858</v>
      </c>
      <c r="L61" s="16" t="s">
        <v>1447</v>
      </c>
      <c r="M61" s="17"/>
      <c r="N61" s="16" t="s">
        <v>571</v>
      </c>
      <c r="O61" s="16" t="s">
        <v>1863</v>
      </c>
      <c r="P61" s="18"/>
      <c r="Q61" s="17"/>
      <c r="R61" s="16" t="s">
        <v>212</v>
      </c>
      <c r="S61" s="16" t="s">
        <v>1493</v>
      </c>
      <c r="T61" s="16"/>
    </row>
    <row r="62" ht="26.25" customHeight="1">
      <c r="A62" s="41">
        <v>46112.39527916667</v>
      </c>
      <c r="B62" s="12" t="s">
        <v>49</v>
      </c>
      <c r="C62" s="16" t="s">
        <v>576</v>
      </c>
      <c r="D62" s="16" t="s">
        <v>1061</v>
      </c>
      <c r="E62" s="42" t="s">
        <v>1864</v>
      </c>
      <c r="F62" s="39">
        <v>1.0</v>
      </c>
      <c r="G62" s="12" t="s">
        <v>181</v>
      </c>
      <c r="H62" s="40"/>
      <c r="I62" s="16" t="s">
        <v>212</v>
      </c>
      <c r="J62" s="16" t="s">
        <v>51</v>
      </c>
      <c r="K62" s="12" t="s">
        <v>1858</v>
      </c>
      <c r="L62" s="16" t="s">
        <v>1447</v>
      </c>
      <c r="M62" s="17"/>
      <c r="N62" s="16" t="s">
        <v>576</v>
      </c>
      <c r="O62" s="16" t="s">
        <v>1865</v>
      </c>
      <c r="P62" s="18"/>
      <c r="Q62" s="17"/>
      <c r="R62" s="16" t="s">
        <v>212</v>
      </c>
      <c r="S62" s="16" t="s">
        <v>1493</v>
      </c>
      <c r="T62" s="16"/>
    </row>
    <row r="63" ht="26.25" customHeight="1">
      <c r="A63" s="41">
        <v>46112.39807415509</v>
      </c>
      <c r="B63" s="12" t="s">
        <v>49</v>
      </c>
      <c r="C63" s="16" t="s">
        <v>582</v>
      </c>
      <c r="D63" s="16" t="s">
        <v>1061</v>
      </c>
      <c r="E63" s="42" t="s">
        <v>1866</v>
      </c>
      <c r="F63" s="39">
        <v>1.0</v>
      </c>
      <c r="G63" s="12" t="s">
        <v>181</v>
      </c>
      <c r="H63" s="40"/>
      <c r="I63" s="16" t="s">
        <v>212</v>
      </c>
      <c r="J63" s="16" t="s">
        <v>51</v>
      </c>
      <c r="K63" s="12" t="s">
        <v>1858</v>
      </c>
      <c r="L63" s="16" t="s">
        <v>1447</v>
      </c>
      <c r="M63" s="17"/>
      <c r="N63" s="16" t="s">
        <v>582</v>
      </c>
      <c r="O63" s="16" t="s">
        <v>1867</v>
      </c>
      <c r="P63" s="18"/>
      <c r="Q63" s="17"/>
      <c r="R63" s="16" t="s">
        <v>212</v>
      </c>
      <c r="S63" s="16" t="s">
        <v>1493</v>
      </c>
      <c r="T63" s="16"/>
    </row>
    <row r="64" ht="26.25" customHeight="1">
      <c r="A64" s="41">
        <v>46112.4004924537</v>
      </c>
      <c r="B64" s="12" t="s">
        <v>49</v>
      </c>
      <c r="C64" s="16" t="s">
        <v>589</v>
      </c>
      <c r="D64" s="16" t="s">
        <v>1061</v>
      </c>
      <c r="E64" s="42" t="s">
        <v>1868</v>
      </c>
      <c r="F64" s="39">
        <v>1.0</v>
      </c>
      <c r="G64" s="12" t="s">
        <v>181</v>
      </c>
      <c r="H64" s="40"/>
      <c r="I64" s="16" t="s">
        <v>212</v>
      </c>
      <c r="J64" s="16" t="s">
        <v>51</v>
      </c>
      <c r="K64" s="12" t="s">
        <v>1858</v>
      </c>
      <c r="L64" s="16" t="s">
        <v>1447</v>
      </c>
      <c r="M64" s="17"/>
      <c r="N64" s="16" t="s">
        <v>589</v>
      </c>
      <c r="O64" s="16" t="s">
        <v>1869</v>
      </c>
      <c r="P64" s="18"/>
      <c r="Q64" s="17"/>
      <c r="R64" s="16" t="s">
        <v>212</v>
      </c>
      <c r="S64" s="16" t="s">
        <v>1493</v>
      </c>
      <c r="T64" s="16"/>
    </row>
    <row r="65" ht="26.25" customHeight="1">
      <c r="A65" s="41">
        <v>46112.403494479164</v>
      </c>
      <c r="B65" s="12" t="s">
        <v>49</v>
      </c>
      <c r="C65" s="16" t="s">
        <v>582</v>
      </c>
      <c r="D65" s="16" t="s">
        <v>1061</v>
      </c>
      <c r="E65" s="42" t="s">
        <v>1866</v>
      </c>
      <c r="F65" s="39">
        <v>1.0</v>
      </c>
      <c r="G65" s="12" t="s">
        <v>181</v>
      </c>
      <c r="H65" s="40"/>
      <c r="I65" s="16" t="s">
        <v>212</v>
      </c>
      <c r="J65" s="16" t="s">
        <v>51</v>
      </c>
      <c r="K65" s="12" t="s">
        <v>1858</v>
      </c>
      <c r="L65" s="16" t="s">
        <v>1447</v>
      </c>
      <c r="M65" s="17"/>
      <c r="N65" s="16" t="s">
        <v>582</v>
      </c>
      <c r="O65" s="16" t="s">
        <v>1867</v>
      </c>
      <c r="P65" s="18"/>
      <c r="Q65" s="17"/>
      <c r="R65" s="16" t="s">
        <v>212</v>
      </c>
      <c r="S65" s="16" t="s">
        <v>1493</v>
      </c>
      <c r="T65" s="16"/>
    </row>
    <row r="66" ht="26.25" customHeight="1">
      <c r="A66" s="41">
        <v>46112.43587412037</v>
      </c>
      <c r="B66" s="12" t="s">
        <v>49</v>
      </c>
      <c r="C66" s="16" t="s">
        <v>589</v>
      </c>
      <c r="D66" s="16" t="s">
        <v>1061</v>
      </c>
      <c r="E66" s="42" t="s">
        <v>1868</v>
      </c>
      <c r="F66" s="39">
        <v>1.0</v>
      </c>
      <c r="G66" s="12" t="s">
        <v>181</v>
      </c>
      <c r="H66" s="40"/>
      <c r="I66" s="16" t="s">
        <v>212</v>
      </c>
      <c r="J66" s="16" t="s">
        <v>51</v>
      </c>
      <c r="K66" s="12" t="s">
        <v>1858</v>
      </c>
      <c r="L66" s="16" t="s">
        <v>1447</v>
      </c>
      <c r="M66" s="17"/>
      <c r="N66" s="16" t="s">
        <v>589</v>
      </c>
      <c r="O66" s="16" t="s">
        <v>1869</v>
      </c>
      <c r="P66" s="18"/>
      <c r="Q66" s="17"/>
      <c r="R66" s="16" t="s">
        <v>212</v>
      </c>
      <c r="S66" s="16" t="s">
        <v>1493</v>
      </c>
      <c r="T66" s="16"/>
    </row>
    <row r="67" ht="26.25" customHeight="1">
      <c r="A67" s="41">
        <v>46112.44077719907</v>
      </c>
      <c r="B67" s="12" t="s">
        <v>49</v>
      </c>
      <c r="C67" s="16" t="s">
        <v>594</v>
      </c>
      <c r="D67" s="17"/>
      <c r="E67" s="42" t="s">
        <v>1870</v>
      </c>
      <c r="F67" s="16">
        <v>2.0</v>
      </c>
      <c r="G67" s="12" t="s">
        <v>181</v>
      </c>
      <c r="H67" s="40"/>
      <c r="I67" s="16" t="s">
        <v>212</v>
      </c>
      <c r="J67" s="16" t="s">
        <v>51</v>
      </c>
      <c r="K67" s="12" t="s">
        <v>1871</v>
      </c>
      <c r="L67" s="16" t="s">
        <v>1447</v>
      </c>
      <c r="M67" s="17"/>
      <c r="N67" s="16" t="s">
        <v>594</v>
      </c>
      <c r="O67" s="16" t="s">
        <v>1872</v>
      </c>
      <c r="P67" s="18"/>
      <c r="Q67" s="17"/>
      <c r="R67" s="16" t="s">
        <v>212</v>
      </c>
      <c r="S67" s="16" t="s">
        <v>1493</v>
      </c>
      <c r="T67" s="16"/>
    </row>
    <row r="68" ht="26.25" customHeight="1">
      <c r="A68" s="41">
        <v>46112.477166805555</v>
      </c>
      <c r="B68" s="12" t="s">
        <v>49</v>
      </c>
      <c r="C68" s="16" t="s">
        <v>600</v>
      </c>
      <c r="D68" s="17"/>
      <c r="E68" s="42" t="s">
        <v>1873</v>
      </c>
      <c r="F68" s="39">
        <v>1.0</v>
      </c>
      <c r="G68" s="12" t="s">
        <v>181</v>
      </c>
      <c r="H68" s="40"/>
      <c r="I68" s="16" t="s">
        <v>216</v>
      </c>
      <c r="J68" s="16" t="s">
        <v>51</v>
      </c>
      <c r="K68" s="12" t="s">
        <v>1874</v>
      </c>
      <c r="L68" s="16" t="s">
        <v>1447</v>
      </c>
      <c r="M68" s="17"/>
      <c r="N68" s="16" t="s">
        <v>600</v>
      </c>
      <c r="O68" s="16" t="s">
        <v>1875</v>
      </c>
      <c r="P68" s="18"/>
      <c r="Q68" s="17"/>
      <c r="R68" s="16" t="s">
        <v>216</v>
      </c>
      <c r="S68" s="16" t="s">
        <v>1493</v>
      </c>
      <c r="T68" s="16"/>
    </row>
    <row r="69" ht="26.25" customHeight="1">
      <c r="A69" s="41">
        <v>46112.50825234954</v>
      </c>
      <c r="B69" s="16" t="s">
        <v>49</v>
      </c>
      <c r="C69" s="16" t="s">
        <v>604</v>
      </c>
      <c r="D69" s="16" t="s">
        <v>1802</v>
      </c>
      <c r="E69" s="31"/>
      <c r="F69" s="39">
        <v>1.0</v>
      </c>
      <c r="G69" s="12" t="s">
        <v>181</v>
      </c>
      <c r="H69" s="40"/>
      <c r="I69" s="16" t="s">
        <v>216</v>
      </c>
      <c r="J69" s="16" t="s">
        <v>51</v>
      </c>
      <c r="K69" s="12" t="s">
        <v>1876</v>
      </c>
      <c r="L69" s="16" t="s">
        <v>1447</v>
      </c>
      <c r="M69" s="17"/>
      <c r="N69" s="16" t="s">
        <v>604</v>
      </c>
      <c r="O69" s="16" t="s">
        <v>1877</v>
      </c>
      <c r="P69" s="18"/>
      <c r="Q69" s="17"/>
      <c r="R69" s="16" t="s">
        <v>216</v>
      </c>
      <c r="S69" s="16" t="s">
        <v>1493</v>
      </c>
      <c r="T69" s="16"/>
    </row>
    <row r="70" ht="26.25" customHeight="1">
      <c r="A70" s="41">
        <v>46112.550222418984</v>
      </c>
      <c r="B70" s="16" t="s">
        <v>49</v>
      </c>
      <c r="C70" s="16" t="s">
        <v>604</v>
      </c>
      <c r="D70" s="16" t="s">
        <v>1802</v>
      </c>
      <c r="E70" s="31"/>
      <c r="F70" s="39">
        <v>1.0</v>
      </c>
      <c r="G70" s="12" t="s">
        <v>181</v>
      </c>
      <c r="H70" s="40"/>
      <c r="I70" s="16" t="s">
        <v>216</v>
      </c>
      <c r="J70" s="16" t="s">
        <v>51</v>
      </c>
      <c r="K70" s="12" t="s">
        <v>1876</v>
      </c>
      <c r="L70" s="16" t="s">
        <v>1447</v>
      </c>
      <c r="M70" s="17"/>
      <c r="N70" s="16" t="s">
        <v>604</v>
      </c>
      <c r="O70" s="16" t="s">
        <v>1877</v>
      </c>
      <c r="P70" s="18"/>
      <c r="Q70" s="17"/>
      <c r="R70" s="16" t="s">
        <v>216</v>
      </c>
      <c r="S70" s="16" t="s">
        <v>1493</v>
      </c>
      <c r="T70" s="16"/>
    </row>
    <row r="71" ht="26.25" customHeight="1">
      <c r="A71" s="41">
        <v>46112.55698172454</v>
      </c>
      <c r="B71" s="16" t="s">
        <v>49</v>
      </c>
      <c r="C71" s="16" t="s">
        <v>606</v>
      </c>
      <c r="D71" s="16" t="s">
        <v>1802</v>
      </c>
      <c r="E71" s="42" t="s">
        <v>1878</v>
      </c>
      <c r="F71" s="16">
        <v>2.0</v>
      </c>
      <c r="G71" s="12" t="s">
        <v>181</v>
      </c>
      <c r="H71" s="40"/>
      <c r="I71" s="16" t="s">
        <v>216</v>
      </c>
      <c r="J71" s="16" t="s">
        <v>51</v>
      </c>
      <c r="K71" s="12" t="s">
        <v>1879</v>
      </c>
      <c r="L71" s="16" t="s">
        <v>1447</v>
      </c>
      <c r="M71" s="17"/>
      <c r="N71" s="16" t="s">
        <v>606</v>
      </c>
      <c r="O71" s="16" t="s">
        <v>1880</v>
      </c>
      <c r="P71" s="18"/>
      <c r="Q71" s="17"/>
      <c r="R71" s="16" t="s">
        <v>216</v>
      </c>
      <c r="S71" s="16" t="s">
        <v>1493</v>
      </c>
      <c r="T71" s="16"/>
    </row>
    <row r="72" ht="26.25" customHeight="1">
      <c r="A72" s="41">
        <v>46112.57657479167</v>
      </c>
      <c r="B72" s="16" t="s">
        <v>49</v>
      </c>
      <c r="C72" s="16" t="s">
        <v>563</v>
      </c>
      <c r="D72" s="16" t="s">
        <v>1061</v>
      </c>
      <c r="E72" s="42" t="s">
        <v>1857</v>
      </c>
      <c r="F72" s="39">
        <v>1.0</v>
      </c>
      <c r="G72" s="12" t="s">
        <v>181</v>
      </c>
      <c r="H72" s="40"/>
      <c r="I72" s="16" t="s">
        <v>212</v>
      </c>
      <c r="J72" s="16" t="s">
        <v>51</v>
      </c>
      <c r="K72" s="12" t="s">
        <v>1881</v>
      </c>
      <c r="L72" s="16" t="s">
        <v>1447</v>
      </c>
      <c r="M72" s="17"/>
      <c r="N72" s="16" t="s">
        <v>563</v>
      </c>
      <c r="O72" s="16" t="s">
        <v>1859</v>
      </c>
      <c r="P72" s="18"/>
      <c r="Q72" s="17"/>
      <c r="R72" s="16" t="s">
        <v>212</v>
      </c>
      <c r="S72" s="16" t="s">
        <v>1493</v>
      </c>
      <c r="T72" s="16"/>
    </row>
    <row r="73" ht="26.25" customHeight="1">
      <c r="A73" s="41">
        <v>46112.57870633102</v>
      </c>
      <c r="B73" s="16" t="s">
        <v>49</v>
      </c>
      <c r="C73" s="16" t="s">
        <v>612</v>
      </c>
      <c r="D73" s="17"/>
      <c r="E73" s="42" t="s">
        <v>1882</v>
      </c>
      <c r="F73" s="39">
        <v>1.0</v>
      </c>
      <c r="G73" s="12" t="s">
        <v>181</v>
      </c>
      <c r="H73" s="40"/>
      <c r="I73" s="16" t="s">
        <v>212</v>
      </c>
      <c r="J73" s="16" t="s">
        <v>51</v>
      </c>
      <c r="K73" s="12" t="s">
        <v>1881</v>
      </c>
      <c r="L73" s="16" t="s">
        <v>1447</v>
      </c>
      <c r="M73" s="17"/>
      <c r="N73" s="16" t="s">
        <v>612</v>
      </c>
      <c r="O73" s="16" t="s">
        <v>1883</v>
      </c>
      <c r="P73" s="18"/>
      <c r="Q73" s="17"/>
      <c r="R73" s="16" t="s">
        <v>212</v>
      </c>
      <c r="S73" s="16" t="s">
        <v>1493</v>
      </c>
      <c r="T73" s="16"/>
    </row>
    <row r="74" ht="26.25" customHeight="1">
      <c r="A74" s="41">
        <v>46112.58291474537</v>
      </c>
      <c r="B74" s="16" t="s">
        <v>49</v>
      </c>
      <c r="C74" s="16" t="s">
        <v>618</v>
      </c>
      <c r="D74" s="17"/>
      <c r="E74" s="42" t="s">
        <v>1884</v>
      </c>
      <c r="F74" s="39">
        <v>1.0</v>
      </c>
      <c r="G74" s="12" t="s">
        <v>181</v>
      </c>
      <c r="H74" s="40"/>
      <c r="I74" s="16" t="s">
        <v>212</v>
      </c>
      <c r="J74" s="16" t="s">
        <v>51</v>
      </c>
      <c r="K74" s="12" t="s">
        <v>1885</v>
      </c>
      <c r="L74" s="16" t="s">
        <v>1447</v>
      </c>
      <c r="M74" s="17"/>
      <c r="N74" s="16" t="s">
        <v>618</v>
      </c>
      <c r="O74" s="16" t="s">
        <v>1886</v>
      </c>
      <c r="P74" s="18"/>
      <c r="Q74" s="17"/>
      <c r="R74" s="16" t="s">
        <v>212</v>
      </c>
      <c r="S74" s="16" t="s">
        <v>1493</v>
      </c>
      <c r="T74" s="16"/>
    </row>
    <row r="75" ht="26.25" customHeight="1">
      <c r="A75" s="41">
        <v>46112.58930263889</v>
      </c>
      <c r="B75" s="16" t="s">
        <v>49</v>
      </c>
      <c r="C75" s="17"/>
      <c r="D75" s="17"/>
      <c r="E75" s="42" t="s">
        <v>1887</v>
      </c>
      <c r="F75" s="39">
        <v>1.0</v>
      </c>
      <c r="G75" s="12" t="s">
        <v>181</v>
      </c>
      <c r="H75" s="40"/>
      <c r="I75" s="16" t="s">
        <v>216</v>
      </c>
      <c r="J75" s="16" t="s">
        <v>51</v>
      </c>
      <c r="K75" s="12" t="s">
        <v>1888</v>
      </c>
      <c r="L75" s="16" t="s">
        <v>1447</v>
      </c>
      <c r="M75" s="17"/>
      <c r="N75" s="17"/>
      <c r="O75" s="16" t="s">
        <v>1889</v>
      </c>
      <c r="P75" s="18"/>
      <c r="Q75" s="17"/>
      <c r="R75" s="16" t="s">
        <v>216</v>
      </c>
      <c r="S75" s="16" t="s">
        <v>1493</v>
      </c>
      <c r="T75" s="16"/>
    </row>
    <row r="76" ht="26.25" customHeight="1">
      <c r="A76" s="41">
        <v>46112.592898773146</v>
      </c>
      <c r="B76" s="16" t="s">
        <v>49</v>
      </c>
      <c r="C76" s="16" t="s">
        <v>623</v>
      </c>
      <c r="D76" s="17"/>
      <c r="E76" s="42" t="s">
        <v>1890</v>
      </c>
      <c r="F76" s="39">
        <v>1.0</v>
      </c>
      <c r="G76" s="12" t="s">
        <v>181</v>
      </c>
      <c r="H76" s="40"/>
      <c r="I76" s="16" t="s">
        <v>216</v>
      </c>
      <c r="J76" s="16" t="s">
        <v>51</v>
      </c>
      <c r="K76" s="12" t="s">
        <v>1891</v>
      </c>
      <c r="L76" s="16" t="s">
        <v>1447</v>
      </c>
      <c r="M76" s="17"/>
      <c r="N76" s="16" t="s">
        <v>623</v>
      </c>
      <c r="O76" s="16" t="s">
        <v>1892</v>
      </c>
      <c r="P76" s="18"/>
      <c r="Q76" s="17"/>
      <c r="R76" s="16" t="s">
        <v>216</v>
      </c>
      <c r="S76" s="16" t="s">
        <v>1493</v>
      </c>
      <c r="T76" s="16"/>
    </row>
    <row r="77" ht="26.25" customHeight="1">
      <c r="A77" s="41">
        <v>46112.64024331019</v>
      </c>
      <c r="B77" s="16" t="s">
        <v>91</v>
      </c>
      <c r="C77" s="16" t="s">
        <v>630</v>
      </c>
      <c r="D77" s="17"/>
      <c r="E77" s="42"/>
      <c r="F77" s="39">
        <v>1.0</v>
      </c>
      <c r="G77" s="12" t="s">
        <v>181</v>
      </c>
      <c r="H77" s="40"/>
      <c r="I77" s="16" t="s">
        <v>206</v>
      </c>
      <c r="J77" s="16" t="s">
        <v>87</v>
      </c>
      <c r="K77" s="12" t="s">
        <v>1893</v>
      </c>
      <c r="L77" s="16" t="s">
        <v>1447</v>
      </c>
      <c r="M77" s="17"/>
      <c r="N77" s="16" t="s">
        <v>631</v>
      </c>
      <c r="O77" s="16" t="s">
        <v>1894</v>
      </c>
      <c r="P77" s="18"/>
      <c r="Q77" s="16" t="s">
        <v>52</v>
      </c>
      <c r="R77" s="16" t="s">
        <v>206</v>
      </c>
      <c r="S77" s="16" t="s">
        <v>1493</v>
      </c>
      <c r="T77" s="16"/>
    </row>
    <row r="78" ht="26.25" customHeight="1">
      <c r="A78" s="41">
        <v>46112.64024331019</v>
      </c>
      <c r="B78" s="16" t="s">
        <v>91</v>
      </c>
      <c r="C78" s="16" t="s">
        <v>630</v>
      </c>
      <c r="D78" s="17"/>
      <c r="E78" s="42"/>
      <c r="F78" s="39">
        <v>1.0</v>
      </c>
      <c r="G78" s="12" t="s">
        <v>181</v>
      </c>
      <c r="H78" s="40"/>
      <c r="I78" s="16" t="s">
        <v>206</v>
      </c>
      <c r="J78" s="16" t="s">
        <v>87</v>
      </c>
      <c r="K78" s="12" t="s">
        <v>1893</v>
      </c>
      <c r="L78" s="16" t="s">
        <v>1447</v>
      </c>
      <c r="M78" s="17"/>
      <c r="N78" s="16" t="s">
        <v>631</v>
      </c>
      <c r="O78" s="16" t="s">
        <v>1894</v>
      </c>
      <c r="P78" s="18"/>
      <c r="Q78" s="16" t="s">
        <v>52</v>
      </c>
      <c r="R78" s="16" t="s">
        <v>102</v>
      </c>
      <c r="S78" s="16" t="s">
        <v>1895</v>
      </c>
      <c r="T78" s="16"/>
    </row>
    <row r="79" ht="26.25" customHeight="1">
      <c r="A79" s="41">
        <v>46113.33057340278</v>
      </c>
      <c r="B79" s="16" t="s">
        <v>49</v>
      </c>
      <c r="C79" s="16" t="s">
        <v>638</v>
      </c>
      <c r="D79" s="16" t="s">
        <v>1061</v>
      </c>
      <c r="E79" s="42" t="s">
        <v>1896</v>
      </c>
      <c r="F79" s="39">
        <v>1.0</v>
      </c>
      <c r="G79" s="12" t="s">
        <v>181</v>
      </c>
      <c r="H79" s="40"/>
      <c r="I79" s="16" t="s">
        <v>212</v>
      </c>
      <c r="J79" s="16" t="s">
        <v>51</v>
      </c>
      <c r="K79" s="12" t="s">
        <v>1897</v>
      </c>
      <c r="L79" s="16" t="s">
        <v>1447</v>
      </c>
      <c r="M79" s="17"/>
      <c r="N79" s="16" t="s">
        <v>638</v>
      </c>
      <c r="O79" s="16" t="s">
        <v>1898</v>
      </c>
      <c r="P79" s="18"/>
      <c r="Q79" s="17"/>
      <c r="R79" s="16" t="s">
        <v>212</v>
      </c>
      <c r="S79" s="16" t="s">
        <v>1493</v>
      </c>
      <c r="T79" s="16"/>
    </row>
    <row r="80" ht="26.25" customHeight="1">
      <c r="A80" s="41">
        <v>46113.33130857639</v>
      </c>
      <c r="B80" s="16" t="s">
        <v>49</v>
      </c>
      <c r="C80" s="16" t="s">
        <v>645</v>
      </c>
      <c r="D80" s="16" t="s">
        <v>1061</v>
      </c>
      <c r="E80" s="42" t="s">
        <v>1899</v>
      </c>
      <c r="F80" s="39">
        <v>1.0</v>
      </c>
      <c r="G80" s="12" t="s">
        <v>181</v>
      </c>
      <c r="H80" s="40"/>
      <c r="I80" s="16" t="s">
        <v>212</v>
      </c>
      <c r="J80" s="16" t="s">
        <v>51</v>
      </c>
      <c r="K80" s="12" t="s">
        <v>1897</v>
      </c>
      <c r="L80" s="16" t="s">
        <v>1447</v>
      </c>
      <c r="M80" s="17"/>
      <c r="N80" s="16" t="s">
        <v>645</v>
      </c>
      <c r="O80" s="16" t="s">
        <v>1900</v>
      </c>
      <c r="P80" s="18"/>
      <c r="Q80" s="16" t="s">
        <v>52</v>
      </c>
      <c r="R80" s="16" t="s">
        <v>212</v>
      </c>
      <c r="S80" s="16" t="s">
        <v>1493</v>
      </c>
      <c r="T80" s="16"/>
    </row>
    <row r="81" ht="26.25" customHeight="1">
      <c r="A81" s="41">
        <v>46113.33441016204</v>
      </c>
      <c r="B81" s="16" t="s">
        <v>49</v>
      </c>
      <c r="C81" s="16" t="s">
        <v>653</v>
      </c>
      <c r="D81" s="16" t="s">
        <v>1061</v>
      </c>
      <c r="E81" s="42" t="s">
        <v>1901</v>
      </c>
      <c r="F81" s="39">
        <v>1.0</v>
      </c>
      <c r="G81" s="12" t="s">
        <v>181</v>
      </c>
      <c r="H81" s="40"/>
      <c r="I81" s="16" t="s">
        <v>212</v>
      </c>
      <c r="J81" s="16" t="s">
        <v>51</v>
      </c>
      <c r="K81" s="12" t="s">
        <v>1897</v>
      </c>
      <c r="L81" s="16" t="s">
        <v>1447</v>
      </c>
      <c r="M81" s="17"/>
      <c r="N81" s="16" t="s">
        <v>653</v>
      </c>
      <c r="O81" s="16" t="s">
        <v>1902</v>
      </c>
      <c r="P81" s="18"/>
      <c r="Q81" s="17"/>
      <c r="R81" s="16" t="s">
        <v>212</v>
      </c>
      <c r="S81" s="16" t="s">
        <v>1493</v>
      </c>
      <c r="T81" s="16"/>
    </row>
    <row r="82" ht="26.25" customHeight="1">
      <c r="A82" s="41">
        <v>46113.34697353009</v>
      </c>
      <c r="B82" s="16" t="s">
        <v>49</v>
      </c>
      <c r="C82" s="16" t="s">
        <v>415</v>
      </c>
      <c r="D82" s="16" t="s">
        <v>1517</v>
      </c>
      <c r="E82" s="42"/>
      <c r="F82" s="39">
        <v>2.0</v>
      </c>
      <c r="G82" s="12" t="s">
        <v>181</v>
      </c>
      <c r="H82" s="40"/>
      <c r="I82" s="16" t="s">
        <v>216</v>
      </c>
      <c r="J82" s="16" t="s">
        <v>35</v>
      </c>
      <c r="K82" s="12" t="s">
        <v>1903</v>
      </c>
      <c r="L82" s="16" t="s">
        <v>1447</v>
      </c>
      <c r="M82" s="17"/>
      <c r="N82" s="16" t="s">
        <v>416</v>
      </c>
      <c r="O82" s="16" t="s">
        <v>1904</v>
      </c>
      <c r="P82" s="18"/>
      <c r="Q82" s="16" t="s">
        <v>52</v>
      </c>
      <c r="R82" s="16" t="s">
        <v>216</v>
      </c>
      <c r="S82" s="16" t="s">
        <v>1493</v>
      </c>
      <c r="T82" s="16"/>
    </row>
    <row r="83" ht="26.25" customHeight="1">
      <c r="A83" s="41">
        <v>46113.35077148148</v>
      </c>
      <c r="B83" s="16" t="s">
        <v>49</v>
      </c>
      <c r="C83" s="16" t="s">
        <v>667</v>
      </c>
      <c r="D83" s="17"/>
      <c r="E83" s="42" t="s">
        <v>667</v>
      </c>
      <c r="F83" s="39">
        <v>1.0</v>
      </c>
      <c r="G83" s="12" t="s">
        <v>181</v>
      </c>
      <c r="H83" s="40"/>
      <c r="I83" s="16" t="s">
        <v>216</v>
      </c>
      <c r="J83" s="16" t="s">
        <v>35</v>
      </c>
      <c r="K83" s="12" t="s">
        <v>1906</v>
      </c>
      <c r="L83" s="16" t="s">
        <v>1447</v>
      </c>
      <c r="M83" s="17"/>
      <c r="N83" s="16" t="s">
        <v>667</v>
      </c>
      <c r="O83" s="16" t="s">
        <v>1907</v>
      </c>
      <c r="P83" s="18"/>
      <c r="Q83" s="17"/>
      <c r="R83" s="16" t="s">
        <v>216</v>
      </c>
      <c r="S83" s="16" t="s">
        <v>1493</v>
      </c>
      <c r="T83" s="16"/>
    </row>
    <row r="84" ht="26.25" customHeight="1">
      <c r="A84" s="41">
        <v>46113.366203287034</v>
      </c>
      <c r="B84" s="16" t="s">
        <v>49</v>
      </c>
      <c r="C84" s="16" t="s">
        <v>670</v>
      </c>
      <c r="D84" s="17"/>
      <c r="E84" s="42" t="s">
        <v>670</v>
      </c>
      <c r="F84" s="39">
        <v>1.0</v>
      </c>
      <c r="G84" s="12" t="s">
        <v>181</v>
      </c>
      <c r="H84" s="40"/>
      <c r="I84" s="16" t="s">
        <v>216</v>
      </c>
      <c r="J84" s="16" t="s">
        <v>35</v>
      </c>
      <c r="K84" s="12" t="s">
        <v>1909</v>
      </c>
      <c r="L84" s="16" t="s">
        <v>1447</v>
      </c>
      <c r="M84" s="17"/>
      <c r="N84" s="16" t="s">
        <v>670</v>
      </c>
      <c r="O84" s="16" t="s">
        <v>1910</v>
      </c>
      <c r="P84" s="18"/>
      <c r="Q84" s="17"/>
      <c r="R84" s="16" t="s">
        <v>216</v>
      </c>
      <c r="S84" s="16" t="s">
        <v>1493</v>
      </c>
      <c r="T84" s="16"/>
    </row>
    <row r="85" ht="26.25" customHeight="1">
      <c r="A85" s="41">
        <v>46113.404543958335</v>
      </c>
      <c r="B85" s="16" t="s">
        <v>49</v>
      </c>
      <c r="C85" s="16" t="s">
        <v>676</v>
      </c>
      <c r="D85" s="16" t="s">
        <v>1834</v>
      </c>
      <c r="E85" s="42" t="s">
        <v>1911</v>
      </c>
      <c r="F85" s="39">
        <v>1.0</v>
      </c>
      <c r="G85" s="12" t="s">
        <v>181</v>
      </c>
      <c r="H85" s="40"/>
      <c r="I85" s="16" t="s">
        <v>111</v>
      </c>
      <c r="J85" s="16" t="s">
        <v>51</v>
      </c>
      <c r="K85" s="12" t="s">
        <v>1913</v>
      </c>
      <c r="L85" s="16" t="s">
        <v>1447</v>
      </c>
      <c r="M85" s="17"/>
      <c r="N85" s="16" t="s">
        <v>676</v>
      </c>
      <c r="O85" s="16" t="s">
        <v>1914</v>
      </c>
      <c r="P85" s="18"/>
      <c r="Q85" s="17"/>
      <c r="R85" s="16" t="s">
        <v>111</v>
      </c>
      <c r="S85" s="16" t="s">
        <v>1493</v>
      </c>
      <c r="T85" s="16"/>
    </row>
    <row r="86" ht="26.25" customHeight="1">
      <c r="A86" s="41">
        <v>46113.40739478009</v>
      </c>
      <c r="B86" s="16" t="s">
        <v>49</v>
      </c>
      <c r="C86" s="16" t="s">
        <v>688</v>
      </c>
      <c r="D86" s="16" t="s">
        <v>1517</v>
      </c>
      <c r="E86" s="42" t="s">
        <v>1915</v>
      </c>
      <c r="F86" s="39">
        <v>1.0</v>
      </c>
      <c r="G86" s="12" t="s">
        <v>181</v>
      </c>
      <c r="H86" s="40"/>
      <c r="I86" s="16" t="s">
        <v>111</v>
      </c>
      <c r="J86" s="16" t="s">
        <v>51</v>
      </c>
      <c r="K86" s="12" t="s">
        <v>1916</v>
      </c>
      <c r="L86" s="16" t="s">
        <v>1447</v>
      </c>
      <c r="M86" s="17"/>
      <c r="N86" s="16" t="s">
        <v>688</v>
      </c>
      <c r="O86" s="16" t="s">
        <v>1917</v>
      </c>
      <c r="P86" s="18"/>
      <c r="Q86" s="17"/>
      <c r="R86" s="16" t="s">
        <v>111</v>
      </c>
      <c r="S86" s="16" t="s">
        <v>1493</v>
      </c>
      <c r="T86" s="16"/>
    </row>
    <row r="87" ht="26.25" customHeight="1">
      <c r="A87" s="41">
        <v>46113.40942981481</v>
      </c>
      <c r="B87" s="16" t="s">
        <v>49</v>
      </c>
      <c r="C87" s="16" t="s">
        <v>697</v>
      </c>
      <c r="D87" s="17"/>
      <c r="E87" s="42" t="s">
        <v>1919</v>
      </c>
      <c r="F87" s="39">
        <v>1.0</v>
      </c>
      <c r="G87" s="12" t="s">
        <v>181</v>
      </c>
      <c r="H87" s="40"/>
      <c r="I87" s="16" t="s">
        <v>111</v>
      </c>
      <c r="J87" s="16" t="s">
        <v>51</v>
      </c>
      <c r="K87" s="12" t="s">
        <v>1920</v>
      </c>
      <c r="L87" s="16" t="s">
        <v>1447</v>
      </c>
      <c r="M87" s="17"/>
      <c r="N87" s="16" t="s">
        <v>697</v>
      </c>
      <c r="O87" s="16" t="s">
        <v>1921</v>
      </c>
      <c r="P87" s="18"/>
      <c r="Q87" s="17"/>
      <c r="R87" s="16" t="s">
        <v>111</v>
      </c>
      <c r="S87" s="16" t="s">
        <v>1493</v>
      </c>
      <c r="T87" s="16"/>
    </row>
    <row r="88" ht="26.25" customHeight="1">
      <c r="A88" s="41">
        <v>46113.41301936343</v>
      </c>
      <c r="B88" s="16" t="s">
        <v>49</v>
      </c>
      <c r="C88" s="16" t="s">
        <v>432</v>
      </c>
      <c r="D88" s="16" t="s">
        <v>1922</v>
      </c>
      <c r="E88" s="42" t="s">
        <v>1923</v>
      </c>
      <c r="F88" s="39">
        <v>1.0</v>
      </c>
      <c r="G88" s="12" t="s">
        <v>181</v>
      </c>
      <c r="H88" s="40"/>
      <c r="I88" s="16" t="s">
        <v>111</v>
      </c>
      <c r="J88" s="16" t="s">
        <v>51</v>
      </c>
      <c r="K88" s="12" t="s">
        <v>1925</v>
      </c>
      <c r="L88" s="16" t="s">
        <v>1447</v>
      </c>
      <c r="M88" s="17"/>
      <c r="N88" s="16" t="s">
        <v>432</v>
      </c>
      <c r="O88" s="16" t="s">
        <v>1727</v>
      </c>
      <c r="P88" s="18"/>
      <c r="Q88" s="17"/>
      <c r="R88" s="16" t="s">
        <v>111</v>
      </c>
      <c r="S88" s="16" t="s">
        <v>1493</v>
      </c>
      <c r="T88" s="16"/>
    </row>
    <row r="89" ht="26.25" customHeight="1">
      <c r="A89" s="41">
        <v>46113.41601318287</v>
      </c>
      <c r="B89" s="16" t="s">
        <v>49</v>
      </c>
      <c r="C89" s="16" t="s">
        <v>704</v>
      </c>
      <c r="D89" s="17"/>
      <c r="E89" s="42" t="s">
        <v>1926</v>
      </c>
      <c r="F89" s="39">
        <v>1.0</v>
      </c>
      <c r="G89" s="12" t="s">
        <v>181</v>
      </c>
      <c r="H89" s="40"/>
      <c r="I89" s="16" t="s">
        <v>111</v>
      </c>
      <c r="J89" s="16" t="s">
        <v>51</v>
      </c>
      <c r="K89" s="12" t="s">
        <v>1927</v>
      </c>
      <c r="L89" s="16" t="s">
        <v>1447</v>
      </c>
      <c r="M89" s="17"/>
      <c r="N89" s="16" t="s">
        <v>704</v>
      </c>
      <c r="O89" s="16" t="s">
        <v>1928</v>
      </c>
      <c r="P89" s="18"/>
      <c r="Q89" s="17"/>
      <c r="R89" s="16" t="s">
        <v>111</v>
      </c>
      <c r="S89" s="16" t="s">
        <v>1493</v>
      </c>
      <c r="T89" s="16"/>
    </row>
    <row r="90" ht="26.25" customHeight="1">
      <c r="A90" s="41">
        <v>46113.41828798611</v>
      </c>
      <c r="B90" s="16" t="s">
        <v>49</v>
      </c>
      <c r="C90" s="16" t="s">
        <v>706</v>
      </c>
      <c r="D90" s="16" t="s">
        <v>1922</v>
      </c>
      <c r="E90" s="42" t="s">
        <v>1930</v>
      </c>
      <c r="F90" s="39">
        <v>3.0</v>
      </c>
      <c r="G90" s="12" t="s">
        <v>181</v>
      </c>
      <c r="H90" s="40"/>
      <c r="I90" s="16" t="s">
        <v>111</v>
      </c>
      <c r="J90" s="16" t="s">
        <v>51</v>
      </c>
      <c r="K90" s="12" t="s">
        <v>1931</v>
      </c>
      <c r="L90" s="16" t="s">
        <v>1447</v>
      </c>
      <c r="M90" s="17"/>
      <c r="N90" s="16" t="s">
        <v>706</v>
      </c>
      <c r="O90" s="16" t="s">
        <v>1932</v>
      </c>
      <c r="P90" s="18"/>
      <c r="Q90" s="17"/>
      <c r="R90" s="16" t="s">
        <v>111</v>
      </c>
      <c r="S90" s="16" t="s">
        <v>1493</v>
      </c>
      <c r="T90" s="16"/>
    </row>
    <row r="91" ht="26.25" customHeight="1">
      <c r="A91" s="41">
        <v>46113.425216041665</v>
      </c>
      <c r="B91" s="16" t="s">
        <v>49</v>
      </c>
      <c r="C91" s="16" t="s">
        <v>688</v>
      </c>
      <c r="D91" s="17"/>
      <c r="E91" s="42" t="s">
        <v>1934</v>
      </c>
      <c r="F91" s="39">
        <v>1.0</v>
      </c>
      <c r="G91" s="12" t="s">
        <v>181</v>
      </c>
      <c r="H91" s="40"/>
      <c r="I91" s="16" t="s">
        <v>111</v>
      </c>
      <c r="J91" s="16" t="s">
        <v>51</v>
      </c>
      <c r="K91" s="12" t="s">
        <v>1935</v>
      </c>
      <c r="L91" s="16" t="s">
        <v>1447</v>
      </c>
      <c r="M91" s="17"/>
      <c r="N91" s="16" t="s">
        <v>688</v>
      </c>
      <c r="O91" s="16" t="s">
        <v>1917</v>
      </c>
      <c r="P91" s="18"/>
      <c r="Q91" s="17"/>
      <c r="R91" s="16" t="s">
        <v>111</v>
      </c>
      <c r="S91" s="16" t="s">
        <v>1493</v>
      </c>
      <c r="T91" s="16"/>
    </row>
    <row r="92" ht="26.25" customHeight="1">
      <c r="A92" s="41">
        <v>46113.42718921296</v>
      </c>
      <c r="B92" s="16" t="s">
        <v>49</v>
      </c>
      <c r="C92" s="16" t="s">
        <v>688</v>
      </c>
      <c r="D92" s="16" t="s">
        <v>1517</v>
      </c>
      <c r="E92" s="42" t="s">
        <v>1937</v>
      </c>
      <c r="F92" s="39">
        <v>1.0</v>
      </c>
      <c r="G92" s="12" t="s">
        <v>181</v>
      </c>
      <c r="H92" s="40"/>
      <c r="I92" s="16" t="s">
        <v>111</v>
      </c>
      <c r="J92" s="16" t="s">
        <v>51</v>
      </c>
      <c r="K92" s="12" t="s">
        <v>1938</v>
      </c>
      <c r="L92" s="16" t="s">
        <v>1447</v>
      </c>
      <c r="M92" s="17"/>
      <c r="N92" s="16" t="s">
        <v>688</v>
      </c>
      <c r="O92" s="16" t="s">
        <v>1917</v>
      </c>
      <c r="P92" s="18"/>
      <c r="Q92" s="17"/>
      <c r="R92" s="16" t="s">
        <v>111</v>
      </c>
      <c r="S92" s="16" t="s">
        <v>1493</v>
      </c>
      <c r="T92" s="16"/>
    </row>
    <row r="93" ht="26.25" customHeight="1">
      <c r="A93" s="41">
        <v>46113.43249689815</v>
      </c>
      <c r="B93" s="16" t="s">
        <v>49</v>
      </c>
      <c r="C93" s="16" t="s">
        <v>711</v>
      </c>
      <c r="D93" s="17"/>
      <c r="E93" s="42" t="s">
        <v>1940</v>
      </c>
      <c r="F93" s="39">
        <v>11.0</v>
      </c>
      <c r="G93" s="12" t="s">
        <v>181</v>
      </c>
      <c r="H93" s="40"/>
      <c r="I93" s="16" t="s">
        <v>111</v>
      </c>
      <c r="J93" s="16" t="s">
        <v>51</v>
      </c>
      <c r="K93" s="12" t="s">
        <v>1942</v>
      </c>
      <c r="L93" s="16" t="s">
        <v>1447</v>
      </c>
      <c r="M93" s="17"/>
      <c r="N93" s="16" t="s">
        <v>711</v>
      </c>
      <c r="O93" s="16" t="s">
        <v>1943</v>
      </c>
      <c r="P93" s="18"/>
      <c r="Q93" s="17"/>
      <c r="R93" s="16" t="s">
        <v>111</v>
      </c>
      <c r="S93" s="16" t="s">
        <v>1493</v>
      </c>
      <c r="T93" s="16"/>
    </row>
    <row r="94" ht="26.25" customHeight="1">
      <c r="A94" s="41">
        <v>46113.434278796296</v>
      </c>
      <c r="B94" s="16" t="s">
        <v>49</v>
      </c>
      <c r="C94" s="16" t="s">
        <v>719</v>
      </c>
      <c r="D94" s="17"/>
      <c r="E94" s="42" t="s">
        <v>1945</v>
      </c>
      <c r="F94" s="39">
        <v>9.0</v>
      </c>
      <c r="G94" s="12" t="s">
        <v>181</v>
      </c>
      <c r="H94" s="40"/>
      <c r="I94" s="16" t="s">
        <v>111</v>
      </c>
      <c r="J94" s="16" t="s">
        <v>51</v>
      </c>
      <c r="K94" s="12" t="s">
        <v>1946</v>
      </c>
      <c r="L94" s="16" t="s">
        <v>1447</v>
      </c>
      <c r="M94" s="17"/>
      <c r="N94" s="16" t="s">
        <v>719</v>
      </c>
      <c r="O94" s="16" t="s">
        <v>1948</v>
      </c>
      <c r="P94" s="18"/>
      <c r="Q94" s="17"/>
      <c r="R94" s="16" t="s">
        <v>111</v>
      </c>
      <c r="S94" s="16" t="s">
        <v>1493</v>
      </c>
      <c r="T94" s="16"/>
    </row>
    <row r="95" ht="26.25" customHeight="1">
      <c r="A95" s="41">
        <v>46113.439227511575</v>
      </c>
      <c r="B95" s="16" t="s">
        <v>49</v>
      </c>
      <c r="C95" s="16" t="s">
        <v>724</v>
      </c>
      <c r="D95" s="17"/>
      <c r="E95" s="42" t="s">
        <v>1949</v>
      </c>
      <c r="F95" s="39">
        <v>11.0</v>
      </c>
      <c r="G95" s="12" t="s">
        <v>181</v>
      </c>
      <c r="H95" s="40"/>
      <c r="I95" s="16" t="s">
        <v>111</v>
      </c>
      <c r="J95" s="16" t="s">
        <v>51</v>
      </c>
      <c r="K95" s="12" t="s">
        <v>1951</v>
      </c>
      <c r="L95" s="16" t="s">
        <v>1447</v>
      </c>
      <c r="M95" s="17"/>
      <c r="N95" s="16" t="s">
        <v>724</v>
      </c>
      <c r="O95" s="16" t="s">
        <v>1952</v>
      </c>
      <c r="P95" s="18"/>
      <c r="Q95" s="17"/>
      <c r="R95" s="16" t="s">
        <v>111</v>
      </c>
      <c r="S95" s="16" t="s">
        <v>1493</v>
      </c>
      <c r="T95" s="16"/>
    </row>
    <row r="96" ht="26.25" customHeight="1">
      <c r="A96" s="41">
        <v>46113.459177094905</v>
      </c>
      <c r="B96" s="16" t="s">
        <v>49</v>
      </c>
      <c r="C96" s="16" t="s">
        <v>724</v>
      </c>
      <c r="D96" s="17"/>
      <c r="E96" s="42" t="s">
        <v>1954</v>
      </c>
      <c r="F96" s="39">
        <v>11.0</v>
      </c>
      <c r="G96" s="12" t="s">
        <v>181</v>
      </c>
      <c r="H96" s="40"/>
      <c r="I96" s="16" t="s">
        <v>111</v>
      </c>
      <c r="J96" s="16" t="s">
        <v>51</v>
      </c>
      <c r="K96" s="12" t="s">
        <v>1942</v>
      </c>
      <c r="L96" s="16" t="s">
        <v>1447</v>
      </c>
      <c r="M96" s="17"/>
      <c r="N96" s="16" t="s">
        <v>724</v>
      </c>
      <c r="O96" s="16" t="s">
        <v>1952</v>
      </c>
      <c r="P96" s="18"/>
      <c r="Q96" s="17"/>
      <c r="R96" s="16" t="s">
        <v>111</v>
      </c>
      <c r="S96" s="16" t="s">
        <v>1493</v>
      </c>
      <c r="T96" s="16"/>
    </row>
    <row r="97" ht="26.25" customHeight="1">
      <c r="A97" s="41">
        <v>46113.46137302084</v>
      </c>
      <c r="B97" s="16" t="s">
        <v>49</v>
      </c>
      <c r="C97" s="16" t="s">
        <v>724</v>
      </c>
      <c r="D97" s="17"/>
      <c r="E97" s="42" t="s">
        <v>1954</v>
      </c>
      <c r="F97" s="39">
        <v>11.0</v>
      </c>
      <c r="G97" s="12" t="s">
        <v>181</v>
      </c>
      <c r="H97" s="40"/>
      <c r="I97" s="16" t="s">
        <v>111</v>
      </c>
      <c r="J97" s="16" t="s">
        <v>51</v>
      </c>
      <c r="K97" s="12" t="s">
        <v>1942</v>
      </c>
      <c r="L97" s="16" t="s">
        <v>1447</v>
      </c>
      <c r="M97" s="17"/>
      <c r="N97" s="16" t="s">
        <v>724</v>
      </c>
      <c r="O97" s="16" t="s">
        <v>1952</v>
      </c>
      <c r="P97" s="18"/>
      <c r="Q97" s="17"/>
      <c r="R97" s="16" t="s">
        <v>111</v>
      </c>
      <c r="S97" s="16" t="s">
        <v>1493</v>
      </c>
      <c r="T97" s="16"/>
    </row>
    <row r="98" ht="26.25" customHeight="1">
      <c r="A98" s="41">
        <v>46113.46290885417</v>
      </c>
      <c r="B98" s="16" t="s">
        <v>49</v>
      </c>
      <c r="C98" s="16" t="s">
        <v>724</v>
      </c>
      <c r="D98" s="17"/>
      <c r="E98" s="42" t="s">
        <v>1954</v>
      </c>
      <c r="F98" s="39">
        <v>11.0</v>
      </c>
      <c r="G98" s="12" t="s">
        <v>181</v>
      </c>
      <c r="H98" s="40"/>
      <c r="I98" s="16" t="s">
        <v>111</v>
      </c>
      <c r="J98" s="16" t="s">
        <v>51</v>
      </c>
      <c r="K98" s="12" t="s">
        <v>1942</v>
      </c>
      <c r="L98" s="16" t="s">
        <v>1447</v>
      </c>
      <c r="M98" s="17"/>
      <c r="N98" s="16" t="s">
        <v>724</v>
      </c>
      <c r="O98" s="16" t="s">
        <v>1952</v>
      </c>
      <c r="P98" s="18"/>
      <c r="Q98" s="17"/>
      <c r="R98" s="16" t="s">
        <v>111</v>
      </c>
      <c r="S98" s="16" t="s">
        <v>1493</v>
      </c>
      <c r="T98" s="16"/>
    </row>
    <row r="99" ht="26.25" customHeight="1">
      <c r="A99" s="41">
        <v>46113.46701953704</v>
      </c>
      <c r="B99" s="16" t="s">
        <v>49</v>
      </c>
      <c r="C99" s="16" t="s">
        <v>729</v>
      </c>
      <c r="D99" s="17"/>
      <c r="E99" s="42" t="s">
        <v>1958</v>
      </c>
      <c r="F99" s="39">
        <v>13.0</v>
      </c>
      <c r="G99" s="12" t="s">
        <v>181</v>
      </c>
      <c r="H99" s="40"/>
      <c r="I99" s="16" t="s">
        <v>111</v>
      </c>
      <c r="J99" s="16" t="s">
        <v>51</v>
      </c>
      <c r="K99" s="12" t="s">
        <v>1942</v>
      </c>
      <c r="L99" s="16" t="s">
        <v>1447</v>
      </c>
      <c r="M99" s="17"/>
      <c r="N99" s="16" t="s">
        <v>729</v>
      </c>
      <c r="O99" s="16" t="s">
        <v>1959</v>
      </c>
      <c r="P99" s="18"/>
      <c r="Q99" s="17"/>
      <c r="R99" s="16" t="s">
        <v>111</v>
      </c>
      <c r="S99" s="16" t="s">
        <v>1493</v>
      </c>
      <c r="T99" s="16"/>
    </row>
    <row r="100" ht="26.25" customHeight="1">
      <c r="A100" s="41">
        <v>46113.5009303125</v>
      </c>
      <c r="B100" s="16" t="s">
        <v>49</v>
      </c>
      <c r="C100" s="16" t="s">
        <v>729</v>
      </c>
      <c r="D100" s="17"/>
      <c r="E100" s="42" t="s">
        <v>1958</v>
      </c>
      <c r="F100" s="39">
        <v>13.0</v>
      </c>
      <c r="G100" s="12" t="s">
        <v>181</v>
      </c>
      <c r="H100" s="40"/>
      <c r="I100" s="16" t="s">
        <v>111</v>
      </c>
      <c r="J100" s="16" t="s">
        <v>51</v>
      </c>
      <c r="K100" s="12" t="s">
        <v>1942</v>
      </c>
      <c r="L100" s="16" t="s">
        <v>1447</v>
      </c>
      <c r="M100" s="17"/>
      <c r="N100" s="16" t="s">
        <v>729</v>
      </c>
      <c r="O100" s="16" t="s">
        <v>1959</v>
      </c>
      <c r="P100" s="18"/>
      <c r="Q100" s="17"/>
      <c r="R100" s="16" t="s">
        <v>111</v>
      </c>
      <c r="S100" s="16" t="s">
        <v>1493</v>
      </c>
      <c r="T100" s="16"/>
    </row>
    <row r="101" ht="26.25" customHeight="1">
      <c r="A101" s="41">
        <v>46113.50093055556</v>
      </c>
      <c r="B101" s="16" t="s">
        <v>49</v>
      </c>
      <c r="C101" s="16" t="s">
        <v>729</v>
      </c>
      <c r="D101" s="17"/>
      <c r="E101" s="42" t="s">
        <v>1958</v>
      </c>
      <c r="F101" s="39">
        <v>13.0</v>
      </c>
      <c r="G101" s="12" t="s">
        <v>181</v>
      </c>
      <c r="H101" s="40"/>
      <c r="I101" s="16" t="s">
        <v>111</v>
      </c>
      <c r="J101" s="16" t="s">
        <v>51</v>
      </c>
      <c r="K101" s="12" t="s">
        <v>1942</v>
      </c>
      <c r="L101" s="16" t="s">
        <v>1447</v>
      </c>
      <c r="M101" s="17"/>
      <c r="N101" s="16" t="s">
        <v>729</v>
      </c>
      <c r="O101" s="16" t="s">
        <v>1959</v>
      </c>
      <c r="P101" s="18"/>
      <c r="Q101" s="17"/>
      <c r="R101" s="16" t="s">
        <v>111</v>
      </c>
      <c r="S101" s="16" t="s">
        <v>1493</v>
      </c>
      <c r="T101" s="16"/>
    </row>
    <row r="102" ht="26.25" customHeight="1">
      <c r="A102" s="41">
        <v>46113.50307329861</v>
      </c>
      <c r="B102" s="16" t="s">
        <v>49</v>
      </c>
      <c r="C102" s="16" t="s">
        <v>734</v>
      </c>
      <c r="D102" s="17"/>
      <c r="E102" s="42" t="s">
        <v>1962</v>
      </c>
      <c r="F102" s="39">
        <v>13.0</v>
      </c>
      <c r="G102" s="12" t="s">
        <v>181</v>
      </c>
      <c r="H102" s="40"/>
      <c r="I102" s="16" t="s">
        <v>111</v>
      </c>
      <c r="J102" s="16" t="s">
        <v>51</v>
      </c>
      <c r="K102" s="12" t="s">
        <v>1942</v>
      </c>
      <c r="L102" s="16" t="s">
        <v>1447</v>
      </c>
      <c r="M102" s="17"/>
      <c r="N102" s="16" t="s">
        <v>734</v>
      </c>
      <c r="O102" s="16" t="s">
        <v>1964</v>
      </c>
      <c r="P102" s="18"/>
      <c r="Q102" s="17"/>
      <c r="R102" s="16" t="s">
        <v>111</v>
      </c>
      <c r="S102" s="16" t="s">
        <v>1493</v>
      </c>
      <c r="T102" s="16"/>
    </row>
    <row r="103" ht="26.25" customHeight="1">
      <c r="A103" s="41">
        <v>46113.50559166667</v>
      </c>
      <c r="B103" s="16" t="s">
        <v>49</v>
      </c>
      <c r="C103" s="16" t="s">
        <v>711</v>
      </c>
      <c r="D103" s="17"/>
      <c r="E103" s="42" t="s">
        <v>1940</v>
      </c>
      <c r="F103" s="39">
        <v>11.0</v>
      </c>
      <c r="G103" s="12" t="s">
        <v>181</v>
      </c>
      <c r="H103" s="40"/>
      <c r="I103" s="16" t="s">
        <v>111</v>
      </c>
      <c r="J103" s="16" t="s">
        <v>51</v>
      </c>
      <c r="K103" s="12" t="s">
        <v>1942</v>
      </c>
      <c r="L103" s="16" t="s">
        <v>1447</v>
      </c>
      <c r="M103" s="17"/>
      <c r="N103" s="16" t="s">
        <v>711</v>
      </c>
      <c r="O103" s="16" t="s">
        <v>1943</v>
      </c>
      <c r="P103" s="18"/>
      <c r="Q103" s="17"/>
      <c r="R103" s="16" t="s">
        <v>111</v>
      </c>
      <c r="S103" s="16" t="s">
        <v>1493</v>
      </c>
      <c r="T103" s="16"/>
    </row>
    <row r="104" ht="26.25" customHeight="1">
      <c r="A104" s="41">
        <v>46113.50805546297</v>
      </c>
      <c r="B104" s="16" t="s">
        <v>49</v>
      </c>
      <c r="C104" s="16" t="s">
        <v>739</v>
      </c>
      <c r="D104" s="17"/>
      <c r="E104" s="42" t="s">
        <v>1966</v>
      </c>
      <c r="F104" s="39">
        <v>8.0</v>
      </c>
      <c r="G104" s="12" t="s">
        <v>181</v>
      </c>
      <c r="H104" s="40"/>
      <c r="I104" s="16" t="s">
        <v>111</v>
      </c>
      <c r="J104" s="16" t="s">
        <v>51</v>
      </c>
      <c r="K104" s="12" t="s">
        <v>1968</v>
      </c>
      <c r="L104" s="16" t="s">
        <v>1447</v>
      </c>
      <c r="M104" s="17"/>
      <c r="N104" s="16" t="s">
        <v>739</v>
      </c>
      <c r="O104" s="16" t="s">
        <v>1969</v>
      </c>
      <c r="P104" s="18"/>
      <c r="Q104" s="17"/>
      <c r="R104" s="16" t="s">
        <v>111</v>
      </c>
      <c r="S104" s="16" t="s">
        <v>1493</v>
      </c>
      <c r="T104" s="16"/>
    </row>
    <row r="105" ht="26.25" customHeight="1">
      <c r="A105" s="41">
        <v>46113.52781450232</v>
      </c>
      <c r="B105" s="16" t="s">
        <v>49</v>
      </c>
      <c r="C105" s="16" t="s">
        <v>743</v>
      </c>
      <c r="D105" s="16" t="s">
        <v>1485</v>
      </c>
      <c r="E105" s="42" t="s">
        <v>1970</v>
      </c>
      <c r="F105" s="39">
        <v>1.0</v>
      </c>
      <c r="G105" s="12" t="s">
        <v>181</v>
      </c>
      <c r="H105" s="40"/>
      <c r="I105" s="16" t="s">
        <v>111</v>
      </c>
      <c r="J105" s="16" t="s">
        <v>51</v>
      </c>
      <c r="K105" s="12" t="s">
        <v>1971</v>
      </c>
      <c r="L105" s="16" t="s">
        <v>1447</v>
      </c>
      <c r="M105" s="17"/>
      <c r="N105" s="16" t="s">
        <v>743</v>
      </c>
      <c r="O105" s="16" t="s">
        <v>1973</v>
      </c>
      <c r="P105" s="18"/>
      <c r="Q105" s="17"/>
      <c r="R105" s="16" t="s">
        <v>111</v>
      </c>
      <c r="S105" s="16" t="s">
        <v>1493</v>
      </c>
      <c r="T105" s="16"/>
    </row>
    <row r="106" ht="26.25" customHeight="1">
      <c r="A106" s="41">
        <v>46113.53489614584</v>
      </c>
      <c r="B106" s="16" t="s">
        <v>49</v>
      </c>
      <c r="C106" s="16" t="s">
        <v>743</v>
      </c>
      <c r="D106" s="16" t="s">
        <v>1485</v>
      </c>
      <c r="E106" s="42" t="s">
        <v>1975</v>
      </c>
      <c r="F106" s="39">
        <v>1.0</v>
      </c>
      <c r="G106" s="12" t="s">
        <v>181</v>
      </c>
      <c r="H106" s="40"/>
      <c r="I106" s="16" t="s">
        <v>111</v>
      </c>
      <c r="J106" s="16" t="s">
        <v>51</v>
      </c>
      <c r="K106" s="12" t="s">
        <v>1971</v>
      </c>
      <c r="L106" s="16" t="s">
        <v>1447</v>
      </c>
      <c r="M106" s="17"/>
      <c r="N106" s="16" t="s">
        <v>743</v>
      </c>
      <c r="O106" s="16" t="s">
        <v>1973</v>
      </c>
      <c r="P106" s="18"/>
      <c r="Q106" s="17"/>
      <c r="R106" s="16" t="s">
        <v>111</v>
      </c>
      <c r="S106" s="16" t="s">
        <v>1493</v>
      </c>
      <c r="T106" s="16"/>
    </row>
    <row r="107" ht="26.25" customHeight="1">
      <c r="A107" s="41">
        <v>46113.541674340275</v>
      </c>
      <c r="B107" s="16" t="s">
        <v>49</v>
      </c>
      <c r="C107" s="16" t="s">
        <v>729</v>
      </c>
      <c r="D107" s="17"/>
      <c r="E107" s="42" t="s">
        <v>1958</v>
      </c>
      <c r="F107" s="39">
        <v>1.0</v>
      </c>
      <c r="G107" s="12" t="s">
        <v>181</v>
      </c>
      <c r="H107" s="40"/>
      <c r="I107" s="16" t="s">
        <v>111</v>
      </c>
      <c r="J107" s="16" t="s">
        <v>51</v>
      </c>
      <c r="K107" s="12" t="s">
        <v>1942</v>
      </c>
      <c r="L107" s="16" t="s">
        <v>1447</v>
      </c>
      <c r="M107" s="17"/>
      <c r="N107" s="16" t="s">
        <v>729</v>
      </c>
      <c r="O107" s="16" t="s">
        <v>1959</v>
      </c>
      <c r="P107" s="18"/>
      <c r="Q107" s="17"/>
      <c r="R107" s="16" t="s">
        <v>111</v>
      </c>
      <c r="S107" s="16" t="s">
        <v>1493</v>
      </c>
      <c r="T107" s="16"/>
    </row>
    <row r="108" ht="26.25" customHeight="1">
      <c r="A108" s="41">
        <v>46113.54241248843</v>
      </c>
      <c r="B108" s="16" t="s">
        <v>49</v>
      </c>
      <c r="C108" s="16" t="s">
        <v>747</v>
      </c>
      <c r="D108" s="17"/>
      <c r="E108" s="42" t="s">
        <v>1978</v>
      </c>
      <c r="F108" s="39">
        <v>13.0</v>
      </c>
      <c r="G108" s="12" t="s">
        <v>181</v>
      </c>
      <c r="H108" s="40"/>
      <c r="I108" s="16" t="s">
        <v>111</v>
      </c>
      <c r="J108" s="16" t="s">
        <v>51</v>
      </c>
      <c r="K108" s="12" t="s">
        <v>1942</v>
      </c>
      <c r="L108" s="16" t="s">
        <v>1447</v>
      </c>
      <c r="M108" s="17"/>
      <c r="N108" s="16" t="s">
        <v>747</v>
      </c>
      <c r="O108" s="16" t="s">
        <v>1980</v>
      </c>
      <c r="P108" s="18"/>
      <c r="Q108" s="17"/>
      <c r="R108" s="16" t="s">
        <v>111</v>
      </c>
      <c r="S108" s="16" t="s">
        <v>1493</v>
      </c>
      <c r="T108" s="16"/>
    </row>
    <row r="109" ht="26.25" customHeight="1">
      <c r="A109" s="41">
        <v>46113.56133109954</v>
      </c>
      <c r="B109" s="16" t="s">
        <v>49</v>
      </c>
      <c r="C109" s="16" t="s">
        <v>750</v>
      </c>
      <c r="D109" s="17"/>
      <c r="E109" s="42" t="s">
        <v>1981</v>
      </c>
      <c r="F109" s="39">
        <v>1.0</v>
      </c>
      <c r="G109" s="12" t="s">
        <v>181</v>
      </c>
      <c r="H109" s="40"/>
      <c r="I109" s="16" t="s">
        <v>195</v>
      </c>
      <c r="J109" s="16" t="s">
        <v>51</v>
      </c>
      <c r="K109" s="12" t="s">
        <v>1983</v>
      </c>
      <c r="L109" s="16" t="s">
        <v>1447</v>
      </c>
      <c r="M109" s="17"/>
      <c r="N109" s="16" t="s">
        <v>750</v>
      </c>
      <c r="O109" s="16" t="s">
        <v>1984</v>
      </c>
      <c r="P109" s="18"/>
      <c r="Q109" s="17"/>
      <c r="R109" s="16" t="s">
        <v>196</v>
      </c>
      <c r="S109" s="16" t="s">
        <v>1493</v>
      </c>
      <c r="T109" s="16"/>
    </row>
    <row r="110" ht="26.25" customHeight="1">
      <c r="A110" s="41">
        <v>46113.5636703125</v>
      </c>
      <c r="B110" s="16" t="s">
        <v>49</v>
      </c>
      <c r="C110" s="16" t="s">
        <v>756</v>
      </c>
      <c r="D110" s="17"/>
      <c r="E110" s="42" t="s">
        <v>1985</v>
      </c>
      <c r="F110" s="39">
        <v>1.0</v>
      </c>
      <c r="G110" s="12" t="s">
        <v>181</v>
      </c>
      <c r="H110" s="40"/>
      <c r="I110" s="16" t="s">
        <v>196</v>
      </c>
      <c r="J110" s="16" t="s">
        <v>51</v>
      </c>
      <c r="K110" s="12" t="s">
        <v>1986</v>
      </c>
      <c r="L110" s="16" t="s">
        <v>1447</v>
      </c>
      <c r="M110" s="17"/>
      <c r="N110" s="16" t="s">
        <v>756</v>
      </c>
      <c r="O110" s="16" t="s">
        <v>1987</v>
      </c>
      <c r="P110" s="18"/>
      <c r="Q110" s="17"/>
      <c r="R110" s="16" t="s">
        <v>196</v>
      </c>
      <c r="S110" s="16" t="s">
        <v>1493</v>
      </c>
      <c r="T110" s="16"/>
    </row>
    <row r="111" ht="26.25" customHeight="1">
      <c r="A111" s="41">
        <v>46113.56604958333</v>
      </c>
      <c r="B111" s="16" t="s">
        <v>49</v>
      </c>
      <c r="C111" s="16" t="s">
        <v>1989</v>
      </c>
      <c r="D111" s="16" t="s">
        <v>1922</v>
      </c>
      <c r="E111" s="42" t="s">
        <v>1990</v>
      </c>
      <c r="F111" s="39">
        <v>1.0</v>
      </c>
      <c r="G111" s="12" t="s">
        <v>181</v>
      </c>
      <c r="H111" s="40"/>
      <c r="I111" s="16" t="s">
        <v>196</v>
      </c>
      <c r="J111" s="16" t="s">
        <v>51</v>
      </c>
      <c r="K111" s="12" t="s">
        <v>1991</v>
      </c>
      <c r="L111" s="16" t="s">
        <v>1447</v>
      </c>
      <c r="M111" s="17"/>
      <c r="N111" s="16" t="s">
        <v>1989</v>
      </c>
      <c r="O111" s="16" t="s">
        <v>1992</v>
      </c>
      <c r="P111" s="18"/>
      <c r="Q111" s="17"/>
      <c r="R111" s="16" t="s">
        <v>196</v>
      </c>
      <c r="S111" s="16" t="s">
        <v>1493</v>
      </c>
      <c r="T111" s="16"/>
    </row>
    <row r="112" ht="26.25" customHeight="1">
      <c r="A112" s="41">
        <v>46113.596867071756</v>
      </c>
      <c r="B112" s="16" t="s">
        <v>49</v>
      </c>
      <c r="C112" s="16" t="s">
        <v>764</v>
      </c>
      <c r="D112" s="16" t="s">
        <v>1922</v>
      </c>
      <c r="E112" s="42" t="s">
        <v>1993</v>
      </c>
      <c r="F112" s="39">
        <v>1.0</v>
      </c>
      <c r="G112" s="12" t="s">
        <v>181</v>
      </c>
      <c r="H112" s="40"/>
      <c r="I112" s="16" t="s">
        <v>196</v>
      </c>
      <c r="J112" s="16" t="s">
        <v>51</v>
      </c>
      <c r="K112" s="12" t="s">
        <v>1995</v>
      </c>
      <c r="L112" s="16" t="s">
        <v>1447</v>
      </c>
      <c r="M112" s="17"/>
      <c r="N112" s="16" t="s">
        <v>764</v>
      </c>
      <c r="O112" s="16" t="s">
        <v>1996</v>
      </c>
      <c r="P112" s="18"/>
      <c r="Q112" s="17"/>
      <c r="R112" s="16" t="s">
        <v>196</v>
      </c>
      <c r="S112" s="16" t="s">
        <v>1493</v>
      </c>
      <c r="T112" s="16"/>
    </row>
    <row r="113" ht="26.25" customHeight="1">
      <c r="A113" s="41">
        <v>46113.599836608795</v>
      </c>
      <c r="B113" s="16" t="s">
        <v>49</v>
      </c>
      <c r="C113" s="16" t="s">
        <v>766</v>
      </c>
      <c r="D113" s="17"/>
      <c r="E113" s="42" t="s">
        <v>1997</v>
      </c>
      <c r="F113" s="39">
        <v>2.0</v>
      </c>
      <c r="G113" s="12" t="s">
        <v>181</v>
      </c>
      <c r="H113" s="40"/>
      <c r="I113" s="16" t="s">
        <v>196</v>
      </c>
      <c r="J113" s="16" t="s">
        <v>51</v>
      </c>
      <c r="K113" s="12" t="s">
        <v>1998</v>
      </c>
      <c r="L113" s="16" t="s">
        <v>1447</v>
      </c>
      <c r="M113" s="17"/>
      <c r="N113" s="16" t="s">
        <v>766</v>
      </c>
      <c r="O113" s="16" t="s">
        <v>1999</v>
      </c>
      <c r="P113" s="18"/>
      <c r="Q113" s="17"/>
      <c r="R113" s="16" t="s">
        <v>196</v>
      </c>
      <c r="S113" s="16" t="s">
        <v>1493</v>
      </c>
      <c r="T113" s="16"/>
    </row>
    <row r="114" ht="26.25" customHeight="1">
      <c r="A114" s="41">
        <v>46113.61643496528</v>
      </c>
      <c r="B114" s="16" t="s">
        <v>49</v>
      </c>
      <c r="C114" s="16" t="s">
        <v>2000</v>
      </c>
      <c r="D114" s="17"/>
      <c r="E114" s="42" t="s">
        <v>2001</v>
      </c>
      <c r="F114" s="39">
        <v>5.0</v>
      </c>
      <c r="G114" s="12" t="s">
        <v>181</v>
      </c>
      <c r="H114" s="40"/>
      <c r="I114" s="16" t="s">
        <v>192</v>
      </c>
      <c r="J114" s="16" t="s">
        <v>51</v>
      </c>
      <c r="K114" s="12" t="s">
        <v>2002</v>
      </c>
      <c r="L114" s="16" t="s">
        <v>1447</v>
      </c>
      <c r="M114" s="17"/>
      <c r="N114" s="16" t="s">
        <v>2000</v>
      </c>
      <c r="O114" s="16" t="s">
        <v>2003</v>
      </c>
      <c r="P114" s="18"/>
      <c r="Q114" s="17"/>
      <c r="R114" s="16" t="s">
        <v>192</v>
      </c>
      <c r="S114" s="16" t="s">
        <v>1493</v>
      </c>
      <c r="T114" s="16"/>
    </row>
    <row r="115" ht="26.25" customHeight="1">
      <c r="A115" s="41">
        <v>46114.2999202662</v>
      </c>
      <c r="B115" s="16" t="s">
        <v>49</v>
      </c>
      <c r="C115" s="16" t="s">
        <v>780</v>
      </c>
      <c r="D115" s="17"/>
      <c r="E115" s="31"/>
      <c r="F115" s="39">
        <v>3.0</v>
      </c>
      <c r="G115" s="12" t="s">
        <v>181</v>
      </c>
      <c r="H115" s="40"/>
      <c r="I115" s="16" t="s">
        <v>192</v>
      </c>
      <c r="J115" s="17"/>
      <c r="K115" s="12"/>
      <c r="L115" s="16" t="s">
        <v>1447</v>
      </c>
      <c r="M115" s="17"/>
      <c r="N115" s="16" t="s">
        <v>780</v>
      </c>
      <c r="O115" s="16" t="s">
        <v>2005</v>
      </c>
      <c r="P115" s="18"/>
      <c r="Q115" s="17"/>
      <c r="R115" s="16" t="s">
        <v>192</v>
      </c>
      <c r="S115" s="16" t="s">
        <v>1493</v>
      </c>
      <c r="T115" s="16"/>
    </row>
    <row r="116" ht="26.25" customHeight="1">
      <c r="A116" s="41">
        <v>46114.30808258102</v>
      </c>
      <c r="B116" s="16" t="s">
        <v>49</v>
      </c>
      <c r="C116" s="16" t="s">
        <v>774</v>
      </c>
      <c r="D116" s="17"/>
      <c r="E116" s="42" t="s">
        <v>2001</v>
      </c>
      <c r="F116" s="39">
        <v>6.0</v>
      </c>
      <c r="G116" s="12" t="s">
        <v>181</v>
      </c>
      <c r="H116" s="40"/>
      <c r="I116" s="16" t="s">
        <v>192</v>
      </c>
      <c r="J116" s="16" t="s">
        <v>51</v>
      </c>
      <c r="K116" s="12" t="s">
        <v>2002</v>
      </c>
      <c r="L116" s="16" t="s">
        <v>1447</v>
      </c>
      <c r="M116" s="17"/>
      <c r="N116" s="16" t="s">
        <v>774</v>
      </c>
      <c r="O116" s="16" t="s">
        <v>2003</v>
      </c>
      <c r="P116" s="18"/>
      <c r="Q116" s="17"/>
      <c r="R116" s="16" t="s">
        <v>192</v>
      </c>
      <c r="S116" s="16" t="s">
        <v>1493</v>
      </c>
      <c r="T116" s="16"/>
    </row>
    <row r="117" ht="26.25" customHeight="1">
      <c r="A117" s="41">
        <v>46114.30918758102</v>
      </c>
      <c r="B117" s="16" t="s">
        <v>49</v>
      </c>
      <c r="C117" s="16" t="s">
        <v>774</v>
      </c>
      <c r="D117" s="17"/>
      <c r="E117" s="42" t="s">
        <v>2001</v>
      </c>
      <c r="F117" s="39">
        <v>13.0</v>
      </c>
      <c r="G117" s="12" t="s">
        <v>181</v>
      </c>
      <c r="H117" s="40"/>
      <c r="I117" s="16" t="s">
        <v>192</v>
      </c>
      <c r="J117" s="16" t="s">
        <v>51</v>
      </c>
      <c r="K117" s="12" t="s">
        <v>2002</v>
      </c>
      <c r="L117" s="16" t="s">
        <v>1447</v>
      </c>
      <c r="M117" s="17"/>
      <c r="N117" s="16" t="s">
        <v>774</v>
      </c>
      <c r="O117" s="16" t="s">
        <v>2003</v>
      </c>
      <c r="P117" s="18"/>
      <c r="Q117" s="17"/>
      <c r="R117" s="16" t="s">
        <v>192</v>
      </c>
      <c r="S117" s="16" t="s">
        <v>1493</v>
      </c>
      <c r="T117" s="16"/>
    </row>
    <row r="118" ht="26.25" customHeight="1">
      <c r="A118" s="41">
        <v>46114.31565040509</v>
      </c>
      <c r="B118" s="16" t="s">
        <v>49</v>
      </c>
      <c r="C118" s="16" t="s">
        <v>121</v>
      </c>
      <c r="D118" s="17"/>
      <c r="E118" s="42" t="s">
        <v>2006</v>
      </c>
      <c r="F118" s="39">
        <v>13.0</v>
      </c>
      <c r="G118" s="12" t="s">
        <v>181</v>
      </c>
      <c r="H118" s="40"/>
      <c r="I118" s="16" t="s">
        <v>192</v>
      </c>
      <c r="J118" s="16" t="s">
        <v>51</v>
      </c>
      <c r="K118" s="12" t="s">
        <v>2007</v>
      </c>
      <c r="L118" s="16" t="s">
        <v>1447</v>
      </c>
      <c r="M118" s="17"/>
      <c r="N118" s="16" t="s">
        <v>121</v>
      </c>
      <c r="O118" s="16" t="s">
        <v>2008</v>
      </c>
      <c r="P118" s="18"/>
      <c r="Q118" s="17"/>
      <c r="R118" s="16" t="s">
        <v>192</v>
      </c>
      <c r="S118" s="16" t="s">
        <v>1493</v>
      </c>
      <c r="T118" s="16"/>
    </row>
    <row r="119" ht="26.25" customHeight="1">
      <c r="A119" s="41">
        <v>46114.32648109954</v>
      </c>
      <c r="B119" s="16" t="s">
        <v>49</v>
      </c>
      <c r="C119" s="16" t="s">
        <v>121</v>
      </c>
      <c r="D119" s="17"/>
      <c r="E119" s="42" t="s">
        <v>2006</v>
      </c>
      <c r="F119" s="39">
        <v>26.0</v>
      </c>
      <c r="G119" s="12" t="s">
        <v>181</v>
      </c>
      <c r="H119" s="40"/>
      <c r="I119" s="16" t="s">
        <v>192</v>
      </c>
      <c r="J119" s="16" t="s">
        <v>51</v>
      </c>
      <c r="K119" s="12" t="s">
        <v>2007</v>
      </c>
      <c r="L119" s="16" t="s">
        <v>1447</v>
      </c>
      <c r="M119" s="17"/>
      <c r="N119" s="16" t="s">
        <v>121</v>
      </c>
      <c r="O119" s="16" t="s">
        <v>2008</v>
      </c>
      <c r="P119" s="18"/>
      <c r="Q119" s="17"/>
      <c r="R119" s="16" t="s">
        <v>192</v>
      </c>
      <c r="S119" s="16" t="s">
        <v>1493</v>
      </c>
      <c r="T119" s="16"/>
    </row>
    <row r="120" ht="26.25" customHeight="1">
      <c r="A120" s="41">
        <v>46114.327786354166</v>
      </c>
      <c r="B120" s="16" t="s">
        <v>49</v>
      </c>
      <c r="C120" s="16" t="s">
        <v>121</v>
      </c>
      <c r="D120" s="17"/>
      <c r="E120" s="42" t="s">
        <v>2006</v>
      </c>
      <c r="F120" s="39">
        <v>7.0</v>
      </c>
      <c r="G120" s="12" t="s">
        <v>181</v>
      </c>
      <c r="H120" s="40"/>
      <c r="I120" s="16" t="s">
        <v>192</v>
      </c>
      <c r="J120" s="16" t="s">
        <v>51</v>
      </c>
      <c r="K120" s="12" t="s">
        <v>2009</v>
      </c>
      <c r="L120" s="16" t="s">
        <v>1447</v>
      </c>
      <c r="M120" s="17"/>
      <c r="N120" s="16" t="s">
        <v>121</v>
      </c>
      <c r="O120" s="16" t="s">
        <v>2008</v>
      </c>
      <c r="P120" s="18"/>
      <c r="Q120" s="17"/>
      <c r="R120" s="16" t="s">
        <v>192</v>
      </c>
      <c r="S120" s="16" t="s">
        <v>1493</v>
      </c>
      <c r="T120" s="16"/>
    </row>
    <row r="121" ht="26.25" customHeight="1">
      <c r="A121" s="41">
        <v>46114.35238041666</v>
      </c>
      <c r="B121" s="16" t="s">
        <v>49</v>
      </c>
      <c r="C121" s="16" t="s">
        <v>792</v>
      </c>
      <c r="D121" s="17"/>
      <c r="E121" s="42" t="s">
        <v>2010</v>
      </c>
      <c r="F121" s="39">
        <v>8.0</v>
      </c>
      <c r="G121" s="12" t="s">
        <v>181</v>
      </c>
      <c r="H121" s="40"/>
      <c r="I121" s="16" t="s">
        <v>192</v>
      </c>
      <c r="J121" s="16" t="s">
        <v>51</v>
      </c>
      <c r="K121" s="12" t="s">
        <v>2011</v>
      </c>
      <c r="L121" s="16" t="s">
        <v>1447</v>
      </c>
      <c r="M121" s="17"/>
      <c r="N121" s="16" t="s">
        <v>792</v>
      </c>
      <c r="O121" s="16" t="s">
        <v>2012</v>
      </c>
      <c r="P121" s="18"/>
      <c r="Q121" s="17"/>
      <c r="R121" s="16" t="s">
        <v>192</v>
      </c>
      <c r="S121" s="16" t="s">
        <v>1493</v>
      </c>
      <c r="T121" s="16"/>
    </row>
    <row r="122" ht="26.25" customHeight="1">
      <c r="A122" s="41">
        <v>46114.36038668982</v>
      </c>
      <c r="B122" s="16" t="s">
        <v>49</v>
      </c>
      <c r="C122" s="16" t="s">
        <v>799</v>
      </c>
      <c r="D122" s="17"/>
      <c r="E122" s="42" t="s">
        <v>2013</v>
      </c>
      <c r="F122" s="39">
        <v>1.0</v>
      </c>
      <c r="G122" s="12" t="s">
        <v>181</v>
      </c>
      <c r="H122" s="40"/>
      <c r="I122" s="16" t="s">
        <v>192</v>
      </c>
      <c r="J122" s="16" t="s">
        <v>51</v>
      </c>
      <c r="K122" s="12" t="s">
        <v>2014</v>
      </c>
      <c r="L122" s="16" t="s">
        <v>1447</v>
      </c>
      <c r="M122" s="17"/>
      <c r="N122" s="16" t="s">
        <v>799</v>
      </c>
      <c r="O122" s="16" t="s">
        <v>2015</v>
      </c>
      <c r="P122" s="18"/>
      <c r="Q122" s="17"/>
      <c r="R122" s="16" t="s">
        <v>192</v>
      </c>
      <c r="S122" s="16" t="s">
        <v>1493</v>
      </c>
      <c r="T122" s="16"/>
    </row>
    <row r="123" ht="26.25" customHeight="1">
      <c r="A123" s="41">
        <v>46114.36571384259</v>
      </c>
      <c r="B123" s="16" t="s">
        <v>49</v>
      </c>
      <c r="C123" s="16" t="s">
        <v>807</v>
      </c>
      <c r="D123" s="17"/>
      <c r="E123" s="42" t="s">
        <v>2016</v>
      </c>
      <c r="F123" s="39">
        <v>21.0</v>
      </c>
      <c r="G123" s="12" t="s">
        <v>181</v>
      </c>
      <c r="H123" s="15"/>
      <c r="I123" s="16" t="s">
        <v>111</v>
      </c>
      <c r="J123" s="16" t="s">
        <v>35</v>
      </c>
      <c r="K123" s="12" t="s">
        <v>2017</v>
      </c>
      <c r="L123" s="16" t="s">
        <v>1447</v>
      </c>
      <c r="M123" s="17"/>
      <c r="N123" s="16" t="s">
        <v>807</v>
      </c>
      <c r="O123" s="16" t="s">
        <v>2018</v>
      </c>
      <c r="P123" s="18"/>
      <c r="Q123" s="16" t="s">
        <v>52</v>
      </c>
      <c r="R123" s="16" t="s">
        <v>111</v>
      </c>
      <c r="S123" s="16" t="s">
        <v>1493</v>
      </c>
      <c r="T123" s="16"/>
    </row>
    <row r="124" ht="26.25" customHeight="1">
      <c r="A124" s="41">
        <v>46114.36988083333</v>
      </c>
      <c r="B124" s="16" t="s">
        <v>49</v>
      </c>
      <c r="C124" s="16" t="s">
        <v>407</v>
      </c>
      <c r="D124" s="17"/>
      <c r="E124" s="42" t="s">
        <v>2019</v>
      </c>
      <c r="F124" s="16">
        <v>22.0</v>
      </c>
      <c r="G124" s="12" t="s">
        <v>181</v>
      </c>
      <c r="H124" s="40"/>
      <c r="I124" s="16" t="s">
        <v>161</v>
      </c>
      <c r="J124" s="16" t="s">
        <v>35</v>
      </c>
      <c r="K124" s="12" t="s">
        <v>2020</v>
      </c>
      <c r="L124" s="16" t="s">
        <v>1447</v>
      </c>
      <c r="M124" s="17"/>
      <c r="N124" s="16" t="s">
        <v>407</v>
      </c>
      <c r="O124" s="16" t="s">
        <v>2021</v>
      </c>
      <c r="P124" s="18"/>
      <c r="Q124" s="17"/>
      <c r="R124" s="16" t="s">
        <v>161</v>
      </c>
      <c r="S124" s="16" t="s">
        <v>1493</v>
      </c>
      <c r="T124" s="16"/>
    </row>
    <row r="125" ht="26.25" customHeight="1">
      <c r="A125" s="41">
        <v>46114.378663564814</v>
      </c>
      <c r="B125" s="16" t="s">
        <v>49</v>
      </c>
      <c r="C125" s="16" t="s">
        <v>409</v>
      </c>
      <c r="D125" s="16" t="s">
        <v>1517</v>
      </c>
      <c r="E125" s="42" t="s">
        <v>2022</v>
      </c>
      <c r="F125" s="39">
        <v>17.0</v>
      </c>
      <c r="G125" s="12" t="s">
        <v>181</v>
      </c>
      <c r="H125" s="40"/>
      <c r="I125" s="16" t="s">
        <v>111</v>
      </c>
      <c r="J125" s="16" t="s">
        <v>35</v>
      </c>
      <c r="K125" s="12" t="s">
        <v>2023</v>
      </c>
      <c r="L125" s="16" t="s">
        <v>1447</v>
      </c>
      <c r="M125" s="17"/>
      <c r="N125" s="16" t="s">
        <v>409</v>
      </c>
      <c r="O125" s="16" t="s">
        <v>2024</v>
      </c>
      <c r="P125" s="18"/>
      <c r="Q125" s="17"/>
      <c r="R125" s="16" t="s">
        <v>111</v>
      </c>
      <c r="S125" s="16" t="s">
        <v>1493</v>
      </c>
      <c r="T125" s="16"/>
    </row>
    <row r="126" ht="26.25" customHeight="1">
      <c r="A126" s="41">
        <v>46114.382784733796</v>
      </c>
      <c r="B126" s="16" t="s">
        <v>49</v>
      </c>
      <c r="C126" s="16" t="s">
        <v>415</v>
      </c>
      <c r="D126" s="16" t="s">
        <v>1517</v>
      </c>
      <c r="E126" s="42" t="s">
        <v>2025</v>
      </c>
      <c r="F126" s="39">
        <v>18.0</v>
      </c>
      <c r="G126" s="12" t="s">
        <v>181</v>
      </c>
      <c r="H126" s="40"/>
      <c r="I126" s="16" t="s">
        <v>111</v>
      </c>
      <c r="J126" s="16" t="s">
        <v>35</v>
      </c>
      <c r="K126" s="12" t="s">
        <v>2026</v>
      </c>
      <c r="L126" s="16" t="s">
        <v>1447</v>
      </c>
      <c r="M126" s="17"/>
      <c r="N126" s="16" t="s">
        <v>416</v>
      </c>
      <c r="O126" s="16" t="s">
        <v>1904</v>
      </c>
      <c r="P126" s="18"/>
      <c r="Q126" s="16" t="s">
        <v>52</v>
      </c>
      <c r="R126" s="16" t="s">
        <v>161</v>
      </c>
      <c r="S126" s="16" t="s">
        <v>1493</v>
      </c>
      <c r="T126" s="16"/>
    </row>
    <row r="127" ht="26.25" customHeight="1">
      <c r="A127" s="41">
        <v>46114.39696893518</v>
      </c>
      <c r="B127" s="16" t="s">
        <v>49</v>
      </c>
      <c r="C127" s="16" t="s">
        <v>412</v>
      </c>
      <c r="D127" s="16" t="s">
        <v>1517</v>
      </c>
      <c r="E127" s="42" t="s">
        <v>2027</v>
      </c>
      <c r="F127" s="39">
        <v>16.0</v>
      </c>
      <c r="G127" s="12" t="s">
        <v>181</v>
      </c>
      <c r="H127" s="40"/>
      <c r="I127" s="16" t="s">
        <v>161</v>
      </c>
      <c r="J127" s="16" t="s">
        <v>35</v>
      </c>
      <c r="K127" s="12" t="s">
        <v>2028</v>
      </c>
      <c r="L127" s="16" t="s">
        <v>1447</v>
      </c>
      <c r="M127" s="17"/>
      <c r="N127" s="16" t="s">
        <v>412</v>
      </c>
      <c r="O127" s="16" t="s">
        <v>2029</v>
      </c>
      <c r="P127" s="18"/>
      <c r="Q127" s="17"/>
      <c r="R127" s="16" t="s">
        <v>161</v>
      </c>
      <c r="S127" s="16" t="s">
        <v>1493</v>
      </c>
      <c r="T127" s="16"/>
    </row>
    <row r="128" ht="26.25" customHeight="1">
      <c r="A128" s="41">
        <v>46114.442893495376</v>
      </c>
      <c r="B128" s="16" t="s">
        <v>34</v>
      </c>
      <c r="C128" s="16" t="s">
        <v>415</v>
      </c>
      <c r="D128" s="16" t="s">
        <v>1517</v>
      </c>
      <c r="E128" s="42"/>
      <c r="F128" s="39">
        <v>28.0</v>
      </c>
      <c r="G128" s="12" t="s">
        <v>181</v>
      </c>
      <c r="H128" s="40"/>
      <c r="I128" s="16" t="s">
        <v>187</v>
      </c>
      <c r="J128" s="16" t="s">
        <v>35</v>
      </c>
      <c r="K128" s="13"/>
      <c r="L128" s="16" t="s">
        <v>1447</v>
      </c>
      <c r="M128" s="17"/>
      <c r="N128" s="16" t="s">
        <v>416</v>
      </c>
      <c r="O128" s="16" t="s">
        <v>2030</v>
      </c>
      <c r="P128" s="18"/>
      <c r="Q128" s="16" t="s">
        <v>52</v>
      </c>
      <c r="R128" s="16" t="s">
        <v>187</v>
      </c>
      <c r="S128" s="16" t="s">
        <v>1493</v>
      </c>
      <c r="T128" s="16"/>
    </row>
    <row r="129" ht="26.25" customHeight="1">
      <c r="A129" s="41">
        <v>46114.5361393287</v>
      </c>
      <c r="B129" s="16" t="s">
        <v>61</v>
      </c>
      <c r="C129" s="16" t="s">
        <v>306</v>
      </c>
      <c r="D129" s="17"/>
      <c r="E129" s="31"/>
      <c r="F129" s="16">
        <v>4.0</v>
      </c>
      <c r="G129" s="16" t="s">
        <v>363</v>
      </c>
      <c r="H129" s="40"/>
      <c r="I129" s="16" t="s">
        <v>251</v>
      </c>
      <c r="J129" s="16" t="s">
        <v>2031</v>
      </c>
      <c r="K129" s="13"/>
      <c r="L129" s="16" t="s">
        <v>1447</v>
      </c>
      <c r="M129" s="17"/>
      <c r="N129" s="17"/>
      <c r="O129" s="16" t="s">
        <v>2032</v>
      </c>
      <c r="P129" s="18"/>
      <c r="Q129" s="17"/>
      <c r="R129" s="17"/>
      <c r="S129" s="17"/>
      <c r="T129" s="16"/>
    </row>
    <row r="130" ht="26.25" customHeight="1">
      <c r="A130" s="41">
        <v>46114.548708981485</v>
      </c>
      <c r="B130" s="16" t="s">
        <v>49</v>
      </c>
      <c r="C130" s="16" t="s">
        <v>66</v>
      </c>
      <c r="D130" s="17"/>
      <c r="E130" s="42" t="s">
        <v>2033</v>
      </c>
      <c r="F130" s="39">
        <v>26.0</v>
      </c>
      <c r="G130" s="12" t="s">
        <v>181</v>
      </c>
      <c r="H130" s="40"/>
      <c r="I130" s="16" t="s">
        <v>219</v>
      </c>
      <c r="J130" s="16" t="s">
        <v>51</v>
      </c>
      <c r="K130" s="12" t="s">
        <v>2034</v>
      </c>
      <c r="L130" s="16" t="s">
        <v>1447</v>
      </c>
      <c r="M130" s="17"/>
      <c r="N130" s="16" t="s">
        <v>66</v>
      </c>
      <c r="O130" s="16" t="s">
        <v>2035</v>
      </c>
      <c r="P130" s="18"/>
      <c r="Q130" s="17"/>
      <c r="R130" s="16" t="s">
        <v>219</v>
      </c>
      <c r="S130" s="16" t="s">
        <v>1493</v>
      </c>
      <c r="T130" s="16"/>
    </row>
    <row r="131" ht="26.25" customHeight="1">
      <c r="A131" s="41">
        <v>46114.55713710648</v>
      </c>
      <c r="B131" s="16" t="s">
        <v>49</v>
      </c>
      <c r="C131" s="16" t="s">
        <v>66</v>
      </c>
      <c r="D131" s="17"/>
      <c r="E131" s="42" t="s">
        <v>2033</v>
      </c>
      <c r="F131" s="39">
        <v>8.0</v>
      </c>
      <c r="G131" s="12" t="s">
        <v>181</v>
      </c>
      <c r="H131" s="40"/>
      <c r="I131" s="16" t="s">
        <v>219</v>
      </c>
      <c r="J131" s="16" t="s">
        <v>51</v>
      </c>
      <c r="K131" s="12" t="s">
        <v>2036</v>
      </c>
      <c r="L131" s="16" t="s">
        <v>1447</v>
      </c>
      <c r="M131" s="17"/>
      <c r="N131" s="16" t="s">
        <v>66</v>
      </c>
      <c r="O131" s="16" t="s">
        <v>2035</v>
      </c>
      <c r="P131" s="18"/>
      <c r="Q131" s="17"/>
      <c r="R131" s="16" t="s">
        <v>219</v>
      </c>
      <c r="S131" s="16" t="s">
        <v>1493</v>
      </c>
      <c r="T131" s="16"/>
    </row>
    <row r="132" ht="26.25" customHeight="1">
      <c r="A132" s="41">
        <v>46114.5585665625</v>
      </c>
      <c r="B132" s="16" t="s">
        <v>49</v>
      </c>
      <c r="C132" s="16" t="s">
        <v>66</v>
      </c>
      <c r="D132" s="17"/>
      <c r="E132" s="42" t="s">
        <v>2033</v>
      </c>
      <c r="F132" s="39">
        <v>18.0</v>
      </c>
      <c r="G132" s="12" t="s">
        <v>181</v>
      </c>
      <c r="H132" s="40"/>
      <c r="I132" s="16" t="s">
        <v>219</v>
      </c>
      <c r="J132" s="16" t="s">
        <v>51</v>
      </c>
      <c r="K132" s="12" t="s">
        <v>2034</v>
      </c>
      <c r="L132" s="16" t="s">
        <v>1447</v>
      </c>
      <c r="M132" s="17"/>
      <c r="N132" s="16" t="s">
        <v>66</v>
      </c>
      <c r="O132" s="16" t="s">
        <v>2035</v>
      </c>
      <c r="P132" s="18"/>
      <c r="Q132" s="17"/>
      <c r="R132" s="16" t="s">
        <v>219</v>
      </c>
      <c r="S132" s="16" t="s">
        <v>1493</v>
      </c>
      <c r="T132" s="16"/>
    </row>
    <row r="133" ht="26.25" customHeight="1">
      <c r="A133" s="41">
        <v>46114.566662743055</v>
      </c>
      <c r="B133" s="16" t="s">
        <v>49</v>
      </c>
      <c r="C133" s="16" t="s">
        <v>66</v>
      </c>
      <c r="D133" s="17"/>
      <c r="E133" s="42" t="s">
        <v>2037</v>
      </c>
      <c r="F133" s="39">
        <v>8.0</v>
      </c>
      <c r="G133" s="12" t="s">
        <v>181</v>
      </c>
      <c r="H133" s="40"/>
      <c r="I133" s="16" t="s">
        <v>216</v>
      </c>
      <c r="J133" s="16" t="s">
        <v>51</v>
      </c>
      <c r="K133" s="12" t="s">
        <v>2034</v>
      </c>
      <c r="L133" s="16" t="s">
        <v>1447</v>
      </c>
      <c r="M133" s="17"/>
      <c r="N133" s="16" t="s">
        <v>66</v>
      </c>
      <c r="O133" s="16" t="s">
        <v>2035</v>
      </c>
      <c r="P133" s="18"/>
      <c r="Q133" s="17"/>
      <c r="R133" s="16" t="s">
        <v>216</v>
      </c>
      <c r="S133" s="16" t="s">
        <v>1493</v>
      </c>
      <c r="T133" s="16"/>
    </row>
    <row r="134" ht="26.25" customHeight="1">
      <c r="A134" s="41">
        <v>46114.56748837963</v>
      </c>
      <c r="B134" s="16" t="s">
        <v>49</v>
      </c>
      <c r="C134" s="16" t="s">
        <v>66</v>
      </c>
      <c r="D134" s="17"/>
      <c r="E134" s="42" t="s">
        <v>2033</v>
      </c>
      <c r="F134" s="39">
        <v>4.0</v>
      </c>
      <c r="G134" s="12" t="s">
        <v>181</v>
      </c>
      <c r="H134" s="40"/>
      <c r="I134" s="16" t="s">
        <v>216</v>
      </c>
      <c r="J134" s="16" t="s">
        <v>51</v>
      </c>
      <c r="K134" s="12" t="s">
        <v>2034</v>
      </c>
      <c r="L134" s="16" t="s">
        <v>1447</v>
      </c>
      <c r="M134" s="17"/>
      <c r="N134" s="16" t="s">
        <v>66</v>
      </c>
      <c r="O134" s="16" t="s">
        <v>2035</v>
      </c>
      <c r="P134" s="18"/>
      <c r="Q134" s="17"/>
      <c r="R134" s="16" t="s">
        <v>216</v>
      </c>
      <c r="S134" s="16" t="s">
        <v>1493</v>
      </c>
      <c r="T134" s="16"/>
    </row>
    <row r="135" ht="26.25" customHeight="1">
      <c r="A135" s="41">
        <v>46114.56803645834</v>
      </c>
      <c r="B135" s="16" t="s">
        <v>49</v>
      </c>
      <c r="C135" s="16" t="s">
        <v>66</v>
      </c>
      <c r="D135" s="17"/>
      <c r="E135" s="42" t="s">
        <v>2033</v>
      </c>
      <c r="F135" s="39">
        <v>9.0</v>
      </c>
      <c r="G135" s="12" t="s">
        <v>181</v>
      </c>
      <c r="H135" s="40"/>
      <c r="I135" s="16" t="s">
        <v>216</v>
      </c>
      <c r="J135" s="16" t="s">
        <v>51</v>
      </c>
      <c r="K135" s="12" t="s">
        <v>2038</v>
      </c>
      <c r="L135" s="16" t="s">
        <v>1447</v>
      </c>
      <c r="M135" s="17"/>
      <c r="N135" s="16" t="s">
        <v>66</v>
      </c>
      <c r="O135" s="16" t="s">
        <v>2035</v>
      </c>
      <c r="P135" s="18"/>
      <c r="Q135" s="17"/>
      <c r="R135" s="16" t="s">
        <v>216</v>
      </c>
      <c r="S135" s="16" t="s">
        <v>1493</v>
      </c>
      <c r="T135" s="16"/>
    </row>
    <row r="136" ht="26.25" customHeight="1">
      <c r="A136" s="41">
        <v>46115.31207731481</v>
      </c>
      <c r="B136" s="16" t="s">
        <v>49</v>
      </c>
      <c r="C136" s="16" t="s">
        <v>66</v>
      </c>
      <c r="D136" s="17"/>
      <c r="E136" s="42" t="s">
        <v>2039</v>
      </c>
      <c r="F136" s="39">
        <v>8.0</v>
      </c>
      <c r="G136" s="12" t="s">
        <v>181</v>
      </c>
      <c r="H136" s="40"/>
      <c r="I136" s="16" t="s">
        <v>192</v>
      </c>
      <c r="J136" s="16" t="s">
        <v>51</v>
      </c>
      <c r="K136" s="12" t="s">
        <v>2040</v>
      </c>
      <c r="L136" s="16" t="s">
        <v>1447</v>
      </c>
      <c r="M136" s="17"/>
      <c r="N136" s="16" t="s">
        <v>66</v>
      </c>
      <c r="O136" s="16" t="s">
        <v>2035</v>
      </c>
      <c r="P136" s="18"/>
      <c r="Q136" s="17"/>
      <c r="R136" s="16" t="s">
        <v>192</v>
      </c>
      <c r="S136" s="16" t="s">
        <v>1493</v>
      </c>
      <c r="T136" s="16"/>
    </row>
    <row r="137" ht="26.25" customHeight="1">
      <c r="A137" s="41">
        <v>46115.31353788194</v>
      </c>
      <c r="B137" s="16" t="s">
        <v>49</v>
      </c>
      <c r="C137" s="16" t="s">
        <v>66</v>
      </c>
      <c r="D137" s="17"/>
      <c r="E137" s="42" t="s">
        <v>2041</v>
      </c>
      <c r="F137" s="39">
        <v>7.0</v>
      </c>
      <c r="G137" s="12" t="s">
        <v>181</v>
      </c>
      <c r="H137" s="40"/>
      <c r="I137" s="16" t="s">
        <v>192</v>
      </c>
      <c r="J137" s="16" t="s">
        <v>51</v>
      </c>
      <c r="K137" s="12" t="s">
        <v>2042</v>
      </c>
      <c r="L137" s="16" t="s">
        <v>1447</v>
      </c>
      <c r="M137" s="17"/>
      <c r="N137" s="16" t="s">
        <v>66</v>
      </c>
      <c r="O137" s="16" t="s">
        <v>2035</v>
      </c>
      <c r="P137" s="18"/>
      <c r="Q137" s="17"/>
      <c r="R137" s="16" t="s">
        <v>192</v>
      </c>
      <c r="S137" s="16" t="s">
        <v>1493</v>
      </c>
      <c r="T137" s="16"/>
    </row>
    <row r="138" ht="26.25" customHeight="1">
      <c r="A138" s="41">
        <v>46115.329748206015</v>
      </c>
      <c r="B138" s="16" t="s">
        <v>49</v>
      </c>
      <c r="C138" s="16" t="s">
        <v>832</v>
      </c>
      <c r="D138" s="17"/>
      <c r="E138" s="42" t="s">
        <v>2043</v>
      </c>
      <c r="F138" s="39">
        <v>1.0</v>
      </c>
      <c r="G138" s="12" t="s">
        <v>181</v>
      </c>
      <c r="H138" s="40"/>
      <c r="I138" s="16" t="s">
        <v>212</v>
      </c>
      <c r="J138" s="16" t="s">
        <v>51</v>
      </c>
      <c r="K138" s="12" t="s">
        <v>2044</v>
      </c>
      <c r="L138" s="16" t="s">
        <v>1447</v>
      </c>
      <c r="M138" s="17"/>
      <c r="N138" s="16" t="s">
        <v>832</v>
      </c>
      <c r="O138" s="16" t="s">
        <v>2045</v>
      </c>
      <c r="P138" s="18"/>
      <c r="Q138" s="17"/>
      <c r="R138" s="16" t="s">
        <v>212</v>
      </c>
      <c r="S138" s="16" t="s">
        <v>1493</v>
      </c>
      <c r="T138" s="16"/>
    </row>
    <row r="139" ht="26.25" customHeight="1">
      <c r="A139" s="41">
        <v>46115.33086901621</v>
      </c>
      <c r="B139" s="16" t="s">
        <v>49</v>
      </c>
      <c r="C139" s="16" t="s">
        <v>734</v>
      </c>
      <c r="D139" s="17"/>
      <c r="E139" s="42" t="s">
        <v>2046</v>
      </c>
      <c r="F139" s="16">
        <v>1.0</v>
      </c>
      <c r="G139" s="12" t="s">
        <v>181</v>
      </c>
      <c r="H139" s="40"/>
      <c r="I139" s="16" t="s">
        <v>212</v>
      </c>
      <c r="J139" s="16" t="s">
        <v>51</v>
      </c>
      <c r="K139" s="12" t="s">
        <v>2047</v>
      </c>
      <c r="L139" s="16" t="s">
        <v>1447</v>
      </c>
      <c r="M139" s="17"/>
      <c r="N139" s="16" t="s">
        <v>734</v>
      </c>
      <c r="O139" s="16" t="s">
        <v>1964</v>
      </c>
      <c r="P139" s="18"/>
      <c r="Q139" s="17"/>
      <c r="R139" s="16" t="s">
        <v>212</v>
      </c>
      <c r="S139" s="16" t="s">
        <v>1493</v>
      </c>
      <c r="T139" s="16"/>
    </row>
    <row r="140" ht="26.25" customHeight="1">
      <c r="A140" s="41">
        <v>46115.33489211806</v>
      </c>
      <c r="B140" s="16" t="s">
        <v>49</v>
      </c>
      <c r="C140" s="16" t="s">
        <v>729</v>
      </c>
      <c r="D140" s="17"/>
      <c r="E140" s="42" t="s">
        <v>2048</v>
      </c>
      <c r="F140" s="39">
        <v>2.0</v>
      </c>
      <c r="G140" s="12" t="s">
        <v>181</v>
      </c>
      <c r="H140" s="40"/>
      <c r="I140" s="16" t="s">
        <v>212</v>
      </c>
      <c r="J140" s="16" t="s">
        <v>51</v>
      </c>
      <c r="K140" s="12" t="s">
        <v>2047</v>
      </c>
      <c r="L140" s="16" t="s">
        <v>1447</v>
      </c>
      <c r="M140" s="17"/>
      <c r="N140" s="16" t="s">
        <v>729</v>
      </c>
      <c r="O140" s="16" t="s">
        <v>1959</v>
      </c>
      <c r="P140" s="18"/>
      <c r="Q140" s="17"/>
      <c r="R140" s="16" t="s">
        <v>212</v>
      </c>
      <c r="S140" s="16" t="s">
        <v>1493</v>
      </c>
      <c r="T140" s="16"/>
    </row>
    <row r="141" ht="26.25" customHeight="1">
      <c r="A141" s="41">
        <v>46115.33833993056</v>
      </c>
      <c r="B141" s="16" t="s">
        <v>49</v>
      </c>
      <c r="C141" s="16" t="s">
        <v>836</v>
      </c>
      <c r="D141" s="17"/>
      <c r="E141" s="42" t="s">
        <v>2049</v>
      </c>
      <c r="F141" s="39">
        <v>3.0</v>
      </c>
      <c r="G141" s="12" t="s">
        <v>181</v>
      </c>
      <c r="H141" s="40"/>
      <c r="I141" s="16" t="s">
        <v>212</v>
      </c>
      <c r="J141" s="16" t="s">
        <v>51</v>
      </c>
      <c r="K141" s="12" t="s">
        <v>2047</v>
      </c>
      <c r="L141" s="16" t="s">
        <v>1447</v>
      </c>
      <c r="M141" s="17"/>
      <c r="N141" s="16" t="s">
        <v>836</v>
      </c>
      <c r="O141" s="16" t="s">
        <v>2050</v>
      </c>
      <c r="P141" s="18"/>
      <c r="Q141" s="17"/>
      <c r="R141" s="16" t="s">
        <v>212</v>
      </c>
      <c r="S141" s="16" t="s">
        <v>1493</v>
      </c>
      <c r="T141" s="16"/>
    </row>
    <row r="142" ht="26.25" customHeight="1">
      <c r="A142" s="41">
        <v>46115.33834787037</v>
      </c>
      <c r="B142" s="16" t="s">
        <v>49</v>
      </c>
      <c r="C142" s="16" t="s">
        <v>836</v>
      </c>
      <c r="D142" s="17"/>
      <c r="E142" s="42" t="s">
        <v>2049</v>
      </c>
      <c r="F142" s="39">
        <v>3.0</v>
      </c>
      <c r="G142" s="12" t="s">
        <v>181</v>
      </c>
      <c r="H142" s="40"/>
      <c r="I142" s="16" t="s">
        <v>212</v>
      </c>
      <c r="J142" s="16" t="s">
        <v>51</v>
      </c>
      <c r="K142" s="12" t="s">
        <v>2047</v>
      </c>
      <c r="L142" s="16" t="s">
        <v>1447</v>
      </c>
      <c r="M142" s="17"/>
      <c r="N142" s="16" t="s">
        <v>836</v>
      </c>
      <c r="O142" s="16" t="s">
        <v>2050</v>
      </c>
      <c r="P142" s="18"/>
      <c r="Q142" s="17"/>
      <c r="R142" s="16" t="s">
        <v>212</v>
      </c>
      <c r="S142" s="16" t="s">
        <v>1493</v>
      </c>
      <c r="T142" s="16"/>
    </row>
    <row r="143" ht="26.25" customHeight="1">
      <c r="A143" s="41">
        <v>46115.34020923611</v>
      </c>
      <c r="B143" s="16" t="s">
        <v>49</v>
      </c>
      <c r="C143" s="16" t="s">
        <v>724</v>
      </c>
      <c r="D143" s="17"/>
      <c r="E143" s="42" t="s">
        <v>1949</v>
      </c>
      <c r="F143" s="39">
        <v>3.0</v>
      </c>
      <c r="G143" s="12" t="s">
        <v>181</v>
      </c>
      <c r="H143" s="40"/>
      <c r="I143" s="16" t="s">
        <v>212</v>
      </c>
      <c r="J143" s="16" t="s">
        <v>51</v>
      </c>
      <c r="K143" s="12" t="s">
        <v>2047</v>
      </c>
      <c r="L143" s="16" t="s">
        <v>1447</v>
      </c>
      <c r="M143" s="17"/>
      <c r="N143" s="16" t="s">
        <v>724</v>
      </c>
      <c r="O143" s="16" t="s">
        <v>1952</v>
      </c>
      <c r="P143" s="18"/>
      <c r="Q143" s="17"/>
      <c r="R143" s="16" t="s">
        <v>212</v>
      </c>
      <c r="S143" s="16" t="s">
        <v>1493</v>
      </c>
      <c r="T143" s="16"/>
    </row>
    <row r="144" ht="26.25" customHeight="1">
      <c r="A144" s="41">
        <v>46115.342529155096</v>
      </c>
      <c r="B144" s="16" t="s">
        <v>49</v>
      </c>
      <c r="C144" s="16" t="s">
        <v>832</v>
      </c>
      <c r="D144" s="17"/>
      <c r="E144" s="42" t="s">
        <v>2043</v>
      </c>
      <c r="F144" s="39">
        <v>1.0</v>
      </c>
      <c r="G144" s="12" t="s">
        <v>181</v>
      </c>
      <c r="H144" s="40"/>
      <c r="I144" s="16" t="s">
        <v>212</v>
      </c>
      <c r="J144" s="16" t="s">
        <v>51</v>
      </c>
      <c r="K144" s="12" t="s">
        <v>2047</v>
      </c>
      <c r="L144" s="16" t="s">
        <v>1447</v>
      </c>
      <c r="M144" s="17"/>
      <c r="N144" s="16" t="s">
        <v>832</v>
      </c>
      <c r="O144" s="16" t="s">
        <v>2045</v>
      </c>
      <c r="P144" s="18"/>
      <c r="Q144" s="17"/>
      <c r="R144" s="16" t="s">
        <v>212</v>
      </c>
      <c r="S144" s="16" t="s">
        <v>1493</v>
      </c>
      <c r="T144" s="16"/>
    </row>
    <row r="145" ht="26.25" customHeight="1">
      <c r="A145" s="41">
        <v>46115.34356172454</v>
      </c>
      <c r="B145" s="16" t="s">
        <v>49</v>
      </c>
      <c r="C145" s="16" t="s">
        <v>711</v>
      </c>
      <c r="D145" s="17"/>
      <c r="E145" s="42" t="s">
        <v>2051</v>
      </c>
      <c r="F145" s="39">
        <v>1.0</v>
      </c>
      <c r="G145" s="12" t="s">
        <v>181</v>
      </c>
      <c r="H145" s="40"/>
      <c r="I145" s="16" t="s">
        <v>212</v>
      </c>
      <c r="J145" s="16" t="s">
        <v>51</v>
      </c>
      <c r="K145" s="12" t="s">
        <v>2052</v>
      </c>
      <c r="L145" s="16" t="s">
        <v>1447</v>
      </c>
      <c r="M145" s="17"/>
      <c r="N145" s="16" t="s">
        <v>711</v>
      </c>
      <c r="O145" s="16" t="s">
        <v>1943</v>
      </c>
      <c r="P145" s="18"/>
      <c r="Q145" s="17"/>
      <c r="R145" s="16" t="s">
        <v>212</v>
      </c>
      <c r="S145" s="16" t="s">
        <v>1493</v>
      </c>
      <c r="T145" s="16"/>
    </row>
    <row r="146" ht="26.25" customHeight="1">
      <c r="A146" s="41">
        <v>46115.34465491898</v>
      </c>
      <c r="B146" s="16" t="s">
        <v>49</v>
      </c>
      <c r="C146" s="16" t="s">
        <v>842</v>
      </c>
      <c r="D146" s="16" t="s">
        <v>1517</v>
      </c>
      <c r="E146" s="42" t="s">
        <v>2053</v>
      </c>
      <c r="F146" s="39">
        <v>1.0</v>
      </c>
      <c r="G146" s="12" t="s">
        <v>181</v>
      </c>
      <c r="H146" s="40"/>
      <c r="I146" s="16" t="s">
        <v>212</v>
      </c>
      <c r="J146" s="16" t="s">
        <v>51</v>
      </c>
      <c r="K146" s="12" t="s">
        <v>2054</v>
      </c>
      <c r="L146" s="16" t="s">
        <v>1447</v>
      </c>
      <c r="M146" s="17"/>
      <c r="N146" s="16" t="s">
        <v>842</v>
      </c>
      <c r="O146" s="16" t="s">
        <v>2055</v>
      </c>
      <c r="P146" s="18"/>
      <c r="Q146" s="17"/>
      <c r="R146" s="16" t="s">
        <v>212</v>
      </c>
      <c r="S146" s="16" t="s">
        <v>1493</v>
      </c>
      <c r="T146" s="16"/>
    </row>
    <row r="147" ht="26.25" customHeight="1">
      <c r="A147" s="41">
        <v>46115.34641913194</v>
      </c>
      <c r="B147" s="16" t="s">
        <v>49</v>
      </c>
      <c r="C147" s="16" t="s">
        <v>847</v>
      </c>
      <c r="D147" s="16" t="s">
        <v>2056</v>
      </c>
      <c r="E147" s="42" t="s">
        <v>2057</v>
      </c>
      <c r="F147" s="39">
        <v>1.0</v>
      </c>
      <c r="G147" s="12" t="s">
        <v>181</v>
      </c>
      <c r="H147" s="40"/>
      <c r="I147" s="16" t="s">
        <v>212</v>
      </c>
      <c r="J147" s="16" t="s">
        <v>51</v>
      </c>
      <c r="K147" s="12" t="s">
        <v>2047</v>
      </c>
      <c r="L147" s="16" t="s">
        <v>1447</v>
      </c>
      <c r="M147" s="17"/>
      <c r="N147" s="16" t="s">
        <v>847</v>
      </c>
      <c r="O147" s="16" t="s">
        <v>2058</v>
      </c>
      <c r="P147" s="18"/>
      <c r="Q147" s="17"/>
      <c r="R147" s="16" t="s">
        <v>212</v>
      </c>
      <c r="S147" s="16" t="s">
        <v>1493</v>
      </c>
      <c r="T147" s="16"/>
    </row>
    <row r="148" ht="26.25" customHeight="1">
      <c r="A148" s="41">
        <v>46115.35042011574</v>
      </c>
      <c r="B148" s="16" t="s">
        <v>49</v>
      </c>
      <c r="C148" s="16" t="s">
        <v>724</v>
      </c>
      <c r="D148" s="17"/>
      <c r="E148" s="42" t="s">
        <v>1949</v>
      </c>
      <c r="F148" s="39">
        <v>3.0</v>
      </c>
      <c r="G148" s="12" t="s">
        <v>181</v>
      </c>
      <c r="H148" s="40"/>
      <c r="I148" s="16" t="s">
        <v>212</v>
      </c>
      <c r="J148" s="16" t="s">
        <v>51</v>
      </c>
      <c r="K148" s="12" t="s">
        <v>2047</v>
      </c>
      <c r="L148" s="16" t="s">
        <v>1447</v>
      </c>
      <c r="M148" s="17"/>
      <c r="N148" s="16" t="s">
        <v>724</v>
      </c>
      <c r="O148" s="16" t="s">
        <v>1952</v>
      </c>
      <c r="P148" s="18"/>
      <c r="Q148" s="17"/>
      <c r="R148" s="16" t="s">
        <v>212</v>
      </c>
      <c r="S148" s="16" t="s">
        <v>1493</v>
      </c>
      <c r="T148" s="16"/>
    </row>
    <row r="149" ht="26.25" customHeight="1">
      <c r="A149" s="41">
        <v>46115.35382054398</v>
      </c>
      <c r="B149" s="16" t="s">
        <v>49</v>
      </c>
      <c r="C149" s="16" t="s">
        <v>729</v>
      </c>
      <c r="D149" s="17"/>
      <c r="E149" s="42" t="s">
        <v>2048</v>
      </c>
      <c r="F149" s="39">
        <v>1.0</v>
      </c>
      <c r="G149" s="12" t="s">
        <v>181</v>
      </c>
      <c r="H149" s="40"/>
      <c r="I149" s="16" t="s">
        <v>212</v>
      </c>
      <c r="J149" s="16" t="s">
        <v>51</v>
      </c>
      <c r="K149" s="12" t="s">
        <v>2047</v>
      </c>
      <c r="L149" s="16" t="s">
        <v>1447</v>
      </c>
      <c r="M149" s="17"/>
      <c r="N149" s="16" t="s">
        <v>729</v>
      </c>
      <c r="O149" s="16" t="s">
        <v>1959</v>
      </c>
      <c r="P149" s="18"/>
      <c r="Q149" s="17"/>
      <c r="R149" s="16" t="s">
        <v>212</v>
      </c>
      <c r="S149" s="16" t="s">
        <v>1493</v>
      </c>
      <c r="T149" s="16"/>
    </row>
    <row r="150" ht="26.25" customHeight="1">
      <c r="A150" s="41">
        <v>46115.35468550926</v>
      </c>
      <c r="B150" s="16" t="s">
        <v>49</v>
      </c>
      <c r="C150" s="16" t="s">
        <v>851</v>
      </c>
      <c r="D150" s="17"/>
      <c r="E150" s="42" t="s">
        <v>2059</v>
      </c>
      <c r="F150" s="39">
        <v>2.0</v>
      </c>
      <c r="G150" s="12" t="s">
        <v>181</v>
      </c>
      <c r="H150" s="40"/>
      <c r="I150" s="16" t="s">
        <v>212</v>
      </c>
      <c r="J150" s="16" t="s">
        <v>51</v>
      </c>
      <c r="K150" s="12" t="s">
        <v>2047</v>
      </c>
      <c r="L150" s="16" t="s">
        <v>1447</v>
      </c>
      <c r="M150" s="17"/>
      <c r="N150" s="16" t="s">
        <v>851</v>
      </c>
      <c r="O150" s="16" t="s">
        <v>2060</v>
      </c>
      <c r="P150" s="18"/>
      <c r="Q150" s="17"/>
      <c r="R150" s="16" t="s">
        <v>212</v>
      </c>
      <c r="S150" s="16" t="s">
        <v>1493</v>
      </c>
      <c r="T150" s="16"/>
    </row>
    <row r="151" ht="26.25" customHeight="1">
      <c r="A151" s="41">
        <v>46115.355616782406</v>
      </c>
      <c r="B151" s="16" t="s">
        <v>49</v>
      </c>
      <c r="C151" s="16" t="s">
        <v>734</v>
      </c>
      <c r="D151" s="17"/>
      <c r="E151" s="42" t="s">
        <v>2046</v>
      </c>
      <c r="F151" s="39">
        <v>1.0</v>
      </c>
      <c r="G151" s="12" t="s">
        <v>181</v>
      </c>
      <c r="H151" s="40"/>
      <c r="I151" s="16" t="s">
        <v>212</v>
      </c>
      <c r="J151" s="16" t="s">
        <v>51</v>
      </c>
      <c r="K151" s="12" t="s">
        <v>2047</v>
      </c>
      <c r="L151" s="16" t="s">
        <v>1447</v>
      </c>
      <c r="M151" s="17"/>
      <c r="N151" s="16" t="s">
        <v>734</v>
      </c>
      <c r="O151" s="16" t="s">
        <v>1964</v>
      </c>
      <c r="P151" s="18"/>
      <c r="Q151" s="17"/>
      <c r="R151" s="16" t="s">
        <v>212</v>
      </c>
      <c r="S151" s="16" t="s">
        <v>1493</v>
      </c>
      <c r="T151" s="16"/>
    </row>
    <row r="152" ht="26.25" customHeight="1">
      <c r="A152" s="41">
        <v>46115.36375415509</v>
      </c>
      <c r="B152" s="16" t="s">
        <v>49</v>
      </c>
      <c r="C152" s="16" t="s">
        <v>856</v>
      </c>
      <c r="D152" s="17"/>
      <c r="E152" s="42" t="s">
        <v>2061</v>
      </c>
      <c r="F152" s="39">
        <v>1.0</v>
      </c>
      <c r="G152" s="12" t="s">
        <v>181</v>
      </c>
      <c r="H152" s="40"/>
      <c r="I152" s="16" t="s">
        <v>216</v>
      </c>
      <c r="J152" s="16" t="s">
        <v>51</v>
      </c>
      <c r="K152" s="12" t="s">
        <v>1929</v>
      </c>
      <c r="L152" s="16" t="s">
        <v>1447</v>
      </c>
      <c r="M152" s="17"/>
      <c r="N152" s="16" t="s">
        <v>856</v>
      </c>
      <c r="O152" s="16" t="s">
        <v>2062</v>
      </c>
      <c r="P152" s="18"/>
      <c r="Q152" s="17"/>
      <c r="R152" s="16" t="s">
        <v>216</v>
      </c>
      <c r="S152" s="16" t="s">
        <v>1493</v>
      </c>
      <c r="T152" s="16"/>
    </row>
    <row r="153" ht="26.25" customHeight="1">
      <c r="A153" s="41">
        <v>46115.36915953703</v>
      </c>
      <c r="B153" s="16" t="s">
        <v>49</v>
      </c>
      <c r="C153" s="16" t="s">
        <v>711</v>
      </c>
      <c r="D153" s="17"/>
      <c r="E153" s="42" t="s">
        <v>2051</v>
      </c>
      <c r="F153" s="39">
        <v>1.0</v>
      </c>
      <c r="G153" s="12" t="s">
        <v>181</v>
      </c>
      <c r="H153" s="40"/>
      <c r="I153" s="16" t="s">
        <v>212</v>
      </c>
      <c r="J153" s="16" t="s">
        <v>51</v>
      </c>
      <c r="K153" s="12" t="s">
        <v>2047</v>
      </c>
      <c r="L153" s="16" t="s">
        <v>1447</v>
      </c>
      <c r="M153" s="17"/>
      <c r="N153" s="16" t="s">
        <v>711</v>
      </c>
      <c r="O153" s="16" t="s">
        <v>1943</v>
      </c>
      <c r="P153" s="18"/>
      <c r="Q153" s="17"/>
      <c r="R153" s="16" t="s">
        <v>212</v>
      </c>
      <c r="S153" s="16" t="s">
        <v>1493</v>
      </c>
      <c r="T153" s="16"/>
    </row>
    <row r="154" ht="26.25" customHeight="1">
      <c r="A154" s="41">
        <v>46115.376039166666</v>
      </c>
      <c r="B154" s="16" t="s">
        <v>49</v>
      </c>
      <c r="C154" s="16" t="s">
        <v>861</v>
      </c>
      <c r="D154" s="17" t="s">
        <v>1922</v>
      </c>
      <c r="E154" s="42" t="s">
        <v>2063</v>
      </c>
      <c r="F154" s="39">
        <v>8.0</v>
      </c>
      <c r="G154" s="12" t="s">
        <v>181</v>
      </c>
      <c r="H154" s="40"/>
      <c r="I154" s="16" t="s">
        <v>192</v>
      </c>
      <c r="J154" s="16" t="s">
        <v>51</v>
      </c>
      <c r="K154" s="12" t="s">
        <v>2064</v>
      </c>
      <c r="L154" s="16" t="s">
        <v>1447</v>
      </c>
      <c r="M154" s="17"/>
      <c r="N154" s="16" t="s">
        <v>861</v>
      </c>
      <c r="O154" s="16" t="s">
        <v>2065</v>
      </c>
      <c r="P154" s="18"/>
      <c r="Q154" s="17"/>
      <c r="R154" s="16" t="s">
        <v>192</v>
      </c>
      <c r="S154" s="16" t="s">
        <v>1493</v>
      </c>
      <c r="T154" s="16"/>
    </row>
    <row r="155" ht="26.25" customHeight="1">
      <c r="A155" s="41">
        <v>46115.37808362269</v>
      </c>
      <c r="B155" s="16" t="s">
        <v>91</v>
      </c>
      <c r="C155" s="16" t="s">
        <v>422</v>
      </c>
      <c r="D155" s="17"/>
      <c r="E155" s="31" t="s">
        <v>2066</v>
      </c>
      <c r="F155" s="39">
        <v>3.0</v>
      </c>
      <c r="G155" s="12" t="s">
        <v>181</v>
      </c>
      <c r="H155" s="40"/>
      <c r="I155" s="16" t="s">
        <v>189</v>
      </c>
      <c r="J155" s="16" t="s">
        <v>51</v>
      </c>
      <c r="K155" s="16" t="s">
        <v>1944</v>
      </c>
      <c r="L155" s="16" t="s">
        <v>1447</v>
      </c>
      <c r="M155" s="17"/>
      <c r="N155" s="16" t="s">
        <v>865</v>
      </c>
      <c r="O155" s="16" t="s">
        <v>2067</v>
      </c>
      <c r="P155" s="18"/>
      <c r="Q155" s="17"/>
      <c r="R155" s="17"/>
      <c r="S155" s="16" t="s">
        <v>1493</v>
      </c>
      <c r="T155" s="16"/>
    </row>
    <row r="156" ht="26.25" customHeight="1">
      <c r="A156" s="41">
        <v>46115.37808362269</v>
      </c>
      <c r="B156" s="16" t="s">
        <v>49</v>
      </c>
      <c r="C156" s="16" t="s">
        <v>113</v>
      </c>
      <c r="D156" s="17"/>
      <c r="E156" s="42" t="s">
        <v>2066</v>
      </c>
      <c r="F156" s="39">
        <v>3.0</v>
      </c>
      <c r="G156" s="12" t="s">
        <v>181</v>
      </c>
      <c r="H156" s="40"/>
      <c r="I156" s="16" t="s">
        <v>192</v>
      </c>
      <c r="J156" s="16" t="s">
        <v>51</v>
      </c>
      <c r="K156" s="12" t="s">
        <v>2068</v>
      </c>
      <c r="L156" s="16" t="s">
        <v>1447</v>
      </c>
      <c r="M156" s="17"/>
      <c r="N156" s="16" t="s">
        <v>113</v>
      </c>
      <c r="O156" s="16" t="s">
        <v>2069</v>
      </c>
      <c r="P156" s="18"/>
      <c r="Q156" s="17"/>
      <c r="R156" s="16" t="s">
        <v>192</v>
      </c>
      <c r="S156" s="16" t="s">
        <v>1493</v>
      </c>
      <c r="T156" s="16"/>
    </row>
    <row r="157" ht="26.25" customHeight="1">
      <c r="A157" s="41">
        <v>46115.380639201394</v>
      </c>
      <c r="B157" s="16" t="s">
        <v>91</v>
      </c>
      <c r="C157" s="16" t="s">
        <v>422</v>
      </c>
      <c r="D157" s="17"/>
      <c r="E157" s="31" t="s">
        <v>2070</v>
      </c>
      <c r="F157" s="39">
        <v>5.0</v>
      </c>
      <c r="G157" s="12" t="s">
        <v>181</v>
      </c>
      <c r="H157" s="40"/>
      <c r="I157" s="16" t="s">
        <v>189</v>
      </c>
      <c r="J157" s="16" t="s">
        <v>51</v>
      </c>
      <c r="K157" s="16" t="s">
        <v>1960</v>
      </c>
      <c r="L157" s="16" t="s">
        <v>1447</v>
      </c>
      <c r="M157" s="17"/>
      <c r="N157" s="16" t="s">
        <v>117</v>
      </c>
      <c r="O157" s="16" t="s">
        <v>2067</v>
      </c>
      <c r="P157" s="18"/>
      <c r="Q157" s="17"/>
      <c r="R157" s="17"/>
      <c r="S157" s="16" t="s">
        <v>1493</v>
      </c>
      <c r="T157" s="16"/>
    </row>
    <row r="158" ht="26.25" customHeight="1">
      <c r="A158" s="41">
        <v>46115.380639201394</v>
      </c>
      <c r="B158" s="16" t="s">
        <v>49</v>
      </c>
      <c r="C158" s="16" t="s">
        <v>117</v>
      </c>
      <c r="D158" s="17"/>
      <c r="E158" s="42" t="s">
        <v>2070</v>
      </c>
      <c r="F158" s="39">
        <v>5.0</v>
      </c>
      <c r="G158" s="12" t="s">
        <v>181</v>
      </c>
      <c r="H158" s="40"/>
      <c r="I158" s="16" t="s">
        <v>192</v>
      </c>
      <c r="J158" s="16" t="s">
        <v>51</v>
      </c>
      <c r="K158" s="12" t="s">
        <v>2071</v>
      </c>
      <c r="L158" s="16" t="s">
        <v>1447</v>
      </c>
      <c r="M158" s="17"/>
      <c r="N158" s="16" t="s">
        <v>117</v>
      </c>
      <c r="O158" s="16" t="s">
        <v>2072</v>
      </c>
      <c r="P158" s="18"/>
      <c r="Q158" s="17"/>
      <c r="R158" s="16" t="s">
        <v>192</v>
      </c>
      <c r="S158" s="16" t="s">
        <v>1493</v>
      </c>
      <c r="T158" s="16"/>
    </row>
    <row r="159" ht="26.25" customHeight="1">
      <c r="A159" s="41">
        <v>46115.38498430555</v>
      </c>
      <c r="B159" s="16" t="s">
        <v>49</v>
      </c>
      <c r="C159" s="16" t="s">
        <v>882</v>
      </c>
      <c r="D159" s="17"/>
      <c r="E159" s="42" t="s">
        <v>1972</v>
      </c>
      <c r="F159" s="39">
        <v>10.0</v>
      </c>
      <c r="G159" s="12" t="s">
        <v>181</v>
      </c>
      <c r="H159" s="40"/>
      <c r="I159" s="16" t="s">
        <v>189</v>
      </c>
      <c r="J159" s="16" t="s">
        <v>51</v>
      </c>
      <c r="K159" s="12" t="s">
        <v>2073</v>
      </c>
      <c r="L159" s="16" t="s">
        <v>1447</v>
      </c>
      <c r="M159" s="17"/>
      <c r="N159" s="16" t="s">
        <v>882</v>
      </c>
      <c r="O159" s="16" t="s">
        <v>2074</v>
      </c>
      <c r="P159" s="18"/>
      <c r="Q159" s="17"/>
      <c r="R159" s="16" t="s">
        <v>189</v>
      </c>
      <c r="S159" s="16" t="s">
        <v>1493</v>
      </c>
      <c r="T159" s="16"/>
    </row>
    <row r="160" ht="26.25" customHeight="1">
      <c r="A160" s="41">
        <v>46115.4628824074</v>
      </c>
      <c r="B160" s="16" t="s">
        <v>34</v>
      </c>
      <c r="C160" s="16" t="s">
        <v>131</v>
      </c>
      <c r="D160" s="17"/>
      <c r="E160" s="42"/>
      <c r="F160" s="39">
        <v>16.0</v>
      </c>
      <c r="G160" s="12" t="s">
        <v>181</v>
      </c>
      <c r="H160" s="40">
        <v>46115.0</v>
      </c>
      <c r="I160" s="16" t="s">
        <v>128</v>
      </c>
      <c r="J160" s="16" t="s">
        <v>35</v>
      </c>
      <c r="K160" s="12" t="s">
        <v>2075</v>
      </c>
      <c r="L160" s="16" t="s">
        <v>1447</v>
      </c>
      <c r="M160" s="17"/>
      <c r="N160" s="16" t="s">
        <v>424</v>
      </c>
      <c r="O160" s="16" t="s">
        <v>2076</v>
      </c>
      <c r="P160" s="18"/>
      <c r="Q160" s="16" t="s">
        <v>52</v>
      </c>
      <c r="R160" s="16" t="s">
        <v>128</v>
      </c>
      <c r="S160" s="16" t="s">
        <v>1493</v>
      </c>
      <c r="T160" s="16"/>
    </row>
    <row r="161" ht="26.25" customHeight="1">
      <c r="A161" s="41">
        <v>46115.465815358795</v>
      </c>
      <c r="B161" s="16" t="s">
        <v>34</v>
      </c>
      <c r="C161" s="16" t="s">
        <v>426</v>
      </c>
      <c r="D161" s="17"/>
      <c r="E161" s="42"/>
      <c r="F161" s="39">
        <v>16.0</v>
      </c>
      <c r="G161" s="12" t="s">
        <v>181</v>
      </c>
      <c r="H161" s="40">
        <v>46115.0</v>
      </c>
      <c r="I161" s="16" t="s">
        <v>120</v>
      </c>
      <c r="J161" s="16" t="s">
        <v>35</v>
      </c>
      <c r="K161" s="13"/>
      <c r="L161" s="16" t="s">
        <v>1447</v>
      </c>
      <c r="M161" s="17"/>
      <c r="N161" s="17"/>
      <c r="O161" s="16" t="s">
        <v>2077</v>
      </c>
      <c r="P161" s="18"/>
      <c r="Q161" s="17"/>
      <c r="R161" s="17"/>
      <c r="S161" s="17"/>
      <c r="T161" s="16"/>
    </row>
    <row r="162" ht="26.25" customHeight="1">
      <c r="A162" s="41">
        <v>46115.46879452546</v>
      </c>
      <c r="B162" s="16" t="s">
        <v>34</v>
      </c>
      <c r="C162" s="16" t="s">
        <v>429</v>
      </c>
      <c r="D162" s="17"/>
      <c r="E162" s="42"/>
      <c r="F162" s="39">
        <v>16.0</v>
      </c>
      <c r="G162" s="12" t="s">
        <v>181</v>
      </c>
      <c r="H162" s="40">
        <v>46115.0</v>
      </c>
      <c r="I162" s="16" t="s">
        <v>128</v>
      </c>
      <c r="J162" s="16" t="s">
        <v>35</v>
      </c>
      <c r="K162" s="12" t="s">
        <v>2078</v>
      </c>
      <c r="L162" s="16" t="s">
        <v>1447</v>
      </c>
      <c r="M162" s="17"/>
      <c r="N162" s="17"/>
      <c r="O162" s="16" t="s">
        <v>2079</v>
      </c>
      <c r="P162" s="18"/>
      <c r="Q162" s="17"/>
      <c r="R162" s="17"/>
      <c r="S162" s="17"/>
      <c r="T162" s="16"/>
    </row>
    <row r="163" ht="26.25" customHeight="1">
      <c r="A163" s="41">
        <v>46115.47254472222</v>
      </c>
      <c r="B163" s="16" t="s">
        <v>34</v>
      </c>
      <c r="C163" s="16" t="s">
        <v>127</v>
      </c>
      <c r="D163" s="17"/>
      <c r="E163" s="31"/>
      <c r="F163" s="39">
        <v>16.0</v>
      </c>
      <c r="G163" s="12" t="s">
        <v>181</v>
      </c>
      <c r="H163" s="51">
        <v>46115.0</v>
      </c>
      <c r="I163" s="16" t="s">
        <v>120</v>
      </c>
      <c r="J163" s="16" t="s">
        <v>35</v>
      </c>
      <c r="K163" s="12" t="s">
        <v>2075</v>
      </c>
      <c r="L163" s="16" t="s">
        <v>1447</v>
      </c>
      <c r="M163" s="17"/>
      <c r="N163" s="16" t="s">
        <v>424</v>
      </c>
      <c r="O163" s="16" t="s">
        <v>2080</v>
      </c>
      <c r="P163" s="18"/>
      <c r="Q163" s="16" t="s">
        <v>52</v>
      </c>
      <c r="R163" s="16" t="s">
        <v>120</v>
      </c>
      <c r="S163" s="16" t="s">
        <v>1493</v>
      </c>
      <c r="T163" s="16"/>
    </row>
    <row r="164" ht="26.25" customHeight="1">
      <c r="A164" s="41">
        <v>46118.31618090278</v>
      </c>
      <c r="B164" s="16" t="s">
        <v>91</v>
      </c>
      <c r="C164" s="16" t="s">
        <v>422</v>
      </c>
      <c r="D164" s="17"/>
      <c r="E164" s="31"/>
      <c r="F164" s="39">
        <v>11.0</v>
      </c>
      <c r="G164" s="12" t="s">
        <v>181</v>
      </c>
      <c r="H164" s="40"/>
      <c r="I164" s="16" t="s">
        <v>154</v>
      </c>
      <c r="J164" s="16" t="s">
        <v>51</v>
      </c>
      <c r="K164" s="16" t="s">
        <v>2081</v>
      </c>
      <c r="L164" s="16" t="s">
        <v>1447</v>
      </c>
      <c r="M164" s="17"/>
      <c r="N164" s="17"/>
      <c r="O164" s="16" t="s">
        <v>2067</v>
      </c>
      <c r="P164" s="18"/>
      <c r="Q164" s="17"/>
      <c r="R164" s="17"/>
      <c r="S164" s="16" t="s">
        <v>1493</v>
      </c>
      <c r="T164" s="16"/>
    </row>
    <row r="165" ht="26.25" customHeight="1">
      <c r="A165" s="41">
        <v>46118.320358425924</v>
      </c>
      <c r="B165" s="16" t="s">
        <v>91</v>
      </c>
      <c r="C165" s="16" t="s">
        <v>422</v>
      </c>
      <c r="D165" s="17"/>
      <c r="E165" s="31"/>
      <c r="F165" s="39">
        <v>8.0</v>
      </c>
      <c r="G165" s="12" t="s">
        <v>181</v>
      </c>
      <c r="H165" s="40"/>
      <c r="I165" s="16" t="s">
        <v>154</v>
      </c>
      <c r="J165" s="16" t="s">
        <v>51</v>
      </c>
      <c r="K165" s="16" t="s">
        <v>1967</v>
      </c>
      <c r="L165" s="16" t="s">
        <v>1447</v>
      </c>
      <c r="M165" s="17"/>
      <c r="N165" s="17"/>
      <c r="O165" s="16" t="s">
        <v>2067</v>
      </c>
      <c r="P165" s="18"/>
      <c r="Q165" s="17"/>
      <c r="R165" s="17"/>
      <c r="S165" s="16" t="s">
        <v>1493</v>
      </c>
      <c r="T165" s="16"/>
    </row>
    <row r="166" ht="26.25" customHeight="1">
      <c r="A166" s="41">
        <v>46118.32167275463</v>
      </c>
      <c r="B166" s="16" t="s">
        <v>91</v>
      </c>
      <c r="C166" s="16" t="s">
        <v>422</v>
      </c>
      <c r="D166" s="17"/>
      <c r="E166" s="31"/>
      <c r="F166" s="39">
        <v>11.0</v>
      </c>
      <c r="G166" s="12" t="s">
        <v>181</v>
      </c>
      <c r="H166" s="40"/>
      <c r="I166" s="16" t="s">
        <v>154</v>
      </c>
      <c r="J166" s="16" t="s">
        <v>51</v>
      </c>
      <c r="K166" s="16" t="s">
        <v>1977</v>
      </c>
      <c r="L166" s="16" t="s">
        <v>1447</v>
      </c>
      <c r="M166" s="17"/>
      <c r="N166" s="17"/>
      <c r="O166" s="16" t="s">
        <v>2067</v>
      </c>
      <c r="P166" s="18"/>
      <c r="Q166" s="17"/>
      <c r="R166" s="17"/>
      <c r="S166" s="16" t="s">
        <v>1493</v>
      </c>
      <c r="T166" s="16"/>
    </row>
    <row r="167" ht="26.25" customHeight="1">
      <c r="A167" s="41">
        <v>46118.325123703704</v>
      </c>
      <c r="B167" s="16" t="s">
        <v>91</v>
      </c>
      <c r="C167" s="16" t="s">
        <v>422</v>
      </c>
      <c r="D167" s="17"/>
      <c r="E167" s="31"/>
      <c r="F167" s="39">
        <v>20.0</v>
      </c>
      <c r="G167" s="12" t="s">
        <v>181</v>
      </c>
      <c r="H167" s="40"/>
      <c r="I167" s="16" t="s">
        <v>154</v>
      </c>
      <c r="J167" s="16" t="s">
        <v>51</v>
      </c>
      <c r="K167" s="16" t="s">
        <v>1988</v>
      </c>
      <c r="L167" s="16" t="s">
        <v>1447</v>
      </c>
      <c r="M167" s="17"/>
      <c r="N167" s="17"/>
      <c r="O167" s="16" t="s">
        <v>2067</v>
      </c>
      <c r="P167" s="18"/>
      <c r="Q167" s="17"/>
      <c r="R167" s="17"/>
      <c r="S167" s="16" t="s">
        <v>1493</v>
      </c>
      <c r="T167" s="16"/>
    </row>
    <row r="168" ht="26.25" customHeight="1">
      <c r="A168" s="41">
        <v>46118.32600971065</v>
      </c>
      <c r="B168" s="16" t="s">
        <v>91</v>
      </c>
      <c r="C168" s="16" t="s">
        <v>422</v>
      </c>
      <c r="D168" s="17"/>
      <c r="E168" s="31"/>
      <c r="F168" s="39">
        <v>20.0</v>
      </c>
      <c r="G168" s="12" t="s">
        <v>181</v>
      </c>
      <c r="H168" s="40"/>
      <c r="I168" s="16" t="s">
        <v>154</v>
      </c>
      <c r="J168" s="16" t="s">
        <v>51</v>
      </c>
      <c r="K168" s="16" t="s">
        <v>1988</v>
      </c>
      <c r="L168" s="16" t="s">
        <v>1447</v>
      </c>
      <c r="M168" s="17"/>
      <c r="N168" s="17"/>
      <c r="O168" s="16" t="s">
        <v>2067</v>
      </c>
      <c r="P168" s="18"/>
      <c r="Q168" s="17"/>
      <c r="R168" s="17"/>
      <c r="S168" s="16" t="s">
        <v>1493</v>
      </c>
      <c r="T168" s="16"/>
    </row>
    <row r="169" ht="26.25" customHeight="1">
      <c r="A169" s="41">
        <v>46118.32720712963</v>
      </c>
      <c r="B169" s="16" t="s">
        <v>91</v>
      </c>
      <c r="C169" s="16" t="s">
        <v>422</v>
      </c>
      <c r="D169" s="17"/>
      <c r="E169" s="31"/>
      <c r="F169" s="39">
        <v>13.0</v>
      </c>
      <c r="G169" s="12" t="s">
        <v>181</v>
      </c>
      <c r="H169" s="40"/>
      <c r="I169" s="16" t="s">
        <v>154</v>
      </c>
      <c r="J169" s="16" t="s">
        <v>51</v>
      </c>
      <c r="K169" s="16" t="s">
        <v>1982</v>
      </c>
      <c r="L169" s="16" t="s">
        <v>1447</v>
      </c>
      <c r="M169" s="17"/>
      <c r="N169" s="17"/>
      <c r="O169" s="16" t="s">
        <v>2067</v>
      </c>
      <c r="P169" s="18"/>
      <c r="Q169" s="17"/>
      <c r="R169" s="17"/>
      <c r="S169" s="16" t="s">
        <v>1493</v>
      </c>
      <c r="T169" s="16"/>
    </row>
    <row r="170" ht="26.25" customHeight="1">
      <c r="A170" s="41">
        <v>46118.330182986116</v>
      </c>
      <c r="B170" s="16" t="s">
        <v>91</v>
      </c>
      <c r="C170" s="16" t="s">
        <v>422</v>
      </c>
      <c r="D170" s="17"/>
      <c r="E170" s="31"/>
      <c r="F170" s="39">
        <v>20.0</v>
      </c>
      <c r="G170" s="12" t="s">
        <v>181</v>
      </c>
      <c r="H170" s="40"/>
      <c r="I170" s="16" t="s">
        <v>154</v>
      </c>
      <c r="J170" s="16" t="s">
        <v>51</v>
      </c>
      <c r="K170" s="16" t="s">
        <v>1994</v>
      </c>
      <c r="L170" s="16" t="s">
        <v>1447</v>
      </c>
      <c r="M170" s="17"/>
      <c r="N170" s="17"/>
      <c r="O170" s="16" t="s">
        <v>2067</v>
      </c>
      <c r="P170" s="18"/>
      <c r="Q170" s="17"/>
      <c r="R170" s="17"/>
      <c r="S170" s="16" t="s">
        <v>1493</v>
      </c>
      <c r="T170" s="16"/>
    </row>
    <row r="171" ht="26.25" customHeight="1">
      <c r="A171" s="41">
        <v>46118.3335190625</v>
      </c>
      <c r="B171" s="16" t="s">
        <v>91</v>
      </c>
      <c r="C171" s="16" t="s">
        <v>422</v>
      </c>
      <c r="D171" s="17"/>
      <c r="E171" s="31"/>
      <c r="F171" s="39">
        <v>7.0</v>
      </c>
      <c r="G171" s="12" t="s">
        <v>181</v>
      </c>
      <c r="H171" s="40"/>
      <c r="I171" s="16" t="s">
        <v>154</v>
      </c>
      <c r="J171" s="16" t="s">
        <v>51</v>
      </c>
      <c r="K171" s="16" t="s">
        <v>1965</v>
      </c>
      <c r="L171" s="16" t="s">
        <v>1447</v>
      </c>
      <c r="M171" s="17"/>
      <c r="N171" s="17"/>
      <c r="O171" s="16" t="s">
        <v>2067</v>
      </c>
      <c r="P171" s="18"/>
      <c r="Q171" s="17"/>
      <c r="R171" s="17"/>
      <c r="S171" s="16" t="s">
        <v>1493</v>
      </c>
      <c r="T171" s="16"/>
    </row>
    <row r="172" ht="26.25" customHeight="1">
      <c r="A172" s="41">
        <v>46118.33670201389</v>
      </c>
      <c r="B172" s="16" t="s">
        <v>91</v>
      </c>
      <c r="C172" s="16" t="s">
        <v>422</v>
      </c>
      <c r="D172" s="17"/>
      <c r="E172" s="31"/>
      <c r="F172" s="39">
        <v>20.0</v>
      </c>
      <c r="G172" s="12" t="s">
        <v>181</v>
      </c>
      <c r="H172" s="40"/>
      <c r="I172" s="16" t="s">
        <v>146</v>
      </c>
      <c r="J172" s="16" t="s">
        <v>51</v>
      </c>
      <c r="K172" s="16" t="s">
        <v>1994</v>
      </c>
      <c r="L172" s="16" t="s">
        <v>1447</v>
      </c>
      <c r="M172" s="17"/>
      <c r="N172" s="17"/>
      <c r="O172" s="16" t="s">
        <v>2067</v>
      </c>
      <c r="P172" s="18"/>
      <c r="Q172" s="17"/>
      <c r="R172" s="17"/>
      <c r="S172" s="16" t="s">
        <v>1493</v>
      </c>
      <c r="T172" s="16"/>
    </row>
    <row r="173" ht="26.25" customHeight="1">
      <c r="A173" s="41">
        <v>46118.34166017361</v>
      </c>
      <c r="B173" s="16" t="s">
        <v>91</v>
      </c>
      <c r="C173" s="16" t="s">
        <v>422</v>
      </c>
      <c r="D173" s="17"/>
      <c r="E173" s="31"/>
      <c r="F173" s="39">
        <v>20.0</v>
      </c>
      <c r="G173" s="12" t="s">
        <v>181</v>
      </c>
      <c r="H173" s="40"/>
      <c r="I173" s="16" t="s">
        <v>146</v>
      </c>
      <c r="J173" s="16" t="s">
        <v>51</v>
      </c>
      <c r="K173" s="16" t="s">
        <v>2004</v>
      </c>
      <c r="L173" s="16" t="s">
        <v>1447</v>
      </c>
      <c r="M173" s="17"/>
      <c r="N173" s="17"/>
      <c r="O173" s="16" t="s">
        <v>2067</v>
      </c>
      <c r="P173" s="18"/>
      <c r="Q173" s="17"/>
      <c r="R173" s="17"/>
      <c r="S173" s="16" t="s">
        <v>1493</v>
      </c>
      <c r="T173" s="16"/>
    </row>
    <row r="174" ht="26.25" customHeight="1">
      <c r="A174" s="41">
        <v>46118.34748752315</v>
      </c>
      <c r="B174" s="16" t="s">
        <v>91</v>
      </c>
      <c r="C174" s="16" t="s">
        <v>422</v>
      </c>
      <c r="D174" s="17"/>
      <c r="E174" s="31"/>
      <c r="F174" s="39">
        <v>19.0</v>
      </c>
      <c r="G174" s="12" t="s">
        <v>181</v>
      </c>
      <c r="H174" s="40"/>
      <c r="I174" s="16" t="s">
        <v>146</v>
      </c>
      <c r="J174" s="16" t="s">
        <v>51</v>
      </c>
      <c r="K174" s="16" t="s">
        <v>1965</v>
      </c>
      <c r="L174" s="16" t="s">
        <v>1447</v>
      </c>
      <c r="M174" s="17"/>
      <c r="N174" s="17"/>
      <c r="O174" s="16" t="s">
        <v>2067</v>
      </c>
      <c r="P174" s="18"/>
      <c r="Q174" s="17"/>
      <c r="R174" s="17"/>
      <c r="S174" s="16" t="s">
        <v>1493</v>
      </c>
      <c r="T174" s="16"/>
    </row>
    <row r="175" ht="26.25" customHeight="1">
      <c r="A175" s="41">
        <v>46118.34909841436</v>
      </c>
      <c r="B175" s="16" t="s">
        <v>91</v>
      </c>
      <c r="C175" s="16" t="s">
        <v>422</v>
      </c>
      <c r="D175" s="17"/>
      <c r="E175" s="31"/>
      <c r="F175" s="39">
        <v>5.0</v>
      </c>
      <c r="G175" s="12" t="s">
        <v>181</v>
      </c>
      <c r="H175" s="40"/>
      <c r="I175" s="16" t="s">
        <v>146</v>
      </c>
      <c r="J175" s="16" t="s">
        <v>51</v>
      </c>
      <c r="K175" s="16" t="s">
        <v>1961</v>
      </c>
      <c r="L175" s="16" t="s">
        <v>1447</v>
      </c>
      <c r="M175" s="17"/>
      <c r="N175" s="17"/>
      <c r="O175" s="16" t="s">
        <v>2067</v>
      </c>
      <c r="P175" s="18"/>
      <c r="Q175" s="17"/>
      <c r="R175" s="17"/>
      <c r="S175" s="16" t="s">
        <v>1493</v>
      </c>
      <c r="T175" s="16"/>
    </row>
    <row r="176" ht="26.25" customHeight="1">
      <c r="A176" s="41">
        <v>46118.35122751158</v>
      </c>
      <c r="B176" s="16" t="s">
        <v>91</v>
      </c>
      <c r="C176" s="16" t="s">
        <v>422</v>
      </c>
      <c r="D176" s="17"/>
      <c r="E176" s="31"/>
      <c r="F176" s="39">
        <v>11.0</v>
      </c>
      <c r="G176" s="12" t="s">
        <v>181</v>
      </c>
      <c r="H176" s="40"/>
      <c r="I176" s="16" t="s">
        <v>146</v>
      </c>
      <c r="J176" s="16" t="s">
        <v>51</v>
      </c>
      <c r="K176" s="16" t="s">
        <v>1979</v>
      </c>
      <c r="L176" s="16" t="s">
        <v>1447</v>
      </c>
      <c r="M176" s="17"/>
      <c r="N176" s="17"/>
      <c r="O176" s="16" t="s">
        <v>2067</v>
      </c>
      <c r="P176" s="18"/>
      <c r="Q176" s="17"/>
      <c r="R176" s="17"/>
      <c r="S176" s="16" t="s">
        <v>1493</v>
      </c>
      <c r="T176" s="16"/>
    </row>
    <row r="177" ht="26.25" customHeight="1">
      <c r="A177" s="41">
        <v>46118.36096049768</v>
      </c>
      <c r="B177" s="16" t="s">
        <v>91</v>
      </c>
      <c r="C177" s="16" t="s">
        <v>422</v>
      </c>
      <c r="D177" s="17"/>
      <c r="E177" s="31"/>
      <c r="F177" s="39">
        <v>3.0</v>
      </c>
      <c r="G177" s="12" t="s">
        <v>181</v>
      </c>
      <c r="H177" s="40"/>
      <c r="I177" s="16" t="s">
        <v>146</v>
      </c>
      <c r="J177" s="16" t="s">
        <v>51</v>
      </c>
      <c r="K177" s="16" t="s">
        <v>1947</v>
      </c>
      <c r="L177" s="16" t="s">
        <v>1447</v>
      </c>
      <c r="M177" s="17"/>
      <c r="N177" s="17"/>
      <c r="O177" s="16" t="s">
        <v>2067</v>
      </c>
      <c r="P177" s="18"/>
      <c r="Q177" s="17"/>
      <c r="R177" s="17"/>
      <c r="S177" s="16" t="s">
        <v>1493</v>
      </c>
      <c r="T177" s="16"/>
    </row>
    <row r="178" ht="26.25" customHeight="1">
      <c r="A178" s="41">
        <v>46118.366827060185</v>
      </c>
      <c r="B178" s="16" t="s">
        <v>91</v>
      </c>
      <c r="C178" s="16" t="s">
        <v>422</v>
      </c>
      <c r="D178" s="17"/>
      <c r="E178" s="31"/>
      <c r="F178" s="16">
        <v>2.0</v>
      </c>
      <c r="G178" s="12" t="s">
        <v>181</v>
      </c>
      <c r="H178" s="40"/>
      <c r="I178" s="16" t="s">
        <v>146</v>
      </c>
      <c r="J178" s="16" t="s">
        <v>51</v>
      </c>
      <c r="K178" s="16"/>
      <c r="L178" s="16" t="s">
        <v>1447</v>
      </c>
      <c r="M178" s="17"/>
      <c r="N178" s="17"/>
      <c r="O178" s="16" t="s">
        <v>2067</v>
      </c>
      <c r="P178" s="18"/>
      <c r="Q178" s="17"/>
      <c r="R178" s="17"/>
      <c r="S178" s="16" t="s">
        <v>1493</v>
      </c>
      <c r="T178" s="16"/>
    </row>
    <row r="179" ht="26.25" customHeight="1">
      <c r="A179" s="41">
        <v>46118.366827060185</v>
      </c>
      <c r="B179" s="16" t="s">
        <v>91</v>
      </c>
      <c r="C179" s="16" t="s">
        <v>422</v>
      </c>
      <c r="D179" s="17"/>
      <c r="E179" s="31"/>
      <c r="F179" s="39">
        <v>3.0</v>
      </c>
      <c r="G179" s="12" t="s">
        <v>181</v>
      </c>
      <c r="H179" s="40"/>
      <c r="I179" s="16" t="s">
        <v>146</v>
      </c>
      <c r="J179" s="16" t="s">
        <v>51</v>
      </c>
      <c r="K179" s="16" t="s">
        <v>1950</v>
      </c>
      <c r="L179" s="16" t="s">
        <v>1447</v>
      </c>
      <c r="M179" s="17"/>
      <c r="N179" s="17"/>
      <c r="O179" s="16" t="s">
        <v>2067</v>
      </c>
      <c r="P179" s="18"/>
      <c r="Q179" s="17"/>
      <c r="R179" s="17"/>
      <c r="S179" s="16" t="s">
        <v>1493</v>
      </c>
      <c r="T179" s="16"/>
    </row>
    <row r="180" ht="26.25" customHeight="1">
      <c r="A180" s="41">
        <v>46118.36725189815</v>
      </c>
      <c r="B180" s="16" t="s">
        <v>91</v>
      </c>
      <c r="C180" s="16" t="s">
        <v>422</v>
      </c>
      <c r="D180" s="17"/>
      <c r="E180" s="31"/>
      <c r="F180" s="39">
        <v>3.0</v>
      </c>
      <c r="G180" s="12" t="s">
        <v>181</v>
      </c>
      <c r="H180" s="40"/>
      <c r="I180" s="16" t="s">
        <v>146</v>
      </c>
      <c r="J180" s="16" t="s">
        <v>51</v>
      </c>
      <c r="K180" s="16" t="s">
        <v>1953</v>
      </c>
      <c r="L180" s="16" t="s">
        <v>1447</v>
      </c>
      <c r="M180" s="17"/>
      <c r="N180" s="17"/>
      <c r="O180" s="16" t="s">
        <v>2067</v>
      </c>
      <c r="P180" s="18"/>
      <c r="Q180" s="17"/>
      <c r="R180" s="17"/>
      <c r="S180" s="16" t="s">
        <v>1493</v>
      </c>
      <c r="T180" s="16"/>
    </row>
    <row r="181" ht="26.25" customHeight="1">
      <c r="A181" s="41">
        <v>46118.371060219906</v>
      </c>
      <c r="B181" s="16" t="s">
        <v>91</v>
      </c>
      <c r="C181" s="16" t="s">
        <v>422</v>
      </c>
      <c r="D181" s="17"/>
      <c r="E181" s="31"/>
      <c r="F181" s="39">
        <v>4.0</v>
      </c>
      <c r="G181" s="12" t="s">
        <v>181</v>
      </c>
      <c r="H181" s="40"/>
      <c r="I181" s="16" t="s">
        <v>146</v>
      </c>
      <c r="J181" s="16" t="s">
        <v>51</v>
      </c>
      <c r="K181" s="16" t="s">
        <v>1956</v>
      </c>
      <c r="L181" s="16" t="s">
        <v>1447</v>
      </c>
      <c r="M181" s="17"/>
      <c r="N181" s="17"/>
      <c r="O181" s="16" t="s">
        <v>2067</v>
      </c>
      <c r="P181" s="18"/>
      <c r="Q181" s="17"/>
      <c r="R181" s="17"/>
      <c r="S181" s="16" t="s">
        <v>1493</v>
      </c>
      <c r="T181" s="16"/>
    </row>
    <row r="182" ht="26.25" customHeight="1">
      <c r="A182" s="41">
        <v>46118.3738112037</v>
      </c>
      <c r="B182" s="16" t="s">
        <v>91</v>
      </c>
      <c r="C182" s="16" t="s">
        <v>422</v>
      </c>
      <c r="D182" s="17"/>
      <c r="E182" s="31"/>
      <c r="F182" s="39">
        <v>4.0</v>
      </c>
      <c r="G182" s="12" t="s">
        <v>181</v>
      </c>
      <c r="H182" s="40"/>
      <c r="I182" s="16" t="s">
        <v>146</v>
      </c>
      <c r="J182" s="16" t="s">
        <v>51</v>
      </c>
      <c r="K182" s="16" t="s">
        <v>1957</v>
      </c>
      <c r="L182" s="16" t="s">
        <v>1447</v>
      </c>
      <c r="M182" s="17"/>
      <c r="N182" s="17"/>
      <c r="O182" s="16" t="s">
        <v>2067</v>
      </c>
      <c r="P182" s="18"/>
      <c r="Q182" s="17"/>
      <c r="R182" s="17"/>
      <c r="S182" s="16" t="s">
        <v>1493</v>
      </c>
      <c r="T182" s="16"/>
    </row>
    <row r="183" ht="26.25" customHeight="1">
      <c r="A183" s="41">
        <v>46118.374759074075</v>
      </c>
      <c r="B183" s="16" t="s">
        <v>91</v>
      </c>
      <c r="C183" s="16" t="s">
        <v>422</v>
      </c>
      <c r="D183" s="17"/>
      <c r="E183" s="31"/>
      <c r="F183" s="39">
        <v>2.0</v>
      </c>
      <c r="G183" s="12" t="s">
        <v>181</v>
      </c>
      <c r="H183" s="40"/>
      <c r="I183" s="16" t="s">
        <v>146</v>
      </c>
      <c r="J183" s="16" t="s">
        <v>51</v>
      </c>
      <c r="K183" s="16" t="s">
        <v>1933</v>
      </c>
      <c r="L183" s="16" t="s">
        <v>1447</v>
      </c>
      <c r="M183" s="17"/>
      <c r="N183" s="17"/>
      <c r="O183" s="16" t="s">
        <v>2067</v>
      </c>
      <c r="P183" s="18"/>
      <c r="Q183" s="17"/>
      <c r="R183" s="17"/>
      <c r="S183" s="16" t="s">
        <v>1493</v>
      </c>
      <c r="T183" s="16"/>
    </row>
    <row r="184" ht="26.25" customHeight="1">
      <c r="A184" s="41">
        <v>46118.37764481481</v>
      </c>
      <c r="B184" s="16" t="s">
        <v>91</v>
      </c>
      <c r="C184" s="16" t="s">
        <v>422</v>
      </c>
      <c r="D184" s="17"/>
      <c r="E184" s="31"/>
      <c r="F184" s="39">
        <v>2.0</v>
      </c>
      <c r="G184" s="12" t="s">
        <v>181</v>
      </c>
      <c r="H184" s="40"/>
      <c r="I184" s="16" t="s">
        <v>146</v>
      </c>
      <c r="J184" s="16" t="s">
        <v>51</v>
      </c>
      <c r="K184" s="16" t="s">
        <v>1936</v>
      </c>
      <c r="L184" s="16" t="s">
        <v>1447</v>
      </c>
      <c r="M184" s="17"/>
      <c r="N184" s="17"/>
      <c r="O184" s="16" t="s">
        <v>2067</v>
      </c>
      <c r="P184" s="18"/>
      <c r="Q184" s="17"/>
      <c r="R184" s="17"/>
      <c r="S184" s="16" t="s">
        <v>1493</v>
      </c>
      <c r="T184" s="16"/>
    </row>
    <row r="185" ht="26.25" customHeight="1">
      <c r="A185" s="41">
        <v>46118.379359398146</v>
      </c>
      <c r="B185" s="16" t="s">
        <v>91</v>
      </c>
      <c r="C185" s="16" t="s">
        <v>422</v>
      </c>
      <c r="D185" s="17"/>
      <c r="E185" s="31"/>
      <c r="F185" s="39">
        <v>1.0</v>
      </c>
      <c r="G185" s="12" t="s">
        <v>181</v>
      </c>
      <c r="H185" s="40"/>
      <c r="I185" s="16" t="s">
        <v>146</v>
      </c>
      <c r="J185" s="16" t="s">
        <v>51</v>
      </c>
      <c r="K185" s="16" t="s">
        <v>1908</v>
      </c>
      <c r="L185" s="16" t="s">
        <v>1447</v>
      </c>
      <c r="M185" s="17"/>
      <c r="N185" s="17"/>
      <c r="O185" s="16" t="s">
        <v>2067</v>
      </c>
      <c r="P185" s="18"/>
      <c r="Q185" s="17"/>
      <c r="R185" s="17"/>
      <c r="S185" s="16" t="s">
        <v>1493</v>
      </c>
      <c r="T185" s="16"/>
    </row>
    <row r="186" ht="26.25" customHeight="1">
      <c r="A186" s="41">
        <v>46118.38172577546</v>
      </c>
      <c r="B186" s="16" t="s">
        <v>91</v>
      </c>
      <c r="C186" s="16" t="s">
        <v>422</v>
      </c>
      <c r="D186" s="17"/>
      <c r="E186" s="31"/>
      <c r="F186" s="39">
        <v>1.0</v>
      </c>
      <c r="G186" s="12" t="s">
        <v>181</v>
      </c>
      <c r="H186" s="40"/>
      <c r="I186" s="16" t="s">
        <v>146</v>
      </c>
      <c r="J186" s="16" t="s">
        <v>51</v>
      </c>
      <c r="K186" s="16" t="s">
        <v>1912</v>
      </c>
      <c r="L186" s="16" t="s">
        <v>1447</v>
      </c>
      <c r="M186" s="17"/>
      <c r="N186" s="17"/>
      <c r="O186" s="16" t="s">
        <v>2067</v>
      </c>
      <c r="P186" s="18"/>
      <c r="Q186" s="17"/>
      <c r="R186" s="17"/>
      <c r="S186" s="16" t="s">
        <v>1493</v>
      </c>
      <c r="T186" s="16"/>
    </row>
    <row r="187" ht="26.25" customHeight="1">
      <c r="A187" s="41">
        <v>46118.384080289354</v>
      </c>
      <c r="B187" s="16" t="s">
        <v>91</v>
      </c>
      <c r="C187" s="16" t="s">
        <v>422</v>
      </c>
      <c r="D187" s="17"/>
      <c r="E187" s="31"/>
      <c r="F187" s="16">
        <v>1.0</v>
      </c>
      <c r="G187" s="12" t="s">
        <v>181</v>
      </c>
      <c r="H187" s="40"/>
      <c r="I187" s="16" t="s">
        <v>146</v>
      </c>
      <c r="J187" s="16" t="s">
        <v>35</v>
      </c>
      <c r="K187" s="16" t="s">
        <v>1918</v>
      </c>
      <c r="L187" s="16" t="s">
        <v>1447</v>
      </c>
      <c r="M187" s="17"/>
      <c r="N187" s="17"/>
      <c r="O187" s="16" t="s">
        <v>2067</v>
      </c>
      <c r="P187" s="18"/>
      <c r="Q187" s="17"/>
      <c r="R187" s="17"/>
      <c r="S187" s="16" t="s">
        <v>1493</v>
      </c>
      <c r="T187" s="16"/>
    </row>
    <row r="188" ht="26.25" customHeight="1">
      <c r="A188" s="41">
        <v>46118.39772037037</v>
      </c>
      <c r="B188" s="16" t="s">
        <v>91</v>
      </c>
      <c r="C188" s="16" t="s">
        <v>422</v>
      </c>
      <c r="D188" s="17"/>
      <c r="E188" s="31"/>
      <c r="F188" s="39">
        <v>1.0</v>
      </c>
      <c r="G188" s="12" t="s">
        <v>181</v>
      </c>
      <c r="H188" s="40"/>
      <c r="I188" s="16" t="s">
        <v>146</v>
      </c>
      <c r="J188" s="16" t="s">
        <v>35</v>
      </c>
      <c r="K188" s="16" t="s">
        <v>1924</v>
      </c>
      <c r="L188" s="16" t="s">
        <v>1447</v>
      </c>
      <c r="M188" s="17"/>
      <c r="N188" s="17"/>
      <c r="O188" s="16" t="s">
        <v>2067</v>
      </c>
      <c r="P188" s="18"/>
      <c r="Q188" s="17"/>
      <c r="R188" s="17"/>
      <c r="S188" s="16" t="s">
        <v>1493</v>
      </c>
      <c r="T188" s="16"/>
    </row>
    <row r="189" ht="26.25" customHeight="1">
      <c r="A189" s="41">
        <v>46118.400715254626</v>
      </c>
      <c r="B189" s="16" t="s">
        <v>91</v>
      </c>
      <c r="C189" s="16" t="s">
        <v>422</v>
      </c>
      <c r="D189" s="17"/>
      <c r="E189" s="31"/>
      <c r="F189" s="16">
        <v>2.0</v>
      </c>
      <c r="G189" s="12" t="s">
        <v>181</v>
      </c>
      <c r="H189" s="40"/>
      <c r="I189" s="16" t="s">
        <v>146</v>
      </c>
      <c r="J189" s="16" t="s">
        <v>35</v>
      </c>
      <c r="K189" s="16" t="s">
        <v>1939</v>
      </c>
      <c r="L189" s="16" t="s">
        <v>1447</v>
      </c>
      <c r="M189" s="17"/>
      <c r="N189" s="17"/>
      <c r="O189" s="16" t="s">
        <v>2067</v>
      </c>
      <c r="P189" s="18"/>
      <c r="Q189" s="17"/>
      <c r="R189" s="17"/>
      <c r="S189" s="16" t="s">
        <v>1493</v>
      </c>
      <c r="T189" s="16"/>
    </row>
    <row r="190" ht="26.25" customHeight="1">
      <c r="A190" s="41">
        <v>46118.403920439814</v>
      </c>
      <c r="B190" s="16" t="s">
        <v>91</v>
      </c>
      <c r="C190" s="16" t="s">
        <v>422</v>
      </c>
      <c r="D190" s="17"/>
      <c r="E190" s="31"/>
      <c r="F190" s="39">
        <v>2.0</v>
      </c>
      <c r="G190" s="12" t="s">
        <v>181</v>
      </c>
      <c r="H190" s="40"/>
      <c r="I190" s="16" t="s">
        <v>146</v>
      </c>
      <c r="J190" s="16" t="s">
        <v>35</v>
      </c>
      <c r="K190" s="16" t="s">
        <v>1941</v>
      </c>
      <c r="L190" s="16" t="s">
        <v>1447</v>
      </c>
      <c r="M190" s="17"/>
      <c r="N190" s="17"/>
      <c r="O190" s="16" t="s">
        <v>2067</v>
      </c>
      <c r="P190" s="18"/>
      <c r="Q190" s="17"/>
      <c r="R190" s="17"/>
      <c r="S190" s="16" t="s">
        <v>1493</v>
      </c>
      <c r="T190" s="16"/>
    </row>
    <row r="191" ht="26.25" customHeight="1">
      <c r="A191" s="41">
        <v>46118.405195914354</v>
      </c>
      <c r="B191" s="16" t="s">
        <v>91</v>
      </c>
      <c r="C191" s="16" t="s">
        <v>422</v>
      </c>
      <c r="D191" s="17"/>
      <c r="E191" s="31"/>
      <c r="F191" s="39">
        <v>3.0</v>
      </c>
      <c r="G191" s="12" t="s">
        <v>181</v>
      </c>
      <c r="H191" s="40"/>
      <c r="I191" s="16" t="s">
        <v>146</v>
      </c>
      <c r="J191" s="16" t="s">
        <v>35</v>
      </c>
      <c r="K191" s="16" t="s">
        <v>1955</v>
      </c>
      <c r="L191" s="16" t="s">
        <v>1447</v>
      </c>
      <c r="M191" s="17"/>
      <c r="N191" s="17"/>
      <c r="O191" s="16" t="s">
        <v>2067</v>
      </c>
      <c r="P191" s="18"/>
      <c r="Q191" s="17"/>
      <c r="R191" s="17"/>
      <c r="S191" s="16" t="s">
        <v>1493</v>
      </c>
      <c r="T191" s="16"/>
    </row>
    <row r="192" ht="26.25" customHeight="1">
      <c r="A192" s="41">
        <v>46118.41270725694</v>
      </c>
      <c r="B192" s="16" t="s">
        <v>49</v>
      </c>
      <c r="C192" s="16" t="s">
        <v>886</v>
      </c>
      <c r="D192" s="17"/>
      <c r="E192" s="31"/>
      <c r="F192" s="39">
        <v>13.0</v>
      </c>
      <c r="G192" s="12" t="s">
        <v>181</v>
      </c>
      <c r="H192" s="40"/>
      <c r="I192" s="16" t="s">
        <v>192</v>
      </c>
      <c r="J192" s="16" t="s">
        <v>51</v>
      </c>
      <c r="K192" s="12" t="s">
        <v>2082</v>
      </c>
      <c r="L192" s="16" t="s">
        <v>1447</v>
      </c>
      <c r="M192" s="17"/>
      <c r="N192" s="16" t="s">
        <v>886</v>
      </c>
      <c r="O192" s="16" t="s">
        <v>2083</v>
      </c>
      <c r="P192" s="18"/>
      <c r="Q192" s="17"/>
      <c r="R192" s="16" t="s">
        <v>192</v>
      </c>
      <c r="S192" s="16" t="s">
        <v>1493</v>
      </c>
      <c r="T192" s="16"/>
    </row>
    <row r="193" ht="26.25" customHeight="1">
      <c r="A193" s="41">
        <v>46118.4142140162</v>
      </c>
      <c r="B193" s="16" t="s">
        <v>91</v>
      </c>
      <c r="C193" s="16" t="s">
        <v>422</v>
      </c>
      <c r="D193" s="17"/>
      <c r="E193" s="31"/>
      <c r="F193" s="39">
        <v>6.0</v>
      </c>
      <c r="G193" s="12" t="s">
        <v>181</v>
      </c>
      <c r="H193" s="40"/>
      <c r="I193" s="16" t="s">
        <v>146</v>
      </c>
      <c r="J193" s="16" t="s">
        <v>35</v>
      </c>
      <c r="K193" s="16" t="s">
        <v>1963</v>
      </c>
      <c r="L193" s="16" t="s">
        <v>1447</v>
      </c>
      <c r="M193" s="17"/>
      <c r="N193" s="17"/>
      <c r="O193" s="16" t="s">
        <v>2067</v>
      </c>
      <c r="P193" s="18"/>
      <c r="Q193" s="17"/>
      <c r="R193" s="17"/>
      <c r="S193" s="16" t="s">
        <v>1493</v>
      </c>
      <c r="T193" s="16"/>
    </row>
    <row r="194" ht="26.25" customHeight="1">
      <c r="A194" s="41">
        <v>46118.42010320602</v>
      </c>
      <c r="B194" s="16" t="s">
        <v>91</v>
      </c>
      <c r="C194" s="16" t="s">
        <v>891</v>
      </c>
      <c r="D194" s="17"/>
      <c r="E194" s="31"/>
      <c r="F194" s="39">
        <v>1.0</v>
      </c>
      <c r="G194" s="12" t="s">
        <v>181</v>
      </c>
      <c r="H194" s="40"/>
      <c r="I194" s="16" t="s">
        <v>224</v>
      </c>
      <c r="J194" s="16" t="s">
        <v>51</v>
      </c>
      <c r="K194" s="16" t="s">
        <v>1929</v>
      </c>
      <c r="L194" s="16" t="s">
        <v>1447</v>
      </c>
      <c r="M194" s="17"/>
      <c r="N194" s="17"/>
      <c r="O194" s="16" t="s">
        <v>2084</v>
      </c>
      <c r="P194" s="18"/>
      <c r="Q194" s="17"/>
      <c r="R194" s="17"/>
      <c r="S194" s="16" t="s">
        <v>1493</v>
      </c>
      <c r="T194" s="16"/>
    </row>
    <row r="195" ht="26.25" customHeight="1">
      <c r="A195" s="41">
        <v>46118.42491939815</v>
      </c>
      <c r="B195" s="16" t="s">
        <v>49</v>
      </c>
      <c r="C195" s="16" t="s">
        <v>429</v>
      </c>
      <c r="D195" s="17"/>
      <c r="E195" s="42" t="s">
        <v>2085</v>
      </c>
      <c r="F195" s="39">
        <v>12.0</v>
      </c>
      <c r="G195" s="12" t="s">
        <v>181</v>
      </c>
      <c r="H195" s="51">
        <v>46115.0</v>
      </c>
      <c r="I195" s="16" t="s">
        <v>161</v>
      </c>
      <c r="J195" s="16" t="s">
        <v>35</v>
      </c>
      <c r="K195" s="12" t="s">
        <v>2086</v>
      </c>
      <c r="L195" s="16" t="s">
        <v>1447</v>
      </c>
      <c r="M195" s="17"/>
      <c r="N195" s="16" t="s">
        <v>429</v>
      </c>
      <c r="O195" s="16" t="s">
        <v>2087</v>
      </c>
      <c r="P195" s="18"/>
      <c r="Q195" s="17"/>
      <c r="R195" s="16" t="s">
        <v>161</v>
      </c>
      <c r="S195" s="16" t="s">
        <v>1493</v>
      </c>
      <c r="T195" s="16"/>
    </row>
    <row r="196" ht="26.25" customHeight="1">
      <c r="A196" s="41">
        <v>46118.42718186343</v>
      </c>
      <c r="B196" s="16" t="s">
        <v>49</v>
      </c>
      <c r="C196" s="16" t="s">
        <v>131</v>
      </c>
      <c r="D196" s="17"/>
      <c r="E196" s="42" t="s">
        <v>2088</v>
      </c>
      <c r="F196" s="16">
        <v>12.0</v>
      </c>
      <c r="G196" s="12" t="s">
        <v>181</v>
      </c>
      <c r="H196" s="51">
        <v>46115.0</v>
      </c>
      <c r="I196" s="16" t="s">
        <v>161</v>
      </c>
      <c r="J196" s="16" t="s">
        <v>51</v>
      </c>
      <c r="K196" s="12" t="s">
        <v>2082</v>
      </c>
      <c r="L196" s="16" t="s">
        <v>1447</v>
      </c>
      <c r="M196" s="17"/>
      <c r="N196" s="16" t="s">
        <v>424</v>
      </c>
      <c r="O196" s="16" t="s">
        <v>2089</v>
      </c>
      <c r="P196" s="18"/>
      <c r="Q196" s="16" t="s">
        <v>52</v>
      </c>
      <c r="R196" s="16" t="s">
        <v>161</v>
      </c>
      <c r="S196" s="16" t="s">
        <v>1493</v>
      </c>
      <c r="T196" s="16"/>
    </row>
    <row r="197" ht="26.25" customHeight="1">
      <c r="A197" s="41">
        <v>46118.428505034724</v>
      </c>
      <c r="B197" s="16" t="s">
        <v>49</v>
      </c>
      <c r="C197" s="16" t="s">
        <v>127</v>
      </c>
      <c r="D197" s="17"/>
      <c r="E197" s="31"/>
      <c r="F197" s="39">
        <v>12.0</v>
      </c>
      <c r="G197" s="12" t="s">
        <v>181</v>
      </c>
      <c r="H197" s="51">
        <v>46115.0</v>
      </c>
      <c r="I197" s="16" t="s">
        <v>161</v>
      </c>
      <c r="J197" s="16" t="s">
        <v>51</v>
      </c>
      <c r="K197" s="12" t="s">
        <v>2082</v>
      </c>
      <c r="L197" s="16" t="s">
        <v>1447</v>
      </c>
      <c r="M197" s="17"/>
      <c r="N197" s="16" t="s">
        <v>424</v>
      </c>
      <c r="O197" s="16" t="s">
        <v>2090</v>
      </c>
      <c r="P197" s="18"/>
      <c r="Q197" s="16" t="s">
        <v>52</v>
      </c>
      <c r="R197" s="16" t="s">
        <v>161</v>
      </c>
      <c r="S197" s="16" t="s">
        <v>1493</v>
      </c>
      <c r="T197" s="16"/>
    </row>
    <row r="198" ht="26.25" customHeight="1">
      <c r="A198" s="41">
        <v>46121.596742615744</v>
      </c>
      <c r="B198" s="16" t="s">
        <v>49</v>
      </c>
      <c r="C198" s="16" t="s">
        <v>2091</v>
      </c>
      <c r="D198" s="17"/>
      <c r="E198" s="31"/>
      <c r="F198" s="39">
        <v>4.0</v>
      </c>
      <c r="G198" s="12" t="s">
        <v>181</v>
      </c>
      <c r="H198" s="40"/>
      <c r="I198" s="16" t="s">
        <v>189</v>
      </c>
      <c r="J198" s="17"/>
      <c r="K198" s="12" t="s">
        <v>2092</v>
      </c>
      <c r="L198" s="16" t="s">
        <v>1447</v>
      </c>
      <c r="M198" s="17"/>
      <c r="N198" s="16"/>
      <c r="O198" s="16" t="s">
        <v>2093</v>
      </c>
      <c r="P198" s="18"/>
      <c r="Q198" s="17"/>
      <c r="R198" s="16" t="s">
        <v>189</v>
      </c>
      <c r="S198" s="16" t="s">
        <v>1493</v>
      </c>
      <c r="T198" s="16"/>
    </row>
    <row r="199" ht="26.25" customHeight="1">
      <c r="A199" s="41">
        <v>46122.39926377315</v>
      </c>
      <c r="B199" s="16" t="s">
        <v>34</v>
      </c>
      <c r="C199" s="16" t="s">
        <v>90</v>
      </c>
      <c r="D199" s="16" t="s">
        <v>2094</v>
      </c>
      <c r="E199" s="31"/>
      <c r="F199" s="39">
        <v>90.0</v>
      </c>
      <c r="G199" s="12" t="s">
        <v>181</v>
      </c>
      <c r="H199" s="51">
        <v>46122.0</v>
      </c>
      <c r="I199" s="16" t="s">
        <v>93</v>
      </c>
      <c r="J199" s="16" t="s">
        <v>35</v>
      </c>
      <c r="K199" s="13"/>
      <c r="L199" s="16" t="s">
        <v>1447</v>
      </c>
      <c r="M199" s="17"/>
      <c r="N199" s="17"/>
      <c r="O199" s="16" t="s">
        <v>2095</v>
      </c>
      <c r="P199" s="18"/>
      <c r="Q199" s="16" t="s">
        <v>52</v>
      </c>
      <c r="R199" s="16" t="s">
        <v>93</v>
      </c>
      <c r="S199" s="16" t="s">
        <v>1493</v>
      </c>
      <c r="T199" s="16"/>
    </row>
    <row r="200" ht="26.25" customHeight="1">
      <c r="A200" s="41">
        <v>46122.39926377315</v>
      </c>
      <c r="B200" s="16" t="s">
        <v>34</v>
      </c>
      <c r="C200" s="16" t="s">
        <v>90</v>
      </c>
      <c r="D200" s="16" t="s">
        <v>2094</v>
      </c>
      <c r="E200" s="31"/>
      <c r="F200" s="39">
        <v>90.0</v>
      </c>
      <c r="G200" s="12" t="s">
        <v>181</v>
      </c>
      <c r="H200" s="51">
        <v>46122.0</v>
      </c>
      <c r="I200" s="16" t="s">
        <v>98</v>
      </c>
      <c r="J200" s="16" t="s">
        <v>35</v>
      </c>
      <c r="K200" s="13"/>
      <c r="L200" s="16" t="s">
        <v>1447</v>
      </c>
      <c r="M200" s="17"/>
      <c r="N200" s="17"/>
      <c r="O200" s="16" t="s">
        <v>2095</v>
      </c>
      <c r="P200" s="18"/>
      <c r="Q200" s="16" t="s">
        <v>52</v>
      </c>
      <c r="R200" s="16" t="s">
        <v>98</v>
      </c>
      <c r="S200" s="16" t="s">
        <v>1493</v>
      </c>
      <c r="T200" s="16"/>
    </row>
    <row r="201" ht="26.25" customHeight="1">
      <c r="A201" s="41">
        <v>46122.40001511574</v>
      </c>
      <c r="B201" s="16" t="s">
        <v>34</v>
      </c>
      <c r="C201" s="16" t="s">
        <v>95</v>
      </c>
      <c r="D201" s="16" t="s">
        <v>2094</v>
      </c>
      <c r="E201" s="31"/>
      <c r="F201" s="39">
        <v>90.0</v>
      </c>
      <c r="G201" s="12" t="s">
        <v>181</v>
      </c>
      <c r="H201" s="51">
        <v>46122.0</v>
      </c>
      <c r="I201" s="16" t="s">
        <v>93</v>
      </c>
      <c r="J201" s="16" t="s">
        <v>35</v>
      </c>
      <c r="K201" s="13"/>
      <c r="L201" s="16" t="s">
        <v>1447</v>
      </c>
      <c r="M201" s="17"/>
      <c r="N201" s="17"/>
      <c r="O201" s="16" t="s">
        <v>2096</v>
      </c>
      <c r="P201" s="18"/>
      <c r="Q201" s="16" t="s">
        <v>52</v>
      </c>
      <c r="R201" s="16" t="s">
        <v>93</v>
      </c>
      <c r="S201" s="16" t="s">
        <v>1493</v>
      </c>
      <c r="T201" s="16"/>
    </row>
    <row r="202" ht="26.25" customHeight="1">
      <c r="A202" s="41">
        <v>46122.40001511574</v>
      </c>
      <c r="B202" s="16" t="s">
        <v>34</v>
      </c>
      <c r="C202" s="16" t="s">
        <v>95</v>
      </c>
      <c r="D202" s="16" t="s">
        <v>2094</v>
      </c>
      <c r="E202" s="31"/>
      <c r="F202" s="39">
        <v>90.0</v>
      </c>
      <c r="G202" s="12" t="s">
        <v>181</v>
      </c>
      <c r="H202" s="51">
        <v>46122.0</v>
      </c>
      <c r="I202" s="16" t="s">
        <v>98</v>
      </c>
      <c r="J202" s="16" t="s">
        <v>35</v>
      </c>
      <c r="K202" s="13"/>
      <c r="L202" s="16" t="s">
        <v>1447</v>
      </c>
      <c r="M202" s="17"/>
      <c r="N202" s="17"/>
      <c r="O202" s="16" t="s">
        <v>2096</v>
      </c>
      <c r="P202" s="18"/>
      <c r="Q202" s="16" t="s">
        <v>52</v>
      </c>
      <c r="R202" s="16" t="s">
        <v>98</v>
      </c>
      <c r="S202" s="16" t="s">
        <v>1493</v>
      </c>
      <c r="T202" s="16"/>
    </row>
    <row r="203" ht="26.25" customHeight="1">
      <c r="A203" s="41">
        <v>46122.487693449075</v>
      </c>
      <c r="B203" s="16" t="s">
        <v>49</v>
      </c>
      <c r="C203" s="16" t="s">
        <v>131</v>
      </c>
      <c r="D203" s="17"/>
      <c r="E203" s="31"/>
      <c r="F203" s="39">
        <v>1.0</v>
      </c>
      <c r="G203" s="12" t="s">
        <v>181</v>
      </c>
      <c r="H203" s="52">
        <v>46122.0</v>
      </c>
      <c r="I203" s="16" t="s">
        <v>212</v>
      </c>
      <c r="J203" s="16" t="s">
        <v>35</v>
      </c>
      <c r="K203" s="12" t="s">
        <v>2097</v>
      </c>
      <c r="L203" s="16" t="s">
        <v>1447</v>
      </c>
      <c r="M203" s="17"/>
      <c r="N203" s="16" t="s">
        <v>424</v>
      </c>
      <c r="O203" s="16" t="s">
        <v>2089</v>
      </c>
      <c r="P203" s="34"/>
      <c r="Q203" s="16" t="s">
        <v>52</v>
      </c>
      <c r="R203" s="16" t="s">
        <v>212</v>
      </c>
      <c r="S203" s="16" t="s">
        <v>1493</v>
      </c>
      <c r="T203" s="16"/>
    </row>
    <row r="204" ht="26.25" customHeight="1">
      <c r="A204" s="41">
        <v>46122.51962706019</v>
      </c>
      <c r="B204" s="16" t="s">
        <v>49</v>
      </c>
      <c r="C204" s="16" t="s">
        <v>127</v>
      </c>
      <c r="D204" s="17"/>
      <c r="E204" s="31"/>
      <c r="F204" s="39">
        <v>1.0</v>
      </c>
      <c r="G204" s="12" t="s">
        <v>181</v>
      </c>
      <c r="H204" s="52">
        <v>46115.0</v>
      </c>
      <c r="I204" s="16" t="s">
        <v>212</v>
      </c>
      <c r="J204" s="16" t="s">
        <v>35</v>
      </c>
      <c r="K204" s="12" t="s">
        <v>2097</v>
      </c>
      <c r="L204" s="16" t="s">
        <v>1447</v>
      </c>
      <c r="M204" s="17"/>
      <c r="N204" s="16" t="s">
        <v>424</v>
      </c>
      <c r="O204" s="16" t="s">
        <v>2090</v>
      </c>
      <c r="P204" s="34" t="s">
        <v>2098</v>
      </c>
      <c r="Q204" s="16" t="s">
        <v>52</v>
      </c>
      <c r="R204" s="16" t="s">
        <v>212</v>
      </c>
      <c r="S204" s="16" t="s">
        <v>1493</v>
      </c>
      <c r="T204" s="16"/>
    </row>
    <row r="205" ht="26.25" customHeight="1">
      <c r="A205" s="41">
        <v>46125.37859821759</v>
      </c>
      <c r="B205" s="16" t="s">
        <v>34</v>
      </c>
      <c r="C205" s="16" t="s">
        <v>30</v>
      </c>
      <c r="D205" s="17"/>
      <c r="E205" s="31"/>
      <c r="F205" s="39">
        <v>1.0</v>
      </c>
      <c r="G205" s="12" t="s">
        <v>181</v>
      </c>
      <c r="H205" s="52">
        <v>46125.0</v>
      </c>
      <c r="I205" s="16" t="s">
        <v>183</v>
      </c>
      <c r="J205" s="16" t="s">
        <v>672</v>
      </c>
      <c r="K205" s="12" t="s">
        <v>2099</v>
      </c>
      <c r="L205" s="16" t="s">
        <v>1447</v>
      </c>
      <c r="M205" s="16" t="s">
        <v>2100</v>
      </c>
      <c r="N205" s="16" t="s">
        <v>30</v>
      </c>
      <c r="O205" s="16" t="s">
        <v>2101</v>
      </c>
      <c r="P205" s="18"/>
      <c r="Q205" s="17"/>
      <c r="R205" s="16" t="s">
        <v>183</v>
      </c>
      <c r="S205" s="16" t="s">
        <v>1607</v>
      </c>
      <c r="T205" s="16"/>
    </row>
    <row r="206" ht="26.25" customHeight="1">
      <c r="A206" s="41">
        <v>46125.386915613424</v>
      </c>
      <c r="B206" s="16" t="s">
        <v>34</v>
      </c>
      <c r="C206" s="16" t="s">
        <v>108</v>
      </c>
      <c r="D206" s="17"/>
      <c r="E206" s="42"/>
      <c r="F206" s="39">
        <v>-85.0</v>
      </c>
      <c r="G206" s="12" t="s">
        <v>181</v>
      </c>
      <c r="H206" s="15">
        <v>46111.0</v>
      </c>
      <c r="I206" s="13" t="s">
        <v>1710</v>
      </c>
      <c r="J206" s="16" t="s">
        <v>35</v>
      </c>
      <c r="K206" s="13"/>
      <c r="L206" s="16" t="s">
        <v>1601</v>
      </c>
      <c r="M206" s="16" t="s">
        <v>2102</v>
      </c>
      <c r="N206" s="16" t="s">
        <v>108</v>
      </c>
      <c r="O206" s="16" t="s">
        <v>1715</v>
      </c>
      <c r="P206" s="18"/>
      <c r="Q206" s="16" t="s">
        <v>52</v>
      </c>
      <c r="R206" s="16" t="s">
        <v>108</v>
      </c>
      <c r="S206" s="16" t="s">
        <v>1607</v>
      </c>
      <c r="T206" s="16"/>
    </row>
    <row r="207" ht="26.25" customHeight="1">
      <c r="A207" s="41">
        <v>46125.531987372684</v>
      </c>
      <c r="B207" s="16" t="s">
        <v>34</v>
      </c>
      <c r="C207" s="16" t="s">
        <v>90</v>
      </c>
      <c r="D207" s="16" t="s">
        <v>2094</v>
      </c>
      <c r="E207" s="31"/>
      <c r="F207" s="39">
        <v>-90.0</v>
      </c>
      <c r="G207" s="12" t="s">
        <v>181</v>
      </c>
      <c r="H207" s="51">
        <v>46125.0</v>
      </c>
      <c r="I207" s="16" t="s">
        <v>93</v>
      </c>
      <c r="J207" s="16" t="s">
        <v>35</v>
      </c>
      <c r="K207" s="13"/>
      <c r="L207" s="16" t="s">
        <v>1601</v>
      </c>
      <c r="M207" s="16" t="s">
        <v>2102</v>
      </c>
      <c r="N207" s="16" t="s">
        <v>90</v>
      </c>
      <c r="O207" s="16" t="s">
        <v>2095</v>
      </c>
      <c r="P207" s="18"/>
      <c r="Q207" s="16" t="s">
        <v>52</v>
      </c>
      <c r="R207" s="16" t="s">
        <v>90</v>
      </c>
      <c r="S207" s="16" t="s">
        <v>1607</v>
      </c>
      <c r="T207" s="16"/>
    </row>
    <row r="208" ht="26.25" customHeight="1">
      <c r="A208" s="41">
        <v>46125.531987372684</v>
      </c>
      <c r="B208" s="16" t="s">
        <v>34</v>
      </c>
      <c r="C208" s="16" t="s">
        <v>90</v>
      </c>
      <c r="D208" s="16" t="s">
        <v>2094</v>
      </c>
      <c r="E208" s="31"/>
      <c r="F208" s="39">
        <v>-90.0</v>
      </c>
      <c r="G208" s="12" t="s">
        <v>181</v>
      </c>
      <c r="H208" s="51">
        <v>46125.0</v>
      </c>
      <c r="I208" s="16" t="s">
        <v>98</v>
      </c>
      <c r="J208" s="16" t="s">
        <v>35</v>
      </c>
      <c r="K208" s="13"/>
      <c r="L208" s="16" t="s">
        <v>1601</v>
      </c>
      <c r="M208" s="16" t="s">
        <v>2102</v>
      </c>
      <c r="N208" s="16" t="s">
        <v>90</v>
      </c>
      <c r="O208" s="16" t="s">
        <v>2095</v>
      </c>
      <c r="P208" s="18"/>
      <c r="Q208" s="16" t="s">
        <v>52</v>
      </c>
      <c r="R208" s="16" t="s">
        <v>90</v>
      </c>
      <c r="S208" s="16" t="s">
        <v>1607</v>
      </c>
      <c r="T208" s="16"/>
    </row>
    <row r="209" ht="26.25" customHeight="1">
      <c r="A209" s="41">
        <v>46125.53245864583</v>
      </c>
      <c r="B209" s="16" t="s">
        <v>34</v>
      </c>
      <c r="C209" s="16" t="s">
        <v>95</v>
      </c>
      <c r="D209" s="16" t="s">
        <v>2094</v>
      </c>
      <c r="E209" s="31"/>
      <c r="F209" s="39">
        <v>-90.0</v>
      </c>
      <c r="G209" s="12" t="s">
        <v>181</v>
      </c>
      <c r="H209" s="51">
        <v>46125.0</v>
      </c>
      <c r="I209" s="16" t="s">
        <v>93</v>
      </c>
      <c r="J209" s="16" t="s">
        <v>35</v>
      </c>
      <c r="K209" s="13"/>
      <c r="L209" s="16" t="s">
        <v>1601</v>
      </c>
      <c r="M209" s="16" t="s">
        <v>2102</v>
      </c>
      <c r="N209" s="16" t="s">
        <v>95</v>
      </c>
      <c r="O209" s="16" t="s">
        <v>2096</v>
      </c>
      <c r="P209" s="18"/>
      <c r="Q209" s="16" t="s">
        <v>52</v>
      </c>
      <c r="R209" s="16" t="s">
        <v>95</v>
      </c>
      <c r="S209" s="16" t="s">
        <v>1607</v>
      </c>
      <c r="T209" s="16"/>
    </row>
    <row r="210" ht="26.25" customHeight="1">
      <c r="A210" s="41">
        <v>46125.53245864583</v>
      </c>
      <c r="B210" s="16" t="s">
        <v>34</v>
      </c>
      <c r="C210" s="16" t="s">
        <v>95</v>
      </c>
      <c r="D210" s="16" t="s">
        <v>2094</v>
      </c>
      <c r="E210" s="31"/>
      <c r="F210" s="39">
        <v>-90.0</v>
      </c>
      <c r="G210" s="12" t="s">
        <v>181</v>
      </c>
      <c r="H210" s="51">
        <v>46125.0</v>
      </c>
      <c r="I210" s="16" t="s">
        <v>98</v>
      </c>
      <c r="J210" s="16" t="s">
        <v>35</v>
      </c>
      <c r="K210" s="13"/>
      <c r="L210" s="16" t="s">
        <v>1601</v>
      </c>
      <c r="M210" s="16" t="s">
        <v>2102</v>
      </c>
      <c r="N210" s="16" t="s">
        <v>95</v>
      </c>
      <c r="O210" s="16" t="s">
        <v>2096</v>
      </c>
      <c r="P210" s="18"/>
      <c r="Q210" s="16" t="s">
        <v>52</v>
      </c>
      <c r="R210" s="16" t="s">
        <v>95</v>
      </c>
      <c r="S210" s="16" t="s">
        <v>1607</v>
      </c>
      <c r="T210" s="16"/>
    </row>
    <row r="211" ht="26.25" customHeight="1">
      <c r="A211" s="41">
        <v>46125.60105902777</v>
      </c>
      <c r="B211" s="16" t="s">
        <v>75</v>
      </c>
      <c r="C211" s="16" t="s">
        <v>85</v>
      </c>
      <c r="D211" s="17"/>
      <c r="E211" s="31"/>
      <c r="F211" s="39">
        <v>30.0</v>
      </c>
      <c r="G211" s="12" t="s">
        <v>181</v>
      </c>
      <c r="H211" s="51">
        <v>46125.0</v>
      </c>
      <c r="I211" s="16" t="s">
        <v>292</v>
      </c>
      <c r="J211" s="16" t="s">
        <v>92</v>
      </c>
      <c r="K211" s="13"/>
      <c r="L211" s="16" t="s">
        <v>1447</v>
      </c>
      <c r="M211" s="17"/>
      <c r="N211" s="16" t="s">
        <v>85</v>
      </c>
      <c r="O211" s="16" t="s">
        <v>2103</v>
      </c>
      <c r="P211" s="18"/>
      <c r="Q211" s="16" t="s">
        <v>52</v>
      </c>
      <c r="R211" s="16" t="s">
        <v>292</v>
      </c>
      <c r="S211" s="17"/>
      <c r="T211" s="16"/>
    </row>
    <row r="212" ht="26.25" customHeight="1">
      <c r="A212" s="41">
        <v>46125.62153795139</v>
      </c>
      <c r="B212" s="16" t="s">
        <v>68</v>
      </c>
      <c r="C212" s="16" t="s">
        <v>103</v>
      </c>
      <c r="D212" s="17"/>
      <c r="E212" s="31"/>
      <c r="F212" s="39">
        <v>20.0</v>
      </c>
      <c r="G212" s="12" t="s">
        <v>181</v>
      </c>
      <c r="H212" s="52">
        <v>46125.0</v>
      </c>
      <c r="I212" s="16" t="s">
        <v>900</v>
      </c>
      <c r="J212" s="16" t="s">
        <v>92</v>
      </c>
      <c r="K212" s="12" t="s">
        <v>2104</v>
      </c>
      <c r="L212" s="16" t="s">
        <v>1447</v>
      </c>
      <c r="M212" s="16" t="s">
        <v>2105</v>
      </c>
      <c r="N212" s="16" t="s">
        <v>103</v>
      </c>
      <c r="O212" s="16" t="s">
        <v>2106</v>
      </c>
      <c r="P212" s="18"/>
      <c r="Q212" s="17"/>
      <c r="R212" s="17"/>
      <c r="S212" s="17"/>
      <c r="T212" s="16"/>
    </row>
    <row r="213" ht="26.25" customHeight="1">
      <c r="A213" s="41">
        <v>46125.625693043985</v>
      </c>
      <c r="B213" s="16" t="s">
        <v>75</v>
      </c>
      <c r="C213" s="16" t="s">
        <v>73</v>
      </c>
      <c r="D213" s="17"/>
      <c r="E213" s="31"/>
      <c r="F213" s="39">
        <v>3.0</v>
      </c>
      <c r="G213" s="12" t="s">
        <v>181</v>
      </c>
      <c r="H213" s="52">
        <v>46125.0</v>
      </c>
      <c r="I213" s="16" t="s">
        <v>272</v>
      </c>
      <c r="J213" s="16" t="s">
        <v>92</v>
      </c>
      <c r="K213" s="12" t="s">
        <v>2107</v>
      </c>
      <c r="L213" s="16" t="s">
        <v>1447</v>
      </c>
      <c r="M213" s="16" t="s">
        <v>2105</v>
      </c>
      <c r="N213" s="16" t="s">
        <v>907</v>
      </c>
      <c r="O213" s="16" t="s">
        <v>2108</v>
      </c>
      <c r="P213" s="18"/>
      <c r="Q213" s="16" t="s">
        <v>52</v>
      </c>
      <c r="R213" s="16" t="s">
        <v>272</v>
      </c>
      <c r="S213" s="16" t="s">
        <v>2109</v>
      </c>
      <c r="T213" s="16"/>
    </row>
    <row r="214" ht="26.25" customHeight="1">
      <c r="A214" s="41">
        <v>46125.6290997801</v>
      </c>
      <c r="B214" s="16" t="s">
        <v>75</v>
      </c>
      <c r="C214" s="16" t="s">
        <v>103</v>
      </c>
      <c r="D214" s="17"/>
      <c r="E214" s="31"/>
      <c r="F214" s="16">
        <v>15.0</v>
      </c>
      <c r="G214" s="12" t="s">
        <v>181</v>
      </c>
      <c r="H214" s="52">
        <v>46125.0</v>
      </c>
      <c r="I214" s="16" t="s">
        <v>284</v>
      </c>
      <c r="J214" s="16" t="s">
        <v>92</v>
      </c>
      <c r="K214" s="12" t="s">
        <v>2110</v>
      </c>
      <c r="L214" s="16" t="s">
        <v>1447</v>
      </c>
      <c r="M214" s="16" t="s">
        <v>2111</v>
      </c>
      <c r="N214" s="16" t="s">
        <v>103</v>
      </c>
      <c r="O214" s="16" t="s">
        <v>2112</v>
      </c>
      <c r="P214" s="18"/>
      <c r="Q214" s="17"/>
      <c r="R214" s="17"/>
      <c r="S214" s="17"/>
      <c r="T214" s="16"/>
    </row>
    <row r="215" ht="26.25" customHeight="1">
      <c r="A215" s="41">
        <v>46125.632317118056</v>
      </c>
      <c r="B215" s="16" t="s">
        <v>68</v>
      </c>
      <c r="C215" s="16" t="s">
        <v>125</v>
      </c>
      <c r="D215" s="17"/>
      <c r="E215" s="31"/>
      <c r="F215" s="16">
        <v>4.0</v>
      </c>
      <c r="G215" s="12" t="s">
        <v>181</v>
      </c>
      <c r="H215" s="52">
        <v>46122.0</v>
      </c>
      <c r="I215" s="16" t="s">
        <v>284</v>
      </c>
      <c r="J215" s="16" t="s">
        <v>92</v>
      </c>
      <c r="K215" s="12" t="s">
        <v>2113</v>
      </c>
      <c r="L215" s="16" t="s">
        <v>1447</v>
      </c>
      <c r="M215" s="16" t="s">
        <v>2100</v>
      </c>
      <c r="N215" s="16" t="s">
        <v>125</v>
      </c>
      <c r="O215" s="16" t="s">
        <v>2114</v>
      </c>
      <c r="P215" s="18"/>
      <c r="Q215" s="17"/>
      <c r="R215" s="17"/>
      <c r="S215" s="17"/>
      <c r="T215" s="16"/>
    </row>
    <row r="216" ht="26.25" customHeight="1">
      <c r="A216" s="41">
        <v>46125.63457547454</v>
      </c>
      <c r="B216" s="16" t="s">
        <v>104</v>
      </c>
      <c r="C216" s="16" t="s">
        <v>47</v>
      </c>
      <c r="D216" s="17"/>
      <c r="E216" s="31"/>
      <c r="F216" s="39">
        <v>1.0</v>
      </c>
      <c r="G216" s="12" t="s">
        <v>181</v>
      </c>
      <c r="H216" s="52">
        <v>46122.0</v>
      </c>
      <c r="I216" s="16" t="s">
        <v>297</v>
      </c>
      <c r="J216" s="16" t="s">
        <v>92</v>
      </c>
      <c r="K216" s="12" t="s">
        <v>2115</v>
      </c>
      <c r="L216" s="16" t="s">
        <v>1447</v>
      </c>
      <c r="M216" s="16" t="s">
        <v>2100</v>
      </c>
      <c r="N216" s="16" t="s">
        <v>47</v>
      </c>
      <c r="O216" s="16" t="s">
        <v>2116</v>
      </c>
      <c r="P216" s="18"/>
      <c r="Q216" s="17"/>
      <c r="R216" s="17"/>
      <c r="S216" s="17"/>
      <c r="T216" s="16"/>
    </row>
    <row r="217" ht="26.25" customHeight="1">
      <c r="A217" s="41">
        <v>46125.65244306713</v>
      </c>
      <c r="B217" s="16" t="s">
        <v>75</v>
      </c>
      <c r="C217" s="16" t="s">
        <v>59</v>
      </c>
      <c r="D217" s="17"/>
      <c r="E217" s="31"/>
      <c r="F217" s="39">
        <v>2.0</v>
      </c>
      <c r="G217" s="12" t="s">
        <v>181</v>
      </c>
      <c r="H217" s="52">
        <v>46125.0</v>
      </c>
      <c r="I217" s="16" t="s">
        <v>284</v>
      </c>
      <c r="J217" s="17"/>
      <c r="K217" s="12" t="s">
        <v>2117</v>
      </c>
      <c r="L217" s="16" t="s">
        <v>1447</v>
      </c>
      <c r="M217" s="17"/>
      <c r="N217" s="16" t="s">
        <v>59</v>
      </c>
      <c r="O217" s="16" t="s">
        <v>2118</v>
      </c>
      <c r="P217" s="18"/>
      <c r="Q217" s="17"/>
      <c r="R217" s="17"/>
      <c r="S217" s="17"/>
      <c r="T217" s="16"/>
    </row>
    <row r="218" ht="26.25" customHeight="1">
      <c r="A218" s="41">
        <v>46125.654174131945</v>
      </c>
      <c r="B218" s="16" t="s">
        <v>75</v>
      </c>
      <c r="C218" s="16" t="s">
        <v>59</v>
      </c>
      <c r="D218" s="17"/>
      <c r="E218" s="31"/>
      <c r="F218" s="39">
        <v>18.0</v>
      </c>
      <c r="G218" s="12" t="s">
        <v>181</v>
      </c>
      <c r="H218" s="52">
        <v>46125.0</v>
      </c>
      <c r="I218" s="16" t="s">
        <v>284</v>
      </c>
      <c r="J218" s="17"/>
      <c r="K218" s="12" t="s">
        <v>2119</v>
      </c>
      <c r="L218" s="16" t="s">
        <v>1447</v>
      </c>
      <c r="M218" s="17"/>
      <c r="N218" s="16" t="s">
        <v>59</v>
      </c>
      <c r="O218" s="16" t="s">
        <v>2118</v>
      </c>
      <c r="P218" s="18"/>
      <c r="Q218" s="17"/>
      <c r="R218" s="17"/>
      <c r="S218" s="17"/>
      <c r="T218" s="16"/>
    </row>
    <row r="219" ht="26.25" customHeight="1">
      <c r="A219" s="41">
        <v>46126.44705606482</v>
      </c>
      <c r="B219" s="16" t="s">
        <v>75</v>
      </c>
      <c r="C219" s="16" t="s">
        <v>80</v>
      </c>
      <c r="D219" s="17"/>
      <c r="E219" s="31"/>
      <c r="F219" s="39">
        <v>3.0</v>
      </c>
      <c r="G219" s="12" t="s">
        <v>181</v>
      </c>
      <c r="H219" s="52">
        <v>46126.0</v>
      </c>
      <c r="I219" s="16" t="s">
        <v>272</v>
      </c>
      <c r="J219" s="16" t="s">
        <v>92</v>
      </c>
      <c r="K219" s="12" t="s">
        <v>2120</v>
      </c>
      <c r="L219" s="16" t="s">
        <v>1447</v>
      </c>
      <c r="M219" s="16" t="s">
        <v>2100</v>
      </c>
      <c r="N219" s="16" t="s">
        <v>907</v>
      </c>
      <c r="O219" s="16" t="s">
        <v>2121</v>
      </c>
      <c r="P219" s="18"/>
      <c r="Q219" s="17"/>
      <c r="R219" s="17"/>
      <c r="S219" s="16" t="s">
        <v>2109</v>
      </c>
      <c r="T219" s="16"/>
    </row>
    <row r="220" ht="26.25" customHeight="1">
      <c r="A220" s="41">
        <v>46126.45621826389</v>
      </c>
      <c r="B220" s="16" t="s">
        <v>68</v>
      </c>
      <c r="C220" s="16" t="s">
        <v>2122</v>
      </c>
      <c r="D220" s="17"/>
      <c r="E220" s="31"/>
      <c r="F220" s="39">
        <v>8.0</v>
      </c>
      <c r="G220" s="12" t="s">
        <v>181</v>
      </c>
      <c r="H220" s="52">
        <v>46126.0</v>
      </c>
      <c r="I220" s="16" t="s">
        <v>77</v>
      </c>
      <c r="J220" s="16" t="s">
        <v>92</v>
      </c>
      <c r="K220" s="12" t="s">
        <v>2123</v>
      </c>
      <c r="L220" s="16" t="s">
        <v>1447</v>
      </c>
      <c r="M220" s="16" t="s">
        <v>2100</v>
      </c>
      <c r="N220" s="16" t="s">
        <v>2122</v>
      </c>
      <c r="O220" s="16" t="s">
        <v>2124</v>
      </c>
      <c r="P220" s="18"/>
      <c r="Q220" s="17"/>
      <c r="R220" s="17"/>
      <c r="S220" s="17"/>
      <c r="T220" s="16"/>
    </row>
    <row r="221" ht="26.25" customHeight="1">
      <c r="A221" s="41">
        <v>46126.467005706014</v>
      </c>
      <c r="B221" s="16" t="s">
        <v>75</v>
      </c>
      <c r="C221" s="16" t="s">
        <v>103</v>
      </c>
      <c r="D221" s="17"/>
      <c r="E221" s="31"/>
      <c r="F221" s="39">
        <v>2.0</v>
      </c>
      <c r="G221" s="12" t="s">
        <v>181</v>
      </c>
      <c r="H221" s="52">
        <v>46126.0</v>
      </c>
      <c r="I221" s="16" t="s">
        <v>284</v>
      </c>
      <c r="J221" s="16" t="s">
        <v>92</v>
      </c>
      <c r="K221" s="12" t="s">
        <v>2125</v>
      </c>
      <c r="L221" s="16" t="s">
        <v>1447</v>
      </c>
      <c r="M221" s="16" t="s">
        <v>2100</v>
      </c>
      <c r="N221" s="16" t="s">
        <v>103</v>
      </c>
      <c r="O221" s="16" t="s">
        <v>2112</v>
      </c>
      <c r="P221" s="18"/>
      <c r="Q221" s="17"/>
      <c r="R221" s="17"/>
      <c r="S221" s="17"/>
      <c r="T221" s="16"/>
    </row>
    <row r="222" ht="26.25" customHeight="1">
      <c r="A222" s="41">
        <v>46126.47435978009</v>
      </c>
      <c r="B222" s="16" t="s">
        <v>68</v>
      </c>
      <c r="C222" s="16" t="s">
        <v>103</v>
      </c>
      <c r="D222" s="17"/>
      <c r="E222" s="31"/>
      <c r="F222" s="39">
        <v>2.0</v>
      </c>
      <c r="G222" s="12" t="s">
        <v>181</v>
      </c>
      <c r="H222" s="52">
        <v>46126.0</v>
      </c>
      <c r="I222" s="16" t="s">
        <v>288</v>
      </c>
      <c r="J222" s="16" t="s">
        <v>92</v>
      </c>
      <c r="K222" s="12" t="s">
        <v>2126</v>
      </c>
      <c r="L222" s="16" t="s">
        <v>1447</v>
      </c>
      <c r="M222" s="16" t="s">
        <v>2100</v>
      </c>
      <c r="N222" s="16" t="s">
        <v>103</v>
      </c>
      <c r="O222" s="16" t="s">
        <v>2106</v>
      </c>
      <c r="P222" s="18"/>
      <c r="Q222" s="17"/>
      <c r="R222" s="17"/>
      <c r="S222" s="17"/>
      <c r="T222" s="16"/>
    </row>
    <row r="223" ht="26.25" customHeight="1">
      <c r="A223" s="41">
        <v>46126.488101192124</v>
      </c>
      <c r="B223" s="16" t="s">
        <v>68</v>
      </c>
      <c r="C223" s="16" t="s">
        <v>121</v>
      </c>
      <c r="D223" s="17"/>
      <c r="E223" s="31"/>
      <c r="F223" s="39">
        <v>4.0</v>
      </c>
      <c r="G223" s="12" t="s">
        <v>181</v>
      </c>
      <c r="H223" s="52">
        <v>46114.0</v>
      </c>
      <c r="I223" s="16" t="s">
        <v>284</v>
      </c>
      <c r="J223" s="16" t="s">
        <v>92</v>
      </c>
      <c r="K223" s="12" t="s">
        <v>2127</v>
      </c>
      <c r="L223" s="16" t="s">
        <v>1447</v>
      </c>
      <c r="M223" s="17"/>
      <c r="N223" s="16" t="s">
        <v>121</v>
      </c>
      <c r="O223" s="16" t="s">
        <v>2128</v>
      </c>
      <c r="P223" s="18"/>
      <c r="Q223" s="17"/>
      <c r="R223" s="17"/>
      <c r="S223" s="17"/>
      <c r="T223" s="16"/>
    </row>
    <row r="224" ht="26.25" customHeight="1">
      <c r="A224" s="41">
        <v>46126.4887674537</v>
      </c>
      <c r="B224" s="16" t="s">
        <v>68</v>
      </c>
      <c r="C224" s="16" t="s">
        <v>121</v>
      </c>
      <c r="D224" s="17"/>
      <c r="E224" s="31"/>
      <c r="F224" s="39">
        <v>1.0</v>
      </c>
      <c r="G224" s="12" t="s">
        <v>181</v>
      </c>
      <c r="H224" s="52">
        <v>46126.0</v>
      </c>
      <c r="I224" s="16" t="s">
        <v>284</v>
      </c>
      <c r="J224" s="16" t="s">
        <v>92</v>
      </c>
      <c r="K224" s="12" t="s">
        <v>2129</v>
      </c>
      <c r="L224" s="16" t="s">
        <v>1447</v>
      </c>
      <c r="M224" s="17"/>
      <c r="N224" s="16" t="s">
        <v>121</v>
      </c>
      <c r="O224" s="16" t="s">
        <v>2128</v>
      </c>
      <c r="P224" s="18"/>
      <c r="Q224" s="17"/>
      <c r="R224" s="17"/>
      <c r="S224" s="17"/>
      <c r="T224" s="16"/>
    </row>
    <row r="225" ht="26.25" customHeight="1">
      <c r="A225" s="41">
        <v>46127.37133003472</v>
      </c>
      <c r="B225" s="16" t="s">
        <v>49</v>
      </c>
      <c r="C225" s="16" t="s">
        <v>66</v>
      </c>
      <c r="D225" s="17"/>
      <c r="E225" s="31"/>
      <c r="F225" s="39">
        <v>-34.0</v>
      </c>
      <c r="G225" s="12" t="s">
        <v>181</v>
      </c>
      <c r="H225" s="52">
        <v>46127.0</v>
      </c>
      <c r="I225" s="16" t="s">
        <v>2130</v>
      </c>
      <c r="J225" s="16" t="s">
        <v>51</v>
      </c>
      <c r="K225" s="12" t="s">
        <v>2131</v>
      </c>
      <c r="L225" s="16" t="s">
        <v>1601</v>
      </c>
      <c r="M225" s="16" t="s">
        <v>2132</v>
      </c>
      <c r="N225" s="16" t="s">
        <v>66</v>
      </c>
      <c r="O225" s="16" t="s">
        <v>2035</v>
      </c>
      <c r="P225" s="18"/>
      <c r="Q225" s="16" t="s">
        <v>52</v>
      </c>
      <c r="R225" s="16" t="s">
        <v>66</v>
      </c>
      <c r="S225" s="16" t="s">
        <v>1607</v>
      </c>
      <c r="T225" s="16"/>
    </row>
    <row r="226" ht="26.25" customHeight="1">
      <c r="A226" s="41">
        <v>46127.37186855324</v>
      </c>
      <c r="B226" s="16" t="s">
        <v>49</v>
      </c>
      <c r="C226" s="16" t="s">
        <v>66</v>
      </c>
      <c r="D226" s="17"/>
      <c r="E226" s="31"/>
      <c r="F226" s="39">
        <v>-15.0</v>
      </c>
      <c r="G226" s="12" t="s">
        <v>181</v>
      </c>
      <c r="H226" s="52">
        <v>46127.0</v>
      </c>
      <c r="I226" s="16" t="s">
        <v>2130</v>
      </c>
      <c r="J226" s="16" t="s">
        <v>51</v>
      </c>
      <c r="K226" s="12" t="s">
        <v>2133</v>
      </c>
      <c r="L226" s="16" t="s">
        <v>1601</v>
      </c>
      <c r="M226" s="16" t="s">
        <v>2132</v>
      </c>
      <c r="N226" s="16" t="s">
        <v>66</v>
      </c>
      <c r="O226" s="16" t="s">
        <v>2035</v>
      </c>
      <c r="P226" s="18"/>
      <c r="Q226" s="16" t="s">
        <v>52</v>
      </c>
      <c r="R226" s="16" t="s">
        <v>66</v>
      </c>
      <c r="S226" s="16" t="s">
        <v>1607</v>
      </c>
      <c r="T226" s="16"/>
    </row>
    <row r="227" ht="26.25" customHeight="1">
      <c r="A227" s="41">
        <v>46127.472295983796</v>
      </c>
      <c r="B227" s="16" t="s">
        <v>34</v>
      </c>
      <c r="C227" s="16" t="s">
        <v>30</v>
      </c>
      <c r="D227" s="17"/>
      <c r="E227" s="31"/>
      <c r="F227" s="39">
        <v>-1.0</v>
      </c>
      <c r="G227" s="12" t="s">
        <v>181</v>
      </c>
      <c r="H227" s="52">
        <v>46127.0</v>
      </c>
      <c r="I227" s="16" t="s">
        <v>183</v>
      </c>
      <c r="J227" s="16" t="s">
        <v>672</v>
      </c>
      <c r="K227" s="13"/>
      <c r="L227" s="16" t="s">
        <v>1601</v>
      </c>
      <c r="M227" s="16" t="s">
        <v>398</v>
      </c>
      <c r="N227" s="16" t="s">
        <v>449</v>
      </c>
      <c r="O227" s="16" t="s">
        <v>2101</v>
      </c>
      <c r="P227" s="18"/>
      <c r="Q227" s="16" t="s">
        <v>52</v>
      </c>
      <c r="R227" s="16" t="s">
        <v>30</v>
      </c>
      <c r="S227" s="16" t="s">
        <v>1607</v>
      </c>
      <c r="T227" s="16"/>
    </row>
    <row r="228" ht="26.25" customHeight="1">
      <c r="A228" s="41">
        <v>46127.661503634255</v>
      </c>
      <c r="B228" s="16" t="s">
        <v>104</v>
      </c>
      <c r="C228" s="16" t="s">
        <v>921</v>
      </c>
      <c r="D228" s="17"/>
      <c r="E228" s="31"/>
      <c r="F228" s="39">
        <v>7.0</v>
      </c>
      <c r="G228" s="12" t="s">
        <v>181</v>
      </c>
      <c r="H228" s="51">
        <v>46127.0</v>
      </c>
      <c r="I228" s="16" t="s">
        <v>297</v>
      </c>
      <c r="J228" s="16" t="s">
        <v>92</v>
      </c>
      <c r="K228" s="12" t="s">
        <v>2134</v>
      </c>
      <c r="L228" s="16" t="s">
        <v>1447</v>
      </c>
      <c r="M228" s="16" t="s">
        <v>2135</v>
      </c>
      <c r="N228" s="16" t="s">
        <v>921</v>
      </c>
      <c r="O228" s="16" t="s">
        <v>2136</v>
      </c>
      <c r="P228" s="18"/>
      <c r="Q228" s="16" t="s">
        <v>52</v>
      </c>
      <c r="R228" s="16" t="s">
        <v>297</v>
      </c>
      <c r="S228" s="16" t="s">
        <v>1493</v>
      </c>
      <c r="T228" s="16"/>
    </row>
    <row r="229" ht="26.25" customHeight="1">
      <c r="A229" s="41">
        <v>46127.66465010417</v>
      </c>
      <c r="B229" s="16" t="s">
        <v>34</v>
      </c>
      <c r="C229" s="16" t="s">
        <v>456</v>
      </c>
      <c r="D229" s="17"/>
      <c r="E229" s="31"/>
      <c r="F229" s="39">
        <v>1.0</v>
      </c>
      <c r="G229" s="12" t="s">
        <v>181</v>
      </c>
      <c r="H229" s="52">
        <v>46127.0</v>
      </c>
      <c r="I229" s="16" t="s">
        <v>106</v>
      </c>
      <c r="J229" s="16" t="s">
        <v>51</v>
      </c>
      <c r="K229" s="12" t="s">
        <v>2137</v>
      </c>
      <c r="L229" s="16" t="s">
        <v>1447</v>
      </c>
      <c r="M229" s="16" t="s">
        <v>2135</v>
      </c>
      <c r="N229" s="16" t="s">
        <v>2138</v>
      </c>
      <c r="O229" s="16" t="s">
        <v>2139</v>
      </c>
      <c r="P229" s="18"/>
      <c r="Q229" s="16" t="s">
        <v>52</v>
      </c>
      <c r="R229" s="16" t="s">
        <v>106</v>
      </c>
      <c r="S229" s="16" t="s">
        <v>1493</v>
      </c>
      <c r="T229" s="16"/>
    </row>
    <row r="230" ht="26.25" customHeight="1">
      <c r="A230" s="41">
        <v>46128.347506261576</v>
      </c>
      <c r="B230" s="16" t="s">
        <v>34</v>
      </c>
      <c r="C230" s="16" t="s">
        <v>415</v>
      </c>
      <c r="D230" s="16" t="s">
        <v>1517</v>
      </c>
      <c r="E230" s="31"/>
      <c r="F230" s="39">
        <v>-28.0</v>
      </c>
      <c r="G230" s="12" t="s">
        <v>181</v>
      </c>
      <c r="H230" s="52">
        <v>46128.0</v>
      </c>
      <c r="I230" s="16" t="s">
        <v>187</v>
      </c>
      <c r="J230" s="16" t="s">
        <v>35</v>
      </c>
      <c r="K230" s="12" t="s">
        <v>2140</v>
      </c>
      <c r="L230" s="16" t="s">
        <v>1601</v>
      </c>
      <c r="M230" s="16" t="s">
        <v>2141</v>
      </c>
      <c r="N230" s="16" t="s">
        <v>416</v>
      </c>
      <c r="O230" s="16" t="s">
        <v>2030</v>
      </c>
      <c r="P230" s="18"/>
      <c r="Q230" s="16" t="s">
        <v>52</v>
      </c>
      <c r="R230" s="16" t="s">
        <v>415</v>
      </c>
      <c r="S230" s="16" t="s">
        <v>1607</v>
      </c>
      <c r="T230" s="16"/>
    </row>
    <row r="231" ht="26.25" customHeight="1">
      <c r="A231" s="41">
        <v>46128.35044271991</v>
      </c>
      <c r="B231" s="16" t="s">
        <v>34</v>
      </c>
      <c r="C231" s="16" t="s">
        <v>459</v>
      </c>
      <c r="D231" s="17"/>
      <c r="E231" s="31"/>
      <c r="F231" s="16">
        <v>28.0</v>
      </c>
      <c r="G231" s="12" t="s">
        <v>181</v>
      </c>
      <c r="H231" s="52">
        <v>46128.0</v>
      </c>
      <c r="I231" s="16" t="s">
        <v>177</v>
      </c>
      <c r="J231" s="16" t="s">
        <v>51</v>
      </c>
      <c r="K231" s="12" t="s">
        <v>2142</v>
      </c>
      <c r="L231" s="16" t="s">
        <v>1447</v>
      </c>
      <c r="M231" s="16" t="s">
        <v>2100</v>
      </c>
      <c r="N231" s="16" t="s">
        <v>460</v>
      </c>
      <c r="O231" s="16" t="s">
        <v>2143</v>
      </c>
      <c r="P231" s="18"/>
      <c r="Q231" s="16" t="s">
        <v>52</v>
      </c>
      <c r="R231" s="16" t="s">
        <v>177</v>
      </c>
      <c r="S231" s="16" t="s">
        <v>1493</v>
      </c>
      <c r="T231" s="16"/>
    </row>
    <row r="232" ht="26.25" customHeight="1">
      <c r="A232" s="41">
        <v>46128.35044271991</v>
      </c>
      <c r="B232" s="16" t="s">
        <v>34</v>
      </c>
      <c r="C232" s="16" t="s">
        <v>459</v>
      </c>
      <c r="D232" s="17"/>
      <c r="E232" s="31"/>
      <c r="F232" s="16">
        <v>28.0</v>
      </c>
      <c r="G232" s="12" t="s">
        <v>181</v>
      </c>
      <c r="H232" s="52">
        <v>46128.0</v>
      </c>
      <c r="I232" s="16" t="s">
        <v>202</v>
      </c>
      <c r="J232" s="16" t="s">
        <v>51</v>
      </c>
      <c r="K232" s="12" t="s">
        <v>2142</v>
      </c>
      <c r="L232" s="16" t="s">
        <v>1447</v>
      </c>
      <c r="M232" s="16" t="s">
        <v>2100</v>
      </c>
      <c r="N232" s="16" t="s">
        <v>460</v>
      </c>
      <c r="O232" s="16" t="s">
        <v>2143</v>
      </c>
      <c r="P232" s="18"/>
      <c r="Q232" s="16" t="s">
        <v>52</v>
      </c>
      <c r="R232" s="16" t="s">
        <v>202</v>
      </c>
      <c r="S232" s="16" t="s">
        <v>1493</v>
      </c>
      <c r="T232" s="16"/>
    </row>
    <row r="233" ht="26.25" customHeight="1">
      <c r="A233" s="41">
        <v>46128.354022604166</v>
      </c>
      <c r="B233" s="16" t="s">
        <v>49</v>
      </c>
      <c r="C233" s="16" t="s">
        <v>459</v>
      </c>
      <c r="D233" s="17"/>
      <c r="E233" s="31"/>
      <c r="F233" s="39">
        <v>22.0</v>
      </c>
      <c r="G233" s="12" t="s">
        <v>181</v>
      </c>
      <c r="H233" s="52">
        <v>46128.0</v>
      </c>
      <c r="I233" s="16" t="s">
        <v>192</v>
      </c>
      <c r="J233" s="16" t="s">
        <v>51</v>
      </c>
      <c r="K233" s="12" t="s">
        <v>2144</v>
      </c>
      <c r="L233" s="16" t="s">
        <v>1447</v>
      </c>
      <c r="M233" s="16" t="s">
        <v>2100</v>
      </c>
      <c r="N233" s="16" t="s">
        <v>460</v>
      </c>
      <c r="O233" s="16" t="s">
        <v>2145</v>
      </c>
      <c r="P233" s="18"/>
      <c r="Q233" s="16" t="s">
        <v>52</v>
      </c>
      <c r="R233" s="16" t="s">
        <v>192</v>
      </c>
      <c r="S233" s="16" t="s">
        <v>1493</v>
      </c>
      <c r="T233" s="16"/>
    </row>
    <row r="234" ht="26.25" customHeight="1">
      <c r="A234" s="41">
        <v>46128.35963181713</v>
      </c>
      <c r="B234" s="16" t="s">
        <v>49</v>
      </c>
      <c r="C234" s="16" t="s">
        <v>403</v>
      </c>
      <c r="D234" s="17"/>
      <c r="E234" s="31"/>
      <c r="F234" s="39">
        <v>-2.0</v>
      </c>
      <c r="G234" s="12" t="s">
        <v>181</v>
      </c>
      <c r="H234" s="52">
        <v>46128.0</v>
      </c>
      <c r="I234" s="16" t="s">
        <v>192</v>
      </c>
      <c r="J234" s="16" t="s">
        <v>35</v>
      </c>
      <c r="K234" s="12" t="s">
        <v>2131</v>
      </c>
      <c r="L234" s="16" t="s">
        <v>1601</v>
      </c>
      <c r="M234" s="16" t="s">
        <v>2146</v>
      </c>
      <c r="N234" s="16" t="s">
        <v>405</v>
      </c>
      <c r="O234" s="16" t="s">
        <v>1856</v>
      </c>
      <c r="P234" s="18"/>
      <c r="Q234" s="16" t="s">
        <v>52</v>
      </c>
      <c r="R234" s="16" t="s">
        <v>405</v>
      </c>
      <c r="S234" s="16" t="s">
        <v>1607</v>
      </c>
      <c r="T234" s="16"/>
    </row>
    <row r="235" ht="26.25" customHeight="1">
      <c r="A235" s="41">
        <v>46129.37111828703</v>
      </c>
      <c r="B235" s="16" t="s">
        <v>104</v>
      </c>
      <c r="C235" s="16" t="s">
        <v>925</v>
      </c>
      <c r="D235" s="17"/>
      <c r="E235" s="31"/>
      <c r="F235" s="39">
        <v>1.0</v>
      </c>
      <c r="G235" s="12" t="s">
        <v>181</v>
      </c>
      <c r="H235" s="52">
        <v>46129.0</v>
      </c>
      <c r="I235" s="16" t="s">
        <v>267</v>
      </c>
      <c r="J235" s="16" t="s">
        <v>92</v>
      </c>
      <c r="K235" s="12" t="s">
        <v>2147</v>
      </c>
      <c r="L235" s="16" t="s">
        <v>1447</v>
      </c>
      <c r="M235" s="17"/>
      <c r="N235" s="16" t="s">
        <v>925</v>
      </c>
      <c r="O235" s="16" t="s">
        <v>2148</v>
      </c>
      <c r="P235" s="18"/>
      <c r="Q235" s="16" t="s">
        <v>52</v>
      </c>
      <c r="R235" s="16" t="s">
        <v>267</v>
      </c>
      <c r="S235" s="17"/>
      <c r="T235" s="16"/>
    </row>
    <row r="236" ht="26.25" customHeight="1">
      <c r="A236" s="41">
        <v>46129.38019660879</v>
      </c>
      <c r="B236" s="16" t="s">
        <v>104</v>
      </c>
      <c r="C236" s="16" t="s">
        <v>927</v>
      </c>
      <c r="D236" s="17"/>
      <c r="E236" s="42" t="s">
        <v>2149</v>
      </c>
      <c r="F236" s="39">
        <v>1.0</v>
      </c>
      <c r="G236" s="12" t="s">
        <v>181</v>
      </c>
      <c r="H236" s="52">
        <v>46129.0</v>
      </c>
      <c r="I236" s="16" t="s">
        <v>267</v>
      </c>
      <c r="J236" s="16" t="s">
        <v>97</v>
      </c>
      <c r="K236" s="12" t="s">
        <v>2150</v>
      </c>
      <c r="L236" s="16" t="s">
        <v>1447</v>
      </c>
      <c r="M236" s="17"/>
      <c r="N236" s="16" t="s">
        <v>927</v>
      </c>
      <c r="O236" s="16" t="s">
        <v>2151</v>
      </c>
      <c r="P236" s="18"/>
      <c r="Q236" s="16" t="s">
        <v>52</v>
      </c>
      <c r="R236" s="16" t="s">
        <v>267</v>
      </c>
      <c r="S236" s="17"/>
      <c r="T236" s="16"/>
    </row>
    <row r="237" ht="26.25" customHeight="1">
      <c r="A237" s="41">
        <v>46129.38248424769</v>
      </c>
      <c r="B237" s="16" t="s">
        <v>104</v>
      </c>
      <c r="C237" s="16" t="s">
        <v>463</v>
      </c>
      <c r="D237" s="17"/>
      <c r="E237" s="31"/>
      <c r="F237" s="39">
        <v>1.0</v>
      </c>
      <c r="G237" s="12" t="s">
        <v>181</v>
      </c>
      <c r="H237" s="52">
        <v>46129.0</v>
      </c>
      <c r="I237" s="16" t="s">
        <v>267</v>
      </c>
      <c r="J237" s="16" t="s">
        <v>92</v>
      </c>
      <c r="K237" s="12" t="s">
        <v>2152</v>
      </c>
      <c r="L237" s="16" t="s">
        <v>1447</v>
      </c>
      <c r="M237" s="17"/>
      <c r="N237" s="16" t="s">
        <v>463</v>
      </c>
      <c r="O237" s="16" t="s">
        <v>2153</v>
      </c>
      <c r="P237" s="18"/>
      <c r="Q237" s="16" t="s">
        <v>52</v>
      </c>
      <c r="R237" s="16" t="s">
        <v>267</v>
      </c>
      <c r="S237" s="17"/>
      <c r="T237" s="16"/>
    </row>
    <row r="238" ht="26.25" customHeight="1">
      <c r="A238" s="41">
        <v>46129.393344826385</v>
      </c>
      <c r="B238" s="16" t="s">
        <v>104</v>
      </c>
      <c r="C238" s="16" t="s">
        <v>929</v>
      </c>
      <c r="D238" s="17"/>
      <c r="E238" s="31"/>
      <c r="F238" s="39">
        <v>1.0</v>
      </c>
      <c r="G238" s="12" t="s">
        <v>181</v>
      </c>
      <c r="H238" s="52">
        <v>46128.0</v>
      </c>
      <c r="I238" s="16" t="s">
        <v>267</v>
      </c>
      <c r="J238" s="16" t="s">
        <v>92</v>
      </c>
      <c r="K238" s="12" t="s">
        <v>2154</v>
      </c>
      <c r="L238" s="16" t="s">
        <v>1447</v>
      </c>
      <c r="M238" s="16" t="s">
        <v>2135</v>
      </c>
      <c r="N238" s="16" t="s">
        <v>929</v>
      </c>
      <c r="O238" s="16" t="s">
        <v>2155</v>
      </c>
      <c r="P238" s="18"/>
      <c r="Q238" s="16" t="s">
        <v>52</v>
      </c>
      <c r="R238" s="16" t="s">
        <v>267</v>
      </c>
      <c r="S238" s="17"/>
      <c r="T238" s="16"/>
    </row>
    <row r="239" ht="26.25" customHeight="1">
      <c r="A239" s="41">
        <v>46129.496949305554</v>
      </c>
      <c r="B239" s="16" t="s">
        <v>104</v>
      </c>
      <c r="C239" s="16" t="s">
        <v>932</v>
      </c>
      <c r="D239" s="17"/>
      <c r="E239" s="42" t="s">
        <v>2156</v>
      </c>
      <c r="F239" s="39">
        <v>1.0</v>
      </c>
      <c r="G239" s="12" t="s">
        <v>181</v>
      </c>
      <c r="H239" s="52">
        <v>46129.0</v>
      </c>
      <c r="I239" s="16" t="s">
        <v>267</v>
      </c>
      <c r="J239" s="16" t="s">
        <v>97</v>
      </c>
      <c r="K239" s="12" t="s">
        <v>2157</v>
      </c>
      <c r="L239" s="16" t="s">
        <v>1447</v>
      </c>
      <c r="M239" s="17"/>
      <c r="N239" s="16" t="s">
        <v>932</v>
      </c>
      <c r="O239" s="16" t="s">
        <v>2158</v>
      </c>
      <c r="P239" s="18"/>
      <c r="Q239" s="16" t="s">
        <v>52</v>
      </c>
      <c r="R239" s="16" t="s">
        <v>267</v>
      </c>
      <c r="S239" s="17"/>
      <c r="T239" s="16"/>
    </row>
    <row r="240" ht="26.25" customHeight="1">
      <c r="A240" s="41">
        <v>46129.49890582176</v>
      </c>
      <c r="B240" s="16" t="s">
        <v>104</v>
      </c>
      <c r="C240" s="16" t="s">
        <v>935</v>
      </c>
      <c r="D240" s="17"/>
      <c r="E240" s="31"/>
      <c r="F240" s="39">
        <v>1.0</v>
      </c>
      <c r="G240" s="12" t="s">
        <v>181</v>
      </c>
      <c r="H240" s="52">
        <v>46129.0</v>
      </c>
      <c r="I240" s="16" t="s">
        <v>267</v>
      </c>
      <c r="J240" s="16" t="s">
        <v>92</v>
      </c>
      <c r="K240" s="12" t="s">
        <v>2159</v>
      </c>
      <c r="L240" s="16" t="s">
        <v>1447</v>
      </c>
      <c r="M240" s="17"/>
      <c r="N240" s="16" t="s">
        <v>935</v>
      </c>
      <c r="O240" s="16" t="s">
        <v>2160</v>
      </c>
      <c r="P240" s="18"/>
      <c r="Q240" s="16" t="s">
        <v>52</v>
      </c>
      <c r="R240" s="16" t="s">
        <v>267</v>
      </c>
      <c r="S240" s="17"/>
      <c r="T240" s="16"/>
    </row>
    <row r="241" ht="26.25" customHeight="1">
      <c r="A241" s="41">
        <v>46129.499786562505</v>
      </c>
      <c r="B241" s="16" t="s">
        <v>104</v>
      </c>
      <c r="C241" s="16" t="s">
        <v>938</v>
      </c>
      <c r="D241" s="17"/>
      <c r="E241" s="42" t="s">
        <v>2161</v>
      </c>
      <c r="F241" s="39">
        <v>1.0</v>
      </c>
      <c r="G241" s="12" t="s">
        <v>181</v>
      </c>
      <c r="H241" s="52">
        <v>46129.0</v>
      </c>
      <c r="I241" s="16" t="s">
        <v>267</v>
      </c>
      <c r="J241" s="16" t="s">
        <v>97</v>
      </c>
      <c r="K241" s="12" t="s">
        <v>2162</v>
      </c>
      <c r="L241" s="16" t="s">
        <v>1447</v>
      </c>
      <c r="M241" s="17"/>
      <c r="N241" s="16" t="s">
        <v>938</v>
      </c>
      <c r="O241" s="16" t="s">
        <v>2163</v>
      </c>
      <c r="P241" s="18"/>
      <c r="Q241" s="16" t="s">
        <v>52</v>
      </c>
      <c r="R241" s="16" t="s">
        <v>267</v>
      </c>
      <c r="S241" s="17"/>
      <c r="T241" s="16"/>
    </row>
    <row r="242" ht="26.25" customHeight="1">
      <c r="A242" s="41">
        <v>46129.5009021875</v>
      </c>
      <c r="B242" s="16" t="s">
        <v>104</v>
      </c>
      <c r="C242" s="16" t="s">
        <v>940</v>
      </c>
      <c r="D242" s="17"/>
      <c r="E242" s="42" t="s">
        <v>2164</v>
      </c>
      <c r="F242" s="39">
        <v>2.0</v>
      </c>
      <c r="G242" s="12" t="s">
        <v>181</v>
      </c>
      <c r="H242" s="52">
        <v>46129.0</v>
      </c>
      <c r="I242" s="16" t="s">
        <v>267</v>
      </c>
      <c r="J242" s="16" t="s">
        <v>97</v>
      </c>
      <c r="K242" s="12" t="s">
        <v>2165</v>
      </c>
      <c r="L242" s="16" t="s">
        <v>1447</v>
      </c>
      <c r="M242" s="17"/>
      <c r="N242" s="16" t="s">
        <v>940</v>
      </c>
      <c r="O242" s="16" t="s">
        <v>2166</v>
      </c>
      <c r="P242" s="18"/>
      <c r="Q242" s="16" t="s">
        <v>52</v>
      </c>
      <c r="R242" s="16" t="s">
        <v>267</v>
      </c>
      <c r="S242" s="16" t="s">
        <v>1493</v>
      </c>
      <c r="T242" s="16"/>
    </row>
    <row r="243" ht="26.25" customHeight="1">
      <c r="A243" s="41">
        <v>46129.645973923616</v>
      </c>
      <c r="B243" s="16" t="s">
        <v>104</v>
      </c>
      <c r="C243" s="16" t="s">
        <v>442</v>
      </c>
      <c r="D243" s="17"/>
      <c r="E243" s="42" t="s">
        <v>2167</v>
      </c>
      <c r="F243" s="39">
        <v>1.0</v>
      </c>
      <c r="G243" s="12" t="s">
        <v>181</v>
      </c>
      <c r="H243" s="52">
        <v>46129.0</v>
      </c>
      <c r="I243" s="16" t="s">
        <v>267</v>
      </c>
      <c r="J243" s="16" t="s">
        <v>97</v>
      </c>
      <c r="K243" s="12" t="s">
        <v>2168</v>
      </c>
      <c r="L243" s="16" t="s">
        <v>1447</v>
      </c>
      <c r="M243" s="17"/>
      <c r="N243" s="16" t="s">
        <v>769</v>
      </c>
      <c r="O243" s="16" t="s">
        <v>2169</v>
      </c>
      <c r="P243" s="18"/>
      <c r="Q243" s="16" t="s">
        <v>52</v>
      </c>
      <c r="R243" s="16" t="s">
        <v>267</v>
      </c>
      <c r="S243" s="17"/>
      <c r="T243" s="16"/>
    </row>
    <row r="244" ht="26.25" customHeight="1">
      <c r="A244" s="41">
        <v>46129.64774075232</v>
      </c>
      <c r="B244" s="16" t="s">
        <v>104</v>
      </c>
      <c r="C244" s="16" t="s">
        <v>943</v>
      </c>
      <c r="D244" s="17"/>
      <c r="E244" s="31"/>
      <c r="F244" s="39">
        <v>1.0</v>
      </c>
      <c r="G244" s="12" t="s">
        <v>181</v>
      </c>
      <c r="H244" s="52">
        <v>46129.0</v>
      </c>
      <c r="I244" s="16" t="s">
        <v>267</v>
      </c>
      <c r="J244" s="16" t="s">
        <v>92</v>
      </c>
      <c r="K244" s="12" t="s">
        <v>2170</v>
      </c>
      <c r="L244" s="16" t="s">
        <v>1447</v>
      </c>
      <c r="M244" s="17"/>
      <c r="N244" s="16" t="s">
        <v>943</v>
      </c>
      <c r="O244" s="16" t="s">
        <v>2171</v>
      </c>
      <c r="P244" s="18"/>
      <c r="Q244" s="16" t="s">
        <v>52</v>
      </c>
      <c r="R244" s="17"/>
      <c r="S244" s="17"/>
      <c r="T244" s="16"/>
    </row>
    <row r="245" ht="26.25" customHeight="1">
      <c r="A245" s="41">
        <v>46129.64988163194</v>
      </c>
      <c r="B245" s="16" t="s">
        <v>104</v>
      </c>
      <c r="C245" s="16" t="s">
        <v>945</v>
      </c>
      <c r="D245" s="17"/>
      <c r="E245" s="42" t="s">
        <v>2172</v>
      </c>
      <c r="F245" s="39">
        <v>1.0</v>
      </c>
      <c r="G245" s="12" t="s">
        <v>181</v>
      </c>
      <c r="H245" s="52">
        <v>46129.0</v>
      </c>
      <c r="I245" s="16" t="s">
        <v>267</v>
      </c>
      <c r="J245" s="16" t="s">
        <v>97</v>
      </c>
      <c r="K245" s="12" t="s">
        <v>2173</v>
      </c>
      <c r="L245" s="16" t="s">
        <v>1447</v>
      </c>
      <c r="M245" s="17"/>
      <c r="N245" s="16" t="s">
        <v>907</v>
      </c>
      <c r="O245" s="16" t="s">
        <v>2174</v>
      </c>
      <c r="P245" s="18"/>
      <c r="Q245" s="16" t="s">
        <v>52</v>
      </c>
      <c r="R245" s="16" t="s">
        <v>267</v>
      </c>
      <c r="S245" s="16" t="s">
        <v>2109</v>
      </c>
      <c r="T245" s="16"/>
    </row>
    <row r="246" ht="26.25" customHeight="1">
      <c r="A246" s="41">
        <v>46129.65057023148</v>
      </c>
      <c r="B246" s="16" t="s">
        <v>104</v>
      </c>
      <c r="C246" s="16" t="s">
        <v>947</v>
      </c>
      <c r="D246" s="17"/>
      <c r="E246" s="42" t="s">
        <v>2175</v>
      </c>
      <c r="F246" s="39">
        <v>1.0</v>
      </c>
      <c r="G246" s="12" t="s">
        <v>181</v>
      </c>
      <c r="H246" s="52">
        <v>46129.0</v>
      </c>
      <c r="I246" s="16" t="s">
        <v>267</v>
      </c>
      <c r="J246" s="16" t="s">
        <v>97</v>
      </c>
      <c r="K246" s="12" t="s">
        <v>2176</v>
      </c>
      <c r="L246" s="16" t="s">
        <v>1447</v>
      </c>
      <c r="M246" s="17"/>
      <c r="N246" s="16" t="s">
        <v>947</v>
      </c>
      <c r="O246" s="16" t="s">
        <v>2177</v>
      </c>
      <c r="P246" s="18"/>
      <c r="Q246" s="16" t="s">
        <v>52</v>
      </c>
      <c r="R246" s="16" t="s">
        <v>267</v>
      </c>
      <c r="S246" s="17"/>
      <c r="T246" s="16"/>
    </row>
    <row r="247" ht="26.25" customHeight="1">
      <c r="A247" s="41">
        <v>46129.65483892361</v>
      </c>
      <c r="B247" s="16" t="s">
        <v>104</v>
      </c>
      <c r="C247" s="16" t="s">
        <v>950</v>
      </c>
      <c r="D247" s="17"/>
      <c r="E247" s="31"/>
      <c r="F247" s="39">
        <v>1.0</v>
      </c>
      <c r="G247" s="12" t="s">
        <v>181</v>
      </c>
      <c r="H247" s="52">
        <v>46129.0</v>
      </c>
      <c r="I247" s="16" t="s">
        <v>267</v>
      </c>
      <c r="J247" s="16" t="s">
        <v>101</v>
      </c>
      <c r="K247" s="12" t="s">
        <v>2178</v>
      </c>
      <c r="L247" s="16" t="s">
        <v>1447</v>
      </c>
      <c r="M247" s="17"/>
      <c r="N247" s="16" t="s">
        <v>950</v>
      </c>
      <c r="O247" s="16" t="s">
        <v>2179</v>
      </c>
      <c r="P247" s="18"/>
      <c r="Q247" s="16" t="s">
        <v>52</v>
      </c>
      <c r="R247" s="16" t="s">
        <v>267</v>
      </c>
      <c r="S247" s="17"/>
      <c r="T247" s="16"/>
    </row>
    <row r="248" ht="26.25" customHeight="1">
      <c r="A248" s="41">
        <v>46129.66115994213</v>
      </c>
      <c r="B248" s="16" t="s">
        <v>104</v>
      </c>
      <c r="C248" s="16" t="s">
        <v>951</v>
      </c>
      <c r="D248" s="17"/>
      <c r="E248" s="31"/>
      <c r="F248" s="39">
        <v>1.0</v>
      </c>
      <c r="G248" s="12" t="s">
        <v>181</v>
      </c>
      <c r="H248" s="52">
        <v>46129.0</v>
      </c>
      <c r="I248" s="16" t="s">
        <v>267</v>
      </c>
      <c r="J248" s="17"/>
      <c r="K248" s="12" t="s">
        <v>2180</v>
      </c>
      <c r="L248" s="16" t="s">
        <v>1447</v>
      </c>
      <c r="M248" s="17"/>
      <c r="N248" s="16" t="s">
        <v>951</v>
      </c>
      <c r="O248" s="16" t="s">
        <v>2181</v>
      </c>
      <c r="P248" s="18"/>
      <c r="Q248" s="16" t="s">
        <v>52</v>
      </c>
      <c r="R248" s="16" t="s">
        <v>267</v>
      </c>
      <c r="S248" s="17"/>
      <c r="T248" s="16"/>
    </row>
    <row r="249" ht="26.25" customHeight="1">
      <c r="A249" s="41">
        <v>46129.66384689815</v>
      </c>
      <c r="B249" s="16" t="s">
        <v>34</v>
      </c>
      <c r="C249" s="16" t="s">
        <v>467</v>
      </c>
      <c r="D249" s="16" t="s">
        <v>2182</v>
      </c>
      <c r="E249" s="31"/>
      <c r="F249" s="39">
        <v>16.0</v>
      </c>
      <c r="G249" s="12" t="s">
        <v>181</v>
      </c>
      <c r="H249" s="52">
        <v>46129.0</v>
      </c>
      <c r="I249" s="16" t="s">
        <v>187</v>
      </c>
      <c r="J249" s="16" t="s">
        <v>35</v>
      </c>
      <c r="K249" s="12" t="s">
        <v>2183</v>
      </c>
      <c r="L249" s="16" t="s">
        <v>1447</v>
      </c>
      <c r="M249" s="16" t="s">
        <v>2100</v>
      </c>
      <c r="N249" s="16" t="s">
        <v>960</v>
      </c>
      <c r="O249" s="16" t="s">
        <v>2184</v>
      </c>
      <c r="P249" s="18"/>
      <c r="Q249" s="16" t="s">
        <v>52</v>
      </c>
      <c r="R249" s="16" t="s">
        <v>187</v>
      </c>
      <c r="S249" s="16" t="s">
        <v>1493</v>
      </c>
      <c r="T249" s="16"/>
    </row>
    <row r="250" ht="26.25" customHeight="1">
      <c r="A250" s="41">
        <v>46129.66490390046</v>
      </c>
      <c r="B250" s="16" t="s">
        <v>34</v>
      </c>
      <c r="C250" s="16" t="s">
        <v>470</v>
      </c>
      <c r="D250" s="16" t="s">
        <v>2182</v>
      </c>
      <c r="E250" s="31"/>
      <c r="F250" s="16">
        <v>16.0</v>
      </c>
      <c r="G250" s="12" t="s">
        <v>181</v>
      </c>
      <c r="H250" s="52">
        <v>46129.0</v>
      </c>
      <c r="I250" s="16" t="s">
        <v>187</v>
      </c>
      <c r="J250" s="16" t="s">
        <v>35</v>
      </c>
      <c r="K250" s="12" t="s">
        <v>2183</v>
      </c>
      <c r="L250" s="16" t="s">
        <v>1447</v>
      </c>
      <c r="M250" s="16" t="s">
        <v>2100</v>
      </c>
      <c r="N250" s="16" t="s">
        <v>960</v>
      </c>
      <c r="O250" s="16" t="s">
        <v>2185</v>
      </c>
      <c r="P250" s="18"/>
      <c r="Q250" s="16" t="s">
        <v>52</v>
      </c>
      <c r="R250" s="16" t="s">
        <v>187</v>
      </c>
      <c r="S250" s="16" t="s">
        <v>1493</v>
      </c>
      <c r="T250" s="16"/>
    </row>
    <row r="251" ht="26.25" customHeight="1">
      <c r="A251" s="41">
        <v>46129.66934143519</v>
      </c>
      <c r="B251" s="16" t="s">
        <v>34</v>
      </c>
      <c r="C251" s="16" t="s">
        <v>475</v>
      </c>
      <c r="D251" s="16" t="s">
        <v>2094</v>
      </c>
      <c r="E251" s="31"/>
      <c r="F251" s="39">
        <v>21.0</v>
      </c>
      <c r="G251" s="12" t="s">
        <v>181</v>
      </c>
      <c r="H251" s="52">
        <v>46129.0</v>
      </c>
      <c r="I251" s="16" t="s">
        <v>88</v>
      </c>
      <c r="J251" s="16" t="s">
        <v>35</v>
      </c>
      <c r="K251" s="12" t="s">
        <v>2183</v>
      </c>
      <c r="L251" s="16" t="s">
        <v>1447</v>
      </c>
      <c r="M251" s="16" t="s">
        <v>2100</v>
      </c>
      <c r="N251" s="16" t="s">
        <v>475</v>
      </c>
      <c r="O251" s="16" t="s">
        <v>2186</v>
      </c>
      <c r="P251" s="18"/>
      <c r="Q251" s="16" t="s">
        <v>52</v>
      </c>
      <c r="R251" s="16" t="s">
        <v>88</v>
      </c>
      <c r="S251" s="16" t="s">
        <v>1493</v>
      </c>
      <c r="T251" s="16"/>
    </row>
    <row r="252" ht="26.25" customHeight="1">
      <c r="A252" s="41">
        <v>46129.67088106481</v>
      </c>
      <c r="B252" s="16" t="s">
        <v>34</v>
      </c>
      <c r="C252" s="16" t="s">
        <v>480</v>
      </c>
      <c r="D252" s="16" t="s">
        <v>2094</v>
      </c>
      <c r="E252" s="31"/>
      <c r="F252" s="39">
        <v>23.0</v>
      </c>
      <c r="G252" s="12" t="s">
        <v>181</v>
      </c>
      <c r="H252" s="52">
        <v>46129.0</v>
      </c>
      <c r="I252" s="16" t="s">
        <v>106</v>
      </c>
      <c r="J252" s="16" t="s">
        <v>35</v>
      </c>
      <c r="K252" s="12" t="s">
        <v>2183</v>
      </c>
      <c r="L252" s="16" t="s">
        <v>1447</v>
      </c>
      <c r="M252" s="16" t="s">
        <v>2100</v>
      </c>
      <c r="N252" s="16" t="s">
        <v>480</v>
      </c>
      <c r="O252" s="16" t="s">
        <v>2187</v>
      </c>
      <c r="P252" s="18"/>
      <c r="Q252" s="16" t="s">
        <v>52</v>
      </c>
      <c r="R252" s="16" t="s">
        <v>106</v>
      </c>
      <c r="S252" s="17"/>
      <c r="T252" s="16"/>
    </row>
    <row r="253" ht="26.25" customHeight="1">
      <c r="A253" s="41">
        <v>46129.67303657407</v>
      </c>
      <c r="B253" s="16" t="s">
        <v>34</v>
      </c>
      <c r="C253" s="16" t="s">
        <v>489</v>
      </c>
      <c r="D253" s="16" t="s">
        <v>2188</v>
      </c>
      <c r="E253" s="31"/>
      <c r="F253" s="39">
        <v>27.0</v>
      </c>
      <c r="G253" s="12" t="s">
        <v>181</v>
      </c>
      <c r="H253" s="52">
        <v>46129.0</v>
      </c>
      <c r="I253" s="16" t="s">
        <v>158</v>
      </c>
      <c r="J253" s="16" t="s">
        <v>35</v>
      </c>
      <c r="K253" s="12" t="s">
        <v>2183</v>
      </c>
      <c r="L253" s="16" t="s">
        <v>1447</v>
      </c>
      <c r="M253" s="16" t="s">
        <v>2100</v>
      </c>
      <c r="N253" s="16" t="s">
        <v>489</v>
      </c>
      <c r="O253" s="16" t="s">
        <v>2189</v>
      </c>
      <c r="P253" s="18"/>
      <c r="Q253" s="16" t="s">
        <v>52</v>
      </c>
      <c r="R253" s="16" t="s">
        <v>158</v>
      </c>
      <c r="S253" s="16" t="s">
        <v>1493</v>
      </c>
      <c r="T253" s="16"/>
    </row>
    <row r="254" ht="26.25" customHeight="1">
      <c r="A254" s="41">
        <v>46132.30299128473</v>
      </c>
      <c r="B254" s="16" t="s">
        <v>75</v>
      </c>
      <c r="C254" s="16" t="s">
        <v>121</v>
      </c>
      <c r="D254" s="17"/>
      <c r="E254" s="31"/>
      <c r="F254" s="39">
        <v>382.0</v>
      </c>
      <c r="G254" s="12" t="s">
        <v>181</v>
      </c>
      <c r="H254" s="52">
        <v>46129.0</v>
      </c>
      <c r="I254" s="16" t="s">
        <v>17</v>
      </c>
      <c r="J254" s="16" t="s">
        <v>92</v>
      </c>
      <c r="K254" s="12" t="s">
        <v>2190</v>
      </c>
      <c r="L254" s="16" t="s">
        <v>1447</v>
      </c>
      <c r="M254" s="16" t="s">
        <v>2135</v>
      </c>
      <c r="N254" s="16" t="s">
        <v>121</v>
      </c>
      <c r="O254" s="16" t="s">
        <v>2191</v>
      </c>
      <c r="P254" s="18"/>
      <c r="Q254" s="16" t="s">
        <v>52</v>
      </c>
      <c r="R254" s="16" t="s">
        <v>17</v>
      </c>
      <c r="S254" s="17"/>
      <c r="T254" s="16"/>
    </row>
    <row r="255" ht="26.25" customHeight="1">
      <c r="A255" s="41">
        <v>46132.34092158565</v>
      </c>
      <c r="B255" s="16" t="s">
        <v>34</v>
      </c>
      <c r="C255" s="16" t="s">
        <v>489</v>
      </c>
      <c r="D255" s="16" t="s">
        <v>2188</v>
      </c>
      <c r="E255" s="31"/>
      <c r="F255" s="39">
        <v>-27.0</v>
      </c>
      <c r="G255" s="12" t="s">
        <v>181</v>
      </c>
      <c r="H255" s="52">
        <v>46132.0</v>
      </c>
      <c r="I255" s="16" t="s">
        <v>158</v>
      </c>
      <c r="J255" s="16" t="s">
        <v>35</v>
      </c>
      <c r="K255" s="13"/>
      <c r="L255" s="16" t="s">
        <v>1601</v>
      </c>
      <c r="M255" s="16" t="s">
        <v>2192</v>
      </c>
      <c r="N255" s="16" t="s">
        <v>489</v>
      </c>
      <c r="O255" s="16" t="s">
        <v>2189</v>
      </c>
      <c r="P255" s="18"/>
      <c r="Q255" s="16" t="s">
        <v>52</v>
      </c>
      <c r="R255" s="16" t="s">
        <v>489</v>
      </c>
      <c r="S255" s="16" t="s">
        <v>1607</v>
      </c>
      <c r="T255" s="16"/>
    </row>
    <row r="256" ht="26.25" customHeight="1">
      <c r="A256" s="41">
        <v>46132.34688107639</v>
      </c>
      <c r="B256" s="16" t="s">
        <v>49</v>
      </c>
      <c r="C256" s="16" t="s">
        <v>475</v>
      </c>
      <c r="D256" s="16" t="s">
        <v>2094</v>
      </c>
      <c r="E256" s="42" t="s">
        <v>2193</v>
      </c>
      <c r="F256" s="39">
        <v>14.0</v>
      </c>
      <c r="G256" s="12" t="s">
        <v>181</v>
      </c>
      <c r="H256" s="52">
        <v>46129.0</v>
      </c>
      <c r="I256" s="16" t="s">
        <v>161</v>
      </c>
      <c r="J256" s="16" t="s">
        <v>35</v>
      </c>
      <c r="K256" s="12" t="s">
        <v>2194</v>
      </c>
      <c r="L256" s="16" t="s">
        <v>1447</v>
      </c>
      <c r="M256" s="16" t="s">
        <v>2195</v>
      </c>
      <c r="N256" s="16" t="s">
        <v>475</v>
      </c>
      <c r="O256" s="16" t="s">
        <v>2196</v>
      </c>
      <c r="P256" s="18"/>
      <c r="Q256" s="16" t="s">
        <v>52</v>
      </c>
      <c r="R256" s="16" t="s">
        <v>161</v>
      </c>
      <c r="S256" s="16" t="s">
        <v>1493</v>
      </c>
      <c r="T256" s="16"/>
    </row>
    <row r="257" ht="26.25" customHeight="1">
      <c r="A257" s="41">
        <v>46132.35551043981</v>
      </c>
      <c r="B257" s="16" t="s">
        <v>49</v>
      </c>
      <c r="C257" s="16" t="s">
        <v>958</v>
      </c>
      <c r="D257" s="17"/>
      <c r="E257" s="42" t="s">
        <v>2197</v>
      </c>
      <c r="F257" s="39">
        <v>15.0</v>
      </c>
      <c r="G257" s="12" t="s">
        <v>181</v>
      </c>
      <c r="H257" s="52">
        <v>46129.0</v>
      </c>
      <c r="I257" s="16" t="s">
        <v>161</v>
      </c>
      <c r="J257" s="16" t="s">
        <v>35</v>
      </c>
      <c r="K257" s="12" t="s">
        <v>2194</v>
      </c>
      <c r="L257" s="16" t="s">
        <v>1447</v>
      </c>
      <c r="M257" s="16" t="s">
        <v>2100</v>
      </c>
      <c r="N257" s="16" t="s">
        <v>958</v>
      </c>
      <c r="O257" s="16" t="s">
        <v>2198</v>
      </c>
      <c r="P257" s="18"/>
      <c r="Q257" s="16" t="s">
        <v>52</v>
      </c>
      <c r="R257" s="16" t="s">
        <v>161</v>
      </c>
      <c r="S257" s="16" t="s">
        <v>1493</v>
      </c>
      <c r="T257" s="16"/>
    </row>
    <row r="258" ht="26.25" customHeight="1">
      <c r="A258" s="41">
        <v>46132.35781207176</v>
      </c>
      <c r="B258" s="16" t="s">
        <v>49</v>
      </c>
      <c r="C258" s="16" t="s">
        <v>470</v>
      </c>
      <c r="D258" s="16" t="s">
        <v>2182</v>
      </c>
      <c r="E258" s="42" t="s">
        <v>2199</v>
      </c>
      <c r="F258" s="16">
        <v>12.0</v>
      </c>
      <c r="G258" s="12" t="s">
        <v>181</v>
      </c>
      <c r="H258" s="52">
        <v>46129.0</v>
      </c>
      <c r="I258" s="16" t="s">
        <v>161</v>
      </c>
      <c r="J258" s="16" t="s">
        <v>35</v>
      </c>
      <c r="K258" s="12" t="s">
        <v>2200</v>
      </c>
      <c r="L258" s="16" t="s">
        <v>1447</v>
      </c>
      <c r="M258" s="16" t="s">
        <v>2100</v>
      </c>
      <c r="N258" s="16" t="s">
        <v>960</v>
      </c>
      <c r="O258" s="16" t="s">
        <v>2201</v>
      </c>
      <c r="P258" s="18"/>
      <c r="Q258" s="16" t="s">
        <v>52</v>
      </c>
      <c r="R258" s="16" t="s">
        <v>161</v>
      </c>
      <c r="S258" s="16" t="s">
        <v>1493</v>
      </c>
      <c r="T258" s="16"/>
    </row>
    <row r="259" ht="26.25" customHeight="1">
      <c r="A259" s="41">
        <v>46132.36246978009</v>
      </c>
      <c r="B259" s="16" t="s">
        <v>49</v>
      </c>
      <c r="C259" s="16" t="s">
        <v>467</v>
      </c>
      <c r="D259" s="16" t="s">
        <v>2182</v>
      </c>
      <c r="E259" s="42" t="s">
        <v>2202</v>
      </c>
      <c r="F259" s="16">
        <v>12.0</v>
      </c>
      <c r="G259" s="12" t="s">
        <v>181</v>
      </c>
      <c r="H259" s="52">
        <v>46132.0</v>
      </c>
      <c r="I259" s="16" t="s">
        <v>161</v>
      </c>
      <c r="J259" s="16" t="s">
        <v>35</v>
      </c>
      <c r="K259" s="12" t="s">
        <v>2200</v>
      </c>
      <c r="L259" s="16" t="s">
        <v>1447</v>
      </c>
      <c r="M259" s="16" t="s">
        <v>2100</v>
      </c>
      <c r="N259" s="16" t="s">
        <v>960</v>
      </c>
      <c r="O259" s="16" t="s">
        <v>2203</v>
      </c>
      <c r="P259" s="18"/>
      <c r="Q259" s="16" t="s">
        <v>52</v>
      </c>
      <c r="R259" s="16" t="s">
        <v>161</v>
      </c>
      <c r="S259" s="16" t="s">
        <v>1493</v>
      </c>
      <c r="T259" s="16"/>
    </row>
    <row r="260" ht="26.25" customHeight="1">
      <c r="A260" s="41">
        <v>46132.378903749996</v>
      </c>
      <c r="B260" s="16" t="s">
        <v>49</v>
      </c>
      <c r="C260" s="16" t="s">
        <v>489</v>
      </c>
      <c r="D260" s="16" t="s">
        <v>2188</v>
      </c>
      <c r="E260" s="42" t="s">
        <v>2204</v>
      </c>
      <c r="F260" s="39">
        <v>14.0</v>
      </c>
      <c r="G260" s="12" t="s">
        <v>181</v>
      </c>
      <c r="H260" s="52">
        <v>46132.0</v>
      </c>
      <c r="I260" s="16" t="s">
        <v>161</v>
      </c>
      <c r="J260" s="16" t="s">
        <v>35</v>
      </c>
      <c r="K260" s="12" t="s">
        <v>2205</v>
      </c>
      <c r="L260" s="16" t="s">
        <v>1447</v>
      </c>
      <c r="M260" s="16" t="s">
        <v>2100</v>
      </c>
      <c r="N260" s="16" t="s">
        <v>489</v>
      </c>
      <c r="O260" s="16" t="s">
        <v>2206</v>
      </c>
      <c r="P260" s="18"/>
      <c r="Q260" s="16" t="s">
        <v>52</v>
      </c>
      <c r="R260" s="16" t="s">
        <v>161</v>
      </c>
      <c r="S260" s="16" t="s">
        <v>1493</v>
      </c>
      <c r="T260" s="16"/>
    </row>
    <row r="261" ht="26.25" customHeight="1">
      <c r="A261" s="41">
        <v>46132.40852491898</v>
      </c>
      <c r="B261" s="16" t="s">
        <v>75</v>
      </c>
      <c r="C261" s="16" t="s">
        <v>969</v>
      </c>
      <c r="D261" s="17"/>
      <c r="E261" s="31"/>
      <c r="F261" s="39">
        <v>1.0</v>
      </c>
      <c r="G261" s="12" t="s">
        <v>181</v>
      </c>
      <c r="H261" s="51">
        <v>46132.0</v>
      </c>
      <c r="I261" s="16" t="s">
        <v>17</v>
      </c>
      <c r="J261" s="16" t="s">
        <v>92</v>
      </c>
      <c r="K261" s="12" t="s">
        <v>2207</v>
      </c>
      <c r="L261" s="16" t="s">
        <v>1447</v>
      </c>
      <c r="M261" s="16" t="s">
        <v>2111</v>
      </c>
      <c r="N261" s="16" t="s">
        <v>969</v>
      </c>
      <c r="O261" s="16" t="s">
        <v>2208</v>
      </c>
      <c r="P261" s="18"/>
      <c r="Q261" s="16" t="s">
        <v>52</v>
      </c>
      <c r="R261" s="16" t="s">
        <v>17</v>
      </c>
      <c r="S261" s="17"/>
      <c r="T261" s="16"/>
    </row>
    <row r="262" ht="26.25" customHeight="1">
      <c r="A262" s="41">
        <v>46132.41170564815</v>
      </c>
      <c r="B262" s="16" t="s">
        <v>75</v>
      </c>
      <c r="C262" s="16" t="s">
        <v>971</v>
      </c>
      <c r="D262" s="17"/>
      <c r="E262" s="31"/>
      <c r="F262" s="39">
        <v>2.0</v>
      </c>
      <c r="G262" s="12" t="s">
        <v>181</v>
      </c>
      <c r="H262" s="52">
        <v>46132.0</v>
      </c>
      <c r="I262" s="16" t="s">
        <v>17</v>
      </c>
      <c r="J262" s="16" t="s">
        <v>92</v>
      </c>
      <c r="K262" s="12" t="s">
        <v>2209</v>
      </c>
      <c r="L262" s="16" t="s">
        <v>1447</v>
      </c>
      <c r="M262" s="16" t="s">
        <v>2111</v>
      </c>
      <c r="N262" s="16" t="s">
        <v>103</v>
      </c>
      <c r="O262" s="16" t="s">
        <v>2210</v>
      </c>
      <c r="P262" s="18"/>
      <c r="Q262" s="16" t="s">
        <v>52</v>
      </c>
      <c r="R262" s="16" t="s">
        <v>17</v>
      </c>
      <c r="S262" s="17"/>
      <c r="T262" s="16"/>
    </row>
    <row r="263" ht="26.25" customHeight="1">
      <c r="A263" s="41">
        <v>46132.415464641206</v>
      </c>
      <c r="B263" s="16" t="s">
        <v>104</v>
      </c>
      <c r="C263" s="16" t="s">
        <v>974</v>
      </c>
      <c r="D263" s="17"/>
      <c r="E263" s="31"/>
      <c r="F263" s="39">
        <v>1.0</v>
      </c>
      <c r="G263" s="12" t="s">
        <v>181</v>
      </c>
      <c r="H263" s="52">
        <v>46129.0</v>
      </c>
      <c r="I263" s="16" t="s">
        <v>70</v>
      </c>
      <c r="J263" s="16" t="s">
        <v>92</v>
      </c>
      <c r="K263" s="12" t="s">
        <v>2211</v>
      </c>
      <c r="L263" s="16" t="s">
        <v>1447</v>
      </c>
      <c r="M263" s="16" t="s">
        <v>2135</v>
      </c>
      <c r="N263" s="16" t="s">
        <v>974</v>
      </c>
      <c r="O263" s="16" t="s">
        <v>2212</v>
      </c>
      <c r="P263" s="18"/>
      <c r="Q263" s="16" t="s">
        <v>52</v>
      </c>
      <c r="R263" s="16" t="s">
        <v>70</v>
      </c>
      <c r="S263" s="17"/>
      <c r="T263" s="16"/>
    </row>
    <row r="264" ht="26.25" customHeight="1">
      <c r="A264" s="41">
        <v>46132.41816290509</v>
      </c>
      <c r="B264" s="16" t="s">
        <v>104</v>
      </c>
      <c r="C264" s="16" t="s">
        <v>977</v>
      </c>
      <c r="D264" s="17"/>
      <c r="E264" s="31"/>
      <c r="F264" s="39">
        <v>1.0</v>
      </c>
      <c r="G264" s="12" t="s">
        <v>181</v>
      </c>
      <c r="H264" s="52">
        <v>46129.0</v>
      </c>
      <c r="I264" s="16" t="s">
        <v>77</v>
      </c>
      <c r="J264" s="16" t="s">
        <v>92</v>
      </c>
      <c r="K264" s="12" t="s">
        <v>2213</v>
      </c>
      <c r="L264" s="16" t="s">
        <v>1447</v>
      </c>
      <c r="M264" s="16" t="s">
        <v>2135</v>
      </c>
      <c r="N264" s="16" t="s">
        <v>977</v>
      </c>
      <c r="O264" s="16" t="s">
        <v>2214</v>
      </c>
      <c r="P264" s="18"/>
      <c r="Q264" s="16" t="s">
        <v>52</v>
      </c>
      <c r="R264" s="16" t="s">
        <v>77</v>
      </c>
      <c r="S264" s="17"/>
      <c r="T264" s="16"/>
    </row>
    <row r="265" ht="26.25" customHeight="1">
      <c r="A265" s="41">
        <v>46132.4257728125</v>
      </c>
      <c r="B265" s="16" t="s">
        <v>91</v>
      </c>
      <c r="C265" s="16" t="s">
        <v>422</v>
      </c>
      <c r="D265" s="17"/>
      <c r="E265" s="31"/>
      <c r="F265" s="16">
        <v>-2.0</v>
      </c>
      <c r="G265" s="12" t="s">
        <v>181</v>
      </c>
      <c r="H265" s="52">
        <v>46132.0</v>
      </c>
      <c r="I265" s="17"/>
      <c r="J265" s="17"/>
      <c r="K265" s="12" t="s">
        <v>2215</v>
      </c>
      <c r="L265" s="16" t="s">
        <v>1601</v>
      </c>
      <c r="M265" s="16" t="s">
        <v>2111</v>
      </c>
      <c r="N265" s="16" t="s">
        <v>66</v>
      </c>
      <c r="O265" s="16" t="s">
        <v>2067</v>
      </c>
      <c r="P265" s="18"/>
      <c r="Q265" s="16" t="s">
        <v>52</v>
      </c>
      <c r="R265" s="17"/>
      <c r="S265" s="16" t="s">
        <v>1607</v>
      </c>
      <c r="T265" s="16"/>
    </row>
    <row r="266" ht="26.25" customHeight="1">
      <c r="A266" s="41">
        <v>46132.42796773148</v>
      </c>
      <c r="B266" s="16" t="s">
        <v>49</v>
      </c>
      <c r="C266" s="16" t="s">
        <v>467</v>
      </c>
      <c r="D266" s="16" t="s">
        <v>2182</v>
      </c>
      <c r="E266" s="31"/>
      <c r="F266" s="39">
        <v>1.0</v>
      </c>
      <c r="G266" s="12" t="s">
        <v>181</v>
      </c>
      <c r="H266" s="52">
        <v>46132.0</v>
      </c>
      <c r="I266" s="16" t="s">
        <v>216</v>
      </c>
      <c r="J266" s="16" t="s">
        <v>35</v>
      </c>
      <c r="K266" s="12" t="s">
        <v>2097</v>
      </c>
      <c r="L266" s="16" t="s">
        <v>1447</v>
      </c>
      <c r="M266" s="16" t="s">
        <v>2100</v>
      </c>
      <c r="N266" s="16" t="s">
        <v>960</v>
      </c>
      <c r="O266" s="16" t="s">
        <v>2203</v>
      </c>
      <c r="P266" s="18"/>
      <c r="Q266" s="16" t="s">
        <v>52</v>
      </c>
      <c r="R266" s="16" t="s">
        <v>216</v>
      </c>
      <c r="S266" s="16" t="s">
        <v>1493</v>
      </c>
      <c r="T266" s="16"/>
    </row>
    <row r="267" ht="26.25" customHeight="1">
      <c r="A267" s="41">
        <v>46132.42906759259</v>
      </c>
      <c r="B267" s="16" t="s">
        <v>49</v>
      </c>
      <c r="C267" s="16" t="s">
        <v>470</v>
      </c>
      <c r="D267" s="16" t="s">
        <v>2182</v>
      </c>
      <c r="E267" s="31"/>
      <c r="F267" s="39">
        <v>1.0</v>
      </c>
      <c r="G267" s="12" t="s">
        <v>181</v>
      </c>
      <c r="H267" s="52">
        <v>46132.0</v>
      </c>
      <c r="I267" s="16" t="s">
        <v>216</v>
      </c>
      <c r="J267" s="16" t="s">
        <v>35</v>
      </c>
      <c r="K267" s="12" t="s">
        <v>2097</v>
      </c>
      <c r="L267" s="16" t="s">
        <v>1447</v>
      </c>
      <c r="M267" s="16" t="s">
        <v>2100</v>
      </c>
      <c r="N267" s="16" t="s">
        <v>960</v>
      </c>
      <c r="O267" s="16" t="s">
        <v>2201</v>
      </c>
      <c r="P267" s="18"/>
      <c r="Q267" s="16" t="s">
        <v>52</v>
      </c>
      <c r="R267" s="16" t="s">
        <v>216</v>
      </c>
      <c r="S267" s="16" t="s">
        <v>1493</v>
      </c>
      <c r="T267" s="16"/>
    </row>
    <row r="268" ht="26.25" customHeight="1">
      <c r="A268" s="41">
        <v>46132.430197187496</v>
      </c>
      <c r="B268" s="16" t="s">
        <v>49</v>
      </c>
      <c r="C268" s="16" t="s">
        <v>489</v>
      </c>
      <c r="D268" s="16" t="s">
        <v>2188</v>
      </c>
      <c r="E268" s="31"/>
      <c r="F268" s="39">
        <v>1.0</v>
      </c>
      <c r="G268" s="12" t="s">
        <v>181</v>
      </c>
      <c r="H268" s="52">
        <v>46132.0</v>
      </c>
      <c r="I268" s="16" t="s">
        <v>216</v>
      </c>
      <c r="J268" s="16" t="s">
        <v>35</v>
      </c>
      <c r="K268" s="12" t="s">
        <v>2216</v>
      </c>
      <c r="L268" s="16" t="s">
        <v>1447</v>
      </c>
      <c r="M268" s="16" t="s">
        <v>2100</v>
      </c>
      <c r="N268" s="16" t="s">
        <v>489</v>
      </c>
      <c r="O268" s="16" t="s">
        <v>2206</v>
      </c>
      <c r="P268" s="18"/>
      <c r="Q268" s="16" t="s">
        <v>52</v>
      </c>
      <c r="R268" s="16" t="s">
        <v>216</v>
      </c>
      <c r="S268" s="16" t="s">
        <v>1493</v>
      </c>
      <c r="T268" s="16"/>
    </row>
    <row r="269" ht="26.25" customHeight="1">
      <c r="A269" s="41">
        <v>46132.4327555787</v>
      </c>
      <c r="B269" s="16" t="s">
        <v>91</v>
      </c>
      <c r="C269" s="16" t="s">
        <v>422</v>
      </c>
      <c r="D269" s="17"/>
      <c r="E269" s="31"/>
      <c r="F269" s="16">
        <v>2.0</v>
      </c>
      <c r="G269" s="12" t="s">
        <v>181</v>
      </c>
      <c r="H269" s="52">
        <v>46132.0</v>
      </c>
      <c r="I269" s="16" t="s">
        <v>146</v>
      </c>
      <c r="J269" s="16" t="s">
        <v>51</v>
      </c>
      <c r="K269" s="12" t="s">
        <v>2217</v>
      </c>
      <c r="L269" s="16" t="s">
        <v>1447</v>
      </c>
      <c r="M269" s="16" t="s">
        <v>2100</v>
      </c>
      <c r="N269" s="16"/>
      <c r="O269" s="16" t="s">
        <v>2067</v>
      </c>
      <c r="P269" s="18"/>
      <c r="Q269" s="16" t="s">
        <v>52</v>
      </c>
      <c r="R269" s="16" t="s">
        <v>146</v>
      </c>
      <c r="S269" s="17"/>
      <c r="T269" s="16"/>
    </row>
    <row r="270" ht="26.25" customHeight="1">
      <c r="A270" s="41">
        <v>46133.36086635417</v>
      </c>
      <c r="B270" s="16" t="s">
        <v>34</v>
      </c>
      <c r="C270" s="16" t="s">
        <v>499</v>
      </c>
      <c r="D270" s="17"/>
      <c r="E270" s="31"/>
      <c r="F270" s="39">
        <v>38.0</v>
      </c>
      <c r="G270" s="12" t="s">
        <v>181</v>
      </c>
      <c r="H270" s="52">
        <v>46091.0</v>
      </c>
      <c r="I270" s="16" t="s">
        <v>150</v>
      </c>
      <c r="J270" s="16" t="s">
        <v>35</v>
      </c>
      <c r="K270" s="12" t="s">
        <v>2183</v>
      </c>
      <c r="L270" s="16" t="s">
        <v>1447</v>
      </c>
      <c r="M270" s="16" t="s">
        <v>2100</v>
      </c>
      <c r="N270" s="16" t="s">
        <v>499</v>
      </c>
      <c r="O270" s="16" t="s">
        <v>2218</v>
      </c>
      <c r="P270" s="18"/>
      <c r="Q270" s="16" t="s">
        <v>52</v>
      </c>
      <c r="R270" s="16" t="s">
        <v>150</v>
      </c>
      <c r="S270" s="16" t="s">
        <v>1493</v>
      </c>
      <c r="T270" s="16"/>
    </row>
    <row r="271" ht="26.25" customHeight="1">
      <c r="A271" s="41">
        <v>46133.36279627315</v>
      </c>
      <c r="B271" s="16" t="s">
        <v>49</v>
      </c>
      <c r="C271" s="16" t="s">
        <v>499</v>
      </c>
      <c r="D271" s="17"/>
      <c r="E271" s="42" t="s">
        <v>2219</v>
      </c>
      <c r="F271" s="39">
        <v>17.0</v>
      </c>
      <c r="G271" s="12" t="s">
        <v>181</v>
      </c>
      <c r="H271" s="52">
        <v>46091.0</v>
      </c>
      <c r="I271" s="16" t="s">
        <v>161</v>
      </c>
      <c r="J271" s="16" t="s">
        <v>35</v>
      </c>
      <c r="K271" s="12" t="s">
        <v>2194</v>
      </c>
      <c r="L271" s="16" t="s">
        <v>1447</v>
      </c>
      <c r="M271" s="16" t="s">
        <v>2100</v>
      </c>
      <c r="N271" s="16" t="s">
        <v>499</v>
      </c>
      <c r="O271" s="16" t="s">
        <v>2220</v>
      </c>
      <c r="P271" s="18"/>
      <c r="Q271" s="16" t="s">
        <v>52</v>
      </c>
      <c r="R271" s="16" t="s">
        <v>161</v>
      </c>
      <c r="S271" s="16" t="s">
        <v>1493</v>
      </c>
      <c r="T271" s="16"/>
    </row>
    <row r="272" ht="26.25" customHeight="1">
      <c r="A272" s="41">
        <v>46134.515634282405</v>
      </c>
      <c r="B272" s="16" t="s">
        <v>34</v>
      </c>
      <c r="C272" s="16" t="s">
        <v>480</v>
      </c>
      <c r="D272" s="17"/>
      <c r="E272" s="31"/>
      <c r="F272" s="39">
        <v>-23.0</v>
      </c>
      <c r="G272" s="12" t="s">
        <v>181</v>
      </c>
      <c r="H272" s="52">
        <v>46134.0</v>
      </c>
      <c r="I272" s="16" t="s">
        <v>106</v>
      </c>
      <c r="J272" s="16" t="s">
        <v>35</v>
      </c>
      <c r="K272" s="13"/>
      <c r="L272" s="16" t="s">
        <v>1601</v>
      </c>
      <c r="M272" s="16" t="s">
        <v>2221</v>
      </c>
      <c r="N272" s="16" t="s">
        <v>480</v>
      </c>
      <c r="O272" s="16" t="s">
        <v>2187</v>
      </c>
      <c r="P272" s="18"/>
      <c r="Q272" s="16" t="s">
        <v>52</v>
      </c>
      <c r="R272" s="16" t="s">
        <v>480</v>
      </c>
      <c r="S272" s="16" t="s">
        <v>1607</v>
      </c>
      <c r="T272" s="16"/>
    </row>
    <row r="273" ht="26.25" customHeight="1">
      <c r="A273" s="41">
        <v>46134.5160549537</v>
      </c>
      <c r="B273" s="16" t="s">
        <v>34</v>
      </c>
      <c r="C273" s="16" t="s">
        <v>475</v>
      </c>
      <c r="D273" s="16" t="s">
        <v>2094</v>
      </c>
      <c r="E273" s="31"/>
      <c r="F273" s="39">
        <v>-21.0</v>
      </c>
      <c r="G273" s="12" t="s">
        <v>181</v>
      </c>
      <c r="H273" s="52">
        <v>46133.0</v>
      </c>
      <c r="I273" s="16" t="s">
        <v>88</v>
      </c>
      <c r="J273" s="16" t="s">
        <v>35</v>
      </c>
      <c r="K273" s="13"/>
      <c r="L273" s="16" t="s">
        <v>1601</v>
      </c>
      <c r="M273" s="16" t="s">
        <v>2222</v>
      </c>
      <c r="N273" s="16" t="s">
        <v>475</v>
      </c>
      <c r="O273" s="16" t="s">
        <v>2186</v>
      </c>
      <c r="P273" s="18"/>
      <c r="Q273" s="16" t="s">
        <v>52</v>
      </c>
      <c r="R273" s="16" t="s">
        <v>475</v>
      </c>
      <c r="S273" s="16" t="s">
        <v>1607</v>
      </c>
      <c r="T273" s="16"/>
    </row>
    <row r="274" ht="26.25" customHeight="1">
      <c r="A274" s="41">
        <v>46134.51650329861</v>
      </c>
      <c r="B274" s="16" t="s">
        <v>34</v>
      </c>
      <c r="C274" s="16" t="s">
        <v>499</v>
      </c>
      <c r="D274" s="17"/>
      <c r="E274" s="31"/>
      <c r="F274" s="39">
        <v>-38.0</v>
      </c>
      <c r="G274" s="12" t="s">
        <v>181</v>
      </c>
      <c r="H274" s="52">
        <v>46133.0</v>
      </c>
      <c r="I274" s="16" t="s">
        <v>2223</v>
      </c>
      <c r="J274" s="16" t="s">
        <v>35</v>
      </c>
      <c r="K274" s="13"/>
      <c r="L274" s="16" t="s">
        <v>1601</v>
      </c>
      <c r="M274" s="16" t="s">
        <v>2222</v>
      </c>
      <c r="N274" s="16" t="s">
        <v>499</v>
      </c>
      <c r="O274" s="16" t="s">
        <v>2218</v>
      </c>
      <c r="P274" s="18"/>
      <c r="Q274" s="16" t="s">
        <v>52</v>
      </c>
      <c r="R274" s="16" t="s">
        <v>499</v>
      </c>
      <c r="S274" s="16" t="s">
        <v>1607</v>
      </c>
      <c r="T274" s="16"/>
    </row>
    <row r="275" ht="26.25" customHeight="1">
      <c r="A275" s="41">
        <v>46134.61701865741</v>
      </c>
      <c r="B275" s="16" t="s">
        <v>75</v>
      </c>
      <c r="C275" s="16" t="s">
        <v>980</v>
      </c>
      <c r="D275" s="17"/>
      <c r="E275" s="31"/>
      <c r="F275" s="39">
        <v>26.0</v>
      </c>
      <c r="G275" s="12" t="s">
        <v>181</v>
      </c>
      <c r="H275" s="52">
        <v>46134.0</v>
      </c>
      <c r="I275" s="16" t="s">
        <v>17</v>
      </c>
      <c r="J275" s="16" t="s">
        <v>92</v>
      </c>
      <c r="K275" s="12" t="s">
        <v>2224</v>
      </c>
      <c r="L275" s="16" t="s">
        <v>1447</v>
      </c>
      <c r="M275" s="16" t="s">
        <v>2111</v>
      </c>
      <c r="N275" s="16" t="s">
        <v>907</v>
      </c>
      <c r="O275" s="16" t="s">
        <v>2225</v>
      </c>
      <c r="P275" s="18"/>
      <c r="Q275" s="16" t="s">
        <v>52</v>
      </c>
      <c r="R275" s="16" t="s">
        <v>17</v>
      </c>
      <c r="S275" s="16" t="s">
        <v>2109</v>
      </c>
      <c r="T275" s="16"/>
    </row>
    <row r="276" ht="26.25" customHeight="1">
      <c r="A276" s="41">
        <v>46134.61856657408</v>
      </c>
      <c r="B276" s="16" t="s">
        <v>104</v>
      </c>
      <c r="C276" s="16" t="s">
        <v>982</v>
      </c>
      <c r="D276" s="17"/>
      <c r="E276" s="31"/>
      <c r="F276" s="39">
        <v>4.0</v>
      </c>
      <c r="G276" s="12" t="s">
        <v>181</v>
      </c>
      <c r="H276" s="52">
        <v>46134.0</v>
      </c>
      <c r="I276" s="16" t="s">
        <v>17</v>
      </c>
      <c r="J276" s="16" t="s">
        <v>92</v>
      </c>
      <c r="K276" s="12" t="s">
        <v>2226</v>
      </c>
      <c r="L276" s="16" t="s">
        <v>1447</v>
      </c>
      <c r="M276" s="16" t="s">
        <v>2111</v>
      </c>
      <c r="N276" s="16" t="s">
        <v>982</v>
      </c>
      <c r="O276" s="16" t="s">
        <v>2227</v>
      </c>
      <c r="P276" s="18"/>
      <c r="Q276" s="16" t="s">
        <v>52</v>
      </c>
      <c r="R276" s="16" t="s">
        <v>17</v>
      </c>
      <c r="S276" s="16"/>
      <c r="T276" s="16"/>
    </row>
    <row r="277" ht="26.25" customHeight="1">
      <c r="A277" s="41">
        <v>46135.34733016204</v>
      </c>
      <c r="B277" s="16" t="s">
        <v>49</v>
      </c>
      <c r="C277" s="16" t="s">
        <v>496</v>
      </c>
      <c r="D277" s="17"/>
      <c r="E277" s="31"/>
      <c r="F277" s="39">
        <v>2.0</v>
      </c>
      <c r="G277" s="12" t="s">
        <v>181</v>
      </c>
      <c r="H277" s="52">
        <v>46135.0</v>
      </c>
      <c r="I277" s="16" t="s">
        <v>2228</v>
      </c>
      <c r="J277" s="16" t="s">
        <v>51</v>
      </c>
      <c r="K277" s="13"/>
      <c r="L277" s="16" t="s">
        <v>1601</v>
      </c>
      <c r="M277" s="16" t="s">
        <v>2100</v>
      </c>
      <c r="N277" s="16" t="s">
        <v>496</v>
      </c>
      <c r="O277" s="16" t="s">
        <v>1843</v>
      </c>
      <c r="P277" s="18"/>
      <c r="Q277" s="16" t="s">
        <v>52</v>
      </c>
      <c r="R277" s="16" t="s">
        <v>288</v>
      </c>
      <c r="S277" s="16" t="s">
        <v>1895</v>
      </c>
      <c r="T277" s="16"/>
    </row>
    <row r="278" ht="26.25" customHeight="1">
      <c r="A278" s="41">
        <v>46135.352044432875</v>
      </c>
      <c r="B278" s="16" t="s">
        <v>49</v>
      </c>
      <c r="C278" s="16" t="s">
        <v>459</v>
      </c>
      <c r="D278" s="17"/>
      <c r="E278" s="31"/>
      <c r="F278" s="16">
        <v>22.0</v>
      </c>
      <c r="G278" s="12" t="s">
        <v>181</v>
      </c>
      <c r="H278" s="52">
        <v>46135.0</v>
      </c>
      <c r="I278" s="16" t="s">
        <v>192</v>
      </c>
      <c r="J278" s="16" t="s">
        <v>51</v>
      </c>
      <c r="K278" s="13"/>
      <c r="L278" s="16" t="s">
        <v>1601</v>
      </c>
      <c r="M278" s="16" t="s">
        <v>2100</v>
      </c>
      <c r="N278" s="16" t="s">
        <v>460</v>
      </c>
      <c r="O278" s="16" t="s">
        <v>2145</v>
      </c>
      <c r="P278" s="18"/>
      <c r="Q278" s="16" t="s">
        <v>52</v>
      </c>
      <c r="R278" s="16" t="s">
        <v>288</v>
      </c>
      <c r="S278" s="16" t="s">
        <v>1895</v>
      </c>
      <c r="T278" s="16"/>
    </row>
    <row r="279" ht="26.25" customHeight="1">
      <c r="A279" s="41">
        <v>46135.52909607639</v>
      </c>
      <c r="B279" s="16" t="s">
        <v>75</v>
      </c>
      <c r="C279" s="16" t="s">
        <v>985</v>
      </c>
      <c r="D279" s="17"/>
      <c r="E279" s="31"/>
      <c r="F279" s="39">
        <v>1.0</v>
      </c>
      <c r="G279" s="12" t="s">
        <v>181</v>
      </c>
      <c r="H279" s="52">
        <v>46135.0</v>
      </c>
      <c r="I279" s="16" t="s">
        <v>77</v>
      </c>
      <c r="J279" s="16" t="s">
        <v>92</v>
      </c>
      <c r="K279" s="12" t="s">
        <v>2229</v>
      </c>
      <c r="L279" s="16" t="s">
        <v>1447</v>
      </c>
      <c r="M279" s="16" t="s">
        <v>2135</v>
      </c>
      <c r="N279" s="16" t="s">
        <v>985</v>
      </c>
      <c r="O279" s="16" t="s">
        <v>2230</v>
      </c>
      <c r="P279" s="18"/>
      <c r="Q279" s="16" t="s">
        <v>52</v>
      </c>
      <c r="R279" s="16" t="s">
        <v>986</v>
      </c>
      <c r="S279" s="16"/>
      <c r="T279" s="16"/>
    </row>
    <row r="280" ht="26.25" customHeight="1">
      <c r="A280" s="41">
        <v>46135.53121184028</v>
      </c>
      <c r="B280" s="16" t="s">
        <v>104</v>
      </c>
      <c r="C280" s="16" t="s">
        <v>989</v>
      </c>
      <c r="D280" s="17"/>
      <c r="E280" s="31"/>
      <c r="F280" s="16">
        <v>2.0</v>
      </c>
      <c r="G280" s="12" t="s">
        <v>181</v>
      </c>
      <c r="H280" s="52">
        <v>46135.0</v>
      </c>
      <c r="I280" s="16" t="s">
        <v>267</v>
      </c>
      <c r="J280" s="16" t="s">
        <v>92</v>
      </c>
      <c r="K280" s="12" t="s">
        <v>2231</v>
      </c>
      <c r="L280" s="16" t="s">
        <v>1447</v>
      </c>
      <c r="M280" s="16" t="s">
        <v>2135</v>
      </c>
      <c r="N280" s="16" t="s">
        <v>989</v>
      </c>
      <c r="O280" s="16" t="s">
        <v>2232</v>
      </c>
      <c r="P280" s="18"/>
      <c r="Q280" s="16" t="s">
        <v>52</v>
      </c>
      <c r="R280" s="16" t="s">
        <v>267</v>
      </c>
      <c r="S280" s="16"/>
      <c r="T280" s="16"/>
    </row>
    <row r="281" ht="26.25" customHeight="1">
      <c r="A281" s="41">
        <v>46135.535618298614</v>
      </c>
      <c r="B281" s="16" t="s">
        <v>49</v>
      </c>
      <c r="C281" s="16" t="s">
        <v>504</v>
      </c>
      <c r="D281" s="16" t="s">
        <v>2233</v>
      </c>
      <c r="E281" s="42" t="s">
        <v>2234</v>
      </c>
      <c r="F281" s="39">
        <v>12.0</v>
      </c>
      <c r="G281" s="12" t="s">
        <v>181</v>
      </c>
      <c r="H281" s="52">
        <v>46135.0</v>
      </c>
      <c r="I281" s="16" t="s">
        <v>189</v>
      </c>
      <c r="J281" s="16" t="s">
        <v>51</v>
      </c>
      <c r="K281" s="12" t="s">
        <v>2235</v>
      </c>
      <c r="L281" s="16" t="s">
        <v>1447</v>
      </c>
      <c r="M281" s="17"/>
      <c r="N281" s="16" t="s">
        <v>504</v>
      </c>
      <c r="O281" s="16" t="s">
        <v>2236</v>
      </c>
      <c r="P281" s="18"/>
      <c r="Q281" s="16" t="s">
        <v>52</v>
      </c>
      <c r="R281" s="16" t="s">
        <v>189</v>
      </c>
      <c r="S281" s="16" t="s">
        <v>1493</v>
      </c>
      <c r="T281" s="16"/>
    </row>
    <row r="282" ht="26.25" customHeight="1">
      <c r="A282" s="41">
        <v>46135.548309074074</v>
      </c>
      <c r="B282" s="16" t="s">
        <v>34</v>
      </c>
      <c r="C282" s="16" t="s">
        <v>940</v>
      </c>
      <c r="D282" s="16"/>
      <c r="E282" s="31"/>
      <c r="F282" s="39">
        <v>1.0</v>
      </c>
      <c r="G282" s="12" t="s">
        <v>181</v>
      </c>
      <c r="H282" s="52">
        <v>46091.0</v>
      </c>
      <c r="I282" s="16" t="s">
        <v>183</v>
      </c>
      <c r="J282" s="16" t="s">
        <v>35</v>
      </c>
      <c r="K282" s="12" t="s">
        <v>2237</v>
      </c>
      <c r="L282" s="16" t="s">
        <v>1447</v>
      </c>
      <c r="M282" s="17"/>
      <c r="N282" s="16" t="s">
        <v>940</v>
      </c>
      <c r="O282" s="16" t="s">
        <v>2238</v>
      </c>
      <c r="P282" s="18"/>
      <c r="Q282" s="16" t="s">
        <v>52</v>
      </c>
      <c r="R282" s="16" t="s">
        <v>183</v>
      </c>
      <c r="S282" s="16" t="s">
        <v>1493</v>
      </c>
      <c r="T282" s="16"/>
    </row>
    <row r="283" ht="26.25" customHeight="1">
      <c r="A283" s="41">
        <v>46135.55269109954</v>
      </c>
      <c r="B283" s="16" t="s">
        <v>49</v>
      </c>
      <c r="C283" s="16" t="s">
        <v>940</v>
      </c>
      <c r="D283" s="16"/>
      <c r="E283" s="42" t="s">
        <v>2239</v>
      </c>
      <c r="F283" s="39">
        <v>1.0</v>
      </c>
      <c r="G283" s="12" t="s">
        <v>181</v>
      </c>
      <c r="H283" s="52">
        <v>46091.0</v>
      </c>
      <c r="I283" s="16" t="s">
        <v>192</v>
      </c>
      <c r="J283" s="16" t="s">
        <v>35</v>
      </c>
      <c r="K283" s="12" t="s">
        <v>2240</v>
      </c>
      <c r="L283" s="16" t="s">
        <v>1447</v>
      </c>
      <c r="M283" s="17"/>
      <c r="N283" s="16" t="s">
        <v>940</v>
      </c>
      <c r="O283" s="16" t="s">
        <v>2241</v>
      </c>
      <c r="P283" s="18"/>
      <c r="Q283" s="16" t="s">
        <v>52</v>
      </c>
      <c r="R283" s="16" t="s">
        <v>192</v>
      </c>
      <c r="S283" s="16" t="s">
        <v>1493</v>
      </c>
      <c r="T283" s="16"/>
    </row>
    <row r="284" ht="26.25" customHeight="1">
      <c r="A284" s="41">
        <v>46136.33145378472</v>
      </c>
      <c r="B284" s="16" t="s">
        <v>34</v>
      </c>
      <c r="C284" s="16" t="s">
        <v>509</v>
      </c>
      <c r="D284" s="17"/>
      <c r="E284" s="31"/>
      <c r="F284" s="39">
        <v>1.0</v>
      </c>
      <c r="G284" s="12" t="s">
        <v>181</v>
      </c>
      <c r="H284" s="52">
        <v>46133.0</v>
      </c>
      <c r="I284" s="16" t="s">
        <v>183</v>
      </c>
      <c r="J284" s="16" t="s">
        <v>51</v>
      </c>
      <c r="K284" s="12" t="s">
        <v>2242</v>
      </c>
      <c r="L284" s="16" t="s">
        <v>1447</v>
      </c>
      <c r="M284" s="17"/>
      <c r="N284" s="16" t="s">
        <v>509</v>
      </c>
      <c r="O284" s="16" t="s">
        <v>2243</v>
      </c>
      <c r="P284" s="18"/>
      <c r="Q284" s="16" t="s">
        <v>52</v>
      </c>
      <c r="R284" s="16" t="s">
        <v>183</v>
      </c>
      <c r="S284" s="16"/>
      <c r="T284" s="16"/>
    </row>
    <row r="285" ht="26.25" customHeight="1">
      <c r="A285" s="41">
        <v>46136.40144822917</v>
      </c>
      <c r="B285" s="16" t="s">
        <v>34</v>
      </c>
      <c r="C285" s="16" t="s">
        <v>515</v>
      </c>
      <c r="D285" s="16" t="s">
        <v>2094</v>
      </c>
      <c r="E285" s="42" t="s">
        <v>1922</v>
      </c>
      <c r="F285" s="39">
        <v>13.0</v>
      </c>
      <c r="G285" s="12" t="s">
        <v>181</v>
      </c>
      <c r="H285" s="52">
        <v>46136.0</v>
      </c>
      <c r="I285" s="16" t="s">
        <v>164</v>
      </c>
      <c r="J285" s="16" t="s">
        <v>35</v>
      </c>
      <c r="K285" s="12" t="s">
        <v>2244</v>
      </c>
      <c r="L285" s="16" t="s">
        <v>1447</v>
      </c>
      <c r="M285" s="16" t="s">
        <v>2100</v>
      </c>
      <c r="N285" s="16" t="s">
        <v>2245</v>
      </c>
      <c r="O285" s="16" t="s">
        <v>2246</v>
      </c>
      <c r="P285" s="18"/>
      <c r="Q285" s="16" t="s">
        <v>52</v>
      </c>
      <c r="R285" s="16" t="s">
        <v>164</v>
      </c>
      <c r="S285" s="16"/>
      <c r="T285" s="16"/>
    </row>
    <row r="286" ht="26.25" customHeight="1">
      <c r="A286" s="41">
        <v>46136.412297523144</v>
      </c>
      <c r="B286" s="16" t="s">
        <v>49</v>
      </c>
      <c r="C286" s="16" t="s">
        <v>515</v>
      </c>
      <c r="D286" s="16" t="s">
        <v>1922</v>
      </c>
      <c r="E286" s="42" t="s">
        <v>2247</v>
      </c>
      <c r="F286" s="39">
        <v>7.0</v>
      </c>
      <c r="G286" s="12" t="s">
        <v>181</v>
      </c>
      <c r="H286" s="52">
        <v>46136.0</v>
      </c>
      <c r="I286" s="16" t="s">
        <v>165</v>
      </c>
      <c r="J286" s="16" t="s">
        <v>35</v>
      </c>
      <c r="K286" s="12" t="s">
        <v>2248</v>
      </c>
      <c r="L286" s="16" t="s">
        <v>1447</v>
      </c>
      <c r="M286" s="16" t="s">
        <v>2100</v>
      </c>
      <c r="N286" s="16" t="s">
        <v>2245</v>
      </c>
      <c r="O286" s="16" t="s">
        <v>2249</v>
      </c>
      <c r="P286" s="18"/>
      <c r="Q286" s="16" t="s">
        <v>52</v>
      </c>
      <c r="R286" s="16" t="s">
        <v>165</v>
      </c>
      <c r="S286" s="16" t="s">
        <v>1493</v>
      </c>
      <c r="T286" s="16"/>
    </row>
    <row r="287" ht="26.25" customHeight="1">
      <c r="A287" s="41">
        <v>46136.41543288194</v>
      </c>
      <c r="B287" s="16" t="s">
        <v>49</v>
      </c>
      <c r="C287" s="16" t="s">
        <v>509</v>
      </c>
      <c r="D287" s="17"/>
      <c r="E287" s="42" t="s">
        <v>2250</v>
      </c>
      <c r="F287" s="39">
        <v>1.0</v>
      </c>
      <c r="G287" s="12" t="s">
        <v>181</v>
      </c>
      <c r="H287" s="52">
        <v>46136.0</v>
      </c>
      <c r="I287" s="16" t="s">
        <v>189</v>
      </c>
      <c r="J287" s="16" t="s">
        <v>51</v>
      </c>
      <c r="K287" s="12" t="s">
        <v>2251</v>
      </c>
      <c r="L287" s="16" t="s">
        <v>1447</v>
      </c>
      <c r="M287" s="17"/>
      <c r="N287" s="16" t="s">
        <v>509</v>
      </c>
      <c r="O287" s="16" t="s">
        <v>2252</v>
      </c>
      <c r="P287" s="18"/>
      <c r="Q287" s="16" t="s">
        <v>52</v>
      </c>
      <c r="R287" s="16" t="s">
        <v>189</v>
      </c>
      <c r="S287" s="16" t="s">
        <v>1493</v>
      </c>
      <c r="T287" s="16"/>
    </row>
    <row r="288" ht="26.25" customHeight="1">
      <c r="A288" s="41">
        <v>46136.50050822917</v>
      </c>
      <c r="B288" s="16" t="s">
        <v>86</v>
      </c>
      <c r="C288" s="16" t="s">
        <v>998</v>
      </c>
      <c r="D288" s="17"/>
      <c r="E288" s="31"/>
      <c r="F288" s="39">
        <v>6.0</v>
      </c>
      <c r="G288" s="12" t="s">
        <v>181</v>
      </c>
      <c r="H288" s="52">
        <v>46136.0</v>
      </c>
      <c r="I288" s="16" t="s">
        <v>83</v>
      </c>
      <c r="J288" s="16" t="s">
        <v>105</v>
      </c>
      <c r="K288" s="12" t="s">
        <v>2253</v>
      </c>
      <c r="L288" s="16" t="s">
        <v>1447</v>
      </c>
      <c r="M288" s="16" t="s">
        <v>2100</v>
      </c>
      <c r="N288" s="17"/>
      <c r="O288" s="16" t="s">
        <v>2254</v>
      </c>
      <c r="P288" s="18"/>
      <c r="Q288" s="16" t="s">
        <v>52</v>
      </c>
      <c r="R288" s="16" t="s">
        <v>83</v>
      </c>
      <c r="S288" s="16"/>
      <c r="T288" s="16"/>
    </row>
    <row r="289" ht="26.25" customHeight="1">
      <c r="A289" s="41">
        <v>46139.57498215278</v>
      </c>
      <c r="B289" s="16" t="s">
        <v>104</v>
      </c>
      <c r="C289" s="16" t="s">
        <v>463</v>
      </c>
      <c r="D289" s="17"/>
      <c r="E289" s="31"/>
      <c r="F289" s="39">
        <v>-1.0</v>
      </c>
      <c r="G289" s="12" t="s">
        <v>181</v>
      </c>
      <c r="H289" s="52">
        <v>46139.0</v>
      </c>
      <c r="I289" s="16" t="s">
        <v>267</v>
      </c>
      <c r="J289" s="17"/>
      <c r="K289" s="13"/>
      <c r="L289" s="16" t="s">
        <v>1601</v>
      </c>
      <c r="M289" s="16" t="s">
        <v>388</v>
      </c>
      <c r="N289" s="16" t="s">
        <v>463</v>
      </c>
      <c r="O289" s="16" t="s">
        <v>2153</v>
      </c>
      <c r="P289" s="18"/>
      <c r="Q289" s="16" t="s">
        <v>52</v>
      </c>
      <c r="R289" s="16" t="s">
        <v>463</v>
      </c>
      <c r="S289" s="16" t="s">
        <v>1607</v>
      </c>
      <c r="T289" s="16"/>
    </row>
    <row r="290" ht="26.25" customHeight="1">
      <c r="A290" s="41">
        <v>46139.577997395834</v>
      </c>
      <c r="B290" s="16" t="s">
        <v>68</v>
      </c>
      <c r="C290" s="16" t="s">
        <v>1001</v>
      </c>
      <c r="D290" s="17"/>
      <c r="E290" s="31"/>
      <c r="F290" s="39">
        <v>9.0</v>
      </c>
      <c r="G290" s="12" t="s">
        <v>181</v>
      </c>
      <c r="H290" s="52">
        <v>46139.0</v>
      </c>
      <c r="I290" s="16" t="s">
        <v>17</v>
      </c>
      <c r="J290" s="16" t="s">
        <v>110</v>
      </c>
      <c r="K290" s="12" t="s">
        <v>2255</v>
      </c>
      <c r="L290" s="16" t="s">
        <v>1447</v>
      </c>
      <c r="M290" s="16" t="s">
        <v>2100</v>
      </c>
      <c r="N290" s="16" t="s">
        <v>907</v>
      </c>
      <c r="O290" s="16" t="s">
        <v>2256</v>
      </c>
      <c r="P290" s="18"/>
      <c r="Q290" s="16" t="s">
        <v>52</v>
      </c>
      <c r="R290" s="16" t="s">
        <v>17</v>
      </c>
      <c r="S290" s="16" t="s">
        <v>2109</v>
      </c>
      <c r="T290" s="16"/>
    </row>
    <row r="291" ht="26.25" customHeight="1">
      <c r="A291" s="41">
        <v>46139.5798127662</v>
      </c>
      <c r="B291" s="16" t="s">
        <v>68</v>
      </c>
      <c r="C291" s="16" t="s">
        <v>1001</v>
      </c>
      <c r="D291" s="17"/>
      <c r="E291" s="31"/>
      <c r="F291" s="39">
        <v>9.0</v>
      </c>
      <c r="G291" s="12" t="s">
        <v>181</v>
      </c>
      <c r="H291" s="52">
        <v>46139.0</v>
      </c>
      <c r="I291" s="16" t="s">
        <v>17</v>
      </c>
      <c r="J291" s="16" t="s">
        <v>110</v>
      </c>
      <c r="K291" s="12" t="s">
        <v>2257</v>
      </c>
      <c r="L291" s="16" t="s">
        <v>1447</v>
      </c>
      <c r="M291" s="16" t="s">
        <v>2100</v>
      </c>
      <c r="N291" s="16" t="s">
        <v>907</v>
      </c>
      <c r="O291" s="16" t="s">
        <v>2256</v>
      </c>
      <c r="P291" s="18"/>
      <c r="Q291" s="16" t="s">
        <v>52</v>
      </c>
      <c r="R291" s="16" t="s">
        <v>17</v>
      </c>
      <c r="S291" s="16" t="s">
        <v>2109</v>
      </c>
      <c r="T291" s="16"/>
    </row>
    <row r="292" ht="26.25" customHeight="1">
      <c r="A292" s="41">
        <v>46139.58077204861</v>
      </c>
      <c r="B292" s="16" t="s">
        <v>68</v>
      </c>
      <c r="C292" s="16" t="s">
        <v>1001</v>
      </c>
      <c r="D292" s="17"/>
      <c r="E292" s="31"/>
      <c r="F292" s="39">
        <v>11.0</v>
      </c>
      <c r="G292" s="12" t="s">
        <v>181</v>
      </c>
      <c r="H292" s="52">
        <v>46139.0</v>
      </c>
      <c r="I292" s="16" t="s">
        <v>17</v>
      </c>
      <c r="J292" s="16" t="s">
        <v>110</v>
      </c>
      <c r="K292" s="12" t="s">
        <v>2258</v>
      </c>
      <c r="L292" s="16" t="s">
        <v>1447</v>
      </c>
      <c r="M292" s="16" t="s">
        <v>2100</v>
      </c>
      <c r="N292" s="16" t="s">
        <v>907</v>
      </c>
      <c r="O292" s="16" t="s">
        <v>2256</v>
      </c>
      <c r="P292" s="18"/>
      <c r="Q292" s="16" t="s">
        <v>52</v>
      </c>
      <c r="R292" s="16" t="s">
        <v>17</v>
      </c>
      <c r="S292" s="16" t="s">
        <v>2109</v>
      </c>
      <c r="T292" s="16"/>
    </row>
    <row r="293" ht="26.25" customHeight="1">
      <c r="A293" s="41">
        <v>46139.58267070602</v>
      </c>
      <c r="B293" s="16" t="s">
        <v>68</v>
      </c>
      <c r="C293" s="16" t="s">
        <v>1001</v>
      </c>
      <c r="D293" s="17"/>
      <c r="E293" s="31"/>
      <c r="F293" s="39">
        <v>4.0</v>
      </c>
      <c r="G293" s="12" t="s">
        <v>181</v>
      </c>
      <c r="H293" s="52">
        <v>46139.0</v>
      </c>
      <c r="I293" s="16" t="s">
        <v>17</v>
      </c>
      <c r="J293" s="16" t="s">
        <v>110</v>
      </c>
      <c r="K293" s="12" t="s">
        <v>2259</v>
      </c>
      <c r="L293" s="16" t="s">
        <v>1447</v>
      </c>
      <c r="M293" s="16" t="s">
        <v>2100</v>
      </c>
      <c r="N293" s="16" t="s">
        <v>907</v>
      </c>
      <c r="O293" s="16" t="s">
        <v>2256</v>
      </c>
      <c r="P293" s="18"/>
      <c r="Q293" s="16" t="s">
        <v>52</v>
      </c>
      <c r="R293" s="16" t="s">
        <v>17</v>
      </c>
      <c r="S293" s="16" t="s">
        <v>2109</v>
      </c>
      <c r="T293" s="16"/>
    </row>
    <row r="294" ht="26.25" customHeight="1">
      <c r="A294" s="41">
        <v>46139.58429417824</v>
      </c>
      <c r="B294" s="16" t="s">
        <v>68</v>
      </c>
      <c r="C294" s="16" t="s">
        <v>103</v>
      </c>
      <c r="D294" s="17"/>
      <c r="E294" s="31"/>
      <c r="F294" s="39">
        <v>8.0</v>
      </c>
      <c r="G294" s="12" t="s">
        <v>181</v>
      </c>
      <c r="H294" s="52">
        <v>46139.0</v>
      </c>
      <c r="I294" s="16" t="s">
        <v>17</v>
      </c>
      <c r="J294" s="16" t="s">
        <v>110</v>
      </c>
      <c r="K294" s="12" t="s">
        <v>2260</v>
      </c>
      <c r="L294" s="16" t="s">
        <v>1447</v>
      </c>
      <c r="M294" s="16" t="s">
        <v>2100</v>
      </c>
      <c r="N294" s="16" t="s">
        <v>103</v>
      </c>
      <c r="O294" s="16" t="s">
        <v>2106</v>
      </c>
      <c r="P294" s="18"/>
      <c r="Q294" s="16" t="s">
        <v>52</v>
      </c>
      <c r="R294" s="16" t="s">
        <v>17</v>
      </c>
      <c r="S294" s="16"/>
      <c r="T294" s="16"/>
    </row>
    <row r="295" ht="26.25" customHeight="1">
      <c r="A295" s="41">
        <v>46139.58524364584</v>
      </c>
      <c r="B295" s="16" t="s">
        <v>68</v>
      </c>
      <c r="C295" s="16" t="s">
        <v>103</v>
      </c>
      <c r="D295" s="17"/>
      <c r="E295" s="31"/>
      <c r="F295" s="39">
        <v>8.0</v>
      </c>
      <c r="G295" s="12" t="s">
        <v>181</v>
      </c>
      <c r="H295" s="52">
        <v>46139.0</v>
      </c>
      <c r="I295" s="16" t="s">
        <v>17</v>
      </c>
      <c r="J295" s="16" t="s">
        <v>110</v>
      </c>
      <c r="K295" s="12" t="s">
        <v>2261</v>
      </c>
      <c r="L295" s="16" t="s">
        <v>1447</v>
      </c>
      <c r="M295" s="16" t="s">
        <v>2100</v>
      </c>
      <c r="N295" s="16" t="s">
        <v>103</v>
      </c>
      <c r="O295" s="16" t="s">
        <v>2106</v>
      </c>
      <c r="P295" s="18"/>
      <c r="Q295" s="16" t="s">
        <v>52</v>
      </c>
      <c r="R295" s="16" t="s">
        <v>17</v>
      </c>
      <c r="S295" s="16"/>
      <c r="T295" s="16"/>
    </row>
    <row r="296" ht="26.25" customHeight="1">
      <c r="A296" s="41">
        <v>46139.58639333333</v>
      </c>
      <c r="B296" s="16" t="s">
        <v>68</v>
      </c>
      <c r="C296" s="16" t="s">
        <v>103</v>
      </c>
      <c r="D296" s="17"/>
      <c r="E296" s="31"/>
      <c r="F296" s="39">
        <v>9.0</v>
      </c>
      <c r="G296" s="12" t="s">
        <v>181</v>
      </c>
      <c r="H296" s="52">
        <v>46139.0</v>
      </c>
      <c r="I296" s="16" t="s">
        <v>17</v>
      </c>
      <c r="J296" s="16" t="s">
        <v>110</v>
      </c>
      <c r="K296" s="12" t="s">
        <v>2262</v>
      </c>
      <c r="L296" s="16" t="s">
        <v>1447</v>
      </c>
      <c r="M296" s="16" t="s">
        <v>2100</v>
      </c>
      <c r="N296" s="16" t="s">
        <v>103</v>
      </c>
      <c r="O296" s="16" t="s">
        <v>2106</v>
      </c>
      <c r="P296" s="18"/>
      <c r="Q296" s="16" t="s">
        <v>52</v>
      </c>
      <c r="R296" s="16" t="s">
        <v>17</v>
      </c>
      <c r="S296" s="16"/>
      <c r="T296" s="16"/>
    </row>
    <row r="297" ht="26.25" customHeight="1">
      <c r="A297" s="41">
        <v>46139.60858609954</v>
      </c>
      <c r="B297" s="16" t="s">
        <v>34</v>
      </c>
      <c r="C297" s="16" t="s">
        <v>509</v>
      </c>
      <c r="D297" s="17"/>
      <c r="E297" s="31"/>
      <c r="F297" s="39">
        <v>-1.0</v>
      </c>
      <c r="G297" s="12" t="s">
        <v>181</v>
      </c>
      <c r="H297" s="52">
        <v>46139.0</v>
      </c>
      <c r="I297" s="16" t="s">
        <v>183</v>
      </c>
      <c r="J297" s="17"/>
      <c r="K297" s="13"/>
      <c r="L297" s="16" t="s">
        <v>1601</v>
      </c>
      <c r="M297" s="16" t="s">
        <v>388</v>
      </c>
      <c r="N297" s="16" t="s">
        <v>509</v>
      </c>
      <c r="O297" s="16" t="s">
        <v>2243</v>
      </c>
      <c r="P297" s="18"/>
      <c r="Q297" s="16" t="s">
        <v>52</v>
      </c>
      <c r="R297" s="16" t="s">
        <v>509</v>
      </c>
      <c r="S297" s="16" t="s">
        <v>1607</v>
      </c>
      <c r="T297" s="16"/>
    </row>
    <row r="298" ht="26.25" customHeight="1">
      <c r="A298" s="41">
        <v>46140.55154755787</v>
      </c>
      <c r="B298" s="16" t="s">
        <v>75</v>
      </c>
      <c r="C298" s="16" t="s">
        <v>1004</v>
      </c>
      <c r="D298" s="17"/>
      <c r="E298" s="31"/>
      <c r="F298" s="39">
        <v>2.0</v>
      </c>
      <c r="G298" s="12" t="s">
        <v>181</v>
      </c>
      <c r="H298" s="51">
        <v>46139.0</v>
      </c>
      <c r="I298" s="16" t="s">
        <v>272</v>
      </c>
      <c r="J298" s="16" t="s">
        <v>92</v>
      </c>
      <c r="K298" s="12" t="s">
        <v>2263</v>
      </c>
      <c r="L298" s="16" t="s">
        <v>1447</v>
      </c>
      <c r="M298" s="16" t="s">
        <v>2111</v>
      </c>
      <c r="N298" s="16" t="s">
        <v>85</v>
      </c>
      <c r="O298" s="16" t="s">
        <v>2264</v>
      </c>
      <c r="P298" s="18"/>
      <c r="Q298" s="16" t="s">
        <v>52</v>
      </c>
      <c r="R298" s="16" t="s">
        <v>272</v>
      </c>
      <c r="S298" s="16" t="s">
        <v>1493</v>
      </c>
      <c r="T298" s="16"/>
    </row>
    <row r="299" ht="26.25" customHeight="1">
      <c r="A299" s="54">
        <v>46142.527294432875</v>
      </c>
      <c r="B299" s="16" t="s">
        <v>34</v>
      </c>
      <c r="C299" s="16" t="s">
        <v>520</v>
      </c>
      <c r="D299" s="17"/>
      <c r="E299" s="42" t="s">
        <v>2265</v>
      </c>
      <c r="F299" s="39">
        <v>11.0</v>
      </c>
      <c r="G299" s="12" t="s">
        <v>181</v>
      </c>
      <c r="H299" s="52">
        <v>46142.0</v>
      </c>
      <c r="I299" s="16" t="s">
        <v>164</v>
      </c>
      <c r="J299" s="16" t="s">
        <v>51</v>
      </c>
      <c r="K299" s="12" t="s">
        <v>2183</v>
      </c>
      <c r="L299" s="16" t="s">
        <v>1447</v>
      </c>
      <c r="M299" s="16" t="s">
        <v>393</v>
      </c>
      <c r="N299" s="16" t="s">
        <v>520</v>
      </c>
      <c r="O299" s="16" t="s">
        <v>2266</v>
      </c>
      <c r="P299" s="18"/>
      <c r="Q299" s="16" t="s">
        <v>52</v>
      </c>
      <c r="R299" s="17"/>
      <c r="S299" s="16" t="s">
        <v>1493</v>
      </c>
      <c r="T299" s="16"/>
    </row>
    <row r="300" ht="26.25" customHeight="1">
      <c r="A300" s="41">
        <v>46142.53476792824</v>
      </c>
      <c r="B300" s="16" t="s">
        <v>49</v>
      </c>
      <c r="C300" s="16" t="s">
        <v>504</v>
      </c>
      <c r="D300" s="17"/>
      <c r="E300" s="31"/>
      <c r="F300" s="39">
        <v>-12.0</v>
      </c>
      <c r="G300" s="12" t="s">
        <v>181</v>
      </c>
      <c r="H300" s="52">
        <v>46142.0</v>
      </c>
      <c r="I300" s="16" t="s">
        <v>189</v>
      </c>
      <c r="J300" s="17"/>
      <c r="K300" s="13"/>
      <c r="L300" s="16" t="s">
        <v>1601</v>
      </c>
      <c r="M300" s="16" t="s">
        <v>2267</v>
      </c>
      <c r="N300" s="16" t="s">
        <v>504</v>
      </c>
      <c r="O300" s="16" t="s">
        <v>2236</v>
      </c>
      <c r="P300" s="18"/>
      <c r="Q300" s="16" t="s">
        <v>52</v>
      </c>
      <c r="R300" s="16" t="s">
        <v>189</v>
      </c>
      <c r="S300" s="16" t="s">
        <v>1607</v>
      </c>
      <c r="T300" s="16"/>
    </row>
    <row r="301" ht="26.25" customHeight="1">
      <c r="A301" s="41">
        <v>46142.61083215278</v>
      </c>
      <c r="B301" s="16" t="s">
        <v>49</v>
      </c>
      <c r="C301" s="16" t="s">
        <v>520</v>
      </c>
      <c r="D301" s="17"/>
      <c r="E301" s="42" t="s">
        <v>2265</v>
      </c>
      <c r="F301" s="39">
        <v>11.0</v>
      </c>
      <c r="G301" s="12" t="s">
        <v>181</v>
      </c>
      <c r="H301" s="52">
        <v>46142.0</v>
      </c>
      <c r="I301" s="16" t="s">
        <v>189</v>
      </c>
      <c r="J301" s="16" t="s">
        <v>51</v>
      </c>
      <c r="K301" s="12" t="s">
        <v>2268</v>
      </c>
      <c r="L301" s="16" t="s">
        <v>1447</v>
      </c>
      <c r="M301" s="16" t="s">
        <v>393</v>
      </c>
      <c r="N301" s="16" t="s">
        <v>520</v>
      </c>
      <c r="O301" s="16" t="s">
        <v>2269</v>
      </c>
      <c r="P301" s="18"/>
      <c r="Q301" s="16" t="s">
        <v>52</v>
      </c>
      <c r="R301" s="16" t="s">
        <v>189</v>
      </c>
      <c r="S301" s="16" t="s">
        <v>1493</v>
      </c>
      <c r="T301" s="16"/>
    </row>
    <row r="302" ht="26.25" customHeight="1">
      <c r="A302" s="54">
        <v>46143.40127311343</v>
      </c>
      <c r="B302" s="16" t="s">
        <v>34</v>
      </c>
      <c r="C302" s="16" t="s">
        <v>526</v>
      </c>
      <c r="D302" s="16" t="s">
        <v>2270</v>
      </c>
      <c r="E302" s="31"/>
      <c r="F302" s="39">
        <v>16.0</v>
      </c>
      <c r="G302" s="12" t="s">
        <v>181</v>
      </c>
      <c r="H302" s="52">
        <v>46143.0</v>
      </c>
      <c r="I302" s="16" t="s">
        <v>2271</v>
      </c>
      <c r="J302" s="16" t="s">
        <v>35</v>
      </c>
      <c r="K302" s="12" t="s">
        <v>2075</v>
      </c>
      <c r="L302" s="16" t="s">
        <v>1447</v>
      </c>
      <c r="M302" s="16" t="s">
        <v>2100</v>
      </c>
      <c r="N302" s="16" t="s">
        <v>526</v>
      </c>
      <c r="O302" s="16" t="s">
        <v>2272</v>
      </c>
      <c r="P302" s="18"/>
      <c r="Q302" s="16" t="s">
        <v>52</v>
      </c>
      <c r="R302" s="16" t="s">
        <v>2271</v>
      </c>
      <c r="S302" s="16" t="s">
        <v>1493</v>
      </c>
      <c r="T302" s="16"/>
    </row>
    <row r="303" ht="26.25" customHeight="1">
      <c r="A303" s="54">
        <v>46143.40757443287</v>
      </c>
      <c r="B303" s="16" t="s">
        <v>49</v>
      </c>
      <c r="C303" s="16" t="s">
        <v>526</v>
      </c>
      <c r="D303" s="16" t="s">
        <v>2270</v>
      </c>
      <c r="E303" s="42" t="s">
        <v>2273</v>
      </c>
      <c r="F303" s="39">
        <v>12.0</v>
      </c>
      <c r="G303" s="12" t="s">
        <v>181</v>
      </c>
      <c r="H303" s="52">
        <v>46143.0</v>
      </c>
      <c r="I303" s="16" t="s">
        <v>165</v>
      </c>
      <c r="J303" s="16" t="s">
        <v>35</v>
      </c>
      <c r="K303" s="12" t="s">
        <v>2200</v>
      </c>
      <c r="L303" s="16" t="s">
        <v>1447</v>
      </c>
      <c r="M303" s="16" t="s">
        <v>2100</v>
      </c>
      <c r="N303" s="16" t="s">
        <v>526</v>
      </c>
      <c r="O303" s="16" t="s">
        <v>2274</v>
      </c>
      <c r="P303" s="18"/>
      <c r="Q303" s="16" t="s">
        <v>52</v>
      </c>
      <c r="R303" s="16" t="s">
        <v>165</v>
      </c>
      <c r="S303" s="16" t="s">
        <v>1493</v>
      </c>
      <c r="T303" s="16"/>
    </row>
    <row r="304" ht="26.25" customHeight="1">
      <c r="A304" s="54">
        <v>46143.41283673611</v>
      </c>
      <c r="B304" s="16" t="s">
        <v>34</v>
      </c>
      <c r="C304" s="16" t="s">
        <v>533</v>
      </c>
      <c r="D304" s="16" t="s">
        <v>1834</v>
      </c>
      <c r="E304" s="31"/>
      <c r="F304" s="39">
        <v>35.0</v>
      </c>
      <c r="G304" s="12" t="s">
        <v>181</v>
      </c>
      <c r="H304" s="52">
        <v>46143.0</v>
      </c>
      <c r="I304" s="16" t="s">
        <v>120</v>
      </c>
      <c r="J304" s="16" t="s">
        <v>35</v>
      </c>
      <c r="K304" s="12" t="s">
        <v>2183</v>
      </c>
      <c r="L304" s="16" t="s">
        <v>1447</v>
      </c>
      <c r="M304" s="16" t="s">
        <v>2100</v>
      </c>
      <c r="N304" s="16" t="s">
        <v>533</v>
      </c>
      <c r="O304" s="16" t="s">
        <v>2275</v>
      </c>
      <c r="P304" s="18"/>
      <c r="Q304" s="16" t="s">
        <v>52</v>
      </c>
      <c r="R304" s="16" t="s">
        <v>120</v>
      </c>
      <c r="S304" s="16" t="s">
        <v>1493</v>
      </c>
      <c r="T304" s="16"/>
    </row>
    <row r="305" ht="26.25" customHeight="1">
      <c r="A305" s="54">
        <v>46143.41789650463</v>
      </c>
      <c r="B305" s="16" t="s">
        <v>49</v>
      </c>
      <c r="C305" s="16" t="s">
        <v>533</v>
      </c>
      <c r="D305" s="16" t="s">
        <v>1834</v>
      </c>
      <c r="E305" s="42" t="s">
        <v>2276</v>
      </c>
      <c r="F305" s="16">
        <v>26.0</v>
      </c>
      <c r="G305" s="12" t="s">
        <v>181</v>
      </c>
      <c r="H305" s="52">
        <v>46143.0</v>
      </c>
      <c r="I305" s="16" t="s">
        <v>165</v>
      </c>
      <c r="J305" s="16" t="s">
        <v>35</v>
      </c>
      <c r="K305" s="12" t="s">
        <v>2194</v>
      </c>
      <c r="L305" s="16" t="s">
        <v>1447</v>
      </c>
      <c r="M305" s="16" t="s">
        <v>2100</v>
      </c>
      <c r="N305" s="16" t="s">
        <v>533</v>
      </c>
      <c r="O305" s="16" t="s">
        <v>2277</v>
      </c>
      <c r="P305" s="18"/>
      <c r="Q305" s="16" t="s">
        <v>52</v>
      </c>
      <c r="R305" s="16" t="s">
        <v>165</v>
      </c>
      <c r="S305" s="16" t="s">
        <v>1493</v>
      </c>
      <c r="T305" s="16"/>
    </row>
    <row r="306" ht="26.25" customHeight="1">
      <c r="A306" s="54">
        <v>46143.43022083333</v>
      </c>
      <c r="B306" s="16" t="s">
        <v>34</v>
      </c>
      <c r="C306" s="16" t="s">
        <v>1009</v>
      </c>
      <c r="D306" s="17"/>
      <c r="E306" s="31"/>
      <c r="F306" s="39">
        <v>8.0</v>
      </c>
      <c r="G306" s="12" t="s">
        <v>181</v>
      </c>
      <c r="H306" s="52">
        <v>46143.0</v>
      </c>
      <c r="I306" s="16" t="s">
        <v>106</v>
      </c>
      <c r="J306" s="16" t="s">
        <v>35</v>
      </c>
      <c r="K306" s="12" t="s">
        <v>2278</v>
      </c>
      <c r="L306" s="16" t="s">
        <v>1447</v>
      </c>
      <c r="M306" s="16" t="s">
        <v>2100</v>
      </c>
      <c r="N306" s="16" t="s">
        <v>1009</v>
      </c>
      <c r="O306" s="16" t="s">
        <v>2279</v>
      </c>
      <c r="P306" s="18"/>
      <c r="Q306" s="16" t="s">
        <v>52</v>
      </c>
      <c r="R306" s="16" t="s">
        <v>106</v>
      </c>
      <c r="S306" s="16" t="s">
        <v>1493</v>
      </c>
      <c r="T306" s="16"/>
    </row>
    <row r="307" ht="26.25" customHeight="1">
      <c r="A307" s="54">
        <v>46143.435663530094</v>
      </c>
      <c r="B307" s="16" t="s">
        <v>34</v>
      </c>
      <c r="C307" s="16" t="s">
        <v>536</v>
      </c>
      <c r="D307" s="16" t="s">
        <v>1834</v>
      </c>
      <c r="E307" s="31"/>
      <c r="F307" s="39">
        <v>21.0</v>
      </c>
      <c r="G307" s="12" t="s">
        <v>181</v>
      </c>
      <c r="H307" s="52">
        <v>46143.0</v>
      </c>
      <c r="I307" s="16" t="s">
        <v>106</v>
      </c>
      <c r="J307" s="16" t="s">
        <v>35</v>
      </c>
      <c r="K307" s="12" t="s">
        <v>2183</v>
      </c>
      <c r="L307" s="16" t="s">
        <v>1447</v>
      </c>
      <c r="M307" s="16" t="s">
        <v>2100</v>
      </c>
      <c r="N307" s="16" t="s">
        <v>536</v>
      </c>
      <c r="O307" s="16" t="s">
        <v>2280</v>
      </c>
      <c r="P307" s="18"/>
      <c r="Q307" s="16" t="s">
        <v>52</v>
      </c>
      <c r="R307" s="16" t="s">
        <v>106</v>
      </c>
      <c r="S307" s="16" t="s">
        <v>1493</v>
      </c>
      <c r="T307" s="16"/>
    </row>
    <row r="308" ht="26.25" customHeight="1">
      <c r="A308" s="54">
        <v>46143.45857682871</v>
      </c>
      <c r="B308" s="16" t="s">
        <v>49</v>
      </c>
      <c r="C308" s="16" t="s">
        <v>536</v>
      </c>
      <c r="D308" s="16" t="s">
        <v>1834</v>
      </c>
      <c r="E308" s="42" t="s">
        <v>2281</v>
      </c>
      <c r="F308" s="39">
        <v>10.0</v>
      </c>
      <c r="G308" s="12" t="s">
        <v>181</v>
      </c>
      <c r="H308" s="52">
        <v>46143.0</v>
      </c>
      <c r="I308" s="16" t="s">
        <v>165</v>
      </c>
      <c r="J308" s="16" t="s">
        <v>35</v>
      </c>
      <c r="K308" s="12" t="s">
        <v>1809</v>
      </c>
      <c r="L308" s="16" t="s">
        <v>1447</v>
      </c>
      <c r="M308" s="16" t="s">
        <v>2100</v>
      </c>
      <c r="N308" s="16" t="s">
        <v>536</v>
      </c>
      <c r="O308" s="16" t="s">
        <v>2282</v>
      </c>
      <c r="P308" s="18"/>
      <c r="Q308" s="16" t="s">
        <v>52</v>
      </c>
      <c r="R308" s="16" t="s">
        <v>165</v>
      </c>
      <c r="S308" s="16" t="s">
        <v>1493</v>
      </c>
      <c r="T308" s="16"/>
    </row>
    <row r="309" ht="26.25" customHeight="1">
      <c r="A309" s="54">
        <v>46143.478652708334</v>
      </c>
      <c r="B309" s="16" t="s">
        <v>75</v>
      </c>
      <c r="C309" s="16" t="s">
        <v>969</v>
      </c>
      <c r="D309" s="17"/>
      <c r="E309" s="31"/>
      <c r="F309" s="39">
        <v>42.0</v>
      </c>
      <c r="G309" s="12" t="s">
        <v>181</v>
      </c>
      <c r="H309" s="51">
        <v>46142.0</v>
      </c>
      <c r="I309" s="16" t="s">
        <v>17</v>
      </c>
      <c r="J309" s="16" t="s">
        <v>92</v>
      </c>
      <c r="K309" s="12" t="s">
        <v>2283</v>
      </c>
      <c r="L309" s="16" t="s">
        <v>1447</v>
      </c>
      <c r="M309" s="16" t="s">
        <v>2135</v>
      </c>
      <c r="N309" s="16" t="s">
        <v>2284</v>
      </c>
      <c r="O309" s="16" t="s">
        <v>2208</v>
      </c>
      <c r="P309" s="18"/>
      <c r="Q309" s="16" t="s">
        <v>52</v>
      </c>
      <c r="R309" s="16" t="s">
        <v>17</v>
      </c>
      <c r="S309" s="16" t="s">
        <v>1493</v>
      </c>
      <c r="T309" s="16"/>
    </row>
    <row r="310" ht="26.25" customHeight="1">
      <c r="A310" s="54">
        <v>46143.47996326389</v>
      </c>
      <c r="B310" s="16" t="s">
        <v>104</v>
      </c>
      <c r="C310" s="16" t="s">
        <v>1012</v>
      </c>
      <c r="D310" s="16" t="s">
        <v>1517</v>
      </c>
      <c r="E310" s="31"/>
      <c r="F310" s="39">
        <v>1.0</v>
      </c>
      <c r="G310" s="12" t="s">
        <v>181</v>
      </c>
      <c r="H310" s="52">
        <v>46142.0</v>
      </c>
      <c r="I310" s="16" t="s">
        <v>17</v>
      </c>
      <c r="J310" s="16" t="s">
        <v>92</v>
      </c>
      <c r="K310" s="12" t="s">
        <v>2285</v>
      </c>
      <c r="L310" s="16" t="s">
        <v>1447</v>
      </c>
      <c r="M310" s="16" t="s">
        <v>2135</v>
      </c>
      <c r="N310" s="16" t="s">
        <v>1522</v>
      </c>
      <c r="O310" s="16" t="s">
        <v>2286</v>
      </c>
      <c r="P310" s="18"/>
      <c r="Q310" s="16" t="s">
        <v>52</v>
      </c>
      <c r="R310" s="16" t="s">
        <v>17</v>
      </c>
      <c r="S310" s="16" t="s">
        <v>1493</v>
      </c>
      <c r="T310" s="16"/>
    </row>
    <row r="311" ht="26.25" customHeight="1">
      <c r="A311" s="54">
        <v>46143.4853227662</v>
      </c>
      <c r="B311" s="16" t="s">
        <v>75</v>
      </c>
      <c r="C311" s="16" t="s">
        <v>907</v>
      </c>
      <c r="D311" s="17"/>
      <c r="E311" s="31"/>
      <c r="F311" s="39">
        <v>22.0</v>
      </c>
      <c r="G311" s="12" t="s">
        <v>181</v>
      </c>
      <c r="H311" s="52">
        <v>46142.0</v>
      </c>
      <c r="I311" s="16" t="s">
        <v>17</v>
      </c>
      <c r="J311" s="16" t="s">
        <v>92</v>
      </c>
      <c r="K311" s="12" t="s">
        <v>2287</v>
      </c>
      <c r="L311" s="16" t="s">
        <v>1447</v>
      </c>
      <c r="M311" s="16" t="s">
        <v>2135</v>
      </c>
      <c r="N311" s="16" t="s">
        <v>907</v>
      </c>
      <c r="O311" s="16" t="s">
        <v>2288</v>
      </c>
      <c r="P311" s="18"/>
      <c r="Q311" s="16" t="s">
        <v>52</v>
      </c>
      <c r="R311" s="16" t="s">
        <v>17</v>
      </c>
      <c r="S311" s="16" t="s">
        <v>1493</v>
      </c>
      <c r="T311" s="16"/>
    </row>
    <row r="312" ht="26.25" customHeight="1">
      <c r="A312" s="54">
        <v>46143.48801054398</v>
      </c>
      <c r="B312" s="16" t="s">
        <v>75</v>
      </c>
      <c r="C312" s="16" t="s">
        <v>1017</v>
      </c>
      <c r="D312" s="17"/>
      <c r="E312" s="31"/>
      <c r="F312" s="39">
        <v>6.0</v>
      </c>
      <c r="G312" s="12" t="s">
        <v>181</v>
      </c>
      <c r="H312" s="52">
        <v>46142.0</v>
      </c>
      <c r="I312" s="16" t="s">
        <v>17</v>
      </c>
      <c r="J312" s="16" t="s">
        <v>92</v>
      </c>
      <c r="K312" s="12" t="s">
        <v>2289</v>
      </c>
      <c r="L312" s="16" t="s">
        <v>1447</v>
      </c>
      <c r="M312" s="16" t="s">
        <v>2135</v>
      </c>
      <c r="N312" s="16" t="s">
        <v>1017</v>
      </c>
      <c r="O312" s="16" t="s">
        <v>2290</v>
      </c>
      <c r="P312" s="18"/>
      <c r="Q312" s="16" t="s">
        <v>52</v>
      </c>
      <c r="R312" s="16" t="s">
        <v>17</v>
      </c>
      <c r="S312" s="16" t="s">
        <v>1493</v>
      </c>
      <c r="T312" s="16"/>
    </row>
    <row r="313" ht="26.25" customHeight="1">
      <c r="A313" s="54">
        <v>46143.4912522338</v>
      </c>
      <c r="B313" s="16" t="s">
        <v>75</v>
      </c>
      <c r="C313" s="16" t="s">
        <v>1020</v>
      </c>
      <c r="D313" s="17"/>
      <c r="E313" s="31"/>
      <c r="F313" s="16">
        <v>13.0</v>
      </c>
      <c r="G313" s="12" t="s">
        <v>181</v>
      </c>
      <c r="H313" s="52">
        <v>46142.0</v>
      </c>
      <c r="I313" s="16" t="s">
        <v>17</v>
      </c>
      <c r="J313" s="16" t="s">
        <v>92</v>
      </c>
      <c r="K313" s="12" t="s">
        <v>2291</v>
      </c>
      <c r="L313" s="16" t="s">
        <v>1447</v>
      </c>
      <c r="M313" s="16" t="s">
        <v>2100</v>
      </c>
      <c r="N313" s="16" t="s">
        <v>1021</v>
      </c>
      <c r="O313" s="16" t="s">
        <v>2292</v>
      </c>
      <c r="P313" s="18"/>
      <c r="Q313" s="16" t="s">
        <v>52</v>
      </c>
      <c r="R313" s="16" t="s">
        <v>17</v>
      </c>
      <c r="S313" s="16" t="s">
        <v>1493</v>
      </c>
      <c r="T313" s="16"/>
    </row>
    <row r="314" ht="26.25" customHeight="1">
      <c r="A314" s="54">
        <v>46143.496480428235</v>
      </c>
      <c r="B314" s="16" t="s">
        <v>75</v>
      </c>
      <c r="C314" s="16" t="s">
        <v>1024</v>
      </c>
      <c r="D314" s="17"/>
      <c r="E314" s="31"/>
      <c r="F314" s="39">
        <v>4.0</v>
      </c>
      <c r="G314" s="12" t="s">
        <v>181</v>
      </c>
      <c r="H314" s="52">
        <v>46142.0</v>
      </c>
      <c r="I314" s="16" t="s">
        <v>17</v>
      </c>
      <c r="J314" s="16" t="s">
        <v>92</v>
      </c>
      <c r="K314" s="12" t="s">
        <v>2293</v>
      </c>
      <c r="L314" s="16" t="s">
        <v>1447</v>
      </c>
      <c r="M314" s="16" t="s">
        <v>2135</v>
      </c>
      <c r="N314" s="16" t="s">
        <v>1024</v>
      </c>
      <c r="O314" s="16" t="s">
        <v>2294</v>
      </c>
      <c r="P314" s="18"/>
      <c r="Q314" s="16" t="s">
        <v>52</v>
      </c>
      <c r="R314" s="16" t="s">
        <v>17</v>
      </c>
      <c r="S314" s="16" t="s">
        <v>1493</v>
      </c>
      <c r="T314" s="16"/>
    </row>
    <row r="315" ht="26.25" customHeight="1">
      <c r="A315" s="54">
        <v>46143.4992022338</v>
      </c>
      <c r="B315" s="16" t="s">
        <v>75</v>
      </c>
      <c r="C315" s="16" t="s">
        <v>1020</v>
      </c>
      <c r="D315" s="17"/>
      <c r="E315" s="31"/>
      <c r="F315" s="39">
        <v>11.0</v>
      </c>
      <c r="G315" s="12" t="s">
        <v>181</v>
      </c>
      <c r="H315" s="52">
        <v>46142.0</v>
      </c>
      <c r="I315" s="16" t="s">
        <v>17</v>
      </c>
      <c r="J315" s="16" t="s">
        <v>92</v>
      </c>
      <c r="K315" s="12" t="s">
        <v>2295</v>
      </c>
      <c r="L315" s="16" t="s">
        <v>1447</v>
      </c>
      <c r="M315" s="16" t="s">
        <v>2135</v>
      </c>
      <c r="N315" s="16" t="s">
        <v>2296</v>
      </c>
      <c r="O315" s="16" t="s">
        <v>2292</v>
      </c>
      <c r="P315" s="18"/>
      <c r="Q315" s="16" t="s">
        <v>52</v>
      </c>
      <c r="R315" s="16" t="s">
        <v>17</v>
      </c>
      <c r="S315" s="16" t="s">
        <v>1493</v>
      </c>
      <c r="T315" s="16"/>
    </row>
    <row r="316" ht="26.25" customHeight="1">
      <c r="A316" s="54">
        <v>46146.53683114583</v>
      </c>
      <c r="B316" s="16" t="s">
        <v>34</v>
      </c>
      <c r="C316" s="16" t="s">
        <v>184</v>
      </c>
      <c r="D316" s="17"/>
      <c r="E316" s="42" t="s">
        <v>2297</v>
      </c>
      <c r="F316" s="39">
        <v>2.0</v>
      </c>
      <c r="G316" s="12" t="s">
        <v>181</v>
      </c>
      <c r="H316" s="52">
        <v>46146.0</v>
      </c>
      <c r="I316" s="16" t="s">
        <v>88</v>
      </c>
      <c r="J316" s="16" t="s">
        <v>51</v>
      </c>
      <c r="K316" s="12" t="s">
        <v>2298</v>
      </c>
      <c r="L316" s="16" t="s">
        <v>1447</v>
      </c>
      <c r="M316" s="16" t="s">
        <v>2100</v>
      </c>
      <c r="N316" s="16" t="s">
        <v>600</v>
      </c>
      <c r="O316" s="16" t="s">
        <v>2299</v>
      </c>
      <c r="P316" s="18"/>
      <c r="Q316" s="16" t="s">
        <v>52</v>
      </c>
      <c r="R316" s="16" t="s">
        <v>88</v>
      </c>
      <c r="S316" s="16" t="s">
        <v>1493</v>
      </c>
      <c r="T316" s="16"/>
    </row>
    <row r="317">
      <c r="A317" s="54">
        <v>46146.543506574075</v>
      </c>
      <c r="B317" s="16" t="s">
        <v>49</v>
      </c>
      <c r="C317" s="16" t="s">
        <v>184</v>
      </c>
      <c r="D317" s="17"/>
      <c r="E317" s="42" t="s">
        <v>2297</v>
      </c>
      <c r="F317" s="39">
        <v>2.0</v>
      </c>
      <c r="G317" s="12" t="s">
        <v>181</v>
      </c>
      <c r="H317" s="52">
        <v>46146.0</v>
      </c>
      <c r="I317" s="16" t="s">
        <v>216</v>
      </c>
      <c r="J317" s="16" t="s">
        <v>51</v>
      </c>
      <c r="K317" s="12" t="s">
        <v>2300</v>
      </c>
      <c r="L317" s="16" t="s">
        <v>1447</v>
      </c>
      <c r="M317" s="16" t="s">
        <v>2100</v>
      </c>
      <c r="N317" s="16" t="s">
        <v>600</v>
      </c>
      <c r="O317" s="16" t="s">
        <v>2301</v>
      </c>
      <c r="P317" s="18"/>
      <c r="Q317" s="16" t="s">
        <v>52</v>
      </c>
      <c r="R317" s="16" t="s">
        <v>216</v>
      </c>
      <c r="S317" s="16" t="s">
        <v>1493</v>
      </c>
      <c r="T317" s="16"/>
    </row>
    <row r="318">
      <c r="A318" s="54">
        <v>46146.55044799768</v>
      </c>
      <c r="B318" s="16" t="s">
        <v>34</v>
      </c>
      <c r="C318" s="16" t="s">
        <v>542</v>
      </c>
      <c r="D318" s="17"/>
      <c r="E318" s="42" t="s">
        <v>2302</v>
      </c>
      <c r="F318" s="39">
        <v>1.0</v>
      </c>
      <c r="G318" s="12" t="s">
        <v>181</v>
      </c>
      <c r="H318" s="52">
        <v>46146.0</v>
      </c>
      <c r="I318" s="16" t="s">
        <v>183</v>
      </c>
      <c r="J318" s="16" t="s">
        <v>51</v>
      </c>
      <c r="K318" s="12" t="s">
        <v>2303</v>
      </c>
      <c r="L318" s="16" t="s">
        <v>1447</v>
      </c>
      <c r="M318" s="16" t="s">
        <v>2100</v>
      </c>
      <c r="N318" s="16" t="s">
        <v>432</v>
      </c>
      <c r="O318" s="16" t="s">
        <v>2304</v>
      </c>
      <c r="P318" s="18"/>
      <c r="Q318" s="16" t="s">
        <v>52</v>
      </c>
      <c r="R318" s="16" t="s">
        <v>183</v>
      </c>
      <c r="S318" s="16" t="s">
        <v>1493</v>
      </c>
      <c r="T318" s="16"/>
    </row>
    <row r="319">
      <c r="A319" s="54">
        <v>46146.55270318287</v>
      </c>
      <c r="B319" s="16" t="s">
        <v>49</v>
      </c>
      <c r="C319" s="16" t="s">
        <v>542</v>
      </c>
      <c r="D319" s="17"/>
      <c r="E319" s="42" t="s">
        <v>2302</v>
      </c>
      <c r="F319" s="39">
        <v>1.0</v>
      </c>
      <c r="G319" s="12" t="s">
        <v>181</v>
      </c>
      <c r="H319" s="52">
        <v>46146.0</v>
      </c>
      <c r="I319" s="16" t="s">
        <v>189</v>
      </c>
      <c r="J319" s="16" t="s">
        <v>51</v>
      </c>
      <c r="K319" s="12" t="s">
        <v>2305</v>
      </c>
      <c r="L319" s="16" t="s">
        <v>1447</v>
      </c>
      <c r="M319" s="16" t="s">
        <v>2100</v>
      </c>
      <c r="N319" s="16" t="s">
        <v>432</v>
      </c>
      <c r="O319" s="16" t="s">
        <v>2306</v>
      </c>
      <c r="P319" s="18"/>
      <c r="Q319" s="16" t="s">
        <v>52</v>
      </c>
      <c r="R319" s="16" t="s">
        <v>189</v>
      </c>
      <c r="S319" s="16" t="s">
        <v>1493</v>
      </c>
      <c r="T319" s="16"/>
    </row>
    <row r="320">
      <c r="A320" s="41">
        <v>46146.56219657407</v>
      </c>
      <c r="B320" s="16" t="s">
        <v>104</v>
      </c>
      <c r="C320" s="16" t="s">
        <v>1030</v>
      </c>
      <c r="D320" s="17"/>
      <c r="E320" s="42"/>
      <c r="F320" s="39">
        <v>1.0</v>
      </c>
      <c r="G320" s="12" t="s">
        <v>181</v>
      </c>
      <c r="H320" s="52">
        <v>46129.0</v>
      </c>
      <c r="I320" s="16" t="s">
        <v>284</v>
      </c>
      <c r="J320" s="16" t="s">
        <v>92</v>
      </c>
      <c r="K320" s="13" t="s">
        <v>2213</v>
      </c>
      <c r="L320" s="16" t="s">
        <v>1447</v>
      </c>
      <c r="M320" s="16" t="s">
        <v>2135</v>
      </c>
      <c r="N320" s="16" t="s">
        <v>121</v>
      </c>
      <c r="O320" s="16" t="s">
        <v>2307</v>
      </c>
      <c r="P320" s="18"/>
      <c r="Q320" s="16" t="s">
        <v>52</v>
      </c>
      <c r="R320" s="16" t="s">
        <v>284</v>
      </c>
      <c r="S320" s="16" t="s">
        <v>1493</v>
      </c>
      <c r="T320" s="16"/>
    </row>
    <row r="321">
      <c r="A321" s="41">
        <v>46146.58150609954</v>
      </c>
      <c r="B321" s="16" t="s">
        <v>104</v>
      </c>
      <c r="C321" s="16" t="s">
        <v>974</v>
      </c>
      <c r="D321" s="17"/>
      <c r="E321" s="42"/>
      <c r="F321" s="39">
        <v>1.0</v>
      </c>
      <c r="G321" s="12" t="s">
        <v>181</v>
      </c>
      <c r="H321" s="52">
        <v>46146.0</v>
      </c>
      <c r="I321" s="16" t="s">
        <v>297</v>
      </c>
      <c r="J321" s="16" t="s">
        <v>92</v>
      </c>
      <c r="K321" s="13" t="s">
        <v>2308</v>
      </c>
      <c r="L321" s="16" t="s">
        <v>1447</v>
      </c>
      <c r="M321" s="16" t="s">
        <v>2135</v>
      </c>
      <c r="N321" s="16" t="s">
        <v>974</v>
      </c>
      <c r="O321" s="16" t="s">
        <v>2212</v>
      </c>
      <c r="P321" s="18"/>
      <c r="Q321" s="16" t="s">
        <v>52</v>
      </c>
      <c r="R321" s="16" t="s">
        <v>297</v>
      </c>
      <c r="S321" s="16" t="s">
        <v>1493</v>
      </c>
      <c r="T321" s="16"/>
    </row>
    <row r="322">
      <c r="A322" s="41">
        <v>46146.608711180554</v>
      </c>
      <c r="B322" s="16" t="s">
        <v>75</v>
      </c>
      <c r="C322" s="16" t="s">
        <v>1032</v>
      </c>
      <c r="D322" s="17"/>
      <c r="E322" s="42"/>
      <c r="F322" s="39">
        <v>26.0</v>
      </c>
      <c r="G322" s="12" t="s">
        <v>181</v>
      </c>
      <c r="H322" s="52">
        <v>46142.0</v>
      </c>
      <c r="I322" s="16" t="s">
        <v>17</v>
      </c>
      <c r="J322" s="16" t="s">
        <v>92</v>
      </c>
      <c r="K322" s="13" t="s">
        <v>2309</v>
      </c>
      <c r="L322" s="16" t="s">
        <v>1447</v>
      </c>
      <c r="M322" s="16" t="s">
        <v>2135</v>
      </c>
      <c r="N322" s="16" t="s">
        <v>1032</v>
      </c>
      <c r="O322" s="16" t="s">
        <v>2310</v>
      </c>
      <c r="P322" s="18"/>
      <c r="Q322" s="16" t="s">
        <v>52</v>
      </c>
      <c r="R322" s="16" t="s">
        <v>17</v>
      </c>
      <c r="S322" s="16" t="s">
        <v>1493</v>
      </c>
      <c r="T322" s="16"/>
    </row>
    <row r="323">
      <c r="A323" s="41">
        <v>46147.46871556713</v>
      </c>
      <c r="B323" s="16" t="s">
        <v>104</v>
      </c>
      <c r="C323" s="16" t="s">
        <v>1034</v>
      </c>
      <c r="D323" s="17"/>
      <c r="E323" s="42"/>
      <c r="F323" s="39">
        <v>2.0</v>
      </c>
      <c r="G323" s="12" t="s">
        <v>181</v>
      </c>
      <c r="H323" s="52">
        <v>46147.0</v>
      </c>
      <c r="I323" s="16" t="s">
        <v>297</v>
      </c>
      <c r="J323" s="16" t="s">
        <v>92</v>
      </c>
      <c r="K323" s="13" t="s">
        <v>2311</v>
      </c>
      <c r="L323" s="16" t="s">
        <v>1447</v>
      </c>
      <c r="M323" s="16" t="s">
        <v>2100</v>
      </c>
      <c r="N323" s="16" t="s">
        <v>1034</v>
      </c>
      <c r="O323" s="16" t="s">
        <v>2312</v>
      </c>
      <c r="P323" s="18"/>
      <c r="Q323" s="16" t="s">
        <v>52</v>
      </c>
      <c r="R323" s="16" t="s">
        <v>297</v>
      </c>
      <c r="S323" s="16" t="s">
        <v>1493</v>
      </c>
      <c r="T323" s="16"/>
    </row>
    <row r="324">
      <c r="A324" s="41">
        <v>46147.47026052083</v>
      </c>
      <c r="B324" s="16" t="s">
        <v>104</v>
      </c>
      <c r="C324" s="16" t="s">
        <v>1038</v>
      </c>
      <c r="D324" s="17"/>
      <c r="E324" s="42"/>
      <c r="F324" s="39">
        <v>1.0</v>
      </c>
      <c r="G324" s="12" t="s">
        <v>181</v>
      </c>
      <c r="H324" s="52">
        <v>46147.0</v>
      </c>
      <c r="I324" s="16" t="s">
        <v>297</v>
      </c>
      <c r="J324" s="16" t="s">
        <v>92</v>
      </c>
      <c r="K324" s="13" t="s">
        <v>2313</v>
      </c>
      <c r="L324" s="16" t="s">
        <v>1447</v>
      </c>
      <c r="M324" s="16" t="s">
        <v>2100</v>
      </c>
      <c r="N324" s="16" t="s">
        <v>1039</v>
      </c>
      <c r="O324" s="16" t="s">
        <v>2314</v>
      </c>
      <c r="P324" s="18"/>
      <c r="Q324" s="16" t="s">
        <v>52</v>
      </c>
      <c r="R324" s="16" t="s">
        <v>297</v>
      </c>
      <c r="S324" s="16" t="s">
        <v>1493</v>
      </c>
      <c r="T324" s="16"/>
    </row>
    <row r="325">
      <c r="A325" s="41">
        <v>46148.38717497685</v>
      </c>
      <c r="B325" s="16" t="s">
        <v>34</v>
      </c>
      <c r="C325" s="16" t="s">
        <v>515</v>
      </c>
      <c r="D325" s="17"/>
      <c r="E325" s="42"/>
      <c r="F325" s="39">
        <v>-13.0</v>
      </c>
      <c r="G325" s="12" t="s">
        <v>181</v>
      </c>
      <c r="H325" s="52">
        <v>46148.0</v>
      </c>
      <c r="I325" s="16" t="s">
        <v>164</v>
      </c>
      <c r="J325" s="16"/>
      <c r="K325" s="13"/>
      <c r="L325" s="16" t="s">
        <v>1601</v>
      </c>
      <c r="M325" s="16" t="s">
        <v>2315</v>
      </c>
      <c r="N325" s="16" t="s">
        <v>515</v>
      </c>
      <c r="O325" s="16" t="s">
        <v>2246</v>
      </c>
      <c r="P325" s="18"/>
      <c r="Q325" s="16" t="s">
        <v>52</v>
      </c>
      <c r="R325" s="16" t="s">
        <v>515</v>
      </c>
      <c r="S325" s="16" t="s">
        <v>1607</v>
      </c>
      <c r="T325" s="16"/>
    </row>
    <row r="326">
      <c r="A326" s="54">
        <v>46148.48835493055</v>
      </c>
      <c r="B326" s="16" t="s">
        <v>34</v>
      </c>
      <c r="C326" s="16" t="s">
        <v>526</v>
      </c>
      <c r="D326" s="17"/>
      <c r="E326" s="42"/>
      <c r="F326" s="39">
        <v>-16.0</v>
      </c>
      <c r="G326" s="12" t="s">
        <v>181</v>
      </c>
      <c r="H326" s="52">
        <v>46139.0</v>
      </c>
      <c r="I326" s="16" t="s">
        <v>2271</v>
      </c>
      <c r="J326" s="16"/>
      <c r="K326" s="13"/>
      <c r="L326" s="16" t="s">
        <v>1601</v>
      </c>
      <c r="M326" s="16" t="s">
        <v>2316</v>
      </c>
      <c r="N326" s="16" t="s">
        <v>526</v>
      </c>
      <c r="O326" s="16" t="s">
        <v>2272</v>
      </c>
      <c r="P326" s="18"/>
      <c r="Q326" s="16" t="s">
        <v>52</v>
      </c>
      <c r="R326" s="16" t="s">
        <v>526</v>
      </c>
      <c r="S326" s="16" t="s">
        <v>1607</v>
      </c>
      <c r="T326" s="16"/>
    </row>
    <row r="327">
      <c r="A327" s="54">
        <v>46148.49001546296</v>
      </c>
      <c r="B327" s="16" t="s">
        <v>34</v>
      </c>
      <c r="C327" s="16" t="s">
        <v>127</v>
      </c>
      <c r="D327" s="17"/>
      <c r="E327" s="42"/>
      <c r="F327" s="39">
        <v>-16.0</v>
      </c>
      <c r="G327" s="12" t="s">
        <v>181</v>
      </c>
      <c r="H327" s="52">
        <v>46142.0</v>
      </c>
      <c r="I327" s="16" t="s">
        <v>120</v>
      </c>
      <c r="J327" s="16" t="s">
        <v>35</v>
      </c>
      <c r="K327" s="12" t="s">
        <v>2075</v>
      </c>
      <c r="L327" s="16" t="s">
        <v>1601</v>
      </c>
      <c r="M327" s="16" t="s">
        <v>2317</v>
      </c>
      <c r="N327" s="16" t="s">
        <v>424</v>
      </c>
      <c r="O327" s="16" t="s">
        <v>2080</v>
      </c>
      <c r="P327" s="18"/>
      <c r="Q327" s="16" t="s">
        <v>52</v>
      </c>
      <c r="R327" s="16" t="s">
        <v>424</v>
      </c>
      <c r="S327" s="16" t="s">
        <v>1607</v>
      </c>
      <c r="T327" s="16"/>
    </row>
    <row r="328">
      <c r="A328" s="54">
        <v>46148.49097222222</v>
      </c>
      <c r="B328" s="16" t="s">
        <v>34</v>
      </c>
      <c r="C328" s="16" t="s">
        <v>131</v>
      </c>
      <c r="D328" s="16" t="s">
        <v>2182</v>
      </c>
      <c r="E328" s="42"/>
      <c r="F328" s="16">
        <v>-16.0</v>
      </c>
      <c r="G328" s="12" t="s">
        <v>181</v>
      </c>
      <c r="H328" s="40">
        <v>46115.0</v>
      </c>
      <c r="I328" s="16" t="s">
        <v>128</v>
      </c>
      <c r="J328" s="16" t="s">
        <v>35</v>
      </c>
      <c r="K328" s="12" t="s">
        <v>2075</v>
      </c>
      <c r="L328" s="16" t="s">
        <v>1601</v>
      </c>
      <c r="M328" s="16" t="s">
        <v>2317</v>
      </c>
      <c r="N328" s="16" t="s">
        <v>424</v>
      </c>
      <c r="O328" s="16" t="s">
        <v>2076</v>
      </c>
      <c r="P328" s="18"/>
      <c r="Q328" s="16" t="s">
        <v>52</v>
      </c>
      <c r="R328" s="16" t="s">
        <v>424</v>
      </c>
      <c r="S328" s="16" t="s">
        <v>1607</v>
      </c>
      <c r="T328" s="16"/>
    </row>
    <row r="329">
      <c r="A329" s="54">
        <v>46148.541018125004</v>
      </c>
      <c r="B329" s="16" t="s">
        <v>34</v>
      </c>
      <c r="C329" s="16" t="s">
        <v>520</v>
      </c>
      <c r="D329" s="17"/>
      <c r="E329" s="42"/>
      <c r="F329" s="39">
        <v>-11.0</v>
      </c>
      <c r="G329" s="12" t="s">
        <v>181</v>
      </c>
      <c r="H329" s="52">
        <v>46145.0</v>
      </c>
      <c r="I329" s="16" t="s">
        <v>164</v>
      </c>
      <c r="J329" s="16"/>
      <c r="K329" s="13"/>
      <c r="L329" s="16" t="s">
        <v>1601</v>
      </c>
      <c r="M329" s="16" t="s">
        <v>2318</v>
      </c>
      <c r="N329" s="16" t="s">
        <v>520</v>
      </c>
      <c r="O329" s="16" t="s">
        <v>2266</v>
      </c>
      <c r="P329" s="18"/>
      <c r="Q329" s="16" t="s">
        <v>52</v>
      </c>
      <c r="R329" s="16" t="s">
        <v>520</v>
      </c>
      <c r="S329" s="16" t="s">
        <v>1607</v>
      </c>
      <c r="T329" s="16"/>
    </row>
    <row r="330">
      <c r="A330" s="55">
        <v>46149.33736119213</v>
      </c>
      <c r="B330" s="16" t="s">
        <v>34</v>
      </c>
      <c r="C330" s="16" t="s">
        <v>426</v>
      </c>
      <c r="D330" s="17"/>
      <c r="E330" s="42"/>
      <c r="F330" s="39">
        <v>-16.0</v>
      </c>
      <c r="G330" s="12" t="s">
        <v>181</v>
      </c>
      <c r="H330" s="52">
        <v>46149.0</v>
      </c>
      <c r="I330" s="16" t="s">
        <v>120</v>
      </c>
      <c r="J330" s="16"/>
      <c r="K330" s="13"/>
      <c r="L330" s="16" t="s">
        <v>1601</v>
      </c>
      <c r="M330" s="16" t="s">
        <v>2319</v>
      </c>
      <c r="N330" s="16" t="s">
        <v>426</v>
      </c>
      <c r="O330" s="16" t="s">
        <v>2077</v>
      </c>
      <c r="P330" s="18"/>
      <c r="Q330" s="16" t="s">
        <v>52</v>
      </c>
      <c r="R330" s="16" t="s">
        <v>426</v>
      </c>
      <c r="S330" s="16" t="s">
        <v>1607</v>
      </c>
      <c r="T330" s="16"/>
    </row>
    <row r="331">
      <c r="A331" s="54">
        <v>46150.57709150463</v>
      </c>
      <c r="B331" s="16" t="s">
        <v>104</v>
      </c>
      <c r="C331" s="16" t="s">
        <v>1042</v>
      </c>
      <c r="D331" s="17"/>
      <c r="E331" s="42"/>
      <c r="F331" s="39">
        <v>1.0</v>
      </c>
      <c r="G331" s="12" t="s">
        <v>181</v>
      </c>
      <c r="H331" s="52">
        <v>46148.0</v>
      </c>
      <c r="I331" s="16"/>
      <c r="J331" s="16" t="s">
        <v>92</v>
      </c>
      <c r="K331" s="12" t="s">
        <v>2320</v>
      </c>
      <c r="L331" s="16" t="s">
        <v>1447</v>
      </c>
      <c r="M331" s="16" t="s">
        <v>2100</v>
      </c>
      <c r="N331" s="16" t="s">
        <v>489</v>
      </c>
      <c r="O331" s="16" t="s">
        <v>2321</v>
      </c>
      <c r="P331" s="18"/>
      <c r="Q331" s="16" t="s">
        <v>52</v>
      </c>
      <c r="R331" s="16" t="s">
        <v>267</v>
      </c>
      <c r="S331" s="16" t="s">
        <v>1493</v>
      </c>
      <c r="T331" s="16"/>
    </row>
    <row r="332">
      <c r="A332" s="54">
        <v>46150.58841848379</v>
      </c>
      <c r="B332" s="16" t="s">
        <v>75</v>
      </c>
      <c r="C332" s="16" t="s">
        <v>1045</v>
      </c>
      <c r="D332" s="17"/>
      <c r="E332" s="42"/>
      <c r="F332" s="39">
        <v>1.0</v>
      </c>
      <c r="G332" s="12" t="s">
        <v>181</v>
      </c>
      <c r="H332" s="52">
        <v>46150.0</v>
      </c>
      <c r="I332" s="16"/>
      <c r="J332" s="16" t="s">
        <v>92</v>
      </c>
      <c r="K332" s="12" t="s">
        <v>2322</v>
      </c>
      <c r="L332" s="16" t="s">
        <v>1447</v>
      </c>
      <c r="M332" s="16" t="s">
        <v>2100</v>
      </c>
      <c r="N332" s="16" t="s">
        <v>121</v>
      </c>
      <c r="O332" s="16" t="s">
        <v>2323</v>
      </c>
      <c r="P332" s="18"/>
      <c r="Q332" s="16" t="s">
        <v>52</v>
      </c>
      <c r="R332" s="16" t="s">
        <v>17</v>
      </c>
      <c r="S332" s="16" t="s">
        <v>1493</v>
      </c>
      <c r="T332" s="16"/>
    </row>
    <row r="333">
      <c r="A333" s="54">
        <v>46150.63328259259</v>
      </c>
      <c r="B333" s="16" t="s">
        <v>75</v>
      </c>
      <c r="C333" s="16" t="s">
        <v>1048</v>
      </c>
      <c r="D333" s="17"/>
      <c r="E333" s="42"/>
      <c r="F333" s="39">
        <v>13.0</v>
      </c>
      <c r="G333" s="12" t="s">
        <v>181</v>
      </c>
      <c r="H333" s="52">
        <v>46141.0</v>
      </c>
      <c r="I333" s="16" t="s">
        <v>17</v>
      </c>
      <c r="J333" s="16" t="s">
        <v>92</v>
      </c>
      <c r="K333" s="12" t="s">
        <v>2324</v>
      </c>
      <c r="L333" s="16" t="s">
        <v>1447</v>
      </c>
      <c r="M333" s="16" t="s">
        <v>2100</v>
      </c>
      <c r="N333" s="16" t="s">
        <v>907</v>
      </c>
      <c r="O333" s="16" t="s">
        <v>2325</v>
      </c>
      <c r="P333" s="18"/>
      <c r="Q333" s="16" t="s">
        <v>52</v>
      </c>
      <c r="R333" s="16" t="s">
        <v>17</v>
      </c>
      <c r="S333" s="16" t="s">
        <v>1493</v>
      </c>
      <c r="T333" s="16"/>
    </row>
    <row r="334">
      <c r="A334" s="54">
        <v>46150.64397950232</v>
      </c>
      <c r="B334" s="16" t="s">
        <v>75</v>
      </c>
      <c r="C334" s="16" t="s">
        <v>1050</v>
      </c>
      <c r="D334" s="17"/>
      <c r="E334" s="42"/>
      <c r="F334" s="39">
        <v>14.0</v>
      </c>
      <c r="G334" s="12" t="s">
        <v>181</v>
      </c>
      <c r="H334" s="52">
        <v>46149.0</v>
      </c>
      <c r="I334" s="16" t="s">
        <v>17</v>
      </c>
      <c r="J334" s="16" t="s">
        <v>92</v>
      </c>
      <c r="K334" s="12" t="s">
        <v>2326</v>
      </c>
      <c r="L334" s="16" t="s">
        <v>1447</v>
      </c>
      <c r="M334" s="16" t="s">
        <v>2100</v>
      </c>
      <c r="N334" s="16" t="s">
        <v>103</v>
      </c>
      <c r="O334" s="16" t="s">
        <v>2327</v>
      </c>
      <c r="P334" s="18"/>
      <c r="Q334" s="16" t="s">
        <v>52</v>
      </c>
      <c r="R334" s="16" t="s">
        <v>17</v>
      </c>
      <c r="S334" s="16" t="s">
        <v>1493</v>
      </c>
      <c r="T334" s="16"/>
    </row>
    <row r="335">
      <c r="A335" s="54">
        <v>46150.678262905094</v>
      </c>
      <c r="B335" s="16" t="s">
        <v>34</v>
      </c>
      <c r="C335" s="16" t="s">
        <v>545</v>
      </c>
      <c r="D335" s="17"/>
      <c r="E335" s="42" t="s">
        <v>1517</v>
      </c>
      <c r="F335" s="39">
        <v>12.0</v>
      </c>
      <c r="G335" s="12" t="s">
        <v>181</v>
      </c>
      <c r="H335" s="52">
        <v>46150.0</v>
      </c>
      <c r="I335" s="16"/>
      <c r="J335" s="16" t="s">
        <v>35</v>
      </c>
      <c r="K335" s="12" t="s">
        <v>2328</v>
      </c>
      <c r="L335" s="16" t="s">
        <v>1447</v>
      </c>
      <c r="M335" s="16" t="s">
        <v>2100</v>
      </c>
      <c r="N335" s="16" t="s">
        <v>385</v>
      </c>
      <c r="O335" s="16" t="s">
        <v>2329</v>
      </c>
      <c r="P335" s="34"/>
      <c r="Q335" s="16" t="s">
        <v>52</v>
      </c>
      <c r="R335" s="16" t="s">
        <v>158</v>
      </c>
      <c r="S335" s="16" t="s">
        <v>1493</v>
      </c>
      <c r="T335" s="16"/>
    </row>
    <row r="336">
      <c r="A336" s="54">
        <v>46150.68875170139</v>
      </c>
      <c r="B336" s="16" t="s">
        <v>49</v>
      </c>
      <c r="C336" s="16" t="s">
        <v>545</v>
      </c>
      <c r="D336" s="17"/>
      <c r="E336" s="42" t="s">
        <v>2330</v>
      </c>
      <c r="F336" s="39">
        <v>8.0</v>
      </c>
      <c r="G336" s="12" t="s">
        <v>181</v>
      </c>
      <c r="H336" s="52">
        <v>46150.0</v>
      </c>
      <c r="I336" s="16"/>
      <c r="J336" s="16" t="s">
        <v>35</v>
      </c>
      <c r="K336" s="12" t="s">
        <v>2331</v>
      </c>
      <c r="L336" s="16" t="s">
        <v>1447</v>
      </c>
      <c r="M336" s="16" t="s">
        <v>2100</v>
      </c>
      <c r="N336" s="16" t="s">
        <v>385</v>
      </c>
      <c r="O336" s="16" t="s">
        <v>2332</v>
      </c>
      <c r="P336" s="18"/>
      <c r="Q336" s="16" t="s">
        <v>52</v>
      </c>
      <c r="R336" s="16" t="s">
        <v>165</v>
      </c>
      <c r="S336" s="16" t="s">
        <v>1493</v>
      </c>
      <c r="T336" s="16"/>
    </row>
    <row r="337">
      <c r="A337" s="54">
        <v>46150.68995666667</v>
      </c>
      <c r="B337" s="16" t="s">
        <v>34</v>
      </c>
      <c r="C337" s="16" t="s">
        <v>549</v>
      </c>
      <c r="D337" s="16" t="s">
        <v>1517</v>
      </c>
      <c r="E337" s="42" t="s">
        <v>2333</v>
      </c>
      <c r="F337" s="39">
        <v>28.0</v>
      </c>
      <c r="G337" s="12" t="s">
        <v>181</v>
      </c>
      <c r="H337" s="51">
        <v>46150.0</v>
      </c>
      <c r="I337" s="16"/>
      <c r="J337" s="16" t="s">
        <v>35</v>
      </c>
      <c r="K337" s="12" t="s">
        <v>2328</v>
      </c>
      <c r="L337" s="16" t="s">
        <v>1447</v>
      </c>
      <c r="M337" s="16" t="s">
        <v>2100</v>
      </c>
      <c r="N337" s="16" t="s">
        <v>1522</v>
      </c>
      <c r="O337" s="16" t="s">
        <v>2334</v>
      </c>
      <c r="P337" s="18"/>
      <c r="Q337" s="16" t="s">
        <v>52</v>
      </c>
      <c r="R337" s="16" t="s">
        <v>128</v>
      </c>
      <c r="S337" s="16" t="s">
        <v>1493</v>
      </c>
      <c r="T337" s="16"/>
    </row>
    <row r="338">
      <c r="A338" s="54">
        <v>46150.692210532405</v>
      </c>
      <c r="B338" s="16" t="s">
        <v>49</v>
      </c>
      <c r="C338" s="16" t="s">
        <v>549</v>
      </c>
      <c r="D338" s="16" t="s">
        <v>1517</v>
      </c>
      <c r="E338" s="42" t="s">
        <v>2335</v>
      </c>
      <c r="F338" s="39">
        <v>14.0</v>
      </c>
      <c r="G338" s="12" t="s">
        <v>181</v>
      </c>
      <c r="H338" s="51">
        <v>46150.0</v>
      </c>
      <c r="I338" s="16"/>
      <c r="J338" s="16" t="s">
        <v>35</v>
      </c>
      <c r="K338" s="12" t="s">
        <v>2336</v>
      </c>
      <c r="L338" s="16" t="s">
        <v>1447</v>
      </c>
      <c r="M338" s="16" t="s">
        <v>2100</v>
      </c>
      <c r="N338" s="16" t="s">
        <v>1522</v>
      </c>
      <c r="O338" s="16" t="s">
        <v>2337</v>
      </c>
      <c r="P338" s="18"/>
      <c r="Q338" s="16" t="s">
        <v>52</v>
      </c>
      <c r="R338" s="16" t="s">
        <v>165</v>
      </c>
      <c r="S338" s="16" t="s">
        <v>1493</v>
      </c>
      <c r="T338" s="16"/>
    </row>
    <row r="339">
      <c r="A339" s="54">
        <v>46150.69443042824</v>
      </c>
      <c r="B339" s="16" t="s">
        <v>34</v>
      </c>
      <c r="C339" s="16" t="s">
        <v>555</v>
      </c>
      <c r="D339" s="16" t="s">
        <v>1517</v>
      </c>
      <c r="E339" s="42" t="s">
        <v>1517</v>
      </c>
      <c r="F339" s="39">
        <v>12.0</v>
      </c>
      <c r="G339" s="12" t="s">
        <v>181</v>
      </c>
      <c r="H339" s="52">
        <v>46150.0</v>
      </c>
      <c r="I339" s="16"/>
      <c r="J339" s="16" t="s">
        <v>35</v>
      </c>
      <c r="K339" s="12" t="s">
        <v>2338</v>
      </c>
      <c r="L339" s="16" t="s">
        <v>1447</v>
      </c>
      <c r="M339" s="16" t="s">
        <v>2100</v>
      </c>
      <c r="N339" s="16" t="s">
        <v>1522</v>
      </c>
      <c r="O339" s="16" t="s">
        <v>2339</v>
      </c>
      <c r="P339" s="18"/>
      <c r="Q339" s="16" t="s">
        <v>52</v>
      </c>
      <c r="R339" s="16" t="s">
        <v>93</v>
      </c>
      <c r="S339" s="16" t="s">
        <v>1493</v>
      </c>
      <c r="T339" s="16"/>
    </row>
    <row r="340">
      <c r="A340" s="54">
        <v>46150.69445981481</v>
      </c>
      <c r="B340" s="16" t="s">
        <v>34</v>
      </c>
      <c r="C340" s="16" t="s">
        <v>555</v>
      </c>
      <c r="D340" s="16" t="s">
        <v>1517</v>
      </c>
      <c r="E340" s="42" t="s">
        <v>1517</v>
      </c>
      <c r="F340" s="39">
        <v>12.0</v>
      </c>
      <c r="G340" s="12" t="s">
        <v>181</v>
      </c>
      <c r="H340" s="52">
        <v>46150.0</v>
      </c>
      <c r="I340" s="16"/>
      <c r="J340" s="16" t="s">
        <v>35</v>
      </c>
      <c r="K340" s="12" t="s">
        <v>2338</v>
      </c>
      <c r="L340" s="16" t="s">
        <v>1447</v>
      </c>
      <c r="M340" s="16" t="s">
        <v>2100</v>
      </c>
      <c r="N340" s="16" t="s">
        <v>1522</v>
      </c>
      <c r="O340" s="16" t="s">
        <v>2339</v>
      </c>
      <c r="P340" s="18"/>
      <c r="Q340" s="16" t="s">
        <v>52</v>
      </c>
      <c r="R340" s="16" t="s">
        <v>98</v>
      </c>
      <c r="S340" s="16" t="s">
        <v>1493</v>
      </c>
      <c r="T340" s="16"/>
    </row>
    <row r="341">
      <c r="A341" s="54">
        <v>46150.69623087963</v>
      </c>
      <c r="B341" s="16" t="s">
        <v>49</v>
      </c>
      <c r="C341" s="16" t="s">
        <v>555</v>
      </c>
      <c r="D341" s="16" t="s">
        <v>1517</v>
      </c>
      <c r="E341" s="42" t="s">
        <v>2340</v>
      </c>
      <c r="F341" s="39">
        <v>12.0</v>
      </c>
      <c r="G341" s="12" t="s">
        <v>181</v>
      </c>
      <c r="H341" s="52">
        <v>46150.0</v>
      </c>
      <c r="I341" s="16"/>
      <c r="J341" s="16" t="s">
        <v>35</v>
      </c>
      <c r="K341" s="12" t="s">
        <v>1809</v>
      </c>
      <c r="L341" s="16" t="s">
        <v>1447</v>
      </c>
      <c r="M341" s="16" t="s">
        <v>2100</v>
      </c>
      <c r="N341" s="16" t="s">
        <v>1522</v>
      </c>
      <c r="O341" s="16" t="s">
        <v>2341</v>
      </c>
      <c r="P341" s="18"/>
      <c r="Q341" s="16" t="s">
        <v>52</v>
      </c>
      <c r="R341" s="16" t="s">
        <v>165</v>
      </c>
      <c r="S341" s="16" t="s">
        <v>1493</v>
      </c>
      <c r="T341" s="16"/>
    </row>
    <row r="342">
      <c r="A342" s="54">
        <v>46153.36934746528</v>
      </c>
      <c r="B342" s="16" t="s">
        <v>34</v>
      </c>
      <c r="C342" s="16" t="s">
        <v>558</v>
      </c>
      <c r="D342" s="16" t="s">
        <v>1061</v>
      </c>
      <c r="E342" s="42" t="s">
        <v>2342</v>
      </c>
      <c r="F342" s="39">
        <v>6.0</v>
      </c>
      <c r="G342" s="12" t="s">
        <v>181</v>
      </c>
      <c r="H342" s="52">
        <v>46150.0</v>
      </c>
      <c r="I342" s="16"/>
      <c r="J342" s="16" t="s">
        <v>51</v>
      </c>
      <c r="K342" s="12" t="s">
        <v>2343</v>
      </c>
      <c r="L342" s="16" t="s">
        <v>1447</v>
      </c>
      <c r="M342" s="16" t="s">
        <v>2100</v>
      </c>
      <c r="N342" s="16" t="s">
        <v>626</v>
      </c>
      <c r="O342" s="16" t="s">
        <v>2344</v>
      </c>
      <c r="P342" s="18"/>
      <c r="Q342" s="16" t="s">
        <v>52</v>
      </c>
      <c r="R342" s="16" t="s">
        <v>164</v>
      </c>
      <c r="S342" s="16" t="s">
        <v>1493</v>
      </c>
      <c r="T342" s="16"/>
    </row>
    <row r="343">
      <c r="A343" s="54">
        <v>46153.3716928588</v>
      </c>
      <c r="B343" s="16" t="s">
        <v>49</v>
      </c>
      <c r="C343" s="16" t="s">
        <v>558</v>
      </c>
      <c r="D343" s="16" t="s">
        <v>1061</v>
      </c>
      <c r="E343" s="42" t="s">
        <v>2342</v>
      </c>
      <c r="F343" s="39">
        <v>1.0</v>
      </c>
      <c r="G343" s="12" t="s">
        <v>181</v>
      </c>
      <c r="H343" s="52">
        <v>46150.0</v>
      </c>
      <c r="I343" s="16"/>
      <c r="J343" s="16" t="s">
        <v>51</v>
      </c>
      <c r="K343" s="12" t="s">
        <v>2345</v>
      </c>
      <c r="L343" s="16" t="s">
        <v>1447</v>
      </c>
      <c r="M343" s="16" t="s">
        <v>2100</v>
      </c>
      <c r="N343" s="16" t="s">
        <v>626</v>
      </c>
      <c r="O343" s="16" t="s">
        <v>2346</v>
      </c>
      <c r="P343" s="18"/>
      <c r="Q343" s="16" t="s">
        <v>52</v>
      </c>
      <c r="R343" s="16" t="s">
        <v>219</v>
      </c>
      <c r="S343" s="16" t="s">
        <v>1493</v>
      </c>
      <c r="T343" s="16"/>
    </row>
    <row r="344">
      <c r="A344" s="54">
        <v>46153.37367533565</v>
      </c>
      <c r="B344" s="16" t="s">
        <v>34</v>
      </c>
      <c r="C344" s="16" t="s">
        <v>565</v>
      </c>
      <c r="D344" s="16" t="s">
        <v>1061</v>
      </c>
      <c r="E344" s="42" t="s">
        <v>2347</v>
      </c>
      <c r="F344" s="39">
        <v>10.0</v>
      </c>
      <c r="G344" s="12" t="s">
        <v>181</v>
      </c>
      <c r="H344" s="52">
        <v>46150.0</v>
      </c>
      <c r="I344" s="16"/>
      <c r="J344" s="16" t="s">
        <v>51</v>
      </c>
      <c r="K344" s="12" t="s">
        <v>2338</v>
      </c>
      <c r="L344" s="16" t="s">
        <v>1447</v>
      </c>
      <c r="M344" s="16" t="s">
        <v>2100</v>
      </c>
      <c r="N344" s="16" t="s">
        <v>626</v>
      </c>
      <c r="O344" s="16" t="s">
        <v>2348</v>
      </c>
      <c r="P344" s="18"/>
      <c r="Q344" s="16" t="s">
        <v>52</v>
      </c>
      <c r="R344" s="16" t="s">
        <v>164</v>
      </c>
      <c r="S344" s="16" t="s">
        <v>1493</v>
      </c>
      <c r="T344" s="16"/>
    </row>
    <row r="345">
      <c r="A345" s="54">
        <v>46153.37636616898</v>
      </c>
      <c r="B345" s="16" t="s">
        <v>49</v>
      </c>
      <c r="C345" s="16" t="s">
        <v>565</v>
      </c>
      <c r="D345" s="16" t="s">
        <v>1061</v>
      </c>
      <c r="E345" s="42" t="s">
        <v>2347</v>
      </c>
      <c r="F345" s="39">
        <v>1.0</v>
      </c>
      <c r="G345" s="12" t="s">
        <v>181</v>
      </c>
      <c r="H345" s="51">
        <v>46150.0</v>
      </c>
      <c r="I345" s="16"/>
      <c r="J345" s="16" t="s">
        <v>51</v>
      </c>
      <c r="K345" s="12" t="s">
        <v>2349</v>
      </c>
      <c r="L345" s="16" t="s">
        <v>54</v>
      </c>
      <c r="M345" s="16" t="s">
        <v>2350</v>
      </c>
      <c r="N345" s="16" t="s">
        <v>2351</v>
      </c>
      <c r="O345" s="16" t="s">
        <v>2352</v>
      </c>
      <c r="P345" s="18"/>
      <c r="Q345" s="16" t="s">
        <v>52</v>
      </c>
      <c r="R345" s="16" t="s">
        <v>219</v>
      </c>
      <c r="S345" s="16" t="s">
        <v>1493</v>
      </c>
      <c r="T345" s="16" t="s">
        <v>625</v>
      </c>
    </row>
    <row r="346">
      <c r="A346" s="54">
        <v>46153.37738334491</v>
      </c>
      <c r="B346" s="16" t="s">
        <v>49</v>
      </c>
      <c r="C346" s="16" t="s">
        <v>573</v>
      </c>
      <c r="D346" s="16" t="s">
        <v>1061</v>
      </c>
      <c r="E346" s="42" t="s">
        <v>2353</v>
      </c>
      <c r="F346" s="39">
        <v>1.0</v>
      </c>
      <c r="G346" s="12" t="s">
        <v>181</v>
      </c>
      <c r="H346" s="52">
        <v>46150.0</v>
      </c>
      <c r="I346" s="16"/>
      <c r="J346" s="16" t="s">
        <v>51</v>
      </c>
      <c r="K346" s="12" t="s">
        <v>2354</v>
      </c>
      <c r="L346" s="16" t="s">
        <v>1447</v>
      </c>
      <c r="M346" s="16" t="s">
        <v>2100</v>
      </c>
      <c r="N346" s="16" t="s">
        <v>626</v>
      </c>
      <c r="O346" s="16" t="s">
        <v>2355</v>
      </c>
      <c r="P346" s="18"/>
      <c r="Q346" s="16" t="s">
        <v>52</v>
      </c>
      <c r="R346" s="16" t="s">
        <v>219</v>
      </c>
      <c r="S346" s="16" t="s">
        <v>1493</v>
      </c>
      <c r="T346" s="16"/>
    </row>
    <row r="347">
      <c r="A347" s="54">
        <v>46153.37852561343</v>
      </c>
      <c r="B347" s="16" t="s">
        <v>34</v>
      </c>
      <c r="C347" s="16" t="s">
        <v>573</v>
      </c>
      <c r="D347" s="16" t="s">
        <v>1061</v>
      </c>
      <c r="E347" s="42" t="s">
        <v>2353</v>
      </c>
      <c r="F347" s="39">
        <v>8.0</v>
      </c>
      <c r="G347" s="12" t="s">
        <v>181</v>
      </c>
      <c r="H347" s="52">
        <v>46150.0</v>
      </c>
      <c r="I347" s="16"/>
      <c r="J347" s="16" t="s">
        <v>51</v>
      </c>
      <c r="K347" s="12" t="s">
        <v>2075</v>
      </c>
      <c r="L347" s="16" t="s">
        <v>1447</v>
      </c>
      <c r="M347" s="16" t="s">
        <v>2100</v>
      </c>
      <c r="N347" s="16" t="s">
        <v>626</v>
      </c>
      <c r="O347" s="16" t="s">
        <v>2356</v>
      </c>
      <c r="P347" s="18"/>
      <c r="Q347" s="16" t="s">
        <v>52</v>
      </c>
      <c r="R347" s="16" t="s">
        <v>88</v>
      </c>
      <c r="S347" s="16" t="s">
        <v>1493</v>
      </c>
      <c r="T347" s="16"/>
    </row>
    <row r="348">
      <c r="A348" s="54">
        <v>46153.39036534722</v>
      </c>
      <c r="B348" s="16" t="s">
        <v>49</v>
      </c>
      <c r="C348" s="16" t="s">
        <v>581</v>
      </c>
      <c r="D348" s="16" t="s">
        <v>1061</v>
      </c>
      <c r="E348" s="42" t="s">
        <v>2357</v>
      </c>
      <c r="F348" s="39">
        <v>1.0</v>
      </c>
      <c r="G348" s="12" t="s">
        <v>181</v>
      </c>
      <c r="H348" s="52">
        <v>46150.0</v>
      </c>
      <c r="I348" s="16"/>
      <c r="J348" s="16" t="s">
        <v>51</v>
      </c>
      <c r="K348" s="12" t="s">
        <v>2358</v>
      </c>
      <c r="L348" s="16" t="s">
        <v>1447</v>
      </c>
      <c r="M348" s="16" t="s">
        <v>2100</v>
      </c>
      <c r="N348" s="16" t="s">
        <v>626</v>
      </c>
      <c r="O348" s="16" t="s">
        <v>2359</v>
      </c>
      <c r="P348" s="18"/>
      <c r="Q348" s="16" t="s">
        <v>52</v>
      </c>
      <c r="R348" s="16" t="s">
        <v>219</v>
      </c>
      <c r="S348" s="16" t="s">
        <v>1493</v>
      </c>
      <c r="T348" s="16"/>
    </row>
    <row r="349" ht="26.25" customHeight="1">
      <c r="A349" s="54">
        <v>46153.392053877316</v>
      </c>
      <c r="B349" s="16" t="s">
        <v>49</v>
      </c>
      <c r="C349" s="16" t="s">
        <v>585</v>
      </c>
      <c r="D349" s="16" t="s">
        <v>1061</v>
      </c>
      <c r="E349" s="42" t="s">
        <v>2360</v>
      </c>
      <c r="F349" s="39">
        <v>1.0</v>
      </c>
      <c r="G349" s="12" t="s">
        <v>181</v>
      </c>
      <c r="H349" s="52">
        <v>46150.0</v>
      </c>
      <c r="I349" s="16"/>
      <c r="J349" s="16" t="s">
        <v>51</v>
      </c>
      <c r="K349" s="12" t="s">
        <v>2354</v>
      </c>
      <c r="L349" s="16" t="s">
        <v>1447</v>
      </c>
      <c r="M349" s="16" t="s">
        <v>2100</v>
      </c>
      <c r="N349" s="16" t="s">
        <v>626</v>
      </c>
      <c r="O349" s="16" t="s">
        <v>2361</v>
      </c>
      <c r="P349" s="18"/>
      <c r="Q349" s="16" t="s">
        <v>52</v>
      </c>
      <c r="R349" s="16" t="s">
        <v>219</v>
      </c>
      <c r="S349" s="16" t="s">
        <v>1493</v>
      </c>
      <c r="T349" s="16"/>
    </row>
    <row r="350" ht="26.25" customHeight="1">
      <c r="A350" s="54">
        <v>46153.393671157406</v>
      </c>
      <c r="B350" s="16" t="s">
        <v>49</v>
      </c>
      <c r="C350" s="16" t="s">
        <v>587</v>
      </c>
      <c r="D350" s="16" t="s">
        <v>1061</v>
      </c>
      <c r="E350" s="42" t="s">
        <v>2362</v>
      </c>
      <c r="F350" s="39">
        <v>1.0</v>
      </c>
      <c r="G350" s="12" t="s">
        <v>181</v>
      </c>
      <c r="H350" s="52">
        <v>46150.0</v>
      </c>
      <c r="I350" s="16"/>
      <c r="J350" s="16" t="s">
        <v>51</v>
      </c>
      <c r="K350" s="12" t="s">
        <v>2363</v>
      </c>
      <c r="L350" s="16" t="s">
        <v>1447</v>
      </c>
      <c r="M350" s="16" t="s">
        <v>2100</v>
      </c>
      <c r="N350" s="16" t="s">
        <v>626</v>
      </c>
      <c r="O350" s="16" t="s">
        <v>2364</v>
      </c>
      <c r="P350" s="18"/>
      <c r="Q350" s="16" t="s">
        <v>52</v>
      </c>
      <c r="R350" s="16" t="s">
        <v>219</v>
      </c>
      <c r="S350" s="16" t="s">
        <v>1493</v>
      </c>
      <c r="T350" s="16"/>
    </row>
    <row r="351" ht="26.25" customHeight="1">
      <c r="A351" s="54">
        <v>46153.432814375</v>
      </c>
      <c r="B351" s="16" t="s">
        <v>49</v>
      </c>
      <c r="C351" s="16" t="s">
        <v>558</v>
      </c>
      <c r="D351" s="16" t="s">
        <v>1061</v>
      </c>
      <c r="E351" s="42" t="s">
        <v>2342</v>
      </c>
      <c r="F351" s="39">
        <v>4.0</v>
      </c>
      <c r="G351" s="12" t="s">
        <v>181</v>
      </c>
      <c r="H351" s="52">
        <v>46150.0</v>
      </c>
      <c r="I351" s="16"/>
      <c r="J351" s="16" t="s">
        <v>51</v>
      </c>
      <c r="K351" s="12" t="s">
        <v>2365</v>
      </c>
      <c r="L351" s="16" t="s">
        <v>1447</v>
      </c>
      <c r="M351" s="16" t="s">
        <v>2100</v>
      </c>
      <c r="N351" s="16" t="s">
        <v>626</v>
      </c>
      <c r="O351" s="16" t="s">
        <v>2346</v>
      </c>
      <c r="P351" s="34"/>
      <c r="Q351" s="16" t="s">
        <v>52</v>
      </c>
      <c r="R351" s="16" t="s">
        <v>123</v>
      </c>
      <c r="S351" s="16" t="s">
        <v>1493</v>
      </c>
      <c r="T351" s="16"/>
    </row>
    <row r="352">
      <c r="A352" s="54">
        <v>46153.58297847222</v>
      </c>
      <c r="B352" s="16" t="s">
        <v>34</v>
      </c>
      <c r="C352" s="16" t="s">
        <v>429</v>
      </c>
      <c r="D352" s="16" t="s">
        <v>2182</v>
      </c>
      <c r="E352" s="42"/>
      <c r="F352" s="39">
        <v>16.0</v>
      </c>
      <c r="G352" s="12" t="s">
        <v>181</v>
      </c>
      <c r="H352" s="52">
        <v>46132.0</v>
      </c>
      <c r="I352" s="16" t="s">
        <v>128</v>
      </c>
      <c r="J352" s="16" t="s">
        <v>35</v>
      </c>
      <c r="K352" s="12" t="s">
        <v>2078</v>
      </c>
      <c r="L352" s="16" t="s">
        <v>1601</v>
      </c>
      <c r="M352" s="16" t="s">
        <v>2366</v>
      </c>
      <c r="N352" s="16" t="s">
        <v>424</v>
      </c>
      <c r="O352" s="16" t="s">
        <v>2079</v>
      </c>
      <c r="P352" s="18"/>
      <c r="Q352" s="16" t="s">
        <v>52</v>
      </c>
      <c r="R352" s="16" t="s">
        <v>429</v>
      </c>
      <c r="S352" s="16" t="s">
        <v>1607</v>
      </c>
      <c r="T352" s="16"/>
    </row>
    <row r="353">
      <c r="A353" s="54">
        <v>46154.33623917824</v>
      </c>
      <c r="B353" s="16" t="s">
        <v>104</v>
      </c>
      <c r="C353" s="16" t="s">
        <v>1056</v>
      </c>
      <c r="D353" s="17"/>
      <c r="E353" s="42"/>
      <c r="F353" s="39">
        <v>6.0</v>
      </c>
      <c r="G353" s="12" t="s">
        <v>181</v>
      </c>
      <c r="H353" s="51">
        <v>46153.0</v>
      </c>
      <c r="I353" s="16" t="s">
        <v>297</v>
      </c>
      <c r="J353" s="16" t="s">
        <v>92</v>
      </c>
      <c r="K353" s="12" t="s">
        <v>2367</v>
      </c>
      <c r="L353" s="16" t="s">
        <v>1447</v>
      </c>
      <c r="M353" s="16"/>
      <c r="N353" s="16" t="s">
        <v>921</v>
      </c>
      <c r="O353" s="16" t="s">
        <v>2368</v>
      </c>
      <c r="P353" s="18"/>
      <c r="Q353" s="16" t="s">
        <v>52</v>
      </c>
      <c r="R353" s="16" t="s">
        <v>297</v>
      </c>
      <c r="S353" s="16" t="s">
        <v>1493</v>
      </c>
      <c r="T353" s="16"/>
    </row>
    <row r="354">
      <c r="A354" s="54">
        <v>46154.34490252315</v>
      </c>
      <c r="B354" s="16" t="s">
        <v>49</v>
      </c>
      <c r="C354" s="16" t="s">
        <v>989</v>
      </c>
      <c r="D354" s="17"/>
      <c r="E354" s="42" t="s">
        <v>2369</v>
      </c>
      <c r="F354" s="39">
        <v>13.0</v>
      </c>
      <c r="G354" s="12" t="s">
        <v>181</v>
      </c>
      <c r="H354" s="52">
        <v>46148.0</v>
      </c>
      <c r="I354" s="16"/>
      <c r="J354" s="16" t="s">
        <v>51</v>
      </c>
      <c r="K354" s="12" t="s">
        <v>2370</v>
      </c>
      <c r="L354" s="16" t="s">
        <v>1447</v>
      </c>
      <c r="M354" s="16" t="s">
        <v>2100</v>
      </c>
      <c r="N354" s="16" t="s">
        <v>989</v>
      </c>
      <c r="O354" s="16" t="s">
        <v>2371</v>
      </c>
      <c r="P354" s="18"/>
      <c r="Q354" s="16" t="s">
        <v>52</v>
      </c>
      <c r="R354" s="16" t="s">
        <v>123</v>
      </c>
      <c r="S354" s="16" t="s">
        <v>1493</v>
      </c>
      <c r="T354" s="16"/>
    </row>
    <row r="355">
      <c r="A355" s="54">
        <v>46154.3666874537</v>
      </c>
      <c r="B355" s="16" t="s">
        <v>49</v>
      </c>
      <c r="C355" s="16" t="s">
        <v>585</v>
      </c>
      <c r="D355" s="17"/>
      <c r="E355" s="42" t="s">
        <v>2360</v>
      </c>
      <c r="F355" s="39">
        <v>4.0</v>
      </c>
      <c r="G355" s="12" t="s">
        <v>181</v>
      </c>
      <c r="H355" s="52">
        <v>46150.0</v>
      </c>
      <c r="I355" s="16"/>
      <c r="J355" s="16" t="s">
        <v>51</v>
      </c>
      <c r="K355" s="12" t="s">
        <v>1809</v>
      </c>
      <c r="L355" s="16" t="s">
        <v>1447</v>
      </c>
      <c r="M355" s="16" t="s">
        <v>2100</v>
      </c>
      <c r="N355" s="16" t="s">
        <v>626</v>
      </c>
      <c r="O355" s="16" t="s">
        <v>2361</v>
      </c>
      <c r="P355" s="18"/>
      <c r="Q355" s="16" t="s">
        <v>52</v>
      </c>
      <c r="R355" s="16" t="s">
        <v>123</v>
      </c>
      <c r="S355" s="16" t="s">
        <v>1493</v>
      </c>
      <c r="T355" s="16"/>
    </row>
    <row r="356">
      <c r="A356" s="54">
        <v>46154.367668506944</v>
      </c>
      <c r="B356" s="16" t="s">
        <v>49</v>
      </c>
      <c r="C356" s="16" t="s">
        <v>1060</v>
      </c>
      <c r="D356" s="17"/>
      <c r="E356" s="42" t="s">
        <v>2372</v>
      </c>
      <c r="F356" s="39">
        <v>1.0</v>
      </c>
      <c r="G356" s="12" t="s">
        <v>181</v>
      </c>
      <c r="H356" s="52">
        <v>46150.0</v>
      </c>
      <c r="I356" s="16"/>
      <c r="J356" s="16" t="s">
        <v>51</v>
      </c>
      <c r="K356" s="12" t="s">
        <v>2373</v>
      </c>
      <c r="L356" s="16" t="s">
        <v>1447</v>
      </c>
      <c r="M356" s="16" t="s">
        <v>2100</v>
      </c>
      <c r="N356" s="16" t="s">
        <v>1061</v>
      </c>
      <c r="O356" s="16" t="s">
        <v>2374</v>
      </c>
      <c r="P356" s="18"/>
      <c r="Q356" s="16" t="s">
        <v>52</v>
      </c>
      <c r="R356" s="16" t="s">
        <v>123</v>
      </c>
      <c r="S356" s="16" t="s">
        <v>1493</v>
      </c>
      <c r="T356" s="16"/>
    </row>
    <row r="357">
      <c r="A357" s="54">
        <v>46154.36873832176</v>
      </c>
      <c r="B357" s="16" t="s">
        <v>49</v>
      </c>
      <c r="C357" s="16" t="s">
        <v>581</v>
      </c>
      <c r="D357" s="17"/>
      <c r="E357" s="42" t="s">
        <v>2357</v>
      </c>
      <c r="F357" s="39">
        <v>4.0</v>
      </c>
      <c r="G357" s="12" t="s">
        <v>181</v>
      </c>
      <c r="H357" s="52">
        <v>46150.0</v>
      </c>
      <c r="I357" s="16"/>
      <c r="J357" s="16" t="s">
        <v>51</v>
      </c>
      <c r="K357" s="12" t="s">
        <v>1809</v>
      </c>
      <c r="L357" s="16" t="s">
        <v>1447</v>
      </c>
      <c r="M357" s="16" t="s">
        <v>2100</v>
      </c>
      <c r="N357" s="16" t="s">
        <v>626</v>
      </c>
      <c r="O357" s="16" t="s">
        <v>2359</v>
      </c>
      <c r="P357" s="18"/>
      <c r="Q357" s="16" t="s">
        <v>52</v>
      </c>
      <c r="R357" s="16" t="s">
        <v>123</v>
      </c>
      <c r="S357" s="16" t="s">
        <v>1493</v>
      </c>
      <c r="T357" s="16"/>
    </row>
    <row r="358">
      <c r="A358" s="54">
        <v>46154.36924518518</v>
      </c>
      <c r="B358" s="16" t="s">
        <v>49</v>
      </c>
      <c r="C358" s="16" t="s">
        <v>587</v>
      </c>
      <c r="D358" s="17"/>
      <c r="E358" s="42" t="s">
        <v>2362</v>
      </c>
      <c r="F358" s="39">
        <v>4.0</v>
      </c>
      <c r="G358" s="12" t="s">
        <v>181</v>
      </c>
      <c r="H358" s="52">
        <v>46150.0</v>
      </c>
      <c r="I358" s="16"/>
      <c r="J358" s="16" t="s">
        <v>51</v>
      </c>
      <c r="K358" s="12" t="s">
        <v>1809</v>
      </c>
      <c r="L358" s="16" t="s">
        <v>1447</v>
      </c>
      <c r="M358" s="16" t="s">
        <v>2100</v>
      </c>
      <c r="N358" s="16" t="s">
        <v>626</v>
      </c>
      <c r="O358" s="16" t="s">
        <v>2364</v>
      </c>
      <c r="P358" s="18"/>
      <c r="Q358" s="16" t="s">
        <v>52</v>
      </c>
      <c r="R358" s="16" t="s">
        <v>123</v>
      </c>
      <c r="S358" s="16" t="s">
        <v>1493</v>
      </c>
      <c r="T358" s="16"/>
    </row>
    <row r="359">
      <c r="A359" s="54">
        <v>46154.36983506945</v>
      </c>
      <c r="B359" s="16" t="s">
        <v>49</v>
      </c>
      <c r="C359" s="16" t="s">
        <v>565</v>
      </c>
      <c r="D359" s="16" t="s">
        <v>1061</v>
      </c>
      <c r="E359" s="42" t="s">
        <v>2347</v>
      </c>
      <c r="F359" s="39">
        <v>4.0</v>
      </c>
      <c r="G359" s="12" t="s">
        <v>181</v>
      </c>
      <c r="H359" s="51">
        <v>46150.0</v>
      </c>
      <c r="I359" s="16"/>
      <c r="J359" s="16" t="s">
        <v>51</v>
      </c>
      <c r="K359" s="12" t="s">
        <v>1809</v>
      </c>
      <c r="L359" s="16" t="s">
        <v>54</v>
      </c>
      <c r="M359" s="16" t="s">
        <v>2350</v>
      </c>
      <c r="N359" s="16" t="s">
        <v>2351</v>
      </c>
      <c r="O359" s="16" t="s">
        <v>2352</v>
      </c>
      <c r="P359" s="18"/>
      <c r="Q359" s="16" t="s">
        <v>52</v>
      </c>
      <c r="R359" s="16" t="s">
        <v>123</v>
      </c>
      <c r="S359" s="16" t="s">
        <v>1493</v>
      </c>
      <c r="T359" s="16" t="s">
        <v>625</v>
      </c>
    </row>
    <row r="360">
      <c r="A360" s="54">
        <v>46154.3705290625</v>
      </c>
      <c r="B360" s="16" t="s">
        <v>49</v>
      </c>
      <c r="C360" s="16" t="s">
        <v>573</v>
      </c>
      <c r="D360" s="17"/>
      <c r="E360" s="42" t="s">
        <v>2353</v>
      </c>
      <c r="F360" s="39">
        <v>4.0</v>
      </c>
      <c r="G360" s="12" t="s">
        <v>181</v>
      </c>
      <c r="H360" s="52">
        <v>46150.0</v>
      </c>
      <c r="I360" s="16"/>
      <c r="J360" s="16" t="s">
        <v>51</v>
      </c>
      <c r="K360" s="12" t="s">
        <v>1809</v>
      </c>
      <c r="L360" s="16" t="s">
        <v>1447</v>
      </c>
      <c r="M360" s="16" t="s">
        <v>2100</v>
      </c>
      <c r="N360" s="16" t="s">
        <v>626</v>
      </c>
      <c r="O360" s="16" t="s">
        <v>2355</v>
      </c>
      <c r="P360" s="18"/>
      <c r="Q360" s="16" t="s">
        <v>52</v>
      </c>
      <c r="R360" s="16" t="s">
        <v>123</v>
      </c>
      <c r="S360" s="16" t="s">
        <v>1493</v>
      </c>
      <c r="T360" s="16"/>
    </row>
    <row r="361">
      <c r="A361" s="54">
        <v>46154.59535148148</v>
      </c>
      <c r="B361" s="16" t="s">
        <v>104</v>
      </c>
      <c r="C361" s="16" t="s">
        <v>406</v>
      </c>
      <c r="D361" s="17"/>
      <c r="E361" s="42"/>
      <c r="F361" s="39">
        <v>2.0</v>
      </c>
      <c r="G361" s="12" t="s">
        <v>181</v>
      </c>
      <c r="H361" s="52">
        <v>46154.0</v>
      </c>
      <c r="I361" s="16"/>
      <c r="J361" s="16" t="s">
        <v>92</v>
      </c>
      <c r="K361" s="12" t="s">
        <v>2375</v>
      </c>
      <c r="L361" s="16" t="s">
        <v>1447</v>
      </c>
      <c r="M361" s="16" t="s">
        <v>2111</v>
      </c>
      <c r="N361" s="16" t="s">
        <v>921</v>
      </c>
      <c r="O361" s="16" t="s">
        <v>2376</v>
      </c>
      <c r="P361" s="18"/>
      <c r="Q361" s="16" t="s">
        <v>52</v>
      </c>
      <c r="R361" s="16" t="s">
        <v>267</v>
      </c>
      <c r="S361" s="16" t="s">
        <v>1493</v>
      </c>
      <c r="T361" s="16"/>
    </row>
    <row r="362">
      <c r="A362" s="54">
        <v>46154.60071115741</v>
      </c>
      <c r="B362" s="16" t="s">
        <v>68</v>
      </c>
      <c r="C362" s="16" t="s">
        <v>592</v>
      </c>
      <c r="D362" s="17"/>
      <c r="E362" s="42"/>
      <c r="F362" s="39">
        <v>21.0</v>
      </c>
      <c r="G362" s="12" t="s">
        <v>181</v>
      </c>
      <c r="H362" s="52">
        <v>46154.0</v>
      </c>
      <c r="I362" s="16"/>
      <c r="J362" s="16" t="s">
        <v>92</v>
      </c>
      <c r="K362" s="12" t="s">
        <v>2377</v>
      </c>
      <c r="L362" s="16" t="s">
        <v>1447</v>
      </c>
      <c r="M362" s="16" t="s">
        <v>2111</v>
      </c>
      <c r="N362" s="16" t="s">
        <v>1307</v>
      </c>
      <c r="O362" s="16" t="s">
        <v>2378</v>
      </c>
      <c r="P362" s="56" t="s">
        <v>2379</v>
      </c>
      <c r="Q362" s="16" t="s">
        <v>52</v>
      </c>
      <c r="R362" s="16" t="s">
        <v>294</v>
      </c>
      <c r="S362" s="16" t="s">
        <v>1493</v>
      </c>
      <c r="T362" s="16"/>
    </row>
    <row r="363">
      <c r="A363" s="54">
        <v>46155.34263321759</v>
      </c>
      <c r="B363" s="16" t="s">
        <v>49</v>
      </c>
      <c r="C363" s="16" t="s">
        <v>387</v>
      </c>
      <c r="D363" s="17"/>
      <c r="E363" s="42"/>
      <c r="F363" s="39">
        <v>11.0</v>
      </c>
      <c r="G363" s="12" t="s">
        <v>181</v>
      </c>
      <c r="H363" s="52">
        <v>46155.0</v>
      </c>
      <c r="I363" s="16" t="s">
        <v>111</v>
      </c>
      <c r="J363" s="16"/>
      <c r="K363" s="13"/>
      <c r="L363" s="16" t="s">
        <v>1601</v>
      </c>
      <c r="M363" s="16" t="s">
        <v>2380</v>
      </c>
      <c r="N363" s="16" t="s">
        <v>376</v>
      </c>
      <c r="O363" s="16" t="s">
        <v>1652</v>
      </c>
      <c r="P363" s="18"/>
      <c r="Q363" s="16" t="s">
        <v>52</v>
      </c>
      <c r="R363" s="16" t="s">
        <v>387</v>
      </c>
      <c r="S363" s="16" t="s">
        <v>1607</v>
      </c>
      <c r="T363" s="16"/>
    </row>
    <row r="364">
      <c r="A364" s="54">
        <v>46156.634697905094</v>
      </c>
      <c r="B364" s="16" t="s">
        <v>49</v>
      </c>
      <c r="C364" s="16" t="s">
        <v>1066</v>
      </c>
      <c r="D364" s="17"/>
      <c r="E364" s="42"/>
      <c r="F364" s="39">
        <v>87.0</v>
      </c>
      <c r="G364" s="16" t="s">
        <v>363</v>
      </c>
      <c r="H364" s="52">
        <v>46155.0</v>
      </c>
      <c r="I364" s="16" t="s">
        <v>53</v>
      </c>
      <c r="J364" s="16" t="s">
        <v>87</v>
      </c>
      <c r="K364" s="12" t="s">
        <v>2381</v>
      </c>
      <c r="L364" s="16" t="s">
        <v>1447</v>
      </c>
      <c r="M364" s="16" t="s">
        <v>2100</v>
      </c>
      <c r="N364" s="16" t="s">
        <v>376</v>
      </c>
      <c r="O364" s="16" t="s">
        <v>2382</v>
      </c>
      <c r="P364" s="57" t="s">
        <v>2383</v>
      </c>
      <c r="Q364" s="16" t="s">
        <v>52</v>
      </c>
      <c r="R364" s="16" t="s">
        <v>53</v>
      </c>
      <c r="S364" s="16" t="s">
        <v>1493</v>
      </c>
      <c r="T364" s="16"/>
    </row>
    <row r="365">
      <c r="A365" s="54">
        <v>46156.680621203705</v>
      </c>
      <c r="B365" s="16" t="s">
        <v>49</v>
      </c>
      <c r="C365" s="16" t="s">
        <v>30</v>
      </c>
      <c r="D365" s="17"/>
      <c r="E365" s="42"/>
      <c r="F365" s="39">
        <v>44.0</v>
      </c>
      <c r="G365" s="16" t="s">
        <v>363</v>
      </c>
      <c r="H365" s="52">
        <v>46155.0</v>
      </c>
      <c r="I365" s="16" t="s">
        <v>53</v>
      </c>
      <c r="J365" s="16"/>
      <c r="K365" s="12" t="s">
        <v>2384</v>
      </c>
      <c r="L365" s="16" t="s">
        <v>1447</v>
      </c>
      <c r="M365" s="16" t="s">
        <v>2100</v>
      </c>
      <c r="N365" s="16" t="s">
        <v>376</v>
      </c>
      <c r="O365" s="16" t="s">
        <v>2385</v>
      </c>
      <c r="P365" s="57" t="s">
        <v>2386</v>
      </c>
      <c r="Q365" s="16" t="s">
        <v>52</v>
      </c>
      <c r="R365" s="16" t="s">
        <v>53</v>
      </c>
      <c r="S365" s="16" t="s">
        <v>1493</v>
      </c>
      <c r="T365" s="16"/>
    </row>
    <row r="366">
      <c r="A366" s="54">
        <v>46157.707622002315</v>
      </c>
      <c r="B366" s="16" t="s">
        <v>34</v>
      </c>
      <c r="C366" s="16" t="s">
        <v>596</v>
      </c>
      <c r="D366" s="17"/>
      <c r="E366" s="42"/>
      <c r="F366" s="39">
        <v>29.0</v>
      </c>
      <c r="G366" s="12" t="s">
        <v>181</v>
      </c>
      <c r="H366" s="52">
        <v>46157.0</v>
      </c>
      <c r="I366" s="16"/>
      <c r="J366" s="16" t="s">
        <v>35</v>
      </c>
      <c r="K366" s="12" t="s">
        <v>501</v>
      </c>
      <c r="L366" s="16" t="s">
        <v>1447</v>
      </c>
      <c r="M366" s="16" t="s">
        <v>2100</v>
      </c>
      <c r="N366" s="16" t="s">
        <v>376</v>
      </c>
      <c r="O366" s="16" t="s">
        <v>2387</v>
      </c>
      <c r="P366" s="18"/>
      <c r="Q366" s="16" t="s">
        <v>52</v>
      </c>
      <c r="R366" s="16" t="s">
        <v>191</v>
      </c>
      <c r="S366" s="16" t="s">
        <v>1493</v>
      </c>
      <c r="T366" s="16"/>
    </row>
    <row r="367">
      <c r="A367" s="54">
        <v>46157.7090206713</v>
      </c>
      <c r="B367" s="16" t="s">
        <v>34</v>
      </c>
      <c r="C367" s="16" t="s">
        <v>601</v>
      </c>
      <c r="D367" s="17"/>
      <c r="E367" s="42"/>
      <c r="F367" s="39">
        <v>25.0</v>
      </c>
      <c r="G367" s="12" t="s">
        <v>181</v>
      </c>
      <c r="H367" s="52">
        <v>46157.0</v>
      </c>
      <c r="I367" s="16"/>
      <c r="J367" s="16" t="s">
        <v>35</v>
      </c>
      <c r="K367" s="12" t="s">
        <v>2388</v>
      </c>
      <c r="L367" s="16" t="s">
        <v>1447</v>
      </c>
      <c r="M367" s="16" t="s">
        <v>2100</v>
      </c>
      <c r="N367" s="16" t="s">
        <v>601</v>
      </c>
      <c r="O367" s="16" t="s">
        <v>2389</v>
      </c>
      <c r="P367" s="18"/>
      <c r="Q367" s="16" t="s">
        <v>52</v>
      </c>
      <c r="R367" s="16" t="s">
        <v>174</v>
      </c>
      <c r="S367" s="16" t="s">
        <v>1493</v>
      </c>
      <c r="T367" s="16"/>
    </row>
    <row r="368">
      <c r="A368" s="54">
        <v>46160.37755841435</v>
      </c>
      <c r="B368" s="16" t="s">
        <v>34</v>
      </c>
      <c r="C368" s="16" t="s">
        <v>601</v>
      </c>
      <c r="D368" s="17"/>
      <c r="E368" s="42"/>
      <c r="F368" s="39">
        <v>25.0</v>
      </c>
      <c r="G368" s="12" t="s">
        <v>181</v>
      </c>
      <c r="H368" s="52">
        <v>46157.0</v>
      </c>
      <c r="I368" s="16"/>
      <c r="J368" s="16" t="s">
        <v>35</v>
      </c>
      <c r="K368" s="13"/>
      <c r="L368" s="16" t="s">
        <v>1447</v>
      </c>
      <c r="M368" s="16" t="s">
        <v>2100</v>
      </c>
      <c r="N368" s="16" t="s">
        <v>601</v>
      </c>
      <c r="O368" s="16" t="s">
        <v>2389</v>
      </c>
      <c r="P368" s="18"/>
      <c r="Q368" s="16" t="s">
        <v>52</v>
      </c>
      <c r="R368" s="16" t="s">
        <v>199</v>
      </c>
      <c r="S368" s="16" t="s">
        <v>1493</v>
      </c>
      <c r="T368" s="16"/>
    </row>
    <row r="369">
      <c r="A369" s="54">
        <v>46160.377616921294</v>
      </c>
      <c r="B369" s="16" t="s">
        <v>34</v>
      </c>
      <c r="C369" s="16" t="s">
        <v>601</v>
      </c>
      <c r="D369" s="17"/>
      <c r="E369" s="42"/>
      <c r="F369" s="39">
        <v>22.0</v>
      </c>
      <c r="G369" s="12" t="s">
        <v>181</v>
      </c>
      <c r="H369" s="52">
        <v>46157.0</v>
      </c>
      <c r="I369" s="16"/>
      <c r="J369" s="16" t="s">
        <v>35</v>
      </c>
      <c r="K369" s="13"/>
      <c r="L369" s="16" t="s">
        <v>1447</v>
      </c>
      <c r="M369" s="16" t="s">
        <v>2100</v>
      </c>
      <c r="N369" s="16" t="s">
        <v>601</v>
      </c>
      <c r="O369" s="16" t="s">
        <v>2389</v>
      </c>
      <c r="P369" s="18"/>
      <c r="Q369" s="16" t="s">
        <v>52</v>
      </c>
      <c r="R369" s="16" t="s">
        <v>195</v>
      </c>
      <c r="S369" s="16" t="s">
        <v>1493</v>
      </c>
      <c r="T369" s="16"/>
    </row>
    <row r="370">
      <c r="A370" s="54">
        <v>46160.37975141204</v>
      </c>
      <c r="B370" s="16" t="s">
        <v>34</v>
      </c>
      <c r="C370" s="16" t="s">
        <v>370</v>
      </c>
      <c r="D370" s="17"/>
      <c r="E370" s="42"/>
      <c r="F370" s="39">
        <v>19.0</v>
      </c>
      <c r="G370" s="12" t="s">
        <v>181</v>
      </c>
      <c r="H370" s="52">
        <v>46157.0</v>
      </c>
      <c r="I370" s="16"/>
      <c r="J370" s="16" t="s">
        <v>35</v>
      </c>
      <c r="K370" s="12" t="s">
        <v>372</v>
      </c>
      <c r="L370" s="16" t="s">
        <v>1447</v>
      </c>
      <c r="M370" s="16" t="s">
        <v>2100</v>
      </c>
      <c r="N370" s="16" t="s">
        <v>2390</v>
      </c>
      <c r="O370" s="16" t="s">
        <v>2391</v>
      </c>
      <c r="P370" s="18"/>
      <c r="Q370" s="16" t="s">
        <v>52</v>
      </c>
      <c r="R370" s="16" t="s">
        <v>170</v>
      </c>
      <c r="S370" s="16" t="s">
        <v>1493</v>
      </c>
      <c r="T370" s="16" t="s">
        <v>625</v>
      </c>
    </row>
    <row r="371">
      <c r="A371" s="54">
        <v>46160.458708125</v>
      </c>
      <c r="B371" s="16" t="s">
        <v>34</v>
      </c>
      <c r="C371" s="16" t="s">
        <v>607</v>
      </c>
      <c r="D371" s="17"/>
      <c r="E371" s="42"/>
      <c r="F371" s="39">
        <v>25.0</v>
      </c>
      <c r="G371" s="12" t="s">
        <v>181</v>
      </c>
      <c r="H371" s="52">
        <v>46157.0</v>
      </c>
      <c r="I371" s="16"/>
      <c r="J371" s="16" t="s">
        <v>35</v>
      </c>
      <c r="K371" s="12" t="s">
        <v>382</v>
      </c>
      <c r="L371" s="16" t="s">
        <v>1447</v>
      </c>
      <c r="M371" s="16" t="s">
        <v>2100</v>
      </c>
      <c r="N371" s="16" t="s">
        <v>376</v>
      </c>
      <c r="O371" s="16" t="s">
        <v>2392</v>
      </c>
      <c r="P371" s="18"/>
      <c r="Q371" s="16" t="s">
        <v>52</v>
      </c>
      <c r="R371" s="16" t="s">
        <v>136</v>
      </c>
      <c r="S371" s="16" t="s">
        <v>1493</v>
      </c>
      <c r="T371" s="16"/>
    </row>
    <row r="372">
      <c r="A372" s="54">
        <v>46160.45876734954</v>
      </c>
      <c r="B372" s="16" t="s">
        <v>34</v>
      </c>
      <c r="C372" s="16" t="s">
        <v>607</v>
      </c>
      <c r="D372" s="17"/>
      <c r="E372" s="42"/>
      <c r="F372" s="39">
        <v>25.0</v>
      </c>
      <c r="G372" s="12" t="s">
        <v>181</v>
      </c>
      <c r="H372" s="52">
        <v>46157.0</v>
      </c>
      <c r="I372" s="16"/>
      <c r="J372" s="16" t="s">
        <v>35</v>
      </c>
      <c r="K372" s="12" t="s">
        <v>382</v>
      </c>
      <c r="L372" s="16" t="s">
        <v>1447</v>
      </c>
      <c r="M372" s="16" t="s">
        <v>2100</v>
      </c>
      <c r="N372" s="16" t="s">
        <v>376</v>
      </c>
      <c r="O372" s="16" t="s">
        <v>2392</v>
      </c>
      <c r="P372" s="18"/>
      <c r="Q372" s="16" t="s">
        <v>52</v>
      </c>
      <c r="R372" s="16" t="s">
        <v>142</v>
      </c>
      <c r="S372" s="16" t="s">
        <v>1493</v>
      </c>
      <c r="T372" s="16"/>
    </row>
    <row r="373">
      <c r="A373" s="54">
        <v>46160.458819085645</v>
      </c>
      <c r="B373" s="16" t="s">
        <v>34</v>
      </c>
      <c r="C373" s="16" t="s">
        <v>607</v>
      </c>
      <c r="D373" s="17"/>
      <c r="E373" s="42"/>
      <c r="F373" s="39">
        <v>26.0</v>
      </c>
      <c r="G373" s="12" t="s">
        <v>181</v>
      </c>
      <c r="H373" s="52">
        <v>46157.0</v>
      </c>
      <c r="I373" s="16"/>
      <c r="J373" s="16" t="s">
        <v>35</v>
      </c>
      <c r="K373" s="12" t="s">
        <v>382</v>
      </c>
      <c r="L373" s="16" t="s">
        <v>1447</v>
      </c>
      <c r="M373" s="16" t="s">
        <v>2100</v>
      </c>
      <c r="N373" s="16" t="s">
        <v>376</v>
      </c>
      <c r="O373" s="16" t="s">
        <v>2392</v>
      </c>
      <c r="P373" s="18"/>
      <c r="Q373" s="16" t="s">
        <v>52</v>
      </c>
      <c r="R373" s="16" t="s">
        <v>150</v>
      </c>
      <c r="S373" s="16" t="s">
        <v>1493</v>
      </c>
      <c r="T373" s="16"/>
    </row>
    <row r="374">
      <c r="A374" s="54">
        <v>46160.460221875</v>
      </c>
      <c r="B374" s="16" t="s">
        <v>34</v>
      </c>
      <c r="C374" s="16" t="s">
        <v>610</v>
      </c>
      <c r="D374" s="17"/>
      <c r="E374" s="42"/>
      <c r="F374" s="39">
        <v>1.0</v>
      </c>
      <c r="G374" s="12" t="s">
        <v>181</v>
      </c>
      <c r="H374" s="52">
        <v>46157.0</v>
      </c>
      <c r="I374" s="16"/>
      <c r="J374" s="16" t="s">
        <v>35</v>
      </c>
      <c r="K374" s="12" t="s">
        <v>482</v>
      </c>
      <c r="L374" s="16" t="s">
        <v>1447</v>
      </c>
      <c r="M374" s="16" t="s">
        <v>2100</v>
      </c>
      <c r="N374" s="16" t="s">
        <v>376</v>
      </c>
      <c r="O374" s="16" t="s">
        <v>2393</v>
      </c>
      <c r="P374" s="18"/>
      <c r="Q374" s="16" t="s">
        <v>52</v>
      </c>
      <c r="R374" s="16" t="s">
        <v>183</v>
      </c>
      <c r="S374" s="16" t="s">
        <v>1493</v>
      </c>
      <c r="T374" s="16"/>
    </row>
    <row r="375">
      <c r="A375" s="54">
        <v>46160.460906886576</v>
      </c>
      <c r="B375" s="16" t="s">
        <v>34</v>
      </c>
      <c r="C375" s="16" t="s">
        <v>487</v>
      </c>
      <c r="D375" s="17"/>
      <c r="E375" s="42"/>
      <c r="F375" s="39">
        <v>1.0</v>
      </c>
      <c r="G375" s="12" t="s">
        <v>181</v>
      </c>
      <c r="H375" s="52">
        <v>46157.0</v>
      </c>
      <c r="I375" s="16"/>
      <c r="J375" s="16" t="s">
        <v>35</v>
      </c>
      <c r="K375" s="12" t="s">
        <v>492</v>
      </c>
      <c r="L375" s="16" t="s">
        <v>1447</v>
      </c>
      <c r="M375" s="16" t="s">
        <v>2100</v>
      </c>
      <c r="N375" s="16" t="s">
        <v>376</v>
      </c>
      <c r="O375" s="16" t="s">
        <v>2394</v>
      </c>
      <c r="P375" s="18"/>
      <c r="Q375" s="16" t="s">
        <v>52</v>
      </c>
      <c r="R375" s="16" t="s">
        <v>183</v>
      </c>
      <c r="S375" s="16" t="s">
        <v>1493</v>
      </c>
      <c r="T375" s="16"/>
    </row>
    <row r="376">
      <c r="A376" s="54">
        <v>46160.46169678241</v>
      </c>
      <c r="B376" s="16" t="s">
        <v>34</v>
      </c>
      <c r="C376" s="16" t="s">
        <v>616</v>
      </c>
      <c r="D376" s="17"/>
      <c r="E376" s="42"/>
      <c r="F376" s="39">
        <v>2.0</v>
      </c>
      <c r="G376" s="12" t="s">
        <v>181</v>
      </c>
      <c r="H376" s="52">
        <v>46157.0</v>
      </c>
      <c r="I376" s="16"/>
      <c r="J376" s="16" t="s">
        <v>35</v>
      </c>
      <c r="K376" s="12" t="s">
        <v>508</v>
      </c>
      <c r="L376" s="16" t="s">
        <v>1447</v>
      </c>
      <c r="M376" s="16" t="s">
        <v>2100</v>
      </c>
      <c r="N376" s="16" t="s">
        <v>2395</v>
      </c>
      <c r="O376" s="16" t="s">
        <v>2396</v>
      </c>
      <c r="P376" s="18"/>
      <c r="Q376" s="16" t="s">
        <v>52</v>
      </c>
      <c r="R376" s="16" t="s">
        <v>183</v>
      </c>
      <c r="S376" s="16" t="s">
        <v>1493</v>
      </c>
      <c r="T376" s="16"/>
    </row>
    <row r="377">
      <c r="A377" s="54">
        <v>46160.462621087965</v>
      </c>
      <c r="B377" s="16" t="s">
        <v>34</v>
      </c>
      <c r="C377" s="16" t="s">
        <v>619</v>
      </c>
      <c r="D377" s="17"/>
      <c r="E377" s="42"/>
      <c r="F377" s="39">
        <v>16.0</v>
      </c>
      <c r="G377" s="12" t="s">
        <v>181</v>
      </c>
      <c r="H377" s="52">
        <v>46157.0</v>
      </c>
      <c r="I377" s="16"/>
      <c r="J377" s="16" t="s">
        <v>35</v>
      </c>
      <c r="K377" s="12" t="s">
        <v>519</v>
      </c>
      <c r="L377" s="16" t="s">
        <v>1447</v>
      </c>
      <c r="M377" s="16" t="s">
        <v>2100</v>
      </c>
      <c r="N377" s="16" t="s">
        <v>424</v>
      </c>
      <c r="O377" s="16" t="s">
        <v>2397</v>
      </c>
      <c r="P377" s="18"/>
      <c r="Q377" s="16" t="s">
        <v>52</v>
      </c>
      <c r="R377" s="16" t="s">
        <v>164</v>
      </c>
      <c r="S377" s="16" t="s">
        <v>1493</v>
      </c>
      <c r="T377" s="16"/>
    </row>
    <row r="378">
      <c r="A378" s="54">
        <v>46160.463533449074</v>
      </c>
      <c r="B378" s="16" t="s">
        <v>34</v>
      </c>
      <c r="C378" s="16" t="s">
        <v>523</v>
      </c>
      <c r="D378" s="17"/>
      <c r="E378" s="42"/>
      <c r="F378" s="39">
        <v>15.0</v>
      </c>
      <c r="G378" s="12" t="s">
        <v>181</v>
      </c>
      <c r="H378" s="52">
        <v>46157.0</v>
      </c>
      <c r="I378" s="16"/>
      <c r="J378" s="16" t="s">
        <v>35</v>
      </c>
      <c r="K378" s="12" t="s">
        <v>525</v>
      </c>
      <c r="L378" s="16" t="s">
        <v>1447</v>
      </c>
      <c r="M378" s="16" t="s">
        <v>2100</v>
      </c>
      <c r="N378" s="16" t="s">
        <v>376</v>
      </c>
      <c r="O378" s="16" t="s">
        <v>2398</v>
      </c>
      <c r="P378" s="18"/>
      <c r="Q378" s="16" t="s">
        <v>52</v>
      </c>
      <c r="R378" s="16" t="s">
        <v>164</v>
      </c>
      <c r="S378" s="16" t="s">
        <v>1493</v>
      </c>
      <c r="T378" s="16"/>
    </row>
    <row r="379">
      <c r="A379" s="54">
        <v>46160.51847434028</v>
      </c>
      <c r="B379" s="16" t="s">
        <v>34</v>
      </c>
      <c r="C379" s="16" t="s">
        <v>467</v>
      </c>
      <c r="D379" s="17"/>
      <c r="E379" s="42"/>
      <c r="F379" s="39">
        <v>16.0</v>
      </c>
      <c r="G379" s="12" t="s">
        <v>181</v>
      </c>
      <c r="H379" s="52">
        <v>46156.0</v>
      </c>
      <c r="I379" s="16" t="s">
        <v>187</v>
      </c>
      <c r="J379" s="16"/>
      <c r="K379" s="13"/>
      <c r="L379" s="16" t="s">
        <v>1601</v>
      </c>
      <c r="M379" s="16" t="s">
        <v>2317</v>
      </c>
      <c r="N379" s="16" t="s">
        <v>376</v>
      </c>
      <c r="O379" s="16" t="s">
        <v>2184</v>
      </c>
      <c r="P379" s="18"/>
      <c r="Q379" s="16" t="s">
        <v>52</v>
      </c>
      <c r="R379" s="16" t="s">
        <v>2399</v>
      </c>
      <c r="S379" s="16" t="s">
        <v>1607</v>
      </c>
      <c r="T379" s="16"/>
    </row>
    <row r="380">
      <c r="A380" s="54">
        <v>46160.520454537036</v>
      </c>
      <c r="B380" s="16" t="s">
        <v>34</v>
      </c>
      <c r="C380" s="16" t="s">
        <v>470</v>
      </c>
      <c r="D380" s="17"/>
      <c r="E380" s="42"/>
      <c r="F380" s="39">
        <v>16.0</v>
      </c>
      <c r="G380" s="12" t="s">
        <v>181</v>
      </c>
      <c r="H380" s="52">
        <v>46156.0</v>
      </c>
      <c r="I380" s="16" t="s">
        <v>187</v>
      </c>
      <c r="J380" s="16"/>
      <c r="K380" s="13"/>
      <c r="L380" s="16" t="s">
        <v>1601</v>
      </c>
      <c r="M380" s="16" t="s">
        <v>2317</v>
      </c>
      <c r="N380" s="16" t="s">
        <v>376</v>
      </c>
      <c r="O380" s="16" t="s">
        <v>2185</v>
      </c>
      <c r="P380" s="18"/>
      <c r="Q380" s="16" t="s">
        <v>52</v>
      </c>
      <c r="R380" s="16" t="s">
        <v>2400</v>
      </c>
      <c r="S380" s="16" t="s">
        <v>1607</v>
      </c>
      <c r="T380" s="16"/>
    </row>
    <row r="381">
      <c r="A381" s="54">
        <v>46160.521894363425</v>
      </c>
      <c r="B381" s="16" t="s">
        <v>34</v>
      </c>
      <c r="C381" s="16" t="s">
        <v>533</v>
      </c>
      <c r="D381" s="17"/>
      <c r="E381" s="42"/>
      <c r="F381" s="39">
        <v>35.0</v>
      </c>
      <c r="G381" s="12" t="s">
        <v>181</v>
      </c>
      <c r="H381" s="52">
        <v>46157.0</v>
      </c>
      <c r="I381" s="16" t="s">
        <v>120</v>
      </c>
      <c r="J381" s="16"/>
      <c r="K381" s="13"/>
      <c r="L381" s="16" t="s">
        <v>1601</v>
      </c>
      <c r="M381" s="16" t="s">
        <v>2317</v>
      </c>
      <c r="N381" s="16" t="s">
        <v>534</v>
      </c>
      <c r="O381" s="16" t="s">
        <v>2275</v>
      </c>
      <c r="P381" s="18"/>
      <c r="Q381" s="16" t="s">
        <v>52</v>
      </c>
      <c r="R381" s="16" t="s">
        <v>534</v>
      </c>
      <c r="S381" s="16" t="s">
        <v>1607</v>
      </c>
      <c r="T381" s="16"/>
    </row>
    <row r="382">
      <c r="A382" s="54">
        <v>46160.523450023145</v>
      </c>
      <c r="B382" s="16" t="s">
        <v>34</v>
      </c>
      <c r="C382" s="16" t="s">
        <v>607</v>
      </c>
      <c r="D382" s="17"/>
      <c r="E382" s="42"/>
      <c r="F382" s="39">
        <v>26.0</v>
      </c>
      <c r="G382" s="12" t="s">
        <v>181</v>
      </c>
      <c r="H382" s="52">
        <v>46160.0</v>
      </c>
      <c r="I382" s="16" t="s">
        <v>150</v>
      </c>
      <c r="J382" s="16"/>
      <c r="K382" s="12" t="s">
        <v>2401</v>
      </c>
      <c r="L382" s="16" t="s">
        <v>1601</v>
      </c>
      <c r="M382" s="16" t="s">
        <v>2402</v>
      </c>
      <c r="N382" s="16" t="s">
        <v>376</v>
      </c>
      <c r="O382" s="16" t="s">
        <v>2392</v>
      </c>
      <c r="P382" s="18"/>
      <c r="Q382" s="16" t="s">
        <v>52</v>
      </c>
      <c r="R382" s="16" t="s">
        <v>2403</v>
      </c>
      <c r="S382" s="16" t="s">
        <v>1607</v>
      </c>
      <c r="T382" s="16"/>
    </row>
    <row r="383">
      <c r="A383" s="54">
        <v>46160.52349515047</v>
      </c>
      <c r="B383" s="16" t="s">
        <v>34</v>
      </c>
      <c r="C383" s="16" t="s">
        <v>607</v>
      </c>
      <c r="D383" s="17"/>
      <c r="E383" s="42"/>
      <c r="F383" s="39">
        <v>25.0</v>
      </c>
      <c r="G383" s="12" t="s">
        <v>181</v>
      </c>
      <c r="H383" s="52">
        <v>46160.0</v>
      </c>
      <c r="I383" s="16" t="s">
        <v>142</v>
      </c>
      <c r="J383" s="16"/>
      <c r="K383" s="12" t="s">
        <v>2401</v>
      </c>
      <c r="L383" s="16" t="s">
        <v>1601</v>
      </c>
      <c r="M383" s="16" t="s">
        <v>2402</v>
      </c>
      <c r="N383" s="16" t="s">
        <v>376</v>
      </c>
      <c r="O383" s="16" t="s">
        <v>2392</v>
      </c>
      <c r="P383" s="18"/>
      <c r="Q383" s="16" t="s">
        <v>52</v>
      </c>
      <c r="R383" s="16" t="s">
        <v>2403</v>
      </c>
      <c r="S383" s="16" t="s">
        <v>1607</v>
      </c>
      <c r="T383" s="16"/>
    </row>
    <row r="384">
      <c r="A384" s="54">
        <v>46160.52353846065</v>
      </c>
      <c r="B384" s="16" t="s">
        <v>34</v>
      </c>
      <c r="C384" s="16" t="s">
        <v>607</v>
      </c>
      <c r="D384" s="17"/>
      <c r="E384" s="42"/>
      <c r="F384" s="39">
        <v>25.0</v>
      </c>
      <c r="G384" s="12" t="s">
        <v>181</v>
      </c>
      <c r="H384" s="52">
        <v>46160.0</v>
      </c>
      <c r="I384" s="16" t="s">
        <v>136</v>
      </c>
      <c r="J384" s="16"/>
      <c r="K384" s="12" t="s">
        <v>2401</v>
      </c>
      <c r="L384" s="16" t="s">
        <v>1601</v>
      </c>
      <c r="M384" s="16" t="s">
        <v>2402</v>
      </c>
      <c r="N384" s="16" t="s">
        <v>376</v>
      </c>
      <c r="O384" s="16" t="s">
        <v>2392</v>
      </c>
      <c r="P384" s="18"/>
      <c r="Q384" s="16" t="s">
        <v>52</v>
      </c>
      <c r="R384" s="16" t="s">
        <v>2403</v>
      </c>
      <c r="S384" s="16" t="s">
        <v>1607</v>
      </c>
      <c r="T384" s="16"/>
    </row>
    <row r="385">
      <c r="A385" s="54">
        <v>46160.526850740745</v>
      </c>
      <c r="B385" s="12" t="s">
        <v>96</v>
      </c>
      <c r="C385" s="16" t="s">
        <v>344</v>
      </c>
      <c r="D385" s="17"/>
      <c r="E385" s="42"/>
      <c r="F385" s="39">
        <v>192.0</v>
      </c>
      <c r="G385" s="12" t="s">
        <v>181</v>
      </c>
      <c r="H385" s="52">
        <v>46157.0</v>
      </c>
      <c r="I385" s="16"/>
      <c r="J385" s="16" t="s">
        <v>2404</v>
      </c>
      <c r="K385" s="12" t="s">
        <v>2405</v>
      </c>
      <c r="L385" s="16" t="s">
        <v>1447</v>
      </c>
      <c r="M385" s="16" t="s">
        <v>2135</v>
      </c>
      <c r="N385" s="16" t="s">
        <v>376</v>
      </c>
      <c r="O385" s="16" t="s">
        <v>2406</v>
      </c>
      <c r="P385" s="18"/>
      <c r="Q385" s="16" t="s">
        <v>52</v>
      </c>
      <c r="R385" s="16" t="s">
        <v>251</v>
      </c>
      <c r="S385" s="16" t="s">
        <v>1493</v>
      </c>
      <c r="T385" s="16"/>
    </row>
    <row r="386">
      <c r="A386" s="54">
        <v>46160.53203047454</v>
      </c>
      <c r="B386" s="12" t="s">
        <v>96</v>
      </c>
      <c r="C386" s="16" t="s">
        <v>320</v>
      </c>
      <c r="D386" s="17"/>
      <c r="E386" s="42"/>
      <c r="F386" s="39">
        <v>4.0</v>
      </c>
      <c r="G386" s="12" t="s">
        <v>181</v>
      </c>
      <c r="H386" s="52">
        <v>46157.0</v>
      </c>
      <c r="I386" s="16"/>
      <c r="J386" s="16" t="s">
        <v>2407</v>
      </c>
      <c r="K386" s="13"/>
      <c r="L386" s="16" t="s">
        <v>1447</v>
      </c>
      <c r="M386" s="16" t="s">
        <v>2135</v>
      </c>
      <c r="N386" s="16" t="s">
        <v>376</v>
      </c>
      <c r="O386" s="16" t="s">
        <v>2408</v>
      </c>
      <c r="P386" s="18"/>
      <c r="Q386" s="16" t="s">
        <v>52</v>
      </c>
      <c r="R386" s="16" t="s">
        <v>231</v>
      </c>
      <c r="S386" s="16" t="s">
        <v>1493</v>
      </c>
      <c r="T386" s="16"/>
    </row>
    <row r="387">
      <c r="A387" s="54">
        <v>46160.56301193287</v>
      </c>
      <c r="B387" s="16" t="s">
        <v>34</v>
      </c>
      <c r="C387" s="16" t="s">
        <v>581</v>
      </c>
      <c r="D387" s="17"/>
      <c r="E387" s="42"/>
      <c r="F387" s="39">
        <v>6.0</v>
      </c>
      <c r="G387" s="12" t="s">
        <v>181</v>
      </c>
      <c r="H387" s="52">
        <v>46150.0</v>
      </c>
      <c r="I387" s="16"/>
      <c r="J387" s="16" t="s">
        <v>51</v>
      </c>
      <c r="K387" s="12" t="s">
        <v>2409</v>
      </c>
      <c r="L387" s="16" t="s">
        <v>1447</v>
      </c>
      <c r="M387" s="16" t="s">
        <v>2100</v>
      </c>
      <c r="N387" s="16" t="s">
        <v>626</v>
      </c>
      <c r="O387" s="16" t="s">
        <v>2410</v>
      </c>
      <c r="P387" s="18"/>
      <c r="Q387" s="16" t="s">
        <v>52</v>
      </c>
      <c r="R387" s="16" t="s">
        <v>128</v>
      </c>
      <c r="S387" s="16" t="s">
        <v>1493</v>
      </c>
      <c r="T387" s="16"/>
    </row>
    <row r="388">
      <c r="A388" s="54">
        <v>46160.563634398146</v>
      </c>
      <c r="B388" s="16" t="s">
        <v>34</v>
      </c>
      <c r="C388" s="16" t="s">
        <v>587</v>
      </c>
      <c r="D388" s="17"/>
      <c r="E388" s="42"/>
      <c r="F388" s="16">
        <v>10.0</v>
      </c>
      <c r="G388" s="12" t="s">
        <v>181</v>
      </c>
      <c r="H388" s="52">
        <v>46150.0</v>
      </c>
      <c r="I388" s="16"/>
      <c r="J388" s="16" t="s">
        <v>51</v>
      </c>
      <c r="K388" s="12" t="s">
        <v>2411</v>
      </c>
      <c r="L388" s="16" t="s">
        <v>1447</v>
      </c>
      <c r="M388" s="16" t="s">
        <v>2100</v>
      </c>
      <c r="N388" s="16" t="s">
        <v>626</v>
      </c>
      <c r="O388" s="16" t="s">
        <v>2412</v>
      </c>
      <c r="P388" s="18"/>
      <c r="Q388" s="16" t="s">
        <v>52</v>
      </c>
      <c r="R388" s="16" t="s">
        <v>128</v>
      </c>
      <c r="S388" s="16" t="s">
        <v>1493</v>
      </c>
      <c r="T388" s="16"/>
    </row>
    <row r="389">
      <c r="A389" s="54">
        <v>46160.56411627315</v>
      </c>
      <c r="B389" s="16" t="s">
        <v>34</v>
      </c>
      <c r="C389" s="16" t="s">
        <v>585</v>
      </c>
      <c r="D389" s="17"/>
      <c r="E389" s="42"/>
      <c r="F389" s="16">
        <v>8.0</v>
      </c>
      <c r="G389" s="12" t="s">
        <v>181</v>
      </c>
      <c r="H389" s="52">
        <v>46150.0</v>
      </c>
      <c r="I389" s="16"/>
      <c r="J389" s="16" t="s">
        <v>51</v>
      </c>
      <c r="K389" s="12" t="s">
        <v>2413</v>
      </c>
      <c r="L389" s="16" t="s">
        <v>1447</v>
      </c>
      <c r="M389" s="16" t="s">
        <v>2100</v>
      </c>
      <c r="N389" s="16" t="s">
        <v>626</v>
      </c>
      <c r="O389" s="16" t="s">
        <v>2414</v>
      </c>
      <c r="P389" s="18"/>
      <c r="Q389" s="16" t="s">
        <v>52</v>
      </c>
      <c r="R389" s="16" t="s">
        <v>128</v>
      </c>
      <c r="S389" s="16" t="s">
        <v>1493</v>
      </c>
      <c r="T389" s="16"/>
    </row>
    <row r="390">
      <c r="A390" s="54">
        <v>46160.56516398148</v>
      </c>
      <c r="B390" s="16" t="s">
        <v>34</v>
      </c>
      <c r="C390" s="16" t="s">
        <v>581</v>
      </c>
      <c r="D390" s="17"/>
      <c r="E390" s="42"/>
      <c r="F390" s="39">
        <v>6.0</v>
      </c>
      <c r="G390" s="12" t="s">
        <v>181</v>
      </c>
      <c r="H390" s="52">
        <v>46153.0</v>
      </c>
      <c r="I390" s="16" t="s">
        <v>128</v>
      </c>
      <c r="J390" s="16"/>
      <c r="K390" s="13"/>
      <c r="L390" s="16" t="s">
        <v>1601</v>
      </c>
      <c r="M390" s="16" t="s">
        <v>2222</v>
      </c>
      <c r="N390" s="16" t="s">
        <v>626</v>
      </c>
      <c r="O390" s="16" t="s">
        <v>2410</v>
      </c>
      <c r="P390" s="18"/>
      <c r="Q390" s="16" t="s">
        <v>52</v>
      </c>
      <c r="R390" s="16" t="s">
        <v>581</v>
      </c>
      <c r="S390" s="16" t="s">
        <v>1607</v>
      </c>
      <c r="T390" s="16"/>
    </row>
    <row r="391">
      <c r="A391" s="54">
        <v>46160.56578895834</v>
      </c>
      <c r="B391" s="16" t="s">
        <v>34</v>
      </c>
      <c r="C391" s="16" t="s">
        <v>585</v>
      </c>
      <c r="D391" s="17"/>
      <c r="E391" s="42"/>
      <c r="F391" s="39">
        <v>8.0</v>
      </c>
      <c r="G391" s="12" t="s">
        <v>181</v>
      </c>
      <c r="H391" s="52">
        <v>46153.0</v>
      </c>
      <c r="I391" s="16" t="s">
        <v>128</v>
      </c>
      <c r="J391" s="16"/>
      <c r="K391" s="13"/>
      <c r="L391" s="16" t="s">
        <v>1601</v>
      </c>
      <c r="M391" s="16" t="s">
        <v>2222</v>
      </c>
      <c r="N391" s="16" t="s">
        <v>626</v>
      </c>
      <c r="O391" s="16" t="s">
        <v>2414</v>
      </c>
      <c r="P391" s="18"/>
      <c r="Q391" s="16" t="s">
        <v>52</v>
      </c>
      <c r="R391" s="16" t="s">
        <v>585</v>
      </c>
      <c r="S391" s="16" t="s">
        <v>1607</v>
      </c>
      <c r="T391" s="16"/>
    </row>
    <row r="392">
      <c r="A392" s="54">
        <v>46160.5662999537</v>
      </c>
      <c r="B392" s="16" t="s">
        <v>34</v>
      </c>
      <c r="C392" s="16" t="s">
        <v>587</v>
      </c>
      <c r="D392" s="17"/>
      <c r="E392" s="42"/>
      <c r="F392" s="39">
        <v>10.0</v>
      </c>
      <c r="G392" s="12" t="s">
        <v>181</v>
      </c>
      <c r="H392" s="52">
        <v>46153.0</v>
      </c>
      <c r="I392" s="16" t="s">
        <v>128</v>
      </c>
      <c r="J392" s="16"/>
      <c r="K392" s="13"/>
      <c r="L392" s="16" t="s">
        <v>1601</v>
      </c>
      <c r="M392" s="16" t="s">
        <v>2222</v>
      </c>
      <c r="N392" s="16" t="s">
        <v>626</v>
      </c>
      <c r="O392" s="16" t="s">
        <v>2412</v>
      </c>
      <c r="P392" s="18"/>
      <c r="Q392" s="16" t="s">
        <v>52</v>
      </c>
      <c r="R392" s="16" t="s">
        <v>587</v>
      </c>
      <c r="S392" s="16" t="s">
        <v>1607</v>
      </c>
      <c r="T392" s="16"/>
    </row>
    <row r="393">
      <c r="A393" s="54">
        <v>46160.57090475694</v>
      </c>
      <c r="B393" s="16" t="s">
        <v>34</v>
      </c>
      <c r="C393" s="16" t="s">
        <v>565</v>
      </c>
      <c r="D393" s="16" t="s">
        <v>1061</v>
      </c>
      <c r="E393" s="42"/>
      <c r="F393" s="39">
        <v>10.0</v>
      </c>
      <c r="G393" s="12" t="s">
        <v>181</v>
      </c>
      <c r="H393" s="52">
        <v>46160.0</v>
      </c>
      <c r="I393" s="16" t="s">
        <v>164</v>
      </c>
      <c r="J393" s="16"/>
      <c r="K393" s="13"/>
      <c r="L393" s="16" t="s">
        <v>1601</v>
      </c>
      <c r="M393" s="16" t="s">
        <v>2222</v>
      </c>
      <c r="N393" s="16" t="s">
        <v>376</v>
      </c>
      <c r="O393" s="16" t="s">
        <v>2348</v>
      </c>
      <c r="P393" s="18"/>
      <c r="Q393" s="16" t="s">
        <v>52</v>
      </c>
      <c r="R393" s="16" t="s">
        <v>565</v>
      </c>
      <c r="S393" s="16" t="s">
        <v>1607</v>
      </c>
      <c r="T393" s="16"/>
    </row>
    <row r="394">
      <c r="A394" s="54">
        <v>46160.571355162036</v>
      </c>
      <c r="B394" s="16" t="s">
        <v>34</v>
      </c>
      <c r="C394" s="16" t="s">
        <v>558</v>
      </c>
      <c r="D394" s="16" t="s">
        <v>1061</v>
      </c>
      <c r="E394" s="42" t="s">
        <v>2415</v>
      </c>
      <c r="F394" s="39">
        <v>6.0</v>
      </c>
      <c r="G394" s="12" t="s">
        <v>181</v>
      </c>
      <c r="H394" s="52">
        <v>46160.0</v>
      </c>
      <c r="I394" s="16" t="s">
        <v>164</v>
      </c>
      <c r="J394" s="16"/>
      <c r="K394" s="13"/>
      <c r="L394" s="16" t="s">
        <v>1601</v>
      </c>
      <c r="M394" s="16" t="s">
        <v>2222</v>
      </c>
      <c r="N394" s="16" t="s">
        <v>376</v>
      </c>
      <c r="O394" s="16" t="s">
        <v>2344</v>
      </c>
      <c r="P394" s="18"/>
      <c r="Q394" s="16" t="s">
        <v>52</v>
      </c>
      <c r="R394" s="16" t="s">
        <v>558</v>
      </c>
      <c r="S394" s="16" t="s">
        <v>1607</v>
      </c>
      <c r="T394" s="16"/>
    </row>
    <row r="395">
      <c r="A395" s="54">
        <v>46160.57208752315</v>
      </c>
      <c r="B395" s="16" t="s">
        <v>34</v>
      </c>
      <c r="C395" s="16" t="s">
        <v>573</v>
      </c>
      <c r="D395" s="17"/>
      <c r="E395" s="42"/>
      <c r="F395" s="39">
        <v>8.0</v>
      </c>
      <c r="G395" s="12" t="s">
        <v>181</v>
      </c>
      <c r="H395" s="52">
        <v>46160.0</v>
      </c>
      <c r="I395" s="16" t="s">
        <v>88</v>
      </c>
      <c r="J395" s="16"/>
      <c r="K395" s="13"/>
      <c r="L395" s="16" t="s">
        <v>1601</v>
      </c>
      <c r="M395" s="16" t="s">
        <v>2222</v>
      </c>
      <c r="N395" s="16" t="s">
        <v>376</v>
      </c>
      <c r="O395" s="16" t="s">
        <v>2356</v>
      </c>
      <c r="P395" s="18"/>
      <c r="Q395" s="16" t="s">
        <v>52</v>
      </c>
      <c r="R395" s="16" t="s">
        <v>573</v>
      </c>
      <c r="S395" s="16" t="s">
        <v>1607</v>
      </c>
      <c r="T395" s="16"/>
    </row>
    <row r="396">
      <c r="A396" s="54">
        <v>46160.585669085645</v>
      </c>
      <c r="B396" s="16" t="s">
        <v>34</v>
      </c>
      <c r="C396" s="16" t="s">
        <v>636</v>
      </c>
      <c r="D396" s="17"/>
      <c r="E396" s="42" t="s">
        <v>2416</v>
      </c>
      <c r="F396" s="39">
        <v>7.0</v>
      </c>
      <c r="G396" s="12" t="s">
        <v>181</v>
      </c>
      <c r="H396" s="52">
        <v>46160.0</v>
      </c>
      <c r="I396" s="16"/>
      <c r="J396" s="16" t="s">
        <v>51</v>
      </c>
      <c r="K396" s="12" t="s">
        <v>2075</v>
      </c>
      <c r="L396" s="16" t="s">
        <v>1447</v>
      </c>
      <c r="M396" s="16" t="s">
        <v>393</v>
      </c>
      <c r="N396" s="16" t="s">
        <v>819</v>
      </c>
      <c r="O396" s="16" t="s">
        <v>2417</v>
      </c>
      <c r="P396" s="18"/>
      <c r="Q396" s="16" t="s">
        <v>52</v>
      </c>
      <c r="R396" s="16" t="s">
        <v>136</v>
      </c>
      <c r="S396" s="16" t="s">
        <v>1493</v>
      </c>
      <c r="T396" s="16"/>
    </row>
    <row r="397">
      <c r="A397" s="54">
        <v>46160.588518171295</v>
      </c>
      <c r="B397" s="16" t="s">
        <v>34</v>
      </c>
      <c r="C397" s="16" t="s">
        <v>640</v>
      </c>
      <c r="D397" s="17"/>
      <c r="E397" s="42" t="s">
        <v>2418</v>
      </c>
      <c r="F397" s="39">
        <v>7.0</v>
      </c>
      <c r="G397" s="12" t="s">
        <v>181</v>
      </c>
      <c r="H397" s="52">
        <v>46160.0</v>
      </c>
      <c r="I397" s="16"/>
      <c r="J397" s="16" t="s">
        <v>51</v>
      </c>
      <c r="K397" s="12" t="s">
        <v>2075</v>
      </c>
      <c r="L397" s="16" t="s">
        <v>1447</v>
      </c>
      <c r="M397" s="16" t="s">
        <v>393</v>
      </c>
      <c r="N397" s="16" t="s">
        <v>819</v>
      </c>
      <c r="O397" s="16" t="s">
        <v>2419</v>
      </c>
      <c r="P397" s="18"/>
      <c r="Q397" s="16" t="s">
        <v>52</v>
      </c>
      <c r="R397" s="16" t="s">
        <v>150</v>
      </c>
      <c r="S397" s="16" t="s">
        <v>1493</v>
      </c>
      <c r="T397" s="16"/>
    </row>
    <row r="398">
      <c r="A398" s="54">
        <v>46160.58936351852</v>
      </c>
      <c r="B398" s="16" t="s">
        <v>34</v>
      </c>
      <c r="C398" s="16" t="s">
        <v>643</v>
      </c>
      <c r="D398" s="17"/>
      <c r="E398" s="42" t="s">
        <v>2420</v>
      </c>
      <c r="F398" s="39">
        <v>7.0</v>
      </c>
      <c r="G398" s="12" t="s">
        <v>181</v>
      </c>
      <c r="H398" s="52">
        <v>46160.0</v>
      </c>
      <c r="I398" s="16"/>
      <c r="J398" s="16" t="s">
        <v>51</v>
      </c>
      <c r="K398" s="12" t="s">
        <v>2075</v>
      </c>
      <c r="L398" s="16" t="s">
        <v>1447</v>
      </c>
      <c r="M398" s="16" t="s">
        <v>393</v>
      </c>
      <c r="N398" s="16" t="s">
        <v>819</v>
      </c>
      <c r="O398" s="16" t="s">
        <v>2421</v>
      </c>
      <c r="P398" s="18"/>
      <c r="Q398" s="16" t="s">
        <v>52</v>
      </c>
      <c r="R398" s="16" t="s">
        <v>136</v>
      </c>
      <c r="S398" s="16" t="s">
        <v>1493</v>
      </c>
      <c r="T398" s="16"/>
    </row>
    <row r="399">
      <c r="A399" s="54">
        <v>46160.590877106486</v>
      </c>
      <c r="B399" s="16" t="s">
        <v>34</v>
      </c>
      <c r="C399" s="16" t="s">
        <v>636</v>
      </c>
      <c r="D399" s="17"/>
      <c r="E399" s="42" t="s">
        <v>2422</v>
      </c>
      <c r="F399" s="39">
        <v>7.0</v>
      </c>
      <c r="G399" s="12" t="s">
        <v>181</v>
      </c>
      <c r="H399" s="52">
        <v>46160.0</v>
      </c>
      <c r="I399" s="16"/>
      <c r="J399" s="16" t="s">
        <v>51</v>
      </c>
      <c r="K399" s="12" t="s">
        <v>2075</v>
      </c>
      <c r="L399" s="16" t="s">
        <v>1447</v>
      </c>
      <c r="M399" s="16" t="s">
        <v>393</v>
      </c>
      <c r="N399" s="16" t="s">
        <v>819</v>
      </c>
      <c r="O399" s="16" t="s">
        <v>2417</v>
      </c>
      <c r="P399" s="18"/>
      <c r="Q399" s="16" t="s">
        <v>52</v>
      </c>
      <c r="R399" s="16" t="s">
        <v>150</v>
      </c>
      <c r="S399" s="16" t="s">
        <v>1493</v>
      </c>
      <c r="T399" s="16"/>
    </row>
    <row r="400">
      <c r="A400" s="54">
        <v>46160.59150252315</v>
      </c>
      <c r="B400" s="16" t="s">
        <v>34</v>
      </c>
      <c r="C400" s="16" t="s">
        <v>647</v>
      </c>
      <c r="D400" s="17"/>
      <c r="E400" s="42" t="s">
        <v>2423</v>
      </c>
      <c r="F400" s="39">
        <v>7.0</v>
      </c>
      <c r="G400" s="12" t="s">
        <v>181</v>
      </c>
      <c r="H400" s="52">
        <v>46160.0</v>
      </c>
      <c r="I400" s="16"/>
      <c r="J400" s="16" t="s">
        <v>51</v>
      </c>
      <c r="K400" s="12" t="s">
        <v>2075</v>
      </c>
      <c r="L400" s="16" t="s">
        <v>1447</v>
      </c>
      <c r="M400" s="16" t="s">
        <v>393</v>
      </c>
      <c r="N400" s="16" t="s">
        <v>819</v>
      </c>
      <c r="O400" s="16" t="s">
        <v>2424</v>
      </c>
      <c r="P400" s="18"/>
      <c r="Q400" s="16" t="s">
        <v>52</v>
      </c>
      <c r="R400" s="16" t="s">
        <v>142</v>
      </c>
      <c r="S400" s="16" t="s">
        <v>1493</v>
      </c>
      <c r="T400" s="16"/>
    </row>
    <row r="401">
      <c r="A401" s="54">
        <v>46160.59212927084</v>
      </c>
      <c r="B401" s="16" t="s">
        <v>34</v>
      </c>
      <c r="C401" s="16" t="s">
        <v>652</v>
      </c>
      <c r="D401" s="17"/>
      <c r="E401" s="42" t="s">
        <v>2425</v>
      </c>
      <c r="F401" s="39">
        <v>7.0</v>
      </c>
      <c r="G401" s="12" t="s">
        <v>181</v>
      </c>
      <c r="H401" s="52">
        <v>46160.0</v>
      </c>
      <c r="I401" s="16"/>
      <c r="J401" s="16" t="s">
        <v>51</v>
      </c>
      <c r="K401" s="12" t="s">
        <v>2075</v>
      </c>
      <c r="L401" s="16" t="s">
        <v>1447</v>
      </c>
      <c r="M401" s="16" t="s">
        <v>393</v>
      </c>
      <c r="N401" s="16" t="s">
        <v>819</v>
      </c>
      <c r="O401" s="16" t="s">
        <v>2426</v>
      </c>
      <c r="P401" s="18"/>
      <c r="Q401" s="16" t="s">
        <v>52</v>
      </c>
      <c r="R401" s="16" t="s">
        <v>142</v>
      </c>
      <c r="S401" s="16" t="s">
        <v>1493</v>
      </c>
      <c r="T401" s="16"/>
    </row>
    <row r="402">
      <c r="A402" s="54">
        <v>46160.59274280093</v>
      </c>
      <c r="B402" s="16" t="s">
        <v>34</v>
      </c>
      <c r="C402" s="16" t="s">
        <v>657</v>
      </c>
      <c r="D402" s="17"/>
      <c r="E402" s="42" t="s">
        <v>2427</v>
      </c>
      <c r="F402" s="39">
        <v>7.0</v>
      </c>
      <c r="G402" s="12" t="s">
        <v>181</v>
      </c>
      <c r="H402" s="52">
        <v>46160.0</v>
      </c>
      <c r="I402" s="16"/>
      <c r="J402" s="16" t="s">
        <v>51</v>
      </c>
      <c r="K402" s="12" t="s">
        <v>2075</v>
      </c>
      <c r="L402" s="16" t="s">
        <v>1447</v>
      </c>
      <c r="M402" s="16" t="s">
        <v>393</v>
      </c>
      <c r="N402" s="16" t="s">
        <v>819</v>
      </c>
      <c r="O402" s="16" t="s">
        <v>2428</v>
      </c>
      <c r="P402" s="18"/>
      <c r="Q402" s="16" t="s">
        <v>52</v>
      </c>
      <c r="R402" s="16" t="s">
        <v>177</v>
      </c>
      <c r="S402" s="16" t="s">
        <v>1493</v>
      </c>
      <c r="T402" s="16"/>
    </row>
    <row r="403">
      <c r="A403" s="54">
        <v>46160.60966108796</v>
      </c>
      <c r="B403" s="16" t="s">
        <v>49</v>
      </c>
      <c r="C403" s="16" t="s">
        <v>487</v>
      </c>
      <c r="D403" s="17"/>
      <c r="E403" s="42" t="s">
        <v>2429</v>
      </c>
      <c r="F403" s="39">
        <v>1.0</v>
      </c>
      <c r="G403" s="12" t="s">
        <v>181</v>
      </c>
      <c r="H403" s="52">
        <v>46157.0</v>
      </c>
      <c r="I403" s="16"/>
      <c r="J403" s="16" t="s">
        <v>51</v>
      </c>
      <c r="K403" s="12" t="s">
        <v>2430</v>
      </c>
      <c r="L403" s="16" t="s">
        <v>1447</v>
      </c>
      <c r="M403" s="16" t="s">
        <v>2100</v>
      </c>
      <c r="N403" s="16" t="s">
        <v>376</v>
      </c>
      <c r="O403" s="16" t="s">
        <v>2431</v>
      </c>
      <c r="P403" s="18"/>
      <c r="Q403" s="16" t="s">
        <v>52</v>
      </c>
      <c r="R403" s="16" t="s">
        <v>133</v>
      </c>
      <c r="S403" s="16" t="s">
        <v>1493</v>
      </c>
      <c r="T403" s="16"/>
    </row>
    <row r="404">
      <c r="A404" s="54">
        <v>46160.6155009375</v>
      </c>
      <c r="B404" s="16" t="s">
        <v>49</v>
      </c>
      <c r="C404" s="16" t="s">
        <v>370</v>
      </c>
      <c r="D404" s="17"/>
      <c r="E404" s="42" t="s">
        <v>2432</v>
      </c>
      <c r="F404" s="39">
        <v>14.0</v>
      </c>
      <c r="G404" s="12" t="s">
        <v>181</v>
      </c>
      <c r="H404" s="52">
        <v>46157.0</v>
      </c>
      <c r="I404" s="16"/>
      <c r="J404" s="16" t="s">
        <v>35</v>
      </c>
      <c r="K404" s="12" t="s">
        <v>1809</v>
      </c>
      <c r="L404" s="16" t="s">
        <v>1447</v>
      </c>
      <c r="M404" s="16" t="s">
        <v>2100</v>
      </c>
      <c r="N404" s="16" t="s">
        <v>376</v>
      </c>
      <c r="O404" s="16" t="s">
        <v>2433</v>
      </c>
      <c r="P404" s="18"/>
      <c r="Q404" s="16" t="s">
        <v>52</v>
      </c>
      <c r="R404" s="16" t="s">
        <v>165</v>
      </c>
      <c r="S404" s="16" t="s">
        <v>1493</v>
      </c>
      <c r="T404" s="16"/>
    </row>
    <row r="405">
      <c r="A405" s="54">
        <v>46160.618284421296</v>
      </c>
      <c r="B405" s="16" t="s">
        <v>49</v>
      </c>
      <c r="C405" s="16" t="s">
        <v>596</v>
      </c>
      <c r="D405" s="17"/>
      <c r="E405" s="42" t="s">
        <v>2434</v>
      </c>
      <c r="F405" s="39">
        <v>26.0</v>
      </c>
      <c r="G405" s="12" t="s">
        <v>181</v>
      </c>
      <c r="H405" s="52">
        <v>46157.0</v>
      </c>
      <c r="I405" s="16"/>
      <c r="J405" s="16" t="s">
        <v>35</v>
      </c>
      <c r="K405" s="12" t="s">
        <v>1809</v>
      </c>
      <c r="L405" s="16" t="s">
        <v>1447</v>
      </c>
      <c r="M405" s="16" t="s">
        <v>2100</v>
      </c>
      <c r="N405" s="16" t="s">
        <v>376</v>
      </c>
      <c r="O405" s="16" t="s">
        <v>2435</v>
      </c>
      <c r="P405" s="18"/>
      <c r="Q405" s="16" t="s">
        <v>52</v>
      </c>
      <c r="R405" s="16" t="s">
        <v>165</v>
      </c>
      <c r="S405" s="16" t="s">
        <v>1493</v>
      </c>
      <c r="T405" s="16"/>
    </row>
    <row r="406">
      <c r="A406" s="54">
        <v>46160.62576405093</v>
      </c>
      <c r="B406" s="16" t="s">
        <v>49</v>
      </c>
      <c r="C406" s="16" t="s">
        <v>601</v>
      </c>
      <c r="D406" s="17"/>
      <c r="E406" s="42"/>
      <c r="F406" s="39">
        <v>72.0</v>
      </c>
      <c r="G406" s="12" t="s">
        <v>181</v>
      </c>
      <c r="H406" s="52">
        <v>46157.0</v>
      </c>
      <c r="I406" s="16"/>
      <c r="J406" s="16" t="s">
        <v>35</v>
      </c>
      <c r="K406" s="12" t="s">
        <v>2436</v>
      </c>
      <c r="L406" s="16" t="s">
        <v>1447</v>
      </c>
      <c r="M406" s="16" t="s">
        <v>2100</v>
      </c>
      <c r="N406" s="16" t="s">
        <v>601</v>
      </c>
      <c r="O406" s="16" t="s">
        <v>2437</v>
      </c>
      <c r="P406" s="18"/>
      <c r="Q406" s="16" t="s">
        <v>52</v>
      </c>
      <c r="R406" s="16" t="s">
        <v>165</v>
      </c>
      <c r="S406" s="16" t="s">
        <v>1493</v>
      </c>
      <c r="T406" s="16"/>
    </row>
    <row r="407">
      <c r="A407" s="54">
        <v>46160.63408871528</v>
      </c>
      <c r="B407" s="16" t="s">
        <v>49</v>
      </c>
      <c r="C407" s="16" t="s">
        <v>607</v>
      </c>
      <c r="D407" s="17"/>
      <c r="E407" s="42"/>
      <c r="F407" s="39">
        <v>76.0</v>
      </c>
      <c r="G407" s="12" t="s">
        <v>181</v>
      </c>
      <c r="H407" s="52">
        <v>46157.0</v>
      </c>
      <c r="I407" s="16"/>
      <c r="J407" s="16" t="s">
        <v>35</v>
      </c>
      <c r="K407" s="12" t="s">
        <v>1809</v>
      </c>
      <c r="L407" s="16" t="s">
        <v>1447</v>
      </c>
      <c r="M407" s="16" t="s">
        <v>2100</v>
      </c>
      <c r="N407" s="16" t="s">
        <v>376</v>
      </c>
      <c r="O407" s="16" t="s">
        <v>2438</v>
      </c>
      <c r="P407" s="18"/>
      <c r="Q407" s="16" t="s">
        <v>52</v>
      </c>
      <c r="R407" s="16" t="s">
        <v>133</v>
      </c>
      <c r="S407" s="16" t="s">
        <v>1493</v>
      </c>
      <c r="T407" s="16"/>
    </row>
    <row r="408">
      <c r="A408" s="54">
        <v>46160.636220879634</v>
      </c>
      <c r="B408" s="16" t="s">
        <v>49</v>
      </c>
      <c r="C408" s="16" t="s">
        <v>619</v>
      </c>
      <c r="D408" s="17"/>
      <c r="E408" s="42" t="s">
        <v>2439</v>
      </c>
      <c r="F408" s="39">
        <v>12.0</v>
      </c>
      <c r="G408" s="12" t="s">
        <v>181</v>
      </c>
      <c r="H408" s="52">
        <v>46157.0</v>
      </c>
      <c r="I408" s="16"/>
      <c r="J408" s="16" t="s">
        <v>35</v>
      </c>
      <c r="K408" s="12" t="s">
        <v>1809</v>
      </c>
      <c r="L408" s="16" t="s">
        <v>1447</v>
      </c>
      <c r="M408" s="16" t="s">
        <v>2100</v>
      </c>
      <c r="N408" s="16" t="s">
        <v>376</v>
      </c>
      <c r="O408" s="16" t="s">
        <v>2440</v>
      </c>
      <c r="P408" s="18"/>
      <c r="Q408" s="16" t="s">
        <v>52</v>
      </c>
      <c r="R408" s="16" t="s">
        <v>165</v>
      </c>
      <c r="S408" s="16" t="s">
        <v>1493</v>
      </c>
      <c r="T408" s="16"/>
    </row>
    <row r="409">
      <c r="A409" s="54">
        <v>46160.637954143516</v>
      </c>
      <c r="B409" s="16" t="s">
        <v>49</v>
      </c>
      <c r="C409" s="16" t="s">
        <v>523</v>
      </c>
      <c r="D409" s="17"/>
      <c r="E409" s="42" t="s">
        <v>2441</v>
      </c>
      <c r="F409" s="39">
        <v>11.0</v>
      </c>
      <c r="G409" s="12" t="s">
        <v>181</v>
      </c>
      <c r="H409" s="52">
        <v>46157.0</v>
      </c>
      <c r="I409" s="16"/>
      <c r="J409" s="16" t="s">
        <v>35</v>
      </c>
      <c r="K409" s="12" t="s">
        <v>2442</v>
      </c>
      <c r="L409" s="16" t="s">
        <v>1447</v>
      </c>
      <c r="M409" s="16" t="s">
        <v>2100</v>
      </c>
      <c r="N409" s="16" t="s">
        <v>376</v>
      </c>
      <c r="O409" s="16" t="s">
        <v>2443</v>
      </c>
      <c r="P409" s="18"/>
      <c r="Q409" s="16" t="s">
        <v>52</v>
      </c>
      <c r="R409" s="16" t="s">
        <v>165</v>
      </c>
      <c r="S409" s="16" t="s">
        <v>1493</v>
      </c>
      <c r="T409" s="16"/>
    </row>
    <row r="410">
      <c r="A410" s="54">
        <v>46160.63974677083</v>
      </c>
      <c r="B410" s="16" t="s">
        <v>49</v>
      </c>
      <c r="C410" s="16" t="s">
        <v>523</v>
      </c>
      <c r="D410" s="17"/>
      <c r="E410" s="42"/>
      <c r="F410" s="39">
        <v>1.0</v>
      </c>
      <c r="G410" s="12" t="s">
        <v>181</v>
      </c>
      <c r="H410" s="52">
        <v>46157.0</v>
      </c>
      <c r="I410" s="16"/>
      <c r="J410" s="16" t="s">
        <v>35</v>
      </c>
      <c r="K410" s="12" t="s">
        <v>2354</v>
      </c>
      <c r="L410" s="16" t="s">
        <v>1447</v>
      </c>
      <c r="M410" s="16" t="s">
        <v>2100</v>
      </c>
      <c r="N410" s="16" t="s">
        <v>376</v>
      </c>
      <c r="O410" s="16" t="s">
        <v>2443</v>
      </c>
      <c r="P410" s="18"/>
      <c r="Q410" s="16" t="s">
        <v>52</v>
      </c>
      <c r="R410" s="16" t="s">
        <v>212</v>
      </c>
      <c r="S410" s="16" t="s">
        <v>1493</v>
      </c>
      <c r="T410" s="16"/>
    </row>
    <row r="411">
      <c r="A411" s="54">
        <v>46162.41554903935</v>
      </c>
      <c r="B411" s="16" t="s">
        <v>34</v>
      </c>
      <c r="C411" s="16" t="s">
        <v>636</v>
      </c>
      <c r="D411" s="17"/>
      <c r="E411" s="42"/>
      <c r="F411" s="39">
        <v>7.0</v>
      </c>
      <c r="G411" s="12" t="s">
        <v>181</v>
      </c>
      <c r="H411" s="52">
        <v>46161.0</v>
      </c>
      <c r="I411" s="16" t="s">
        <v>150</v>
      </c>
      <c r="J411" s="16"/>
      <c r="K411" s="12" t="s">
        <v>2444</v>
      </c>
      <c r="L411" s="16" t="s">
        <v>1601</v>
      </c>
      <c r="M411" s="16" t="s">
        <v>2222</v>
      </c>
      <c r="N411" s="16" t="s">
        <v>376</v>
      </c>
      <c r="O411" s="16" t="s">
        <v>2417</v>
      </c>
      <c r="P411" s="18"/>
      <c r="Q411" s="16" t="s">
        <v>52</v>
      </c>
      <c r="R411" s="16" t="s">
        <v>819</v>
      </c>
      <c r="S411" s="16" t="s">
        <v>1607</v>
      </c>
      <c r="T411" s="16"/>
    </row>
    <row r="412">
      <c r="A412" s="54">
        <v>46162.41559700231</v>
      </c>
      <c r="B412" s="16" t="s">
        <v>34</v>
      </c>
      <c r="C412" s="16" t="s">
        <v>636</v>
      </c>
      <c r="D412" s="17"/>
      <c r="E412" s="42"/>
      <c r="F412" s="39">
        <v>7.0</v>
      </c>
      <c r="G412" s="12" t="s">
        <v>181</v>
      </c>
      <c r="H412" s="52">
        <v>46161.0</v>
      </c>
      <c r="I412" s="16" t="s">
        <v>136</v>
      </c>
      <c r="J412" s="16"/>
      <c r="K412" s="12" t="s">
        <v>2444</v>
      </c>
      <c r="L412" s="16" t="s">
        <v>1601</v>
      </c>
      <c r="M412" s="16" t="s">
        <v>2222</v>
      </c>
      <c r="N412" s="16" t="s">
        <v>376</v>
      </c>
      <c r="O412" s="16" t="s">
        <v>2417</v>
      </c>
      <c r="P412" s="18"/>
      <c r="Q412" s="16" t="s">
        <v>52</v>
      </c>
      <c r="R412" s="16" t="s">
        <v>819</v>
      </c>
      <c r="S412" s="16" t="s">
        <v>1607</v>
      </c>
      <c r="T412" s="16"/>
    </row>
    <row r="413">
      <c r="A413" s="54">
        <v>46162.41639571759</v>
      </c>
      <c r="B413" s="16" t="s">
        <v>34</v>
      </c>
      <c r="C413" s="16" t="s">
        <v>643</v>
      </c>
      <c r="D413" s="17"/>
      <c r="E413" s="42"/>
      <c r="F413" s="39">
        <v>7.0</v>
      </c>
      <c r="G413" s="12" t="s">
        <v>181</v>
      </c>
      <c r="H413" s="52">
        <v>46161.0</v>
      </c>
      <c r="I413" s="16" t="s">
        <v>136</v>
      </c>
      <c r="J413" s="16"/>
      <c r="K413" s="12" t="s">
        <v>2445</v>
      </c>
      <c r="L413" s="16" t="s">
        <v>1601</v>
      </c>
      <c r="M413" s="16" t="s">
        <v>2222</v>
      </c>
      <c r="N413" s="16" t="s">
        <v>376</v>
      </c>
      <c r="O413" s="16" t="s">
        <v>2421</v>
      </c>
      <c r="P413" s="18"/>
      <c r="Q413" s="16" t="s">
        <v>52</v>
      </c>
      <c r="R413" s="16" t="s">
        <v>819</v>
      </c>
      <c r="S413" s="16" t="s">
        <v>1607</v>
      </c>
      <c r="T413" s="16"/>
    </row>
    <row r="414">
      <c r="A414" s="54">
        <v>46162.41692905093</v>
      </c>
      <c r="B414" s="16" t="s">
        <v>34</v>
      </c>
      <c r="C414" s="16" t="s">
        <v>640</v>
      </c>
      <c r="D414" s="17"/>
      <c r="E414" s="42"/>
      <c r="F414" s="39">
        <v>7.0</v>
      </c>
      <c r="G414" s="12" t="s">
        <v>181</v>
      </c>
      <c r="H414" s="52">
        <v>46161.0</v>
      </c>
      <c r="I414" s="16" t="s">
        <v>150</v>
      </c>
      <c r="J414" s="16"/>
      <c r="K414" s="12" t="s">
        <v>2445</v>
      </c>
      <c r="L414" s="16" t="s">
        <v>1601</v>
      </c>
      <c r="M414" s="16" t="s">
        <v>2222</v>
      </c>
      <c r="N414" s="16" t="s">
        <v>376</v>
      </c>
      <c r="O414" s="16" t="s">
        <v>2419</v>
      </c>
      <c r="P414" s="18"/>
      <c r="Q414" s="16" t="s">
        <v>52</v>
      </c>
      <c r="R414" s="16" t="s">
        <v>819</v>
      </c>
      <c r="S414" s="16" t="s">
        <v>1607</v>
      </c>
      <c r="T414" s="16"/>
    </row>
    <row r="415">
      <c r="A415" s="54">
        <v>46162.45747809028</v>
      </c>
      <c r="B415" s="16" t="s">
        <v>34</v>
      </c>
      <c r="C415" s="16" t="s">
        <v>657</v>
      </c>
      <c r="D415" s="17"/>
      <c r="E415" s="42"/>
      <c r="F415" s="39">
        <v>7.0</v>
      </c>
      <c r="G415" s="12" t="s">
        <v>181</v>
      </c>
      <c r="H415" s="52">
        <v>46161.0</v>
      </c>
      <c r="I415" s="16" t="s">
        <v>177</v>
      </c>
      <c r="J415" s="16"/>
      <c r="K415" s="12" t="s">
        <v>2445</v>
      </c>
      <c r="L415" s="16" t="s">
        <v>1601</v>
      </c>
      <c r="M415" s="16" t="s">
        <v>2222</v>
      </c>
      <c r="N415" s="16" t="s">
        <v>376</v>
      </c>
      <c r="O415" s="16" t="s">
        <v>2428</v>
      </c>
      <c r="P415" s="18"/>
      <c r="Q415" s="16" t="s">
        <v>52</v>
      </c>
      <c r="R415" s="16" t="s">
        <v>819</v>
      </c>
      <c r="S415" s="16" t="s">
        <v>1607</v>
      </c>
      <c r="T415" s="16"/>
    </row>
    <row r="416">
      <c r="A416" s="54">
        <v>46162.45801862268</v>
      </c>
      <c r="B416" s="16" t="s">
        <v>34</v>
      </c>
      <c r="C416" s="16" t="s">
        <v>652</v>
      </c>
      <c r="D416" s="17"/>
      <c r="E416" s="42"/>
      <c r="F416" s="39">
        <v>7.0</v>
      </c>
      <c r="G416" s="12" t="s">
        <v>181</v>
      </c>
      <c r="H416" s="52">
        <v>46161.0</v>
      </c>
      <c r="I416" s="16" t="s">
        <v>142</v>
      </c>
      <c r="J416" s="16"/>
      <c r="K416" s="12" t="s">
        <v>2445</v>
      </c>
      <c r="L416" s="16" t="s">
        <v>1601</v>
      </c>
      <c r="M416" s="16" t="s">
        <v>2222</v>
      </c>
      <c r="N416" s="16" t="s">
        <v>376</v>
      </c>
      <c r="O416" s="16" t="s">
        <v>2426</v>
      </c>
      <c r="P416" s="18"/>
      <c r="Q416" s="16" t="s">
        <v>52</v>
      </c>
      <c r="R416" s="16" t="s">
        <v>819</v>
      </c>
      <c r="S416" s="16" t="s">
        <v>1607</v>
      </c>
      <c r="T416" s="16"/>
    </row>
    <row r="417">
      <c r="A417" s="54">
        <v>46162.45864519676</v>
      </c>
      <c r="B417" s="16" t="s">
        <v>34</v>
      </c>
      <c r="C417" s="16" t="s">
        <v>647</v>
      </c>
      <c r="D417" s="17"/>
      <c r="E417" s="31"/>
      <c r="F417" s="39">
        <v>7.0</v>
      </c>
      <c r="G417" s="12" t="s">
        <v>181</v>
      </c>
      <c r="H417" s="52">
        <v>46161.0</v>
      </c>
      <c r="I417" s="16" t="s">
        <v>142</v>
      </c>
      <c r="J417" s="17"/>
      <c r="K417" s="12" t="s">
        <v>2445</v>
      </c>
      <c r="L417" s="16" t="s">
        <v>1601</v>
      </c>
      <c r="M417" s="16" t="s">
        <v>2222</v>
      </c>
      <c r="N417" s="16" t="s">
        <v>376</v>
      </c>
      <c r="O417" s="16" t="s">
        <v>2424</v>
      </c>
      <c r="P417" s="18"/>
      <c r="Q417" s="16" t="s">
        <v>52</v>
      </c>
      <c r="R417" s="16" t="s">
        <v>819</v>
      </c>
      <c r="S417" s="16" t="s">
        <v>1607</v>
      </c>
      <c r="T417" s="16"/>
    </row>
    <row r="418">
      <c r="A418" s="54">
        <v>46162.47101019676</v>
      </c>
      <c r="B418" s="16" t="s">
        <v>34</v>
      </c>
      <c r="C418" s="16" t="s">
        <v>523</v>
      </c>
      <c r="D418" s="17"/>
      <c r="E418" s="31"/>
      <c r="F418" s="39">
        <v>15.0</v>
      </c>
      <c r="G418" s="12" t="s">
        <v>181</v>
      </c>
      <c r="H418" s="52">
        <v>46162.0</v>
      </c>
      <c r="I418" s="16" t="s">
        <v>164</v>
      </c>
      <c r="J418" s="17"/>
      <c r="K418" s="13"/>
      <c r="L418" s="16" t="s">
        <v>1601</v>
      </c>
      <c r="M418" s="16" t="s">
        <v>2446</v>
      </c>
      <c r="N418" s="16" t="s">
        <v>376</v>
      </c>
      <c r="O418" s="16" t="s">
        <v>2398</v>
      </c>
      <c r="P418" s="18"/>
      <c r="Q418" s="16" t="s">
        <v>52</v>
      </c>
      <c r="R418" s="16" t="s">
        <v>2447</v>
      </c>
      <c r="S418" s="16" t="s">
        <v>1607</v>
      </c>
      <c r="T418" s="16"/>
    </row>
    <row r="419">
      <c r="A419" s="54">
        <v>46162.476836863425</v>
      </c>
      <c r="B419" s="16" t="s">
        <v>34</v>
      </c>
      <c r="C419" s="16" t="s">
        <v>619</v>
      </c>
      <c r="D419" s="17"/>
      <c r="E419" s="31"/>
      <c r="F419" s="39">
        <v>16.0</v>
      </c>
      <c r="G419" s="12" t="s">
        <v>181</v>
      </c>
      <c r="H419" s="52">
        <v>46162.0</v>
      </c>
      <c r="I419" s="16" t="s">
        <v>164</v>
      </c>
      <c r="J419" s="17"/>
      <c r="K419" s="12" t="s">
        <v>519</v>
      </c>
      <c r="L419" s="16" t="s">
        <v>1601</v>
      </c>
      <c r="M419" s="16" t="s">
        <v>2446</v>
      </c>
      <c r="N419" s="16" t="s">
        <v>376</v>
      </c>
      <c r="O419" s="16" t="s">
        <v>2397</v>
      </c>
      <c r="P419" s="18"/>
      <c r="Q419" s="16" t="s">
        <v>52</v>
      </c>
      <c r="R419" s="16" t="s">
        <v>2448</v>
      </c>
      <c r="S419" s="16" t="s">
        <v>1607</v>
      </c>
      <c r="T419" s="16"/>
    </row>
    <row r="420">
      <c r="A420" s="54">
        <v>46162.52888888889</v>
      </c>
      <c r="B420" s="16" t="s">
        <v>34</v>
      </c>
      <c r="C420" s="16" t="s">
        <v>459</v>
      </c>
      <c r="D420" s="17"/>
      <c r="E420" s="31"/>
      <c r="F420" s="16">
        <v>28.0</v>
      </c>
      <c r="G420" s="12" t="s">
        <v>181</v>
      </c>
      <c r="H420" s="52">
        <v>46162.0</v>
      </c>
      <c r="I420" s="16" t="s">
        <v>177</v>
      </c>
      <c r="J420" s="16" t="s">
        <v>51</v>
      </c>
      <c r="K420" s="13"/>
      <c r="L420" s="16" t="s">
        <v>1601</v>
      </c>
      <c r="M420" s="16" t="s">
        <v>2221</v>
      </c>
      <c r="N420" s="16" t="s">
        <v>460</v>
      </c>
      <c r="O420" s="16" t="s">
        <v>2143</v>
      </c>
      <c r="P420" s="18"/>
      <c r="Q420" s="16" t="s">
        <v>52</v>
      </c>
      <c r="R420" s="16" t="s">
        <v>460</v>
      </c>
      <c r="S420" s="16" t="s">
        <v>1607</v>
      </c>
      <c r="T420" s="16"/>
    </row>
    <row r="421">
      <c r="A421" s="54">
        <v>46162.5316637963</v>
      </c>
      <c r="B421" s="16" t="s">
        <v>34</v>
      </c>
      <c r="C421" s="16" t="s">
        <v>459</v>
      </c>
      <c r="D421" s="17"/>
      <c r="E421" s="31"/>
      <c r="F421" s="16">
        <v>28.0</v>
      </c>
      <c r="G421" s="12" t="s">
        <v>181</v>
      </c>
      <c r="H421" s="52">
        <v>46162.0</v>
      </c>
      <c r="I421" s="16" t="s">
        <v>202</v>
      </c>
      <c r="J421" s="16" t="s">
        <v>51</v>
      </c>
      <c r="K421" s="13"/>
      <c r="L421" s="16" t="s">
        <v>1601</v>
      </c>
      <c r="M421" s="16" t="s">
        <v>2221</v>
      </c>
      <c r="N421" s="16" t="s">
        <v>460</v>
      </c>
      <c r="O421" s="16" t="s">
        <v>2143</v>
      </c>
      <c r="P421" s="18"/>
      <c r="Q421" s="16" t="s">
        <v>52</v>
      </c>
      <c r="R421" s="16" t="s">
        <v>460</v>
      </c>
      <c r="S421" s="16" t="s">
        <v>1607</v>
      </c>
      <c r="T421" s="16"/>
    </row>
    <row r="422">
      <c r="A422" s="54">
        <v>46162.56572503472</v>
      </c>
      <c r="B422" s="16" t="s">
        <v>34</v>
      </c>
      <c r="C422" s="16" t="s">
        <v>487</v>
      </c>
      <c r="D422" s="17"/>
      <c r="E422" s="31"/>
      <c r="F422" s="39">
        <v>1.0</v>
      </c>
      <c r="G422" s="12" t="s">
        <v>181</v>
      </c>
      <c r="H422" s="52">
        <v>46157.0</v>
      </c>
      <c r="I422" s="16" t="s">
        <v>183</v>
      </c>
      <c r="J422" s="17"/>
      <c r="K422" s="13"/>
      <c r="L422" s="16" t="s">
        <v>1601</v>
      </c>
      <c r="M422" s="16" t="s">
        <v>2449</v>
      </c>
      <c r="N422" s="16" t="s">
        <v>376</v>
      </c>
      <c r="O422" s="16" t="s">
        <v>2394</v>
      </c>
      <c r="P422" s="18"/>
      <c r="Q422" s="16" t="s">
        <v>52</v>
      </c>
      <c r="R422" s="16" t="s">
        <v>2450</v>
      </c>
      <c r="S422" s="16" t="s">
        <v>1607</v>
      </c>
      <c r="T422" s="16"/>
    </row>
    <row r="423">
      <c r="A423" s="54">
        <v>46162.56604899306</v>
      </c>
      <c r="B423" s="16" t="s">
        <v>34</v>
      </c>
      <c r="C423" s="16" t="s">
        <v>610</v>
      </c>
      <c r="D423" s="17"/>
      <c r="E423" s="31"/>
      <c r="F423" s="39">
        <v>1.0</v>
      </c>
      <c r="G423" s="12" t="s">
        <v>181</v>
      </c>
      <c r="H423" s="52">
        <v>46157.0</v>
      </c>
      <c r="I423" s="16" t="s">
        <v>183</v>
      </c>
      <c r="J423" s="17"/>
      <c r="K423" s="13"/>
      <c r="L423" s="16" t="s">
        <v>1601</v>
      </c>
      <c r="M423" s="16" t="s">
        <v>2449</v>
      </c>
      <c r="N423" s="16" t="s">
        <v>376</v>
      </c>
      <c r="O423" s="16" t="s">
        <v>2393</v>
      </c>
      <c r="P423" s="18"/>
      <c r="Q423" s="16" t="s">
        <v>52</v>
      </c>
      <c r="R423" s="16" t="s">
        <v>2450</v>
      </c>
      <c r="S423" s="16" t="s">
        <v>1607</v>
      </c>
      <c r="T423" s="16"/>
    </row>
    <row r="424">
      <c r="A424" s="54">
        <v>46162.64215760417</v>
      </c>
      <c r="B424" s="16" t="s">
        <v>34</v>
      </c>
      <c r="C424" s="16" t="s">
        <v>184</v>
      </c>
      <c r="D424" s="17"/>
      <c r="E424" s="31"/>
      <c r="F424" s="39">
        <v>2.0</v>
      </c>
      <c r="G424" s="12" t="s">
        <v>181</v>
      </c>
      <c r="H424" s="52">
        <v>46162.0</v>
      </c>
      <c r="I424" s="16" t="s">
        <v>88</v>
      </c>
      <c r="J424" s="17"/>
      <c r="K424" s="12" t="s">
        <v>2451</v>
      </c>
      <c r="L424" s="16" t="s">
        <v>2452</v>
      </c>
      <c r="M424" s="16" t="s">
        <v>2100</v>
      </c>
      <c r="N424" s="16" t="s">
        <v>376</v>
      </c>
      <c r="O424" s="16" t="s">
        <v>2299</v>
      </c>
      <c r="P424" s="18"/>
      <c r="Q424" s="16" t="s">
        <v>52</v>
      </c>
      <c r="R424" s="17"/>
      <c r="S424" s="16" t="s">
        <v>2453</v>
      </c>
      <c r="T424" s="16"/>
    </row>
    <row r="425">
      <c r="A425" s="54">
        <v>46162.643717175924</v>
      </c>
      <c r="B425" s="16" t="s">
        <v>34</v>
      </c>
      <c r="C425" s="16" t="s">
        <v>456</v>
      </c>
      <c r="D425" s="17"/>
      <c r="E425" s="31"/>
      <c r="F425" s="39">
        <v>1.0</v>
      </c>
      <c r="G425" s="12" t="s">
        <v>181</v>
      </c>
      <c r="H425" s="52">
        <v>46049.0</v>
      </c>
      <c r="I425" s="16" t="s">
        <v>106</v>
      </c>
      <c r="J425" s="17"/>
      <c r="K425" s="12"/>
      <c r="L425" s="16" t="s">
        <v>1601</v>
      </c>
      <c r="M425" s="16" t="s">
        <v>2100</v>
      </c>
      <c r="N425" s="16" t="s">
        <v>376</v>
      </c>
      <c r="O425" s="16" t="s">
        <v>2139</v>
      </c>
      <c r="P425" s="18"/>
      <c r="Q425" s="16" t="s">
        <v>52</v>
      </c>
      <c r="R425" s="16" t="s">
        <v>456</v>
      </c>
      <c r="S425" s="16" t="s">
        <v>1607</v>
      </c>
      <c r="T425" s="16"/>
    </row>
    <row r="426">
      <c r="A426" s="54">
        <v>46162.66028152777</v>
      </c>
      <c r="B426" s="16" t="s">
        <v>34</v>
      </c>
      <c r="C426" s="16" t="s">
        <v>375</v>
      </c>
      <c r="D426" s="17"/>
      <c r="E426" s="31"/>
      <c r="F426" s="39">
        <v>19.0</v>
      </c>
      <c r="G426" s="12" t="s">
        <v>181</v>
      </c>
      <c r="H426" s="52">
        <v>46134.0</v>
      </c>
      <c r="I426" s="16" t="s">
        <v>164</v>
      </c>
      <c r="J426" s="17"/>
      <c r="K426" s="13"/>
      <c r="L426" s="16" t="s">
        <v>1601</v>
      </c>
      <c r="M426" s="16" t="s">
        <v>2446</v>
      </c>
      <c r="N426" s="16" t="s">
        <v>376</v>
      </c>
      <c r="O426" s="16" t="s">
        <v>1523</v>
      </c>
      <c r="P426" s="18"/>
      <c r="Q426" s="16" t="s">
        <v>52</v>
      </c>
      <c r="R426" s="16" t="s">
        <v>2454</v>
      </c>
      <c r="S426" s="16" t="s">
        <v>1607</v>
      </c>
      <c r="T426" s="16"/>
    </row>
    <row r="427">
      <c r="A427" s="54">
        <v>46163.33689398148</v>
      </c>
      <c r="B427" s="16" t="s">
        <v>34</v>
      </c>
      <c r="C427" s="16" t="s">
        <v>545</v>
      </c>
      <c r="D427" s="17"/>
      <c r="E427" s="31"/>
      <c r="F427" s="39">
        <v>12.0</v>
      </c>
      <c r="G427" s="12" t="s">
        <v>181</v>
      </c>
      <c r="H427" s="52">
        <v>46163.0</v>
      </c>
      <c r="I427" s="16" t="s">
        <v>158</v>
      </c>
      <c r="J427" s="17"/>
      <c r="K427" s="13"/>
      <c r="L427" s="16" t="s">
        <v>1601</v>
      </c>
      <c r="M427" s="16" t="s">
        <v>2141</v>
      </c>
      <c r="N427" s="16" t="s">
        <v>376</v>
      </c>
      <c r="O427" s="16" t="s">
        <v>2329</v>
      </c>
      <c r="P427" s="18"/>
      <c r="Q427" s="16" t="s">
        <v>52</v>
      </c>
      <c r="R427" s="16" t="s">
        <v>545</v>
      </c>
      <c r="S427" s="16" t="s">
        <v>1607</v>
      </c>
      <c r="T427" s="16"/>
    </row>
    <row r="428">
      <c r="A428" s="54">
        <v>46163.340342511576</v>
      </c>
      <c r="B428" s="16" t="s">
        <v>34</v>
      </c>
      <c r="C428" s="16" t="s">
        <v>480</v>
      </c>
      <c r="D428" s="17"/>
      <c r="E428" s="31"/>
      <c r="F428" s="39">
        <v>1.0</v>
      </c>
      <c r="G428" s="12" t="s">
        <v>181</v>
      </c>
      <c r="H428" s="52">
        <v>46162.0</v>
      </c>
      <c r="I428" s="17"/>
      <c r="J428" s="16" t="s">
        <v>115</v>
      </c>
      <c r="K428" s="12" t="s">
        <v>2455</v>
      </c>
      <c r="L428" s="16" t="s">
        <v>1447</v>
      </c>
      <c r="M428" s="16" t="s">
        <v>2100</v>
      </c>
      <c r="N428" s="16" t="s">
        <v>480</v>
      </c>
      <c r="O428" s="16" t="s">
        <v>2187</v>
      </c>
      <c r="P428" s="18"/>
      <c r="Q428" s="16" t="s">
        <v>52</v>
      </c>
      <c r="R428" s="16" t="s">
        <v>88</v>
      </c>
      <c r="S428" s="16" t="s">
        <v>1493</v>
      </c>
      <c r="T428" s="16"/>
    </row>
    <row r="429">
      <c r="A429" s="54">
        <v>46163.36020697917</v>
      </c>
      <c r="B429" s="16" t="s">
        <v>34</v>
      </c>
      <c r="C429" s="16" t="s">
        <v>1082</v>
      </c>
      <c r="D429" s="17"/>
      <c r="E429" s="31"/>
      <c r="F429" s="39">
        <v>2.0</v>
      </c>
      <c r="G429" s="12" t="s">
        <v>181</v>
      </c>
      <c r="H429" s="52">
        <v>46162.0</v>
      </c>
      <c r="I429" s="17"/>
      <c r="J429" s="16" t="s">
        <v>92</v>
      </c>
      <c r="K429" s="13"/>
      <c r="L429" s="16" t="s">
        <v>1447</v>
      </c>
      <c r="M429" s="16" t="s">
        <v>2100</v>
      </c>
      <c r="N429" s="16" t="s">
        <v>376</v>
      </c>
      <c r="O429" s="16" t="s">
        <v>2456</v>
      </c>
      <c r="P429" s="18"/>
      <c r="Q429" s="16" t="s">
        <v>52</v>
      </c>
      <c r="R429" s="16" t="s">
        <v>284</v>
      </c>
      <c r="S429" s="16" t="s">
        <v>1493</v>
      </c>
      <c r="T429" s="16"/>
    </row>
    <row r="430">
      <c r="A430" s="54">
        <v>46163.366429120375</v>
      </c>
      <c r="B430" s="16" t="s">
        <v>34</v>
      </c>
      <c r="C430" s="16" t="s">
        <v>662</v>
      </c>
      <c r="D430" s="17"/>
      <c r="E430" s="16">
        <v>7034.0</v>
      </c>
      <c r="F430" s="39">
        <v>12.0</v>
      </c>
      <c r="G430" s="12" t="s">
        <v>181</v>
      </c>
      <c r="H430" s="52">
        <v>46163.0</v>
      </c>
      <c r="I430" s="17"/>
      <c r="J430" s="16" t="s">
        <v>51</v>
      </c>
      <c r="K430" s="13"/>
      <c r="L430" s="16" t="s">
        <v>1447</v>
      </c>
      <c r="M430" s="16" t="s">
        <v>2457</v>
      </c>
      <c r="N430" s="16" t="s">
        <v>376</v>
      </c>
      <c r="O430" s="16" t="s">
        <v>2458</v>
      </c>
      <c r="P430" s="56" t="s">
        <v>2459</v>
      </c>
      <c r="Q430" s="16" t="s">
        <v>52</v>
      </c>
      <c r="R430" s="16" t="s">
        <v>158</v>
      </c>
      <c r="S430" s="16" t="s">
        <v>1493</v>
      </c>
      <c r="T430" s="16"/>
    </row>
    <row r="431">
      <c r="A431" s="54">
        <v>46163.52819560185</v>
      </c>
      <c r="B431" s="16" t="s">
        <v>49</v>
      </c>
      <c r="C431" s="16" t="s">
        <v>412</v>
      </c>
      <c r="D431" s="17"/>
      <c r="E431" s="31"/>
      <c r="F431" s="39">
        <v>16.0</v>
      </c>
      <c r="G431" s="12" t="s">
        <v>181</v>
      </c>
      <c r="H431" s="52">
        <v>46163.0</v>
      </c>
      <c r="I431" s="16" t="s">
        <v>161</v>
      </c>
      <c r="J431" s="17"/>
      <c r="K431" s="13"/>
      <c r="L431" s="16" t="s">
        <v>1601</v>
      </c>
      <c r="M431" s="16" t="s">
        <v>388</v>
      </c>
      <c r="N431" s="16" t="s">
        <v>376</v>
      </c>
      <c r="O431" s="16" t="s">
        <v>2029</v>
      </c>
      <c r="P431" s="18"/>
      <c r="Q431" s="16" t="s">
        <v>52</v>
      </c>
      <c r="R431" s="16" t="s">
        <v>428</v>
      </c>
      <c r="S431" s="16" t="s">
        <v>1607</v>
      </c>
      <c r="T431" s="16"/>
    </row>
    <row r="432">
      <c r="A432" s="54">
        <v>46164.39633412037</v>
      </c>
      <c r="B432" s="16" t="s">
        <v>61</v>
      </c>
      <c r="C432" s="16" t="s">
        <v>1085</v>
      </c>
      <c r="D432" s="17"/>
      <c r="E432" s="31"/>
      <c r="F432" s="39">
        <v>2.0</v>
      </c>
      <c r="G432" s="12" t="s">
        <v>181</v>
      </c>
      <c r="H432" s="52">
        <v>46164.0</v>
      </c>
      <c r="I432" s="17"/>
      <c r="J432" s="16" t="s">
        <v>35</v>
      </c>
      <c r="K432" s="12" t="s">
        <v>2460</v>
      </c>
      <c r="L432" s="16" t="s">
        <v>1447</v>
      </c>
      <c r="M432" s="16" t="s">
        <v>2100</v>
      </c>
      <c r="N432" s="16" t="s">
        <v>489</v>
      </c>
      <c r="O432" s="16" t="s">
        <v>2461</v>
      </c>
      <c r="P432" s="56" t="s">
        <v>2462</v>
      </c>
      <c r="Q432" s="16" t="s">
        <v>52</v>
      </c>
      <c r="R432" s="16" t="s">
        <v>83</v>
      </c>
      <c r="S432" s="16" t="s">
        <v>1493</v>
      </c>
      <c r="T432" s="16"/>
    </row>
    <row r="433">
      <c r="A433" s="54">
        <v>46164.39706481481</v>
      </c>
      <c r="B433" s="16" t="s">
        <v>104</v>
      </c>
      <c r="C433" s="16" t="s">
        <v>471</v>
      </c>
      <c r="D433" s="17"/>
      <c r="E433" s="31"/>
      <c r="F433" s="39">
        <v>1.0</v>
      </c>
      <c r="G433" s="12" t="s">
        <v>181</v>
      </c>
      <c r="H433" s="52">
        <v>46164.0</v>
      </c>
      <c r="I433" s="17"/>
      <c r="J433" s="16" t="s">
        <v>35</v>
      </c>
      <c r="K433" s="13"/>
      <c r="L433" s="16" t="s">
        <v>1447</v>
      </c>
      <c r="M433" s="16" t="s">
        <v>2100</v>
      </c>
      <c r="N433" s="16" t="s">
        <v>808</v>
      </c>
      <c r="O433" s="16" t="s">
        <v>2463</v>
      </c>
      <c r="P433" s="56" t="s">
        <v>2464</v>
      </c>
      <c r="Q433" s="16" t="s">
        <v>52</v>
      </c>
      <c r="R433" s="16" t="s">
        <v>267</v>
      </c>
      <c r="S433" s="16" t="s">
        <v>1493</v>
      </c>
      <c r="T433" s="16"/>
    </row>
    <row r="434">
      <c r="A434" s="54">
        <v>46164.4029394213</v>
      </c>
      <c r="B434" s="16" t="s">
        <v>34</v>
      </c>
      <c r="C434" s="16" t="s">
        <v>666</v>
      </c>
      <c r="D434" s="17"/>
      <c r="E434" s="31"/>
      <c r="F434" s="39">
        <v>2.0</v>
      </c>
      <c r="G434" s="12" t="s">
        <v>181</v>
      </c>
      <c r="H434" s="52">
        <v>46164.0</v>
      </c>
      <c r="I434" s="17"/>
      <c r="J434" s="16" t="s">
        <v>35</v>
      </c>
      <c r="K434" s="13"/>
      <c r="L434" s="16" t="s">
        <v>54</v>
      </c>
      <c r="M434" s="16" t="s">
        <v>2350</v>
      </c>
      <c r="N434" s="16" t="s">
        <v>1090</v>
      </c>
      <c r="O434" s="16" t="s">
        <v>2465</v>
      </c>
      <c r="P434" s="56" t="s">
        <v>2466</v>
      </c>
      <c r="Q434" s="16" t="s">
        <v>52</v>
      </c>
      <c r="R434" s="16" t="s">
        <v>183</v>
      </c>
      <c r="S434" s="16" t="s">
        <v>1493</v>
      </c>
      <c r="T434" s="16"/>
    </row>
    <row r="435">
      <c r="A435" s="54">
        <v>46164.40388611111</v>
      </c>
      <c r="B435" s="16" t="s">
        <v>49</v>
      </c>
      <c r="C435" s="16" t="s">
        <v>666</v>
      </c>
      <c r="D435" s="17"/>
      <c r="E435" s="31"/>
      <c r="F435" s="39">
        <v>4.0</v>
      </c>
      <c r="G435" s="12" t="s">
        <v>181</v>
      </c>
      <c r="H435" s="52">
        <v>46164.0</v>
      </c>
      <c r="I435" s="17"/>
      <c r="J435" s="16" t="s">
        <v>35</v>
      </c>
      <c r="K435" s="12" t="s">
        <v>2467</v>
      </c>
      <c r="L435" s="16" t="s">
        <v>54</v>
      </c>
      <c r="M435" s="16" t="s">
        <v>2350</v>
      </c>
      <c r="N435" s="16" t="s">
        <v>1090</v>
      </c>
      <c r="O435" s="16" t="s">
        <v>2468</v>
      </c>
      <c r="P435" s="56" t="s">
        <v>2469</v>
      </c>
      <c r="Q435" s="16" t="s">
        <v>52</v>
      </c>
      <c r="R435" s="16" t="s">
        <v>189</v>
      </c>
      <c r="S435" s="16" t="s">
        <v>1493</v>
      </c>
      <c r="T435" s="16"/>
    </row>
    <row r="436">
      <c r="A436" s="54">
        <v>46164.40628726852</v>
      </c>
      <c r="B436" s="16" t="s">
        <v>34</v>
      </c>
      <c r="C436" s="16" t="s">
        <v>669</v>
      </c>
      <c r="D436" s="17"/>
      <c r="E436" s="31"/>
      <c r="F436" s="39">
        <v>1.0</v>
      </c>
      <c r="G436" s="12" t="s">
        <v>181</v>
      </c>
      <c r="H436" s="52">
        <v>46164.0</v>
      </c>
      <c r="I436" s="17"/>
      <c r="J436" s="16" t="s">
        <v>35</v>
      </c>
      <c r="K436" s="12" t="s">
        <v>2470</v>
      </c>
      <c r="L436" s="16" t="s">
        <v>1447</v>
      </c>
      <c r="M436" s="16" t="s">
        <v>2100</v>
      </c>
      <c r="N436" s="16" t="s">
        <v>669</v>
      </c>
      <c r="O436" s="16" t="s">
        <v>2471</v>
      </c>
      <c r="P436" s="56" t="s">
        <v>2472</v>
      </c>
      <c r="Q436" s="16" t="s">
        <v>52</v>
      </c>
      <c r="R436" s="16" t="s">
        <v>183</v>
      </c>
      <c r="S436" s="16" t="s">
        <v>1493</v>
      </c>
      <c r="T436" s="16"/>
    </row>
    <row r="437">
      <c r="A437" s="54">
        <v>46164.407302858795</v>
      </c>
      <c r="B437" s="16" t="s">
        <v>34</v>
      </c>
      <c r="C437" s="16" t="s">
        <v>675</v>
      </c>
      <c r="D437" s="17"/>
      <c r="E437" s="31"/>
      <c r="F437" s="39">
        <v>1.0</v>
      </c>
      <c r="G437" s="12" t="s">
        <v>181</v>
      </c>
      <c r="H437" s="52">
        <v>46164.0</v>
      </c>
      <c r="I437" s="17"/>
      <c r="J437" s="16" t="s">
        <v>35</v>
      </c>
      <c r="K437" s="12" t="s">
        <v>2473</v>
      </c>
      <c r="L437" s="16" t="s">
        <v>1447</v>
      </c>
      <c r="M437" s="16" t="s">
        <v>2100</v>
      </c>
      <c r="N437" s="16" t="s">
        <v>2474</v>
      </c>
      <c r="O437" s="16" t="s">
        <v>2475</v>
      </c>
      <c r="P437" s="56" t="s">
        <v>2476</v>
      </c>
      <c r="Q437" s="16" t="s">
        <v>52</v>
      </c>
      <c r="R437" s="16" t="s">
        <v>183</v>
      </c>
      <c r="S437" s="16" t="s">
        <v>1493</v>
      </c>
      <c r="T437" s="16"/>
    </row>
    <row r="438">
      <c r="A438" s="54">
        <v>46164.408105740746</v>
      </c>
      <c r="B438" s="16" t="s">
        <v>34</v>
      </c>
      <c r="C438" s="16" t="s">
        <v>678</v>
      </c>
      <c r="D438" s="17"/>
      <c r="E438" s="31"/>
      <c r="F438" s="39">
        <v>1.0</v>
      </c>
      <c r="G438" s="12" t="s">
        <v>181</v>
      </c>
      <c r="H438" s="52">
        <v>46164.0</v>
      </c>
      <c r="I438" s="17"/>
      <c r="J438" s="16" t="s">
        <v>35</v>
      </c>
      <c r="K438" s="12" t="s">
        <v>2473</v>
      </c>
      <c r="L438" s="16" t="s">
        <v>1447</v>
      </c>
      <c r="M438" s="16" t="s">
        <v>2100</v>
      </c>
      <c r="N438" s="16" t="s">
        <v>2477</v>
      </c>
      <c r="O438" s="16" t="s">
        <v>2478</v>
      </c>
      <c r="P438" s="56" t="s">
        <v>2479</v>
      </c>
      <c r="Q438" s="16" t="s">
        <v>52</v>
      </c>
      <c r="R438" s="16" t="s">
        <v>183</v>
      </c>
      <c r="S438" s="16" t="s">
        <v>1493</v>
      </c>
      <c r="T438" s="16"/>
    </row>
    <row r="439">
      <c r="A439" s="54">
        <v>46164.4863847338</v>
      </c>
      <c r="B439" s="16" t="s">
        <v>104</v>
      </c>
      <c r="C439" s="16" t="s">
        <v>683</v>
      </c>
      <c r="D439" s="17"/>
      <c r="E439" s="31"/>
      <c r="F439" s="39">
        <v>1.0</v>
      </c>
      <c r="G439" s="12" t="s">
        <v>181</v>
      </c>
      <c r="H439" s="52">
        <v>46164.0</v>
      </c>
      <c r="I439" s="17"/>
      <c r="J439" s="16" t="s">
        <v>92</v>
      </c>
      <c r="K439" s="12" t="s">
        <v>2480</v>
      </c>
      <c r="L439" s="16" t="s">
        <v>1447</v>
      </c>
      <c r="M439" s="16" t="s">
        <v>2135</v>
      </c>
      <c r="N439" s="16" t="s">
        <v>683</v>
      </c>
      <c r="O439" s="16" t="s">
        <v>2481</v>
      </c>
      <c r="P439" s="56" t="s">
        <v>2482</v>
      </c>
      <c r="Q439" s="16" t="s">
        <v>52</v>
      </c>
      <c r="R439" s="16" t="s">
        <v>17</v>
      </c>
      <c r="S439" s="16" t="s">
        <v>1493</v>
      </c>
      <c r="T439" s="16"/>
    </row>
    <row r="440">
      <c r="A440" s="54">
        <v>46164.54358375</v>
      </c>
      <c r="B440" s="16" t="s">
        <v>34</v>
      </c>
      <c r="C440" s="16" t="s">
        <v>685</v>
      </c>
      <c r="D440" s="12" t="s">
        <v>1485</v>
      </c>
      <c r="E440" s="31"/>
      <c r="F440" s="39">
        <v>28.0</v>
      </c>
      <c r="G440" s="12" t="s">
        <v>181</v>
      </c>
      <c r="H440" s="52">
        <v>46163.0</v>
      </c>
      <c r="I440" s="17"/>
      <c r="J440" s="16" t="s">
        <v>82</v>
      </c>
      <c r="K440" s="12" t="s">
        <v>2483</v>
      </c>
      <c r="L440" s="16" t="s">
        <v>54</v>
      </c>
      <c r="M440" s="16" t="s">
        <v>393</v>
      </c>
      <c r="N440" s="16" t="s">
        <v>687</v>
      </c>
      <c r="O440" s="16" t="s">
        <v>2484</v>
      </c>
      <c r="P440" s="56" t="s">
        <v>2485</v>
      </c>
      <c r="Q440" s="16" t="s">
        <v>52</v>
      </c>
      <c r="R440" s="16" t="s">
        <v>150</v>
      </c>
      <c r="S440" s="16" t="s">
        <v>1493</v>
      </c>
      <c r="T440" s="16"/>
    </row>
    <row r="441">
      <c r="A441" s="54">
        <v>46164.548374687496</v>
      </c>
      <c r="B441" s="16" t="s">
        <v>104</v>
      </c>
      <c r="C441" s="16" t="s">
        <v>386</v>
      </c>
      <c r="D441" s="17"/>
      <c r="E441" s="31"/>
      <c r="F441" s="39">
        <v>1.0</v>
      </c>
      <c r="G441" s="12" t="s">
        <v>181</v>
      </c>
      <c r="H441" s="52">
        <v>46164.0</v>
      </c>
      <c r="I441" s="17"/>
      <c r="J441" s="16" t="s">
        <v>92</v>
      </c>
      <c r="K441" s="12" t="s">
        <v>2480</v>
      </c>
      <c r="L441" s="16" t="s">
        <v>1447</v>
      </c>
      <c r="M441" s="16" t="s">
        <v>2135</v>
      </c>
      <c r="N441" s="16" t="s">
        <v>386</v>
      </c>
      <c r="O441" s="16" t="s">
        <v>2486</v>
      </c>
      <c r="P441" s="56" t="s">
        <v>2487</v>
      </c>
      <c r="Q441" s="16" t="s">
        <v>52</v>
      </c>
      <c r="R441" s="16" t="s">
        <v>17</v>
      </c>
      <c r="S441" s="16" t="s">
        <v>1493</v>
      </c>
      <c r="T441" s="16"/>
    </row>
    <row r="442">
      <c r="A442" s="54">
        <v>46164.552892824075</v>
      </c>
      <c r="B442" s="16" t="s">
        <v>104</v>
      </c>
      <c r="C442" s="16" t="s">
        <v>1096</v>
      </c>
      <c r="D442" s="17"/>
      <c r="E442" s="31"/>
      <c r="F442" s="16">
        <v>2.0</v>
      </c>
      <c r="G442" s="12" t="s">
        <v>181</v>
      </c>
      <c r="H442" s="52">
        <v>46164.0</v>
      </c>
      <c r="I442" s="17"/>
      <c r="J442" s="16" t="s">
        <v>92</v>
      </c>
      <c r="K442" s="12" t="s">
        <v>2480</v>
      </c>
      <c r="L442" s="16" t="s">
        <v>1447</v>
      </c>
      <c r="M442" s="16" t="s">
        <v>2135</v>
      </c>
      <c r="N442" s="16" t="s">
        <v>1098</v>
      </c>
      <c r="O442" s="16" t="s">
        <v>2488</v>
      </c>
      <c r="P442" s="56" t="s">
        <v>2489</v>
      </c>
      <c r="Q442" s="16" t="s">
        <v>52</v>
      </c>
      <c r="R442" s="16" t="s">
        <v>17</v>
      </c>
      <c r="S442" s="16" t="s">
        <v>1493</v>
      </c>
      <c r="T442" s="16"/>
    </row>
    <row r="443">
      <c r="A443" s="54">
        <v>46164.554619814815</v>
      </c>
      <c r="B443" s="16" t="s">
        <v>104</v>
      </c>
      <c r="C443" s="16" t="s">
        <v>396</v>
      </c>
      <c r="D443" s="17"/>
      <c r="E443" s="31"/>
      <c r="F443" s="39">
        <v>2.0</v>
      </c>
      <c r="G443" s="12" t="s">
        <v>181</v>
      </c>
      <c r="H443" s="52">
        <v>46164.0</v>
      </c>
      <c r="I443" s="17"/>
      <c r="J443" s="16" t="s">
        <v>92</v>
      </c>
      <c r="K443" s="12" t="s">
        <v>2480</v>
      </c>
      <c r="L443" s="16" t="s">
        <v>1447</v>
      </c>
      <c r="M443" s="16" t="s">
        <v>2135</v>
      </c>
      <c r="N443" s="16" t="s">
        <v>396</v>
      </c>
      <c r="O443" s="16" t="s">
        <v>2490</v>
      </c>
      <c r="P443" s="56" t="s">
        <v>2491</v>
      </c>
      <c r="Q443" s="16" t="s">
        <v>52</v>
      </c>
      <c r="R443" s="16" t="s">
        <v>17</v>
      </c>
      <c r="S443" s="16" t="s">
        <v>1493</v>
      </c>
      <c r="T443" s="16"/>
    </row>
    <row r="444">
      <c r="A444" s="54">
        <v>46164.555381666665</v>
      </c>
      <c r="B444" s="16" t="s">
        <v>104</v>
      </c>
      <c r="C444" s="16" t="s">
        <v>1103</v>
      </c>
      <c r="D444" s="17"/>
      <c r="E444" s="31"/>
      <c r="F444" s="39">
        <v>1.0</v>
      </c>
      <c r="G444" s="12" t="s">
        <v>181</v>
      </c>
      <c r="H444" s="52">
        <v>46164.0</v>
      </c>
      <c r="I444" s="17"/>
      <c r="J444" s="16" t="s">
        <v>92</v>
      </c>
      <c r="K444" s="12" t="s">
        <v>2480</v>
      </c>
      <c r="L444" s="16" t="s">
        <v>1447</v>
      </c>
      <c r="M444" s="16" t="s">
        <v>2135</v>
      </c>
      <c r="N444" s="16" t="s">
        <v>1104</v>
      </c>
      <c r="O444" s="16" t="s">
        <v>2492</v>
      </c>
      <c r="P444" s="56" t="s">
        <v>2493</v>
      </c>
      <c r="Q444" s="16" t="s">
        <v>52</v>
      </c>
      <c r="R444" s="16" t="s">
        <v>17</v>
      </c>
      <c r="S444" s="16" t="s">
        <v>1493</v>
      </c>
      <c r="T444" s="16"/>
    </row>
    <row r="445">
      <c r="A445" s="54">
        <v>46164.556115694446</v>
      </c>
      <c r="B445" s="16" t="s">
        <v>104</v>
      </c>
      <c r="C445" s="16" t="s">
        <v>1107</v>
      </c>
      <c r="D445" s="17"/>
      <c r="E445" s="31"/>
      <c r="F445" s="39">
        <v>1.0</v>
      </c>
      <c r="G445" s="12" t="s">
        <v>181</v>
      </c>
      <c r="H445" s="52">
        <v>46164.0</v>
      </c>
      <c r="I445" s="17"/>
      <c r="J445" s="16" t="s">
        <v>92</v>
      </c>
      <c r="K445" s="12" t="s">
        <v>2480</v>
      </c>
      <c r="L445" s="16" t="s">
        <v>1447</v>
      </c>
      <c r="M445" s="16" t="s">
        <v>2135</v>
      </c>
      <c r="N445" s="16" t="s">
        <v>1108</v>
      </c>
      <c r="O445" s="16" t="s">
        <v>2494</v>
      </c>
      <c r="P445" s="56" t="s">
        <v>2495</v>
      </c>
      <c r="Q445" s="16" t="s">
        <v>52</v>
      </c>
      <c r="R445" s="16" t="s">
        <v>17</v>
      </c>
      <c r="S445" s="16" t="s">
        <v>1493</v>
      </c>
      <c r="T445" s="16"/>
    </row>
    <row r="446">
      <c r="A446" s="54">
        <v>46164.557359108796</v>
      </c>
      <c r="B446" s="16" t="s">
        <v>104</v>
      </c>
      <c r="C446" s="16" t="s">
        <v>1111</v>
      </c>
      <c r="D446" s="17"/>
      <c r="E446" s="31"/>
      <c r="F446" s="39">
        <v>11.0</v>
      </c>
      <c r="G446" s="12" t="s">
        <v>181</v>
      </c>
      <c r="H446" s="52">
        <v>46164.0</v>
      </c>
      <c r="I446" s="17"/>
      <c r="J446" s="16" t="s">
        <v>92</v>
      </c>
      <c r="K446" s="12" t="s">
        <v>2480</v>
      </c>
      <c r="L446" s="16" t="s">
        <v>1447</v>
      </c>
      <c r="M446" s="16" t="s">
        <v>2135</v>
      </c>
      <c r="N446" s="16" t="s">
        <v>1112</v>
      </c>
      <c r="O446" s="16" t="s">
        <v>2496</v>
      </c>
      <c r="P446" s="56" t="s">
        <v>2497</v>
      </c>
      <c r="Q446" s="16" t="s">
        <v>52</v>
      </c>
      <c r="R446" s="16" t="s">
        <v>17</v>
      </c>
      <c r="S446" s="16" t="s">
        <v>1493</v>
      </c>
      <c r="T446" s="16"/>
    </row>
    <row r="447">
      <c r="A447" s="54">
        <v>46164.636981620366</v>
      </c>
      <c r="B447" s="16" t="s">
        <v>49</v>
      </c>
      <c r="C447" s="16" t="s">
        <v>685</v>
      </c>
      <c r="D447" s="12" t="s">
        <v>1485</v>
      </c>
      <c r="E447" s="31"/>
      <c r="F447" s="39">
        <v>24.0</v>
      </c>
      <c r="G447" s="16" t="s">
        <v>181</v>
      </c>
      <c r="H447" s="52">
        <v>46164.0</v>
      </c>
      <c r="I447" s="17"/>
      <c r="J447" s="16" t="s">
        <v>82</v>
      </c>
      <c r="K447" s="12" t="s">
        <v>2498</v>
      </c>
      <c r="L447" s="16" t="s">
        <v>54</v>
      </c>
      <c r="M447" s="16" t="s">
        <v>393</v>
      </c>
      <c r="N447" s="16" t="s">
        <v>687</v>
      </c>
      <c r="O447" s="16" t="s">
        <v>2499</v>
      </c>
      <c r="P447" s="18"/>
      <c r="Q447" s="16" t="s">
        <v>52</v>
      </c>
      <c r="R447" s="16" t="s">
        <v>189</v>
      </c>
      <c r="S447" s="16" t="s">
        <v>1493</v>
      </c>
      <c r="T447" s="16"/>
    </row>
    <row r="448">
      <c r="A448" s="54">
        <v>46164.63974575231</v>
      </c>
      <c r="B448" s="16" t="s">
        <v>49</v>
      </c>
      <c r="C448" s="16" t="s">
        <v>662</v>
      </c>
      <c r="D448" s="17"/>
      <c r="E448" s="42" t="s">
        <v>2500</v>
      </c>
      <c r="F448" s="39">
        <v>13.0</v>
      </c>
      <c r="G448" s="16" t="s">
        <v>181</v>
      </c>
      <c r="H448" s="52">
        <v>46163.0</v>
      </c>
      <c r="I448" s="17"/>
      <c r="J448" s="16" t="s">
        <v>51</v>
      </c>
      <c r="K448" s="12" t="s">
        <v>1809</v>
      </c>
      <c r="L448" s="16" t="s">
        <v>54</v>
      </c>
      <c r="M448" s="16" t="s">
        <v>2100</v>
      </c>
      <c r="N448" s="16" t="s">
        <v>1117</v>
      </c>
      <c r="O448" s="16" t="s">
        <v>2501</v>
      </c>
      <c r="P448" s="18"/>
      <c r="Q448" s="16" t="s">
        <v>52</v>
      </c>
      <c r="R448" s="16" t="s">
        <v>189</v>
      </c>
      <c r="S448" s="16" t="s">
        <v>1493</v>
      </c>
      <c r="T448" s="16"/>
    </row>
    <row r="449">
      <c r="A449" s="54">
        <v>46164.64138732639</v>
      </c>
      <c r="B449" s="16" t="s">
        <v>49</v>
      </c>
      <c r="C449" s="16" t="s">
        <v>662</v>
      </c>
      <c r="D449" s="17"/>
      <c r="E449" s="16">
        <v>7034.0</v>
      </c>
      <c r="F449" s="39">
        <v>3.0</v>
      </c>
      <c r="G449" s="16" t="s">
        <v>181</v>
      </c>
      <c r="H449" s="52">
        <v>46164.0</v>
      </c>
      <c r="I449" s="17"/>
      <c r="J449" s="16" t="s">
        <v>51</v>
      </c>
      <c r="K449" s="12" t="s">
        <v>1809</v>
      </c>
      <c r="L449" s="16" t="s">
        <v>54</v>
      </c>
      <c r="M449" s="16" t="s">
        <v>2100</v>
      </c>
      <c r="N449" s="16" t="s">
        <v>1117</v>
      </c>
      <c r="O449" s="16" t="s">
        <v>2501</v>
      </c>
      <c r="P449" s="18"/>
      <c r="Q449" s="16" t="s">
        <v>52</v>
      </c>
      <c r="R449" s="16" t="s">
        <v>189</v>
      </c>
      <c r="S449" s="16" t="s">
        <v>1493</v>
      </c>
      <c r="T449" s="16"/>
    </row>
    <row r="450">
      <c r="A450" s="54">
        <v>46168.39091636574</v>
      </c>
      <c r="B450" s="16" t="s">
        <v>114</v>
      </c>
      <c r="C450" s="16" t="s">
        <v>346</v>
      </c>
      <c r="D450" s="17"/>
      <c r="E450" s="31"/>
      <c r="F450" s="39">
        <v>1.0</v>
      </c>
      <c r="G450" s="16" t="s">
        <v>363</v>
      </c>
      <c r="H450" s="52">
        <v>46164.0</v>
      </c>
      <c r="I450" s="17"/>
      <c r="J450" s="16" t="s">
        <v>2502</v>
      </c>
      <c r="K450" s="12" t="s">
        <v>2503</v>
      </c>
      <c r="L450" s="16" t="s">
        <v>54</v>
      </c>
      <c r="M450" s="16" t="s">
        <v>614</v>
      </c>
      <c r="N450" s="16" t="s">
        <v>1119</v>
      </c>
      <c r="O450" s="16" t="s">
        <v>2504</v>
      </c>
      <c r="P450" s="18"/>
      <c r="Q450" s="16" t="s">
        <v>52</v>
      </c>
      <c r="R450" s="16" t="s">
        <v>83</v>
      </c>
      <c r="S450" s="16" t="s">
        <v>1493</v>
      </c>
      <c r="T450" s="16" t="s">
        <v>398</v>
      </c>
    </row>
    <row r="451">
      <c r="A451" s="54">
        <v>46168.47595871528</v>
      </c>
      <c r="B451" s="16" t="s">
        <v>34</v>
      </c>
      <c r="C451" s="16" t="s">
        <v>520</v>
      </c>
      <c r="D451" s="17"/>
      <c r="E451" s="16"/>
      <c r="F451" s="39">
        <v>5.0</v>
      </c>
      <c r="G451" s="16" t="s">
        <v>181</v>
      </c>
      <c r="H451" s="52">
        <v>46168.0</v>
      </c>
      <c r="I451" s="17"/>
      <c r="J451" s="16" t="s">
        <v>51</v>
      </c>
      <c r="K451" s="13"/>
      <c r="L451" s="16" t="s">
        <v>54</v>
      </c>
      <c r="M451" s="16" t="s">
        <v>2350</v>
      </c>
      <c r="N451" s="16" t="s">
        <v>520</v>
      </c>
      <c r="O451" s="16" t="s">
        <v>2266</v>
      </c>
      <c r="P451" s="18"/>
      <c r="Q451" s="16" t="s">
        <v>52</v>
      </c>
      <c r="R451" s="16" t="s">
        <v>170</v>
      </c>
      <c r="S451" s="16" t="s">
        <v>1493</v>
      </c>
      <c r="T451" s="16"/>
    </row>
    <row r="452">
      <c r="A452" s="54">
        <v>46168.47601677083</v>
      </c>
      <c r="B452" s="16" t="s">
        <v>49</v>
      </c>
      <c r="C452" s="16" t="s">
        <v>520</v>
      </c>
      <c r="D452" s="17"/>
      <c r="E452" s="16"/>
      <c r="F452" s="39">
        <v>3.0</v>
      </c>
      <c r="G452" s="16" t="s">
        <v>181</v>
      </c>
      <c r="H452" s="52">
        <v>46168.0</v>
      </c>
      <c r="I452" s="17"/>
      <c r="J452" s="16" t="s">
        <v>51</v>
      </c>
      <c r="K452" s="13"/>
      <c r="L452" s="16" t="s">
        <v>54</v>
      </c>
      <c r="M452" s="16" t="s">
        <v>2350</v>
      </c>
      <c r="N452" s="16" t="s">
        <v>520</v>
      </c>
      <c r="O452" s="16" t="s">
        <v>2269</v>
      </c>
      <c r="P452" s="18"/>
      <c r="Q452" s="16" t="s">
        <v>52</v>
      </c>
      <c r="R452" s="16" t="s">
        <v>170</v>
      </c>
      <c r="S452" s="16" t="s">
        <v>1493</v>
      </c>
      <c r="T452" s="16"/>
    </row>
    <row r="453">
      <c r="A453" s="54">
        <v>46168.48136769676</v>
      </c>
      <c r="B453" s="16" t="s">
        <v>49</v>
      </c>
      <c r="C453" s="16" t="s">
        <v>1122</v>
      </c>
      <c r="D453" s="17"/>
      <c r="E453" s="16" t="s">
        <v>2505</v>
      </c>
      <c r="F453" s="39">
        <v>7.0</v>
      </c>
      <c r="G453" s="16" t="s">
        <v>181</v>
      </c>
      <c r="H453" s="52">
        <v>46168.0</v>
      </c>
      <c r="I453" s="17"/>
      <c r="J453" s="16" t="s">
        <v>51</v>
      </c>
      <c r="K453" s="13"/>
      <c r="L453" s="16" t="s">
        <v>54</v>
      </c>
      <c r="M453" s="16" t="s">
        <v>2100</v>
      </c>
      <c r="N453" s="16" t="s">
        <v>1122</v>
      </c>
      <c r="O453" s="16" t="s">
        <v>2506</v>
      </c>
      <c r="P453" s="18"/>
      <c r="Q453" s="16" t="s">
        <v>52</v>
      </c>
      <c r="R453" s="16" t="s">
        <v>53</v>
      </c>
      <c r="S453" s="16" t="s">
        <v>1493</v>
      </c>
      <c r="T453" s="16"/>
    </row>
    <row r="454">
      <c r="A454" s="54">
        <v>46168.666552627314</v>
      </c>
      <c r="B454" s="16" t="s">
        <v>34</v>
      </c>
      <c r="C454" s="16" t="s">
        <v>520</v>
      </c>
      <c r="D454" s="17"/>
      <c r="E454" s="31"/>
      <c r="F454" s="39">
        <v>5.0</v>
      </c>
      <c r="G454" s="16" t="s">
        <v>181</v>
      </c>
      <c r="H454" s="52">
        <v>46168.0</v>
      </c>
      <c r="I454" s="16" t="s">
        <v>170</v>
      </c>
      <c r="J454" s="17"/>
      <c r="K454" s="13"/>
      <c r="L454" s="16" t="s">
        <v>2507</v>
      </c>
      <c r="M454" s="16" t="s">
        <v>2508</v>
      </c>
      <c r="N454" s="16" t="s">
        <v>520</v>
      </c>
      <c r="O454" s="16" t="s">
        <v>2266</v>
      </c>
      <c r="P454" s="18"/>
      <c r="Q454" s="16" t="s">
        <v>52</v>
      </c>
      <c r="R454" s="16" t="s">
        <v>520</v>
      </c>
      <c r="S454" s="16" t="s">
        <v>1607</v>
      </c>
      <c r="T454" s="16"/>
    </row>
    <row r="455">
      <c r="A455" s="54">
        <v>46168.66716203703</v>
      </c>
      <c r="B455" s="16" t="s">
        <v>49</v>
      </c>
      <c r="C455" s="16" t="s">
        <v>520</v>
      </c>
      <c r="D455" s="17"/>
      <c r="E455" s="31"/>
      <c r="F455" s="39">
        <v>11.0</v>
      </c>
      <c r="G455" s="16" t="s">
        <v>181</v>
      </c>
      <c r="H455" s="52">
        <v>46168.0</v>
      </c>
      <c r="I455" s="16" t="s">
        <v>189</v>
      </c>
      <c r="J455" s="17"/>
      <c r="K455" s="13"/>
      <c r="L455" s="16" t="s">
        <v>2507</v>
      </c>
      <c r="M455" s="16" t="s">
        <v>2508</v>
      </c>
      <c r="N455" s="16" t="s">
        <v>520</v>
      </c>
      <c r="O455" s="16" t="s">
        <v>2269</v>
      </c>
      <c r="P455" s="18"/>
      <c r="Q455" s="16" t="s">
        <v>52</v>
      </c>
      <c r="R455" s="16" t="s">
        <v>520</v>
      </c>
      <c r="S455" s="16" t="s">
        <v>1607</v>
      </c>
      <c r="T455" s="16"/>
    </row>
    <row r="456">
      <c r="A456" s="54">
        <v>46168.66720701389</v>
      </c>
      <c r="B456" s="16" t="s">
        <v>49</v>
      </c>
      <c r="C456" s="16" t="s">
        <v>520</v>
      </c>
      <c r="D456" s="17"/>
      <c r="E456" s="31"/>
      <c r="F456" s="39">
        <v>3.0</v>
      </c>
      <c r="G456" s="16" t="s">
        <v>181</v>
      </c>
      <c r="H456" s="52">
        <v>46168.0</v>
      </c>
      <c r="I456" s="16" t="s">
        <v>170</v>
      </c>
      <c r="J456" s="17"/>
      <c r="K456" s="13"/>
      <c r="L456" s="16" t="s">
        <v>2507</v>
      </c>
      <c r="M456" s="16" t="s">
        <v>2508</v>
      </c>
      <c r="N456" s="16" t="s">
        <v>520</v>
      </c>
      <c r="O456" s="16" t="s">
        <v>2269</v>
      </c>
      <c r="P456" s="18"/>
      <c r="Q456" s="16" t="s">
        <v>52</v>
      </c>
      <c r="R456" s="16" t="s">
        <v>520</v>
      </c>
      <c r="S456" s="16" t="s">
        <v>1607</v>
      </c>
      <c r="T456" s="16"/>
    </row>
    <row r="457">
      <c r="A457" s="54">
        <v>46169.41258373843</v>
      </c>
      <c r="B457" s="16" t="s">
        <v>61</v>
      </c>
      <c r="C457" s="16" t="s">
        <v>1124</v>
      </c>
      <c r="D457" s="17"/>
      <c r="E457" s="16" t="s">
        <v>2509</v>
      </c>
      <c r="F457" s="39">
        <v>1.0</v>
      </c>
      <c r="G457" s="16" t="s">
        <v>363</v>
      </c>
      <c r="H457" s="52">
        <v>46169.0</v>
      </c>
      <c r="I457" s="17"/>
      <c r="J457" s="16" t="s">
        <v>51</v>
      </c>
      <c r="K457" s="13"/>
      <c r="L457" s="16" t="s">
        <v>54</v>
      </c>
      <c r="M457" s="16" t="s">
        <v>2350</v>
      </c>
      <c r="N457" s="16" t="s">
        <v>989</v>
      </c>
      <c r="O457" s="16" t="s">
        <v>2510</v>
      </c>
      <c r="P457" s="18"/>
      <c r="Q457" s="16" t="s">
        <v>52</v>
      </c>
      <c r="R457" s="16" t="s">
        <v>83</v>
      </c>
      <c r="S457" s="16" t="s">
        <v>1493</v>
      </c>
      <c r="T457" s="16" t="s">
        <v>625</v>
      </c>
    </row>
    <row r="458">
      <c r="A458" s="54">
        <v>46169.417644270834</v>
      </c>
      <c r="B458" s="16" t="s">
        <v>104</v>
      </c>
      <c r="C458" s="16" t="s">
        <v>692</v>
      </c>
      <c r="D458" s="17"/>
      <c r="E458" s="16" t="s">
        <v>2511</v>
      </c>
      <c r="F458" s="39">
        <v>1.0</v>
      </c>
      <c r="G458" s="16" t="s">
        <v>181</v>
      </c>
      <c r="H458" s="52">
        <v>46169.0</v>
      </c>
      <c r="I458" s="17"/>
      <c r="J458" s="16" t="s">
        <v>51</v>
      </c>
      <c r="K458" s="12" t="s">
        <v>2512</v>
      </c>
      <c r="L458" s="16" t="s">
        <v>54</v>
      </c>
      <c r="M458" s="16" t="s">
        <v>2350</v>
      </c>
      <c r="N458" s="16" t="s">
        <v>692</v>
      </c>
      <c r="O458" s="16" t="s">
        <v>2513</v>
      </c>
      <c r="P458" s="18"/>
      <c r="Q458" s="16" t="s">
        <v>52</v>
      </c>
      <c r="R458" s="16" t="s">
        <v>106</v>
      </c>
      <c r="S458" s="16" t="s">
        <v>1493</v>
      </c>
      <c r="T458" s="16"/>
    </row>
    <row r="459">
      <c r="A459" s="54">
        <v>46169.51678604167</v>
      </c>
      <c r="B459" s="16" t="s">
        <v>34</v>
      </c>
      <c r="C459" s="16" t="s">
        <v>685</v>
      </c>
      <c r="D459" s="12" t="s">
        <v>1485</v>
      </c>
      <c r="E459" s="31"/>
      <c r="F459" s="39">
        <v>28.0</v>
      </c>
      <c r="G459" s="16" t="s">
        <v>181</v>
      </c>
      <c r="H459" s="52">
        <v>46169.0</v>
      </c>
      <c r="I459" s="16" t="s">
        <v>150</v>
      </c>
      <c r="J459" s="16" t="s">
        <v>82</v>
      </c>
      <c r="K459" s="13"/>
      <c r="L459" s="16" t="s">
        <v>2507</v>
      </c>
      <c r="M459" s="16" t="s">
        <v>2221</v>
      </c>
      <c r="N459" s="16" t="s">
        <v>687</v>
      </c>
      <c r="O459" s="16" t="s">
        <v>2484</v>
      </c>
      <c r="P459" s="18"/>
      <c r="Q459" s="16" t="s">
        <v>52</v>
      </c>
      <c r="R459" s="16" t="s">
        <v>687</v>
      </c>
      <c r="S459" s="16" t="s">
        <v>1607</v>
      </c>
      <c r="T459" s="16"/>
    </row>
    <row r="460">
      <c r="A460" s="54">
        <v>46169.517662060185</v>
      </c>
      <c r="B460" s="16" t="s">
        <v>34</v>
      </c>
      <c r="C460" s="16" t="s">
        <v>662</v>
      </c>
      <c r="D460" s="17"/>
      <c r="E460" s="31"/>
      <c r="F460" s="39">
        <v>12.0</v>
      </c>
      <c r="G460" s="16" t="s">
        <v>181</v>
      </c>
      <c r="H460" s="52">
        <v>46169.0</v>
      </c>
      <c r="I460" s="16" t="s">
        <v>158</v>
      </c>
      <c r="J460" s="17"/>
      <c r="K460" s="13"/>
      <c r="L460" s="16" t="s">
        <v>2507</v>
      </c>
      <c r="M460" s="16" t="s">
        <v>2446</v>
      </c>
      <c r="N460" s="16" t="s">
        <v>376</v>
      </c>
      <c r="O460" s="16" t="s">
        <v>2458</v>
      </c>
      <c r="P460" s="18"/>
      <c r="Q460" s="16" t="s">
        <v>52</v>
      </c>
      <c r="R460" s="16" t="s">
        <v>1117</v>
      </c>
      <c r="S460" s="16" t="s">
        <v>1607</v>
      </c>
      <c r="T460" s="16"/>
    </row>
    <row r="461">
      <c r="A461" s="54">
        <v>46169.51824790509</v>
      </c>
      <c r="B461" s="16" t="s">
        <v>49</v>
      </c>
      <c r="C461" s="16" t="s">
        <v>409</v>
      </c>
      <c r="D461" s="17"/>
      <c r="E461" s="31"/>
      <c r="F461" s="39">
        <v>17.0</v>
      </c>
      <c r="G461" s="16" t="s">
        <v>181</v>
      </c>
      <c r="H461" s="52">
        <v>46169.0</v>
      </c>
      <c r="I461" s="16" t="s">
        <v>111</v>
      </c>
      <c r="J461" s="17"/>
      <c r="K461" s="13"/>
      <c r="L461" s="16" t="s">
        <v>2507</v>
      </c>
      <c r="M461" s="16" t="s">
        <v>388</v>
      </c>
      <c r="N461" s="16" t="s">
        <v>376</v>
      </c>
      <c r="O461" s="16" t="s">
        <v>2024</v>
      </c>
      <c r="P461" s="18"/>
      <c r="Q461" s="16" t="s">
        <v>52</v>
      </c>
      <c r="R461" s="16" t="s">
        <v>409</v>
      </c>
      <c r="S461" s="16" t="s">
        <v>1607</v>
      </c>
      <c r="T461" s="16"/>
    </row>
    <row r="462">
      <c r="A462" s="54">
        <v>46169.53203192129</v>
      </c>
      <c r="B462" s="16" t="s">
        <v>104</v>
      </c>
      <c r="C462" s="16" t="s">
        <v>600</v>
      </c>
      <c r="D462" s="17"/>
      <c r="E462" s="31"/>
      <c r="F462" s="39">
        <v>8.0</v>
      </c>
      <c r="G462" s="16" t="s">
        <v>181</v>
      </c>
      <c r="H462" s="52">
        <v>46169.0</v>
      </c>
      <c r="I462" s="17"/>
      <c r="J462" s="16" t="s">
        <v>92</v>
      </c>
      <c r="K462" s="12" t="s">
        <v>2480</v>
      </c>
      <c r="L462" s="16" t="s">
        <v>54</v>
      </c>
      <c r="M462" s="16" t="s">
        <v>2350</v>
      </c>
      <c r="N462" s="16" t="s">
        <v>600</v>
      </c>
      <c r="O462" s="16" t="s">
        <v>2514</v>
      </c>
      <c r="P462" s="56" t="s">
        <v>2515</v>
      </c>
      <c r="Q462" s="16" t="s">
        <v>52</v>
      </c>
      <c r="R462" s="16" t="s">
        <v>17</v>
      </c>
      <c r="S462" s="16" t="s">
        <v>1493</v>
      </c>
      <c r="T462" s="16"/>
    </row>
    <row r="463">
      <c r="A463" s="54">
        <v>46169.53635556713</v>
      </c>
      <c r="B463" s="16" t="s">
        <v>104</v>
      </c>
      <c r="C463" s="16" t="s">
        <v>1130</v>
      </c>
      <c r="D463" s="17"/>
      <c r="E463" s="31"/>
      <c r="F463" s="39">
        <v>9.0</v>
      </c>
      <c r="G463" s="16" t="s">
        <v>181</v>
      </c>
      <c r="H463" s="52">
        <v>46169.0</v>
      </c>
      <c r="I463" s="17"/>
      <c r="J463" s="16" t="s">
        <v>92</v>
      </c>
      <c r="K463" s="12" t="s">
        <v>2480</v>
      </c>
      <c r="L463" s="16" t="s">
        <v>54</v>
      </c>
      <c r="M463" s="16" t="s">
        <v>2350</v>
      </c>
      <c r="N463" s="16" t="s">
        <v>921</v>
      </c>
      <c r="O463" s="16" t="s">
        <v>2516</v>
      </c>
      <c r="P463" s="56" t="s">
        <v>2517</v>
      </c>
      <c r="Q463" s="16" t="s">
        <v>52</v>
      </c>
      <c r="R463" s="16" t="s">
        <v>17</v>
      </c>
      <c r="S463" s="16" t="s">
        <v>1493</v>
      </c>
      <c r="T463" s="16" t="s">
        <v>393</v>
      </c>
    </row>
    <row r="464">
      <c r="A464" s="54">
        <v>46171.392324050925</v>
      </c>
      <c r="B464" s="16" t="s">
        <v>91</v>
      </c>
      <c r="C464" s="16" t="s">
        <v>34</v>
      </c>
      <c r="D464" s="17"/>
      <c r="E464" s="31"/>
      <c r="F464" s="39">
        <v>2.0</v>
      </c>
      <c r="G464" s="16" t="s">
        <v>181</v>
      </c>
      <c r="H464" s="52">
        <v>46171.0</v>
      </c>
      <c r="I464" s="17"/>
      <c r="J464" s="16" t="s">
        <v>51</v>
      </c>
      <c r="K464" s="12" t="s">
        <v>2518</v>
      </c>
      <c r="L464" s="16" t="s">
        <v>54</v>
      </c>
      <c r="M464" s="16" t="s">
        <v>52</v>
      </c>
      <c r="N464" s="16" t="s">
        <v>460</v>
      </c>
      <c r="O464" s="16" t="s">
        <v>2519</v>
      </c>
      <c r="P464" s="18"/>
      <c r="Q464" s="16" t="s">
        <v>52</v>
      </c>
      <c r="R464" s="16" t="s">
        <v>102</v>
      </c>
      <c r="S464" s="16" t="s">
        <v>1493</v>
      </c>
      <c r="T464" s="16" t="s">
        <v>625</v>
      </c>
    </row>
    <row r="465">
      <c r="A465" s="54">
        <v>46171.406871018524</v>
      </c>
      <c r="B465" s="16" t="s">
        <v>34</v>
      </c>
      <c r="C465" s="16" t="s">
        <v>275</v>
      </c>
      <c r="D465" s="17"/>
      <c r="E465" s="31"/>
      <c r="F465" s="39">
        <v>42.0</v>
      </c>
      <c r="G465" s="16" t="s">
        <v>181</v>
      </c>
      <c r="H465" s="52">
        <v>46171.0</v>
      </c>
      <c r="I465" s="17"/>
      <c r="J465" s="16" t="s">
        <v>35</v>
      </c>
      <c r="K465" s="13"/>
      <c r="L465" s="16" t="s">
        <v>54</v>
      </c>
      <c r="M465" s="16" t="s">
        <v>2350</v>
      </c>
      <c r="N465" s="16" t="s">
        <v>1134</v>
      </c>
      <c r="O465" s="16" t="s">
        <v>271</v>
      </c>
      <c r="P465" s="18"/>
      <c r="Q465" s="16" t="s">
        <v>52</v>
      </c>
      <c r="R465" s="16" t="s">
        <v>150</v>
      </c>
      <c r="S465" s="16" t="s">
        <v>1493</v>
      </c>
      <c r="T465" s="16" t="s">
        <v>398</v>
      </c>
    </row>
    <row r="466">
      <c r="A466" s="54">
        <v>46171.40693064815</v>
      </c>
      <c r="B466" s="16" t="s">
        <v>49</v>
      </c>
      <c r="C466" s="16" t="s">
        <v>275</v>
      </c>
      <c r="D466" s="17"/>
      <c r="E466" s="31"/>
      <c r="F466" s="16">
        <v>28.0</v>
      </c>
      <c r="G466" s="16" t="s">
        <v>181</v>
      </c>
      <c r="H466" s="52">
        <v>46171.0</v>
      </c>
      <c r="I466" s="17"/>
      <c r="J466" s="16" t="s">
        <v>35</v>
      </c>
      <c r="K466" s="13"/>
      <c r="L466" s="16" t="s">
        <v>54</v>
      </c>
      <c r="M466" s="16" t="s">
        <v>2350</v>
      </c>
      <c r="N466" s="16" t="s">
        <v>1134</v>
      </c>
      <c r="O466" s="16" t="s">
        <v>2520</v>
      </c>
      <c r="P466" s="18"/>
      <c r="Q466" s="16" t="s">
        <v>52</v>
      </c>
      <c r="R466" s="16" t="s">
        <v>161</v>
      </c>
      <c r="S466" s="16" t="s">
        <v>1493</v>
      </c>
      <c r="T466" s="16" t="s">
        <v>398</v>
      </c>
    </row>
    <row r="467">
      <c r="A467" s="54">
        <v>46171.41104759259</v>
      </c>
      <c r="B467" s="16" t="s">
        <v>34</v>
      </c>
      <c r="C467" s="16" t="s">
        <v>1139</v>
      </c>
      <c r="D467" s="17"/>
      <c r="E467" s="31"/>
      <c r="F467" s="39">
        <v>24.0</v>
      </c>
      <c r="G467" s="16" t="s">
        <v>181</v>
      </c>
      <c r="H467" s="52">
        <v>46171.0</v>
      </c>
      <c r="I467" s="17"/>
      <c r="J467" s="16" t="s">
        <v>35</v>
      </c>
      <c r="K467" s="13"/>
      <c r="L467" s="16" t="s">
        <v>54</v>
      </c>
      <c r="M467" s="16" t="s">
        <v>2350</v>
      </c>
      <c r="N467" s="16" t="s">
        <v>1134</v>
      </c>
      <c r="O467" s="16" t="s">
        <v>2521</v>
      </c>
      <c r="P467" s="18"/>
      <c r="Q467" s="16" t="s">
        <v>52</v>
      </c>
      <c r="R467" s="16" t="s">
        <v>142</v>
      </c>
      <c r="S467" s="16" t="s">
        <v>1493</v>
      </c>
      <c r="T467" s="16" t="s">
        <v>398</v>
      </c>
    </row>
    <row r="468">
      <c r="A468" s="54">
        <v>46171.41110913194</v>
      </c>
      <c r="B468" s="16" t="s">
        <v>49</v>
      </c>
      <c r="C468" s="16" t="s">
        <v>1139</v>
      </c>
      <c r="D468" s="17"/>
      <c r="E468" s="31"/>
      <c r="F468" s="39">
        <v>15.0</v>
      </c>
      <c r="G468" s="16" t="s">
        <v>181</v>
      </c>
      <c r="H468" s="52">
        <v>46171.0</v>
      </c>
      <c r="I468" s="17"/>
      <c r="J468" s="16" t="s">
        <v>35</v>
      </c>
      <c r="K468" s="13"/>
      <c r="L468" s="16" t="s">
        <v>54</v>
      </c>
      <c r="M468" s="16" t="s">
        <v>2350</v>
      </c>
      <c r="N468" s="16" t="s">
        <v>1134</v>
      </c>
      <c r="O468" s="16" t="s">
        <v>2522</v>
      </c>
      <c r="P468" s="18"/>
      <c r="Q468" s="16" t="s">
        <v>52</v>
      </c>
      <c r="R468" s="16" t="s">
        <v>161</v>
      </c>
      <c r="S468" s="16" t="s">
        <v>1493</v>
      </c>
      <c r="T468" s="16" t="s">
        <v>398</v>
      </c>
    </row>
    <row r="469">
      <c r="A469" s="54">
        <v>46171.48434215278</v>
      </c>
      <c r="B469" s="16" t="s">
        <v>34</v>
      </c>
      <c r="C469" s="16" t="s">
        <v>699</v>
      </c>
      <c r="D469" s="17"/>
      <c r="E469" s="31"/>
      <c r="F469" s="39">
        <v>15.0</v>
      </c>
      <c r="G469" s="16" t="s">
        <v>181</v>
      </c>
      <c r="H469" s="52">
        <v>46171.0</v>
      </c>
      <c r="I469" s="17"/>
      <c r="J469" s="16" t="s">
        <v>35</v>
      </c>
      <c r="K469" s="13"/>
      <c r="L469" s="16" t="s">
        <v>54</v>
      </c>
      <c r="M469" s="16" t="s">
        <v>2350</v>
      </c>
      <c r="N469" s="16" t="s">
        <v>699</v>
      </c>
      <c r="O469" s="16" t="s">
        <v>2523</v>
      </c>
      <c r="P469" s="18"/>
      <c r="Q469" s="16" t="s">
        <v>52</v>
      </c>
      <c r="R469" s="16" t="s">
        <v>195</v>
      </c>
      <c r="S469" s="16" t="s">
        <v>1493</v>
      </c>
      <c r="T469" s="16" t="s">
        <v>398</v>
      </c>
    </row>
    <row r="470">
      <c r="A470" s="54">
        <v>46171.484422905094</v>
      </c>
      <c r="B470" s="16" t="s">
        <v>34</v>
      </c>
      <c r="C470" s="16" t="s">
        <v>699</v>
      </c>
      <c r="D470" s="17"/>
      <c r="E470" s="31"/>
      <c r="F470" s="39">
        <v>25.0</v>
      </c>
      <c r="G470" s="16" t="s">
        <v>181</v>
      </c>
      <c r="H470" s="52">
        <v>46171.0</v>
      </c>
      <c r="I470" s="17"/>
      <c r="J470" s="16" t="s">
        <v>35</v>
      </c>
      <c r="K470" s="13"/>
      <c r="L470" s="16" t="s">
        <v>54</v>
      </c>
      <c r="M470" s="16" t="s">
        <v>2350</v>
      </c>
      <c r="N470" s="16" t="s">
        <v>699</v>
      </c>
      <c r="O470" s="16" t="s">
        <v>2523</v>
      </c>
      <c r="P470" s="18"/>
      <c r="Q470" s="16" t="s">
        <v>52</v>
      </c>
      <c r="R470" s="16" t="s">
        <v>199</v>
      </c>
      <c r="S470" s="16" t="s">
        <v>1493</v>
      </c>
      <c r="T470" s="16" t="s">
        <v>398</v>
      </c>
    </row>
    <row r="471">
      <c r="A471" s="54">
        <v>46171.48447931713</v>
      </c>
      <c r="B471" s="16" t="s">
        <v>34</v>
      </c>
      <c r="C471" s="16" t="s">
        <v>699</v>
      </c>
      <c r="D471" s="17"/>
      <c r="E471" s="31"/>
      <c r="F471" s="39">
        <v>13.0</v>
      </c>
      <c r="G471" s="16" t="s">
        <v>181</v>
      </c>
      <c r="H471" s="52">
        <v>46171.0</v>
      </c>
      <c r="I471" s="17"/>
      <c r="J471" s="16" t="s">
        <v>35</v>
      </c>
      <c r="K471" s="13"/>
      <c r="L471" s="16" t="s">
        <v>54</v>
      </c>
      <c r="M471" s="16" t="s">
        <v>2350</v>
      </c>
      <c r="N471" s="16" t="s">
        <v>699</v>
      </c>
      <c r="O471" s="16" t="s">
        <v>2523</v>
      </c>
      <c r="P471" s="18"/>
      <c r="Q471" s="16" t="s">
        <v>52</v>
      </c>
      <c r="R471" s="16" t="s">
        <v>174</v>
      </c>
      <c r="S471" s="16" t="s">
        <v>1493</v>
      </c>
      <c r="T471" s="16" t="s">
        <v>398</v>
      </c>
    </row>
    <row r="472">
      <c r="A472" s="54">
        <v>46171.50994314815</v>
      </c>
      <c r="B472" s="16" t="s">
        <v>61</v>
      </c>
      <c r="C472" s="16" t="s">
        <v>317</v>
      </c>
      <c r="D472" s="17"/>
      <c r="E472" s="31"/>
      <c r="F472" s="39">
        <v>1.0</v>
      </c>
      <c r="G472" s="16" t="s">
        <v>363</v>
      </c>
      <c r="H472" s="52">
        <v>46171.0</v>
      </c>
      <c r="I472" s="17"/>
      <c r="J472" s="16" t="s">
        <v>35</v>
      </c>
      <c r="K472" s="12" t="s">
        <v>2524</v>
      </c>
      <c r="L472" s="16" t="s">
        <v>54</v>
      </c>
      <c r="M472" s="16" t="s">
        <v>2350</v>
      </c>
      <c r="N472" s="16" t="s">
        <v>1144</v>
      </c>
      <c r="O472" s="16" t="s">
        <v>2525</v>
      </c>
      <c r="P472" s="18"/>
      <c r="Q472" s="16" t="s">
        <v>52</v>
      </c>
      <c r="R472" s="16" t="s">
        <v>53</v>
      </c>
      <c r="S472" s="16" t="s">
        <v>1493</v>
      </c>
      <c r="T472" s="16" t="s">
        <v>388</v>
      </c>
    </row>
    <row r="473">
      <c r="A473" s="54">
        <v>46171.51108509259</v>
      </c>
      <c r="B473" s="16" t="s">
        <v>34</v>
      </c>
      <c r="C473" s="16" t="s">
        <v>666</v>
      </c>
      <c r="D473" s="17"/>
      <c r="E473" s="31"/>
      <c r="F473" s="16">
        <v>2.0</v>
      </c>
      <c r="G473" s="16" t="s">
        <v>181</v>
      </c>
      <c r="H473" s="52">
        <v>46171.0</v>
      </c>
      <c r="I473" s="17"/>
      <c r="J473" s="16" t="s">
        <v>35</v>
      </c>
      <c r="K473" s="13"/>
      <c r="L473" s="16" t="s">
        <v>54</v>
      </c>
      <c r="M473" s="16" t="s">
        <v>2350</v>
      </c>
      <c r="N473" s="16" t="s">
        <v>1090</v>
      </c>
      <c r="O473" s="16" t="s">
        <v>2465</v>
      </c>
      <c r="P473" s="18"/>
      <c r="Q473" s="16" t="s">
        <v>52</v>
      </c>
      <c r="R473" s="16" t="s">
        <v>187</v>
      </c>
      <c r="S473" s="16" t="s">
        <v>1493</v>
      </c>
      <c r="T473" s="16" t="s">
        <v>614</v>
      </c>
    </row>
    <row r="474">
      <c r="A474" s="54">
        <v>46171.511153750005</v>
      </c>
      <c r="B474" s="16" t="s">
        <v>49</v>
      </c>
      <c r="C474" s="16" t="s">
        <v>666</v>
      </c>
      <c r="D474" s="17"/>
      <c r="E474" s="31"/>
      <c r="F474" s="39">
        <v>1.0</v>
      </c>
      <c r="G474" s="16" t="s">
        <v>181</v>
      </c>
      <c r="H474" s="52">
        <v>46171.0</v>
      </c>
      <c r="I474" s="17"/>
      <c r="J474" s="16" t="s">
        <v>35</v>
      </c>
      <c r="K474" s="13"/>
      <c r="L474" s="16" t="s">
        <v>54</v>
      </c>
      <c r="M474" s="16" t="s">
        <v>2350</v>
      </c>
      <c r="N474" s="16" t="s">
        <v>1090</v>
      </c>
      <c r="O474" s="16" t="s">
        <v>2468</v>
      </c>
      <c r="P474" s="18"/>
      <c r="Q474" s="16" t="s">
        <v>52</v>
      </c>
      <c r="R474" s="16" t="s">
        <v>189</v>
      </c>
      <c r="S474" s="16" t="s">
        <v>1493</v>
      </c>
      <c r="T474" s="16" t="s">
        <v>614</v>
      </c>
    </row>
    <row r="475">
      <c r="A475" s="54">
        <v>46171.51275085648</v>
      </c>
      <c r="B475" s="16" t="s">
        <v>34</v>
      </c>
      <c r="C475" s="16" t="s">
        <v>703</v>
      </c>
      <c r="D475" s="17"/>
      <c r="E475" s="31"/>
      <c r="F475" s="39">
        <v>1.0</v>
      </c>
      <c r="G475" s="16" t="s">
        <v>181</v>
      </c>
      <c r="H475" s="52">
        <v>46171.0</v>
      </c>
      <c r="I475" s="17"/>
      <c r="J475" s="16" t="s">
        <v>35</v>
      </c>
      <c r="K475" s="13"/>
      <c r="L475" s="16" t="s">
        <v>54</v>
      </c>
      <c r="M475" s="16" t="s">
        <v>2350</v>
      </c>
      <c r="N475" s="16" t="s">
        <v>1147</v>
      </c>
      <c r="O475" s="16" t="s">
        <v>2526</v>
      </c>
      <c r="P475" s="18"/>
      <c r="Q475" s="16" t="s">
        <v>52</v>
      </c>
      <c r="R475" s="16" t="s">
        <v>183</v>
      </c>
      <c r="S475" s="16" t="s">
        <v>1493</v>
      </c>
      <c r="T475" s="16" t="s">
        <v>393</v>
      </c>
    </row>
    <row r="476">
      <c r="A476" s="54">
        <v>46171.51280981481</v>
      </c>
      <c r="B476" s="16" t="s">
        <v>49</v>
      </c>
      <c r="C476" s="16" t="s">
        <v>703</v>
      </c>
      <c r="D476" s="17"/>
      <c r="E476" s="31"/>
      <c r="F476" s="39">
        <v>1.0</v>
      </c>
      <c r="G476" s="16" t="s">
        <v>181</v>
      </c>
      <c r="H476" s="52">
        <v>46171.0</v>
      </c>
      <c r="I476" s="17"/>
      <c r="J476" s="16" t="s">
        <v>35</v>
      </c>
      <c r="K476" s="13"/>
      <c r="L476" s="16" t="s">
        <v>54</v>
      </c>
      <c r="M476" s="16" t="s">
        <v>2350</v>
      </c>
      <c r="N476" s="16" t="s">
        <v>1147</v>
      </c>
      <c r="O476" s="16" t="s">
        <v>2527</v>
      </c>
      <c r="P476" s="18"/>
      <c r="Q476" s="16" t="s">
        <v>52</v>
      </c>
      <c r="R476" s="16" t="s">
        <v>189</v>
      </c>
      <c r="S476" s="16" t="s">
        <v>1493</v>
      </c>
      <c r="T476" s="16" t="s">
        <v>393</v>
      </c>
    </row>
    <row r="477">
      <c r="A477" s="54">
        <v>46171.51608851852</v>
      </c>
      <c r="B477" s="16" t="s">
        <v>34</v>
      </c>
      <c r="C477" s="16" t="s">
        <v>1150</v>
      </c>
      <c r="D477" s="17"/>
      <c r="E477" s="31"/>
      <c r="F477" s="39">
        <v>1.0</v>
      </c>
      <c r="G477" s="16" t="s">
        <v>181</v>
      </c>
      <c r="H477" s="52">
        <v>46171.0</v>
      </c>
      <c r="I477" s="17"/>
      <c r="J477" s="16" t="s">
        <v>35</v>
      </c>
      <c r="K477" s="12" t="s">
        <v>2528</v>
      </c>
      <c r="L477" s="16" t="s">
        <v>54</v>
      </c>
      <c r="M477" s="16" t="s">
        <v>2350</v>
      </c>
      <c r="N477" s="16" t="s">
        <v>1151</v>
      </c>
      <c r="O477" s="16" t="s">
        <v>2529</v>
      </c>
      <c r="P477" s="18"/>
      <c r="Q477" s="16" t="s">
        <v>52</v>
      </c>
      <c r="R477" s="16" t="s">
        <v>189</v>
      </c>
      <c r="S477" s="16" t="s">
        <v>1493</v>
      </c>
      <c r="T477" s="16" t="s">
        <v>393</v>
      </c>
    </row>
    <row r="478">
      <c r="A478" s="54">
        <v>46171.516139942134</v>
      </c>
      <c r="B478" s="16" t="s">
        <v>61</v>
      </c>
      <c r="C478" s="16" t="s">
        <v>1150</v>
      </c>
      <c r="D478" s="17"/>
      <c r="E478" s="31"/>
      <c r="F478" s="39">
        <v>1.0</v>
      </c>
      <c r="G478" s="16" t="s">
        <v>363</v>
      </c>
      <c r="H478" s="52">
        <v>46171.0</v>
      </c>
      <c r="I478" s="17"/>
      <c r="J478" s="16" t="s">
        <v>35</v>
      </c>
      <c r="K478" s="12" t="s">
        <v>2528</v>
      </c>
      <c r="L478" s="16" t="s">
        <v>54</v>
      </c>
      <c r="M478" s="16" t="s">
        <v>2350</v>
      </c>
      <c r="N478" s="16" t="s">
        <v>1151</v>
      </c>
      <c r="O478" s="16" t="s">
        <v>2530</v>
      </c>
      <c r="P478" s="18"/>
      <c r="Q478" s="16" t="s">
        <v>52</v>
      </c>
      <c r="R478" s="16" t="s">
        <v>53</v>
      </c>
      <c r="S478" s="16" t="s">
        <v>1493</v>
      </c>
      <c r="T478" s="16" t="s">
        <v>393</v>
      </c>
    </row>
    <row r="479">
      <c r="A479" s="54">
        <v>46174.34617097222</v>
      </c>
      <c r="B479" s="16" t="s">
        <v>75</v>
      </c>
      <c r="C479" s="16" t="s">
        <v>1155</v>
      </c>
      <c r="D479" s="17"/>
      <c r="E479" s="31"/>
      <c r="F479" s="39">
        <v>8.0</v>
      </c>
      <c r="G479" s="16" t="s">
        <v>181</v>
      </c>
      <c r="H479" s="52">
        <v>46171.0</v>
      </c>
      <c r="I479" s="17"/>
      <c r="J479" s="16" t="s">
        <v>92</v>
      </c>
      <c r="K479" s="12" t="s">
        <v>2480</v>
      </c>
      <c r="L479" s="16" t="s">
        <v>54</v>
      </c>
      <c r="M479" s="16" t="s">
        <v>2350</v>
      </c>
      <c r="N479" s="16" t="s">
        <v>103</v>
      </c>
      <c r="O479" s="16" t="s">
        <v>2531</v>
      </c>
      <c r="P479" s="18"/>
      <c r="Q479" s="16" t="s">
        <v>52</v>
      </c>
      <c r="R479" s="16" t="s">
        <v>17</v>
      </c>
      <c r="S479" s="16" t="s">
        <v>1493</v>
      </c>
      <c r="T479" s="16" t="s">
        <v>625</v>
      </c>
    </row>
    <row r="480">
      <c r="A480" s="54">
        <v>46174.347792326385</v>
      </c>
      <c r="B480" s="16" t="s">
        <v>75</v>
      </c>
      <c r="C480" s="16" t="s">
        <v>1158</v>
      </c>
      <c r="D480" s="17"/>
      <c r="E480" s="31"/>
      <c r="F480" s="39">
        <v>2.0</v>
      </c>
      <c r="G480" s="16" t="s">
        <v>181</v>
      </c>
      <c r="H480" s="52">
        <v>46171.0</v>
      </c>
      <c r="I480" s="17"/>
      <c r="J480" s="16" t="s">
        <v>92</v>
      </c>
      <c r="K480" s="12" t="s">
        <v>2480</v>
      </c>
      <c r="L480" s="16" t="s">
        <v>54</v>
      </c>
      <c r="M480" s="16" t="s">
        <v>2350</v>
      </c>
      <c r="N480" s="16" t="s">
        <v>103</v>
      </c>
      <c r="O480" s="16" t="s">
        <v>2532</v>
      </c>
      <c r="P480" s="18"/>
      <c r="Q480" s="16" t="s">
        <v>52</v>
      </c>
      <c r="R480" s="16" t="s">
        <v>17</v>
      </c>
      <c r="S480" s="16" t="s">
        <v>1493</v>
      </c>
      <c r="T480" s="16" t="s">
        <v>625</v>
      </c>
    </row>
    <row r="481">
      <c r="A481" s="54">
        <v>46174.349021076385</v>
      </c>
      <c r="B481" s="16" t="s">
        <v>75</v>
      </c>
      <c r="C481" s="16" t="s">
        <v>1160</v>
      </c>
      <c r="D481" s="17"/>
      <c r="E481" s="31"/>
      <c r="F481" s="39">
        <v>12.0</v>
      </c>
      <c r="G481" s="16" t="s">
        <v>181</v>
      </c>
      <c r="H481" s="52">
        <v>46171.0</v>
      </c>
      <c r="I481" s="17"/>
      <c r="J481" s="16" t="s">
        <v>92</v>
      </c>
      <c r="K481" s="12" t="s">
        <v>2480</v>
      </c>
      <c r="L481" s="16" t="s">
        <v>54</v>
      </c>
      <c r="M481" s="16" t="s">
        <v>2350</v>
      </c>
      <c r="N481" s="16" t="s">
        <v>1161</v>
      </c>
      <c r="O481" s="16" t="s">
        <v>2533</v>
      </c>
      <c r="P481" s="18"/>
      <c r="Q481" s="16" t="s">
        <v>52</v>
      </c>
      <c r="R481" s="16" t="s">
        <v>17</v>
      </c>
      <c r="S481" s="16" t="s">
        <v>1493</v>
      </c>
      <c r="T481" s="16" t="s">
        <v>625</v>
      </c>
    </row>
    <row r="482">
      <c r="A482" s="54">
        <v>46174.3500490625</v>
      </c>
      <c r="B482" s="16" t="s">
        <v>75</v>
      </c>
      <c r="C482" s="16" t="s">
        <v>642</v>
      </c>
      <c r="D482" s="17"/>
      <c r="E482" s="31"/>
      <c r="F482" s="39">
        <v>36.0</v>
      </c>
      <c r="G482" s="16" t="s">
        <v>181</v>
      </c>
      <c r="H482" s="52">
        <v>46171.0</v>
      </c>
      <c r="I482" s="17"/>
      <c r="J482" s="16" t="s">
        <v>92</v>
      </c>
      <c r="K482" s="12" t="s">
        <v>2480</v>
      </c>
      <c r="L482" s="16" t="s">
        <v>54</v>
      </c>
      <c r="M482" s="16" t="s">
        <v>2350</v>
      </c>
      <c r="N482" s="16" t="s">
        <v>642</v>
      </c>
      <c r="O482" s="16" t="s">
        <v>2534</v>
      </c>
      <c r="P482" s="18"/>
      <c r="Q482" s="16" t="s">
        <v>52</v>
      </c>
      <c r="R482" s="16" t="s">
        <v>17</v>
      </c>
      <c r="S482" s="16" t="s">
        <v>1493</v>
      </c>
      <c r="T482" s="16" t="s">
        <v>398</v>
      </c>
    </row>
    <row r="483">
      <c r="A483" s="54">
        <v>46174.35138457176</v>
      </c>
      <c r="B483" s="16" t="s">
        <v>75</v>
      </c>
      <c r="C483" s="16" t="s">
        <v>1164</v>
      </c>
      <c r="D483" s="17"/>
      <c r="E483" s="31"/>
      <c r="F483" s="39">
        <v>24.0</v>
      </c>
      <c r="G483" s="16" t="s">
        <v>181</v>
      </c>
      <c r="H483" s="52">
        <v>46171.0</v>
      </c>
      <c r="I483" s="17"/>
      <c r="J483" s="16" t="s">
        <v>92</v>
      </c>
      <c r="K483" s="12" t="s">
        <v>2480</v>
      </c>
      <c r="L483" s="16" t="s">
        <v>54</v>
      </c>
      <c r="M483" s="16" t="s">
        <v>2350</v>
      </c>
      <c r="N483" s="16" t="s">
        <v>1164</v>
      </c>
      <c r="O483" s="16" t="s">
        <v>2535</v>
      </c>
      <c r="P483" s="18"/>
      <c r="Q483" s="16" t="s">
        <v>52</v>
      </c>
      <c r="R483" s="16" t="s">
        <v>17</v>
      </c>
      <c r="S483" s="16" t="s">
        <v>1493</v>
      </c>
      <c r="T483" s="16" t="s">
        <v>398</v>
      </c>
    </row>
    <row r="484">
      <c r="A484" s="54">
        <v>46174.352718449074</v>
      </c>
      <c r="B484" s="16" t="s">
        <v>75</v>
      </c>
      <c r="C484" s="16" t="s">
        <v>1166</v>
      </c>
      <c r="D484" s="17"/>
      <c r="E484" s="31"/>
      <c r="F484" s="39">
        <v>3.0</v>
      </c>
      <c r="G484" s="16" t="s">
        <v>181</v>
      </c>
      <c r="H484" s="52">
        <v>46171.0</v>
      </c>
      <c r="I484" s="17"/>
      <c r="J484" s="16" t="s">
        <v>92</v>
      </c>
      <c r="K484" s="12" t="s">
        <v>2480</v>
      </c>
      <c r="L484" s="16" t="s">
        <v>54</v>
      </c>
      <c r="M484" s="16" t="s">
        <v>2350</v>
      </c>
      <c r="N484" s="16" t="s">
        <v>1167</v>
      </c>
      <c r="O484" s="16" t="s">
        <v>2536</v>
      </c>
      <c r="P484" s="18"/>
      <c r="Q484" s="16" t="s">
        <v>52</v>
      </c>
      <c r="R484" s="16" t="s">
        <v>17</v>
      </c>
      <c r="S484" s="16" t="s">
        <v>1493</v>
      </c>
      <c r="T484" s="16" t="s">
        <v>393</v>
      </c>
    </row>
    <row r="485">
      <c r="A485" s="54">
        <v>46174.35418052084</v>
      </c>
      <c r="B485" s="16" t="s">
        <v>68</v>
      </c>
      <c r="C485" s="16" t="s">
        <v>708</v>
      </c>
      <c r="D485" s="17"/>
      <c r="E485" s="31"/>
      <c r="F485" s="39">
        <v>14.0</v>
      </c>
      <c r="G485" s="16" t="s">
        <v>181</v>
      </c>
      <c r="H485" s="52">
        <v>46171.0</v>
      </c>
      <c r="I485" s="17"/>
      <c r="J485" s="16" t="s">
        <v>92</v>
      </c>
      <c r="K485" s="12" t="s">
        <v>2480</v>
      </c>
      <c r="L485" s="16" t="s">
        <v>54</v>
      </c>
      <c r="M485" s="16" t="s">
        <v>2350</v>
      </c>
      <c r="N485" s="16" t="s">
        <v>708</v>
      </c>
      <c r="O485" s="16" t="s">
        <v>2537</v>
      </c>
      <c r="P485" s="18"/>
      <c r="Q485" s="16" t="s">
        <v>52</v>
      </c>
      <c r="R485" s="16" t="s">
        <v>17</v>
      </c>
      <c r="S485" s="16" t="s">
        <v>1493</v>
      </c>
      <c r="T485" s="16" t="s">
        <v>393</v>
      </c>
    </row>
    <row r="486">
      <c r="A486" s="54">
        <v>46174.35530811343</v>
      </c>
      <c r="B486" s="16" t="s">
        <v>68</v>
      </c>
      <c r="C486" s="16" t="s">
        <v>1170</v>
      </c>
      <c r="D486" s="17"/>
      <c r="E486" s="31"/>
      <c r="F486" s="39">
        <v>16.0</v>
      </c>
      <c r="G486" s="16" t="s">
        <v>181</v>
      </c>
      <c r="H486" s="52">
        <v>46171.0</v>
      </c>
      <c r="I486" s="17"/>
      <c r="J486" s="16" t="s">
        <v>92</v>
      </c>
      <c r="K486" s="12" t="s">
        <v>2480</v>
      </c>
      <c r="L486" s="16" t="s">
        <v>54</v>
      </c>
      <c r="M486" s="16" t="s">
        <v>2350</v>
      </c>
      <c r="N486" s="16" t="s">
        <v>1170</v>
      </c>
      <c r="O486" s="16" t="s">
        <v>2538</v>
      </c>
      <c r="P486" s="18"/>
      <c r="Q486" s="16" t="s">
        <v>52</v>
      </c>
      <c r="R486" s="16" t="s">
        <v>77</v>
      </c>
      <c r="S486" s="16" t="s">
        <v>1493</v>
      </c>
      <c r="T486" s="16" t="s">
        <v>398</v>
      </c>
    </row>
    <row r="487">
      <c r="A487" s="54">
        <v>46174.35625788194</v>
      </c>
      <c r="B487" s="16" t="s">
        <v>68</v>
      </c>
      <c r="C487" s="16" t="s">
        <v>1119</v>
      </c>
      <c r="D487" s="17"/>
      <c r="E487" s="31"/>
      <c r="F487" s="39">
        <v>20.0</v>
      </c>
      <c r="G487" s="16" t="s">
        <v>181</v>
      </c>
      <c r="H487" s="52">
        <v>46171.0</v>
      </c>
      <c r="I487" s="17"/>
      <c r="J487" s="16" t="s">
        <v>92</v>
      </c>
      <c r="K487" s="12" t="s">
        <v>2480</v>
      </c>
      <c r="L487" s="16" t="s">
        <v>54</v>
      </c>
      <c r="M487" s="16" t="s">
        <v>2350</v>
      </c>
      <c r="N487" s="16" t="s">
        <v>1119</v>
      </c>
      <c r="O487" s="16" t="s">
        <v>2539</v>
      </c>
      <c r="P487" s="18"/>
      <c r="Q487" s="16" t="s">
        <v>52</v>
      </c>
      <c r="R487" s="16" t="s">
        <v>17</v>
      </c>
      <c r="S487" s="16" t="s">
        <v>1493</v>
      </c>
      <c r="T487" s="16"/>
    </row>
    <row r="488">
      <c r="A488" s="54">
        <v>46174.43491403935</v>
      </c>
      <c r="B488" s="16" t="s">
        <v>34</v>
      </c>
      <c r="C488" s="16" t="s">
        <v>596</v>
      </c>
      <c r="D488" s="17"/>
      <c r="E488" s="31"/>
      <c r="F488" s="39">
        <v>29.0</v>
      </c>
      <c r="G488" s="16" t="s">
        <v>181</v>
      </c>
      <c r="H488" s="52">
        <v>46174.0</v>
      </c>
      <c r="I488" s="16" t="s">
        <v>191</v>
      </c>
      <c r="J488" s="17"/>
      <c r="K488" s="13"/>
      <c r="L488" s="16" t="s">
        <v>2507</v>
      </c>
      <c r="M488" s="16" t="s">
        <v>2315</v>
      </c>
      <c r="N488" s="16" t="s">
        <v>376</v>
      </c>
      <c r="O488" s="16" t="s">
        <v>2387</v>
      </c>
      <c r="P488" s="18"/>
      <c r="Q488" s="16" t="s">
        <v>52</v>
      </c>
      <c r="R488" s="16" t="s">
        <v>596</v>
      </c>
      <c r="S488" s="16" t="s">
        <v>1607</v>
      </c>
      <c r="T488" s="16"/>
    </row>
    <row r="489">
      <c r="A489" s="54">
        <v>46174.56439326389</v>
      </c>
      <c r="B489" s="16" t="s">
        <v>34</v>
      </c>
      <c r="C489" s="16" t="s">
        <v>712</v>
      </c>
      <c r="D489" s="16" t="s">
        <v>1834</v>
      </c>
      <c r="E489" s="31"/>
      <c r="F489" s="39">
        <v>1.0</v>
      </c>
      <c r="G489" s="16" t="s">
        <v>181</v>
      </c>
      <c r="H489" s="52">
        <v>46174.0</v>
      </c>
      <c r="I489" s="17"/>
      <c r="J489" s="16" t="s">
        <v>115</v>
      </c>
      <c r="K489" s="12" t="s">
        <v>2540</v>
      </c>
      <c r="L489" s="16" t="s">
        <v>54</v>
      </c>
      <c r="M489" s="16" t="s">
        <v>2350</v>
      </c>
      <c r="N489" s="16" t="s">
        <v>1603</v>
      </c>
      <c r="O489" s="16" t="s">
        <v>2541</v>
      </c>
      <c r="P489" s="18"/>
      <c r="Q489" s="16" t="s">
        <v>52</v>
      </c>
      <c r="R489" s="16" t="s">
        <v>158</v>
      </c>
      <c r="S489" s="16" t="s">
        <v>1493</v>
      </c>
      <c r="T489" s="16" t="s">
        <v>393</v>
      </c>
    </row>
    <row r="490">
      <c r="A490" s="54">
        <v>46174.56564576389</v>
      </c>
      <c r="B490" s="16" t="s">
        <v>34</v>
      </c>
      <c r="C490" s="16" t="s">
        <v>716</v>
      </c>
      <c r="D490" s="17"/>
      <c r="E490" s="31"/>
      <c r="F490" s="39">
        <v>1.0</v>
      </c>
      <c r="G490" s="16" t="s">
        <v>181</v>
      </c>
      <c r="H490" s="52">
        <v>46174.0</v>
      </c>
      <c r="I490" s="17"/>
      <c r="J490" s="16" t="s">
        <v>115</v>
      </c>
      <c r="K490" s="12" t="s">
        <v>2542</v>
      </c>
      <c r="L490" s="16" t="s">
        <v>54</v>
      </c>
      <c r="M490" s="16" t="s">
        <v>2350</v>
      </c>
      <c r="N490" s="16" t="s">
        <v>1257</v>
      </c>
      <c r="O490" s="16" t="s">
        <v>2543</v>
      </c>
      <c r="P490" s="18"/>
      <c r="Q490" s="16" t="s">
        <v>52</v>
      </c>
      <c r="R490" s="16" t="s">
        <v>158</v>
      </c>
      <c r="S490" s="16" t="s">
        <v>1493</v>
      </c>
      <c r="T490" s="16" t="s">
        <v>393</v>
      </c>
    </row>
    <row r="491">
      <c r="A491" s="54">
        <v>46174.56692362268</v>
      </c>
      <c r="B491" s="16" t="s">
        <v>34</v>
      </c>
      <c r="C491" s="16" t="s">
        <v>720</v>
      </c>
      <c r="D491" s="16" t="s">
        <v>1517</v>
      </c>
      <c r="E491" s="31"/>
      <c r="F491" s="39">
        <v>1.0</v>
      </c>
      <c r="G491" s="16" t="s">
        <v>181</v>
      </c>
      <c r="H491" s="52">
        <v>46174.0</v>
      </c>
      <c r="I491" s="17"/>
      <c r="J491" s="16" t="s">
        <v>115</v>
      </c>
      <c r="K491" s="12" t="s">
        <v>2544</v>
      </c>
      <c r="L491" s="16" t="s">
        <v>54</v>
      </c>
      <c r="M491" s="16" t="s">
        <v>2350</v>
      </c>
      <c r="N491" s="16" t="s">
        <v>555</v>
      </c>
      <c r="O491" s="16" t="s">
        <v>2545</v>
      </c>
      <c r="P491" s="18"/>
      <c r="Q491" s="16" t="s">
        <v>52</v>
      </c>
      <c r="R491" s="16" t="s">
        <v>158</v>
      </c>
      <c r="S491" s="16" t="s">
        <v>1493</v>
      </c>
      <c r="T491" s="16" t="s">
        <v>388</v>
      </c>
    </row>
    <row r="492">
      <c r="A492" s="54">
        <v>46174.57000811343</v>
      </c>
      <c r="B492" s="16" t="s">
        <v>34</v>
      </c>
      <c r="C492" s="16" t="s">
        <v>726</v>
      </c>
      <c r="D492" s="17"/>
      <c r="E492" s="31"/>
      <c r="F492" s="39">
        <v>1.0</v>
      </c>
      <c r="G492" s="16" t="s">
        <v>181</v>
      </c>
      <c r="H492" s="52">
        <v>46174.0</v>
      </c>
      <c r="I492" s="17"/>
      <c r="J492" s="16" t="s">
        <v>672</v>
      </c>
      <c r="K492" s="13"/>
      <c r="L492" s="16" t="s">
        <v>54</v>
      </c>
      <c r="M492" s="16" t="s">
        <v>2111</v>
      </c>
      <c r="N492" s="16" t="s">
        <v>30</v>
      </c>
      <c r="O492" s="16" t="s">
        <v>2546</v>
      </c>
      <c r="P492" s="18"/>
      <c r="Q492" s="16" t="s">
        <v>52</v>
      </c>
      <c r="R492" s="16" t="s">
        <v>206</v>
      </c>
      <c r="S492" s="16" t="s">
        <v>1493</v>
      </c>
      <c r="T492" s="16" t="s">
        <v>398</v>
      </c>
    </row>
    <row r="493">
      <c r="A493" s="54">
        <v>46174.605649317135</v>
      </c>
      <c r="B493" s="16" t="s">
        <v>34</v>
      </c>
      <c r="C493" s="16" t="s">
        <v>2547</v>
      </c>
      <c r="D493" s="17"/>
      <c r="E493" s="31"/>
      <c r="F493" s="39">
        <v>18.0</v>
      </c>
      <c r="G493" s="16" t="s">
        <v>181</v>
      </c>
      <c r="H493" s="52">
        <v>46174.0</v>
      </c>
      <c r="I493" s="16" t="s">
        <v>158</v>
      </c>
      <c r="J493" s="17"/>
      <c r="K493" s="13"/>
      <c r="L493" s="16" t="s">
        <v>2507</v>
      </c>
      <c r="M493" s="16" t="s">
        <v>2548</v>
      </c>
      <c r="N493" s="17"/>
      <c r="O493" s="16" t="s">
        <v>1534</v>
      </c>
      <c r="P493" s="18"/>
      <c r="Q493" s="16" t="s">
        <v>52</v>
      </c>
      <c r="R493" s="16" t="s">
        <v>2547</v>
      </c>
      <c r="S493" s="16" t="s">
        <v>1607</v>
      </c>
      <c r="T493" s="16"/>
    </row>
    <row r="494">
      <c r="A494" s="54">
        <v>46174.606345092594</v>
      </c>
      <c r="B494" s="16" t="s">
        <v>34</v>
      </c>
      <c r="C494" s="16" t="s">
        <v>2549</v>
      </c>
      <c r="D494" s="17"/>
      <c r="E494" s="31"/>
      <c r="F494" s="39">
        <v>23.0</v>
      </c>
      <c r="G494" s="16" t="s">
        <v>181</v>
      </c>
      <c r="H494" s="52">
        <v>46174.0</v>
      </c>
      <c r="I494" s="16" t="s">
        <v>183</v>
      </c>
      <c r="J494" s="17"/>
      <c r="K494" s="13"/>
      <c r="L494" s="16" t="s">
        <v>2507</v>
      </c>
      <c r="M494" s="16" t="s">
        <v>2548</v>
      </c>
      <c r="N494" s="17"/>
      <c r="O494" s="16" t="s">
        <v>1502</v>
      </c>
      <c r="P494" s="18"/>
      <c r="Q494" s="16" t="s">
        <v>52</v>
      </c>
      <c r="R494" s="16" t="s">
        <v>2549</v>
      </c>
      <c r="S494" s="16" t="s">
        <v>1607</v>
      </c>
      <c r="T494" s="16"/>
    </row>
    <row r="495">
      <c r="A495" s="54">
        <v>46174.610013240745</v>
      </c>
      <c r="B495" s="16" t="s">
        <v>34</v>
      </c>
      <c r="C495" s="16" t="s">
        <v>370</v>
      </c>
      <c r="D495" s="17"/>
      <c r="E495" s="31"/>
      <c r="F495" s="39">
        <v>19.0</v>
      </c>
      <c r="G495" s="16" t="s">
        <v>181</v>
      </c>
      <c r="H495" s="52">
        <v>46174.0</v>
      </c>
      <c r="I495" s="16" t="s">
        <v>170</v>
      </c>
      <c r="J495" s="17"/>
      <c r="K495" s="13"/>
      <c r="L495" s="16" t="s">
        <v>2507</v>
      </c>
      <c r="M495" s="16" t="s">
        <v>2222</v>
      </c>
      <c r="N495" s="17"/>
      <c r="O495" s="16" t="s">
        <v>2391</v>
      </c>
      <c r="P495" s="18"/>
      <c r="Q495" s="16" t="s">
        <v>52</v>
      </c>
      <c r="R495" s="16" t="s">
        <v>2390</v>
      </c>
      <c r="S495" s="16" t="s">
        <v>1607</v>
      </c>
      <c r="T495" s="16"/>
    </row>
    <row r="496">
      <c r="A496" s="54">
        <v>46174.616996006946</v>
      </c>
      <c r="B496" s="16" t="s">
        <v>114</v>
      </c>
      <c r="C496" s="16" t="s">
        <v>335</v>
      </c>
      <c r="D496" s="17"/>
      <c r="E496" s="31"/>
      <c r="F496" s="39">
        <v>1.0</v>
      </c>
      <c r="G496" s="16" t="s">
        <v>363</v>
      </c>
      <c r="H496" s="52">
        <v>46174.0</v>
      </c>
      <c r="I496" s="17"/>
      <c r="J496" s="16" t="s">
        <v>119</v>
      </c>
      <c r="K496" s="12" t="s">
        <v>2550</v>
      </c>
      <c r="L496" s="16" t="s">
        <v>54</v>
      </c>
      <c r="M496" s="16" t="s">
        <v>2551</v>
      </c>
      <c r="N496" s="16" t="s">
        <v>103</v>
      </c>
      <c r="O496" s="16" t="s">
        <v>2552</v>
      </c>
      <c r="P496" s="18"/>
      <c r="Q496" s="16" t="s">
        <v>52</v>
      </c>
      <c r="R496" s="16" t="s">
        <v>428</v>
      </c>
      <c r="S496" s="16" t="s">
        <v>1493</v>
      </c>
      <c r="T496" s="16" t="s">
        <v>625</v>
      </c>
    </row>
    <row r="497">
      <c r="A497" s="54">
        <v>46176.46882221065</v>
      </c>
      <c r="B497" s="16" t="s">
        <v>49</v>
      </c>
      <c r="C497" s="16" t="s">
        <v>730</v>
      </c>
      <c r="D497" s="17"/>
      <c r="E497" s="16">
        <v>7094.0</v>
      </c>
      <c r="F497" s="39">
        <v>2.0</v>
      </c>
      <c r="G497" s="16" t="s">
        <v>181</v>
      </c>
      <c r="H497" s="52">
        <v>46175.0</v>
      </c>
      <c r="I497" s="17"/>
      <c r="J497" s="16" t="s">
        <v>51</v>
      </c>
      <c r="K497" s="12" t="s">
        <v>2354</v>
      </c>
      <c r="L497" s="16" t="s">
        <v>54</v>
      </c>
      <c r="M497" s="16" t="s">
        <v>2350</v>
      </c>
      <c r="N497" s="16" t="s">
        <v>730</v>
      </c>
      <c r="O497" s="16" t="s">
        <v>2553</v>
      </c>
      <c r="P497" s="18"/>
      <c r="Q497" s="16" t="s">
        <v>52</v>
      </c>
      <c r="R497" s="16" t="s">
        <v>219</v>
      </c>
      <c r="S497" s="16" t="s">
        <v>1493</v>
      </c>
      <c r="T497" s="16" t="s">
        <v>625</v>
      </c>
    </row>
    <row r="498">
      <c r="A498" s="54">
        <v>46176.47098491898</v>
      </c>
      <c r="B498" s="16" t="s">
        <v>49</v>
      </c>
      <c r="C498" s="16" t="s">
        <v>736</v>
      </c>
      <c r="D498" s="17"/>
      <c r="E498" s="16">
        <v>7095.0</v>
      </c>
      <c r="F498" s="39">
        <v>1.0</v>
      </c>
      <c r="G498" s="16" t="s">
        <v>181</v>
      </c>
      <c r="H498" s="52">
        <v>46175.0</v>
      </c>
      <c r="I498" s="17"/>
      <c r="J498" s="16" t="s">
        <v>51</v>
      </c>
      <c r="K498" s="12" t="s">
        <v>2354</v>
      </c>
      <c r="L498" s="16" t="s">
        <v>54</v>
      </c>
      <c r="M498" s="16" t="s">
        <v>2350</v>
      </c>
      <c r="N498" s="16" t="s">
        <v>736</v>
      </c>
      <c r="O498" s="16" t="s">
        <v>2554</v>
      </c>
      <c r="P498" s="18"/>
      <c r="Q498" s="16" t="s">
        <v>52</v>
      </c>
      <c r="R498" s="16" t="s">
        <v>219</v>
      </c>
      <c r="S498" s="16" t="s">
        <v>1493</v>
      </c>
      <c r="T498" s="16" t="s">
        <v>625</v>
      </c>
    </row>
    <row r="499">
      <c r="A499" s="54">
        <v>46176.485917314814</v>
      </c>
      <c r="B499" s="16" t="s">
        <v>49</v>
      </c>
      <c r="C499" s="16" t="s">
        <v>733</v>
      </c>
      <c r="D499" s="17"/>
      <c r="E499" s="16">
        <v>7096.0</v>
      </c>
      <c r="F499" s="39">
        <v>2.0</v>
      </c>
      <c r="G499" s="16" t="s">
        <v>181</v>
      </c>
      <c r="H499" s="52">
        <v>46175.0</v>
      </c>
      <c r="I499" s="17"/>
      <c r="J499" s="16" t="s">
        <v>51</v>
      </c>
      <c r="K499" s="12" t="s">
        <v>2354</v>
      </c>
      <c r="L499" s="16" t="s">
        <v>54</v>
      </c>
      <c r="M499" s="16" t="s">
        <v>2350</v>
      </c>
      <c r="N499" s="16" t="s">
        <v>733</v>
      </c>
      <c r="O499" s="16" t="s">
        <v>2555</v>
      </c>
      <c r="P499" s="18"/>
      <c r="Q499" s="16" t="s">
        <v>52</v>
      </c>
      <c r="R499" s="16" t="s">
        <v>219</v>
      </c>
      <c r="S499" s="16" t="s">
        <v>1493</v>
      </c>
      <c r="T499" s="16" t="s">
        <v>625</v>
      </c>
    </row>
    <row r="500">
      <c r="A500" s="54">
        <v>46176.4871206713</v>
      </c>
      <c r="B500" s="16" t="s">
        <v>49</v>
      </c>
      <c r="C500" s="16" t="s">
        <v>744</v>
      </c>
      <c r="D500" s="17"/>
      <c r="E500" s="16">
        <v>7102.0</v>
      </c>
      <c r="F500" s="39">
        <v>1.0</v>
      </c>
      <c r="G500" s="16" t="s">
        <v>181</v>
      </c>
      <c r="H500" s="52">
        <v>46175.0</v>
      </c>
      <c r="I500" s="17"/>
      <c r="J500" s="16" t="s">
        <v>51</v>
      </c>
      <c r="K500" s="12" t="s">
        <v>2354</v>
      </c>
      <c r="L500" s="16" t="s">
        <v>54</v>
      </c>
      <c r="M500" s="16" t="s">
        <v>2350</v>
      </c>
      <c r="N500" s="16" t="s">
        <v>1184</v>
      </c>
      <c r="O500" s="16" t="s">
        <v>2556</v>
      </c>
      <c r="P500" s="18"/>
      <c r="Q500" s="16" t="s">
        <v>52</v>
      </c>
      <c r="R500" s="16" t="s">
        <v>219</v>
      </c>
      <c r="S500" s="16" t="s">
        <v>1493</v>
      </c>
      <c r="T500" s="16" t="s">
        <v>625</v>
      </c>
    </row>
    <row r="501">
      <c r="A501" s="54">
        <v>46176.488155555555</v>
      </c>
      <c r="B501" s="16" t="s">
        <v>49</v>
      </c>
      <c r="C501" s="16" t="s">
        <v>751</v>
      </c>
      <c r="D501" s="17"/>
      <c r="E501" s="16">
        <v>7103.0</v>
      </c>
      <c r="F501" s="39">
        <v>1.0</v>
      </c>
      <c r="G501" s="16" t="s">
        <v>181</v>
      </c>
      <c r="H501" s="52">
        <v>46175.0</v>
      </c>
      <c r="I501" s="17"/>
      <c r="J501" s="16" t="s">
        <v>51</v>
      </c>
      <c r="K501" s="12" t="s">
        <v>2354</v>
      </c>
      <c r="L501" s="16" t="s">
        <v>54</v>
      </c>
      <c r="M501" s="16" t="s">
        <v>2350</v>
      </c>
      <c r="N501" s="16" t="s">
        <v>751</v>
      </c>
      <c r="O501" s="16" t="s">
        <v>2557</v>
      </c>
      <c r="P501" s="18"/>
      <c r="Q501" s="16" t="s">
        <v>52</v>
      </c>
      <c r="R501" s="16" t="s">
        <v>219</v>
      </c>
      <c r="S501" s="16" t="s">
        <v>1493</v>
      </c>
      <c r="T501" s="16" t="s">
        <v>625</v>
      </c>
    </row>
    <row r="502">
      <c r="A502" s="54">
        <v>46176.48928608796</v>
      </c>
      <c r="B502" s="16" t="s">
        <v>49</v>
      </c>
      <c r="C502" s="16" t="s">
        <v>759</v>
      </c>
      <c r="D502" s="17"/>
      <c r="E502" s="16">
        <v>7104.0</v>
      </c>
      <c r="F502" s="39">
        <v>1.0</v>
      </c>
      <c r="G502" s="16" t="s">
        <v>181</v>
      </c>
      <c r="H502" s="52">
        <v>46175.0</v>
      </c>
      <c r="I502" s="17"/>
      <c r="J502" s="16" t="s">
        <v>51</v>
      </c>
      <c r="K502" s="12" t="s">
        <v>2354</v>
      </c>
      <c r="L502" s="16" t="s">
        <v>54</v>
      </c>
      <c r="M502" s="16" t="s">
        <v>2350</v>
      </c>
      <c r="N502" s="16" t="s">
        <v>759</v>
      </c>
      <c r="O502" s="16" t="s">
        <v>2558</v>
      </c>
      <c r="P502" s="18"/>
      <c r="Q502" s="16" t="s">
        <v>52</v>
      </c>
      <c r="R502" s="16" t="s">
        <v>219</v>
      </c>
      <c r="S502" s="16" t="s">
        <v>1493</v>
      </c>
      <c r="T502" s="16" t="s">
        <v>625</v>
      </c>
    </row>
    <row r="503">
      <c r="A503" s="54">
        <v>46176.49032240741</v>
      </c>
      <c r="B503" s="16" t="s">
        <v>49</v>
      </c>
      <c r="C503" s="16" t="s">
        <v>1192</v>
      </c>
      <c r="D503" s="16" t="s">
        <v>1061</v>
      </c>
      <c r="E503" s="16">
        <v>7105.0</v>
      </c>
      <c r="F503" s="39">
        <v>2.0</v>
      </c>
      <c r="G503" s="16" t="s">
        <v>181</v>
      </c>
      <c r="H503" s="51">
        <v>46175.0</v>
      </c>
      <c r="I503" s="17"/>
      <c r="J503" s="16" t="s">
        <v>51</v>
      </c>
      <c r="K503" s="12" t="s">
        <v>2354</v>
      </c>
      <c r="L503" s="16" t="s">
        <v>54</v>
      </c>
      <c r="M503" s="16" t="s">
        <v>2350</v>
      </c>
      <c r="N503" s="16" t="s">
        <v>1192</v>
      </c>
      <c r="O503" s="16" t="s">
        <v>2559</v>
      </c>
      <c r="P503" s="18"/>
      <c r="Q503" s="16" t="s">
        <v>52</v>
      </c>
      <c r="R503" s="16" t="s">
        <v>219</v>
      </c>
      <c r="S503" s="16" t="s">
        <v>1493</v>
      </c>
      <c r="T503" s="16"/>
    </row>
    <row r="504">
      <c r="A504" s="54">
        <v>46176.49170265046</v>
      </c>
      <c r="B504" s="16" t="s">
        <v>34</v>
      </c>
      <c r="C504" s="16" t="s">
        <v>730</v>
      </c>
      <c r="D504" s="17"/>
      <c r="E504" s="16">
        <v>7094.0</v>
      </c>
      <c r="F504" s="39">
        <v>14.0</v>
      </c>
      <c r="G504" s="16" t="s">
        <v>181</v>
      </c>
      <c r="H504" s="52">
        <v>46175.0</v>
      </c>
      <c r="I504" s="17"/>
      <c r="J504" s="16" t="s">
        <v>51</v>
      </c>
      <c r="K504" s="13"/>
      <c r="L504" s="16" t="s">
        <v>54</v>
      </c>
      <c r="M504" s="16" t="s">
        <v>2350</v>
      </c>
      <c r="N504" s="16" t="s">
        <v>730</v>
      </c>
      <c r="O504" s="16" t="s">
        <v>2560</v>
      </c>
      <c r="P504" s="18"/>
      <c r="Q504" s="16" t="s">
        <v>52</v>
      </c>
      <c r="R504" s="16" t="s">
        <v>136</v>
      </c>
      <c r="S504" s="16" t="s">
        <v>1493</v>
      </c>
      <c r="T504" s="16" t="s">
        <v>625</v>
      </c>
    </row>
    <row r="505">
      <c r="A505" s="54">
        <v>46176.4925165162</v>
      </c>
      <c r="B505" s="16" t="s">
        <v>34</v>
      </c>
      <c r="C505" s="16" t="s">
        <v>733</v>
      </c>
      <c r="D505" s="17"/>
      <c r="E505" s="16">
        <v>7096.0</v>
      </c>
      <c r="F505" s="39">
        <v>13.0</v>
      </c>
      <c r="G505" s="16" t="s">
        <v>181</v>
      </c>
      <c r="H505" s="52">
        <v>46175.0</v>
      </c>
      <c r="I505" s="17"/>
      <c r="J505" s="16" t="s">
        <v>51</v>
      </c>
      <c r="K505" s="13"/>
      <c r="L505" s="16" t="s">
        <v>54</v>
      </c>
      <c r="M505" s="16" t="s">
        <v>2350</v>
      </c>
      <c r="N505" s="16" t="s">
        <v>733</v>
      </c>
      <c r="O505" s="16" t="s">
        <v>2561</v>
      </c>
      <c r="P505" s="18"/>
      <c r="Q505" s="16" t="s">
        <v>52</v>
      </c>
      <c r="R505" s="16" t="s">
        <v>128</v>
      </c>
      <c r="S505" s="16" t="s">
        <v>1493</v>
      </c>
      <c r="T505" s="16"/>
    </row>
    <row r="506">
      <c r="A506" s="54">
        <v>46176.493678530096</v>
      </c>
      <c r="B506" s="16" t="s">
        <v>34</v>
      </c>
      <c r="C506" s="16" t="s">
        <v>736</v>
      </c>
      <c r="D506" s="17"/>
      <c r="E506" s="16">
        <v>7095.0</v>
      </c>
      <c r="F506" s="39">
        <v>8.0</v>
      </c>
      <c r="G506" s="16" t="s">
        <v>181</v>
      </c>
      <c r="H506" s="52">
        <v>46175.0</v>
      </c>
      <c r="I506" s="17"/>
      <c r="J506" s="16" t="s">
        <v>51</v>
      </c>
      <c r="K506" s="13"/>
      <c r="L506" s="16" t="s">
        <v>54</v>
      </c>
      <c r="M506" s="16" t="s">
        <v>2350</v>
      </c>
      <c r="N506" s="16" t="s">
        <v>736</v>
      </c>
      <c r="O506" s="16" t="s">
        <v>2562</v>
      </c>
      <c r="P506" s="18"/>
      <c r="Q506" s="16" t="s">
        <v>52</v>
      </c>
      <c r="R506" s="16" t="s">
        <v>128</v>
      </c>
      <c r="S506" s="16" t="s">
        <v>1493</v>
      </c>
      <c r="T506" s="16" t="s">
        <v>625</v>
      </c>
    </row>
    <row r="507">
      <c r="A507" s="54">
        <v>46176.49566414352</v>
      </c>
      <c r="B507" s="16" t="s">
        <v>34</v>
      </c>
      <c r="C507" s="16" t="s">
        <v>744</v>
      </c>
      <c r="D507" s="17"/>
      <c r="E507" s="16">
        <v>7102.0</v>
      </c>
      <c r="F507" s="39">
        <v>8.0</v>
      </c>
      <c r="G507" s="16" t="s">
        <v>181</v>
      </c>
      <c r="H507" s="52">
        <v>46175.0</v>
      </c>
      <c r="I507" s="17"/>
      <c r="J507" s="16" t="s">
        <v>51</v>
      </c>
      <c r="K507" s="13"/>
      <c r="L507" s="16" t="s">
        <v>54</v>
      </c>
      <c r="M507" s="16" t="s">
        <v>2350</v>
      </c>
      <c r="N507" s="16" t="s">
        <v>744</v>
      </c>
      <c r="O507" s="16" t="s">
        <v>2563</v>
      </c>
      <c r="P507" s="18"/>
      <c r="Q507" s="16" t="s">
        <v>52</v>
      </c>
      <c r="R507" s="16" t="s">
        <v>136</v>
      </c>
      <c r="S507" s="16" t="s">
        <v>1493</v>
      </c>
      <c r="T507" s="16"/>
    </row>
    <row r="508">
      <c r="A508" s="54">
        <v>46176.497213310184</v>
      </c>
      <c r="B508" s="16" t="s">
        <v>34</v>
      </c>
      <c r="C508" s="16" t="s">
        <v>751</v>
      </c>
      <c r="D508" s="17"/>
      <c r="E508" s="16">
        <v>7103.0</v>
      </c>
      <c r="F508" s="39">
        <v>10.0</v>
      </c>
      <c r="G508" s="16" t="s">
        <v>181</v>
      </c>
      <c r="H508" s="52">
        <v>46175.0</v>
      </c>
      <c r="I508" s="17"/>
      <c r="J508" s="16" t="s">
        <v>51</v>
      </c>
      <c r="K508" s="13"/>
      <c r="L508" s="16" t="s">
        <v>54</v>
      </c>
      <c r="M508" s="16" t="s">
        <v>2350</v>
      </c>
      <c r="N508" s="16" t="s">
        <v>751</v>
      </c>
      <c r="O508" s="16" t="s">
        <v>2564</v>
      </c>
      <c r="P508" s="18"/>
      <c r="Q508" s="16" t="s">
        <v>52</v>
      </c>
      <c r="R508" s="16" t="s">
        <v>177</v>
      </c>
      <c r="S508" s="16" t="s">
        <v>1493</v>
      </c>
      <c r="T508" s="16" t="s">
        <v>625</v>
      </c>
    </row>
    <row r="509">
      <c r="A509" s="54">
        <v>46176.497968599535</v>
      </c>
      <c r="B509" s="16" t="s">
        <v>34</v>
      </c>
      <c r="C509" s="16" t="s">
        <v>759</v>
      </c>
      <c r="D509" s="17"/>
      <c r="E509" s="16">
        <v>7104.0</v>
      </c>
      <c r="F509" s="39">
        <v>11.0</v>
      </c>
      <c r="G509" s="16" t="s">
        <v>181</v>
      </c>
      <c r="H509" s="52">
        <v>46175.0</v>
      </c>
      <c r="I509" s="17"/>
      <c r="J509" s="16" t="s">
        <v>51</v>
      </c>
      <c r="K509" s="13"/>
      <c r="L509" s="16" t="s">
        <v>54</v>
      </c>
      <c r="M509" s="16" t="s">
        <v>2350</v>
      </c>
      <c r="N509" s="16" t="s">
        <v>759</v>
      </c>
      <c r="O509" s="16" t="s">
        <v>2565</v>
      </c>
      <c r="P509" s="18"/>
      <c r="Q509" s="16" t="s">
        <v>52</v>
      </c>
      <c r="R509" s="16" t="s">
        <v>202</v>
      </c>
      <c r="S509" s="16" t="s">
        <v>1493</v>
      </c>
      <c r="T509" s="16" t="s">
        <v>625</v>
      </c>
    </row>
    <row r="510">
      <c r="A510" s="54">
        <v>46176.49884564815</v>
      </c>
      <c r="B510" s="16" t="s">
        <v>34</v>
      </c>
      <c r="C510" s="16" t="s">
        <v>1192</v>
      </c>
      <c r="D510" s="17"/>
      <c r="E510" s="16">
        <v>7105.0</v>
      </c>
      <c r="F510" s="39">
        <v>13.0</v>
      </c>
      <c r="G510" s="16" t="s">
        <v>181</v>
      </c>
      <c r="H510" s="52">
        <v>46175.0</v>
      </c>
      <c r="I510" s="17"/>
      <c r="J510" s="16" t="s">
        <v>51</v>
      </c>
      <c r="K510" s="13"/>
      <c r="L510" s="16" t="s">
        <v>54</v>
      </c>
      <c r="M510" s="16" t="s">
        <v>2350</v>
      </c>
      <c r="N510" s="16" t="s">
        <v>1192</v>
      </c>
      <c r="O510" s="16" t="s">
        <v>2566</v>
      </c>
      <c r="P510" s="18"/>
      <c r="Q510" s="16" t="s">
        <v>52</v>
      </c>
      <c r="R510" s="16" t="s">
        <v>202</v>
      </c>
      <c r="S510" s="16" t="s">
        <v>1493</v>
      </c>
      <c r="T510" s="16" t="s">
        <v>625</v>
      </c>
    </row>
    <row r="511">
      <c r="A511" s="54">
        <v>46176.5001462963</v>
      </c>
      <c r="B511" s="16" t="s">
        <v>34</v>
      </c>
      <c r="C511" s="16" t="s">
        <v>768</v>
      </c>
      <c r="D511" s="17"/>
      <c r="E511" s="16">
        <v>7106.0</v>
      </c>
      <c r="F511" s="39">
        <v>19.0</v>
      </c>
      <c r="G511" s="16" t="s">
        <v>181</v>
      </c>
      <c r="H511" s="52">
        <v>46175.0</v>
      </c>
      <c r="I511" s="17"/>
      <c r="J511" s="16" t="s">
        <v>51</v>
      </c>
      <c r="K511" s="12"/>
      <c r="L511" s="16" t="s">
        <v>54</v>
      </c>
      <c r="M511" s="16" t="s">
        <v>2350</v>
      </c>
      <c r="N511" s="16" t="s">
        <v>768</v>
      </c>
      <c r="O511" s="16" t="s">
        <v>2567</v>
      </c>
      <c r="P511" s="18"/>
      <c r="Q511" s="16" t="s">
        <v>52</v>
      </c>
      <c r="R511" s="16" t="s">
        <v>120</v>
      </c>
      <c r="S511" s="16" t="s">
        <v>1493</v>
      </c>
      <c r="T511" s="16" t="s">
        <v>625</v>
      </c>
    </row>
    <row r="512">
      <c r="A512" s="54">
        <v>46176.50021096064</v>
      </c>
      <c r="B512" s="16" t="s">
        <v>49</v>
      </c>
      <c r="C512" s="16" t="s">
        <v>768</v>
      </c>
      <c r="D512" s="17"/>
      <c r="E512" s="16">
        <v>7106.0</v>
      </c>
      <c r="F512" s="39">
        <v>2.0</v>
      </c>
      <c r="G512" s="16" t="s">
        <v>181</v>
      </c>
      <c r="H512" s="52">
        <v>46175.0</v>
      </c>
      <c r="I512" s="17"/>
      <c r="J512" s="16" t="s">
        <v>51</v>
      </c>
      <c r="K512" s="12" t="s">
        <v>2354</v>
      </c>
      <c r="L512" s="16" t="s">
        <v>54</v>
      </c>
      <c r="M512" s="16" t="s">
        <v>2350</v>
      </c>
      <c r="N512" s="16" t="s">
        <v>768</v>
      </c>
      <c r="O512" s="16" t="s">
        <v>2568</v>
      </c>
      <c r="P512" s="18"/>
      <c r="Q512" s="16" t="s">
        <v>52</v>
      </c>
      <c r="R512" s="16" t="s">
        <v>219</v>
      </c>
      <c r="S512" s="16" t="s">
        <v>1493</v>
      </c>
      <c r="T512" s="16" t="s">
        <v>625</v>
      </c>
    </row>
    <row r="513">
      <c r="A513" s="54">
        <v>46176.50195622686</v>
      </c>
      <c r="B513" s="16" t="s">
        <v>34</v>
      </c>
      <c r="C513" s="16" t="s">
        <v>772</v>
      </c>
      <c r="D513" s="16" t="s">
        <v>1061</v>
      </c>
      <c r="E513" s="16"/>
      <c r="F513" s="39">
        <v>3.0</v>
      </c>
      <c r="G513" s="16" t="s">
        <v>181</v>
      </c>
      <c r="H513" s="52">
        <v>46175.0</v>
      </c>
      <c r="I513" s="17"/>
      <c r="J513" s="16" t="s">
        <v>51</v>
      </c>
      <c r="K513" s="13"/>
      <c r="L513" s="16" t="s">
        <v>54</v>
      </c>
      <c r="M513" s="16" t="s">
        <v>2350</v>
      </c>
      <c r="N513" s="16" t="s">
        <v>772</v>
      </c>
      <c r="O513" s="16" t="s">
        <v>2569</v>
      </c>
      <c r="P513" s="18"/>
      <c r="Q513" s="16" t="s">
        <v>52</v>
      </c>
      <c r="R513" s="16" t="s">
        <v>187</v>
      </c>
      <c r="S513" s="16" t="s">
        <v>1493</v>
      </c>
      <c r="T513" s="16" t="s">
        <v>625</v>
      </c>
    </row>
    <row r="514">
      <c r="A514" s="54">
        <v>46176.502026875</v>
      </c>
      <c r="B514" s="16" t="s">
        <v>49</v>
      </c>
      <c r="C514" s="16" t="s">
        <v>772</v>
      </c>
      <c r="D514" s="16" t="s">
        <v>1061</v>
      </c>
      <c r="E514" s="16"/>
      <c r="F514" s="39">
        <v>1.0</v>
      </c>
      <c r="G514" s="16" t="s">
        <v>181</v>
      </c>
      <c r="H514" s="51">
        <v>46175.0</v>
      </c>
      <c r="I514" s="17"/>
      <c r="J514" s="16" t="s">
        <v>51</v>
      </c>
      <c r="K514" s="13"/>
      <c r="L514" s="16" t="s">
        <v>54</v>
      </c>
      <c r="M514" s="16" t="s">
        <v>2350</v>
      </c>
      <c r="N514" s="16" t="s">
        <v>772</v>
      </c>
      <c r="O514" s="16" t="s">
        <v>2570</v>
      </c>
      <c r="P514" s="18"/>
      <c r="Q514" s="16" t="s">
        <v>52</v>
      </c>
      <c r="R514" s="16" t="s">
        <v>219</v>
      </c>
      <c r="S514" s="16" t="s">
        <v>1493</v>
      </c>
      <c r="T514" s="16" t="s">
        <v>625</v>
      </c>
    </row>
    <row r="515">
      <c r="A515" s="54">
        <v>46176.502943252315</v>
      </c>
      <c r="B515" s="16" t="s">
        <v>34</v>
      </c>
      <c r="C515" s="16" t="s">
        <v>1200</v>
      </c>
      <c r="D515" s="17"/>
      <c r="E515" s="16">
        <v>7037.0</v>
      </c>
      <c r="F515" s="39">
        <v>1.0</v>
      </c>
      <c r="G515" s="16" t="s">
        <v>181</v>
      </c>
      <c r="H515" s="52">
        <v>46175.0</v>
      </c>
      <c r="I515" s="17"/>
      <c r="J515" s="16" t="s">
        <v>51</v>
      </c>
      <c r="K515" s="13"/>
      <c r="L515" s="16" t="s">
        <v>54</v>
      </c>
      <c r="M515" s="16" t="s">
        <v>2350</v>
      </c>
      <c r="N515" s="16" t="s">
        <v>1200</v>
      </c>
      <c r="O515" s="16" t="s">
        <v>2571</v>
      </c>
      <c r="P515" s="18"/>
      <c r="Q515" s="16" t="s">
        <v>52</v>
      </c>
      <c r="R515" s="16" t="s">
        <v>158</v>
      </c>
      <c r="S515" s="16" t="s">
        <v>1493</v>
      </c>
      <c r="T515" s="16" t="s">
        <v>625</v>
      </c>
    </row>
    <row r="516">
      <c r="A516" s="54">
        <v>46176.50450351852</v>
      </c>
      <c r="B516" s="16" t="s">
        <v>34</v>
      </c>
      <c r="C516" s="16" t="s">
        <v>772</v>
      </c>
      <c r="D516" s="16" t="s">
        <v>1061</v>
      </c>
      <c r="E516" s="31"/>
      <c r="F516" s="39">
        <v>3.0</v>
      </c>
      <c r="G516" s="16" t="s">
        <v>181</v>
      </c>
      <c r="H516" s="52">
        <v>46176.0</v>
      </c>
      <c r="I516" s="16" t="s">
        <v>187</v>
      </c>
      <c r="J516" s="17"/>
      <c r="K516" s="13"/>
      <c r="L516" s="16" t="s">
        <v>2507</v>
      </c>
      <c r="M516" s="16" t="s">
        <v>625</v>
      </c>
      <c r="N516" s="17"/>
      <c r="O516" s="16" t="s">
        <v>2569</v>
      </c>
      <c r="P516" s="18"/>
      <c r="Q516" s="16" t="s">
        <v>52</v>
      </c>
      <c r="R516" s="16" t="s">
        <v>772</v>
      </c>
      <c r="S516" s="16" t="s">
        <v>1607</v>
      </c>
      <c r="T516" s="16"/>
    </row>
    <row r="517">
      <c r="A517" s="54">
        <v>46177.33827841435</v>
      </c>
      <c r="B517" s="16" t="s">
        <v>68</v>
      </c>
      <c r="C517" s="16" t="s">
        <v>708</v>
      </c>
      <c r="D517" s="17"/>
      <c r="E517" s="31"/>
      <c r="F517" s="39">
        <v>14.0</v>
      </c>
      <c r="G517" s="16" t="s">
        <v>181</v>
      </c>
      <c r="H517" s="52">
        <v>46174.0</v>
      </c>
      <c r="I517" s="16" t="s">
        <v>17</v>
      </c>
      <c r="J517" s="17"/>
      <c r="K517" s="13"/>
      <c r="L517" s="16" t="s">
        <v>2507</v>
      </c>
      <c r="M517" s="16" t="s">
        <v>2572</v>
      </c>
      <c r="N517" s="17"/>
      <c r="O517" s="16" t="s">
        <v>2537</v>
      </c>
      <c r="P517" s="18"/>
      <c r="Q517" s="16" t="s">
        <v>52</v>
      </c>
      <c r="R517" s="16" t="s">
        <v>708</v>
      </c>
      <c r="S517" s="16" t="s">
        <v>1607</v>
      </c>
      <c r="T517" s="16"/>
    </row>
    <row r="518">
      <c r="A518" s="54">
        <v>46177.34522199074</v>
      </c>
      <c r="B518" s="16" t="s">
        <v>75</v>
      </c>
      <c r="C518" s="16" t="s">
        <v>1202</v>
      </c>
      <c r="D518" s="17"/>
      <c r="E518" s="31"/>
      <c r="F518" s="39">
        <v>1.0</v>
      </c>
      <c r="G518" s="16" t="s">
        <v>181</v>
      </c>
      <c r="H518" s="52">
        <v>46176.0</v>
      </c>
      <c r="I518" s="17"/>
      <c r="J518" s="16" t="s">
        <v>92</v>
      </c>
      <c r="K518" s="13"/>
      <c r="L518" s="16" t="s">
        <v>54</v>
      </c>
      <c r="M518" s="16" t="s">
        <v>2111</v>
      </c>
      <c r="N518" s="16" t="s">
        <v>460</v>
      </c>
      <c r="O518" s="16" t="s">
        <v>2573</v>
      </c>
      <c r="P518" s="18"/>
      <c r="Q518" s="16" t="s">
        <v>52</v>
      </c>
      <c r="R518" s="16" t="s">
        <v>17</v>
      </c>
      <c r="S518" s="16" t="s">
        <v>1493</v>
      </c>
      <c r="T518" s="16"/>
    </row>
    <row r="519">
      <c r="A519" s="54">
        <v>46177.35324541667</v>
      </c>
      <c r="B519" s="16" t="s">
        <v>104</v>
      </c>
      <c r="C519" s="16" t="s">
        <v>1206</v>
      </c>
      <c r="D519" s="17"/>
      <c r="E519" s="31"/>
      <c r="F519" s="39">
        <v>1.0</v>
      </c>
      <c r="G519" s="16" t="s">
        <v>181</v>
      </c>
      <c r="H519" s="52">
        <v>46176.0</v>
      </c>
      <c r="I519" s="17"/>
      <c r="J519" s="16" t="s">
        <v>92</v>
      </c>
      <c r="K519" s="12"/>
      <c r="L519" s="16" t="s">
        <v>54</v>
      </c>
      <c r="M519" s="16" t="s">
        <v>2111</v>
      </c>
      <c r="N519" s="16" t="s">
        <v>951</v>
      </c>
      <c r="O519" s="16" t="s">
        <v>2574</v>
      </c>
      <c r="P519" s="18"/>
      <c r="Q519" s="16" t="s">
        <v>52</v>
      </c>
      <c r="R519" s="16" t="s">
        <v>267</v>
      </c>
      <c r="S519" s="16" t="s">
        <v>1493</v>
      </c>
      <c r="T519" s="16"/>
    </row>
    <row r="520">
      <c r="A520" s="54">
        <v>46177.354398553245</v>
      </c>
      <c r="B520" s="16" t="s">
        <v>104</v>
      </c>
      <c r="C520" s="16" t="s">
        <v>1208</v>
      </c>
      <c r="D520" s="17"/>
      <c r="E520" s="31"/>
      <c r="F520" s="39">
        <v>1.0</v>
      </c>
      <c r="G520" s="16" t="s">
        <v>181</v>
      </c>
      <c r="H520" s="52">
        <v>46176.0</v>
      </c>
      <c r="I520" s="17"/>
      <c r="J520" s="16" t="s">
        <v>92</v>
      </c>
      <c r="K520" s="13"/>
      <c r="L520" s="16" t="s">
        <v>54</v>
      </c>
      <c r="M520" s="16" t="s">
        <v>2111</v>
      </c>
      <c r="N520" s="16" t="s">
        <v>1208</v>
      </c>
      <c r="O520" s="16" t="s">
        <v>2575</v>
      </c>
      <c r="P520" s="18"/>
      <c r="Q520" s="16" t="s">
        <v>52</v>
      </c>
      <c r="R520" s="16" t="s">
        <v>267</v>
      </c>
      <c r="S520" s="16" t="s">
        <v>1493</v>
      </c>
      <c r="T520" s="16"/>
    </row>
    <row r="521">
      <c r="A521" s="54">
        <v>46177.35645496528</v>
      </c>
      <c r="B521" s="16" t="s">
        <v>104</v>
      </c>
      <c r="C521" s="16" t="s">
        <v>1211</v>
      </c>
      <c r="D521" s="17"/>
      <c r="E521" s="31"/>
      <c r="F521" s="39">
        <v>2.0</v>
      </c>
      <c r="G521" s="16" t="s">
        <v>181</v>
      </c>
      <c r="H521" s="52">
        <v>46176.0</v>
      </c>
      <c r="I521" s="17"/>
      <c r="J521" s="16" t="s">
        <v>92</v>
      </c>
      <c r="K521" s="13"/>
      <c r="L521" s="16" t="s">
        <v>54</v>
      </c>
      <c r="M521" s="16" t="s">
        <v>2111</v>
      </c>
      <c r="N521" s="16" t="s">
        <v>1211</v>
      </c>
      <c r="O521" s="16" t="s">
        <v>2576</v>
      </c>
      <c r="P521" s="18"/>
      <c r="Q521" s="16" t="s">
        <v>52</v>
      </c>
      <c r="R521" s="16" t="s">
        <v>267</v>
      </c>
      <c r="S521" s="16" t="s">
        <v>1493</v>
      </c>
      <c r="T521" s="16"/>
    </row>
    <row r="522">
      <c r="A522" s="54">
        <v>46177.357231539354</v>
      </c>
      <c r="B522" s="16" t="s">
        <v>104</v>
      </c>
      <c r="C522" s="16" t="s">
        <v>1214</v>
      </c>
      <c r="D522" s="17"/>
      <c r="E522" s="31"/>
      <c r="F522" s="39">
        <v>1.0</v>
      </c>
      <c r="G522" s="16" t="s">
        <v>181</v>
      </c>
      <c r="H522" s="52">
        <v>46176.0</v>
      </c>
      <c r="I522" s="17"/>
      <c r="J522" s="16" t="s">
        <v>92</v>
      </c>
      <c r="K522" s="13"/>
      <c r="L522" s="16" t="s">
        <v>54</v>
      </c>
      <c r="M522" s="16" t="s">
        <v>2111</v>
      </c>
      <c r="N522" s="16" t="s">
        <v>1211</v>
      </c>
      <c r="O522" s="16" t="s">
        <v>2577</v>
      </c>
      <c r="P522" s="18"/>
      <c r="Q522" s="16" t="s">
        <v>52</v>
      </c>
      <c r="R522" s="16" t="s">
        <v>267</v>
      </c>
      <c r="S522" s="16" t="s">
        <v>1493</v>
      </c>
      <c r="T522" s="16"/>
    </row>
    <row r="523">
      <c r="A523" s="54">
        <v>46177.3597059375</v>
      </c>
      <c r="B523" s="16" t="s">
        <v>68</v>
      </c>
      <c r="C523" s="16" t="s">
        <v>1217</v>
      </c>
      <c r="D523" s="17"/>
      <c r="E523" s="31"/>
      <c r="F523" s="39">
        <v>12.0</v>
      </c>
      <c r="G523" s="16" t="s">
        <v>181</v>
      </c>
      <c r="H523" s="52">
        <v>46176.0</v>
      </c>
      <c r="I523" s="17"/>
      <c r="J523" s="16" t="s">
        <v>92</v>
      </c>
      <c r="K523" s="13"/>
      <c r="L523" s="16" t="s">
        <v>54</v>
      </c>
      <c r="M523" s="16" t="s">
        <v>2111</v>
      </c>
      <c r="N523" s="16" t="s">
        <v>1217</v>
      </c>
      <c r="O523" s="16" t="s">
        <v>2578</v>
      </c>
      <c r="P523" s="34" t="s">
        <v>2579</v>
      </c>
      <c r="Q523" s="16" t="s">
        <v>52</v>
      </c>
      <c r="R523" s="16" t="s">
        <v>17</v>
      </c>
      <c r="S523" s="16" t="s">
        <v>1493</v>
      </c>
      <c r="T523" s="16"/>
    </row>
    <row r="524">
      <c r="A524" s="54">
        <v>46177.640088726854</v>
      </c>
      <c r="B524" s="16" t="s">
        <v>34</v>
      </c>
      <c r="C524" s="16" t="s">
        <v>778</v>
      </c>
      <c r="D524" s="17"/>
      <c r="E524" s="16">
        <v>7036.0</v>
      </c>
      <c r="F524" s="39">
        <v>9.0</v>
      </c>
      <c r="G524" s="16" t="s">
        <v>181</v>
      </c>
      <c r="H524" s="52">
        <v>46168.0</v>
      </c>
      <c r="I524" s="17"/>
      <c r="J524" s="16" t="s">
        <v>51</v>
      </c>
      <c r="K524" s="12" t="s">
        <v>2580</v>
      </c>
      <c r="L524" s="16" t="s">
        <v>54</v>
      </c>
      <c r="M524" s="16" t="s">
        <v>2350</v>
      </c>
      <c r="N524" s="16" t="s">
        <v>778</v>
      </c>
      <c r="O524" s="16" t="s">
        <v>2581</v>
      </c>
      <c r="P524" s="18"/>
      <c r="Q524" s="16" t="s">
        <v>52</v>
      </c>
      <c r="R524" s="16" t="s">
        <v>177</v>
      </c>
      <c r="S524" s="16" t="s">
        <v>1493</v>
      </c>
      <c r="T524" s="16"/>
    </row>
    <row r="525">
      <c r="A525" s="54">
        <v>46178.410172881944</v>
      </c>
      <c r="B525" s="16" t="s">
        <v>34</v>
      </c>
      <c r="C525" s="16" t="s">
        <v>716</v>
      </c>
      <c r="D525" s="17"/>
      <c r="E525" s="31"/>
      <c r="F525" s="39">
        <v>1.0</v>
      </c>
      <c r="G525" s="16" t="s">
        <v>181</v>
      </c>
      <c r="H525" s="52">
        <v>46176.0</v>
      </c>
      <c r="I525" s="16" t="s">
        <v>158</v>
      </c>
      <c r="J525" s="17"/>
      <c r="K525" s="13"/>
      <c r="L525" s="16" t="s">
        <v>54</v>
      </c>
      <c r="M525" s="16" t="s">
        <v>2350</v>
      </c>
      <c r="N525" s="16" t="s">
        <v>376</v>
      </c>
      <c r="O525" s="16" t="s">
        <v>2543</v>
      </c>
      <c r="P525" s="18"/>
      <c r="Q525" s="16" t="s">
        <v>52</v>
      </c>
      <c r="R525" s="16" t="s">
        <v>183</v>
      </c>
      <c r="S525" s="16" t="s">
        <v>1895</v>
      </c>
      <c r="T525" s="16"/>
    </row>
    <row r="526">
      <c r="A526" s="54">
        <v>46178.554482997686</v>
      </c>
      <c r="B526" s="16" t="s">
        <v>75</v>
      </c>
      <c r="C526" s="16" t="s">
        <v>1221</v>
      </c>
      <c r="D526" s="17"/>
      <c r="E526" s="31"/>
      <c r="F526" s="39">
        <v>24.0</v>
      </c>
      <c r="G526" s="16" t="s">
        <v>181</v>
      </c>
      <c r="H526" s="52">
        <v>46176.0</v>
      </c>
      <c r="I526" s="17"/>
      <c r="J526" s="16" t="s">
        <v>92</v>
      </c>
      <c r="K526" s="13"/>
      <c r="L526" s="16" t="s">
        <v>54</v>
      </c>
      <c r="M526" s="16" t="s">
        <v>2350</v>
      </c>
      <c r="N526" s="16" t="s">
        <v>1222</v>
      </c>
      <c r="O526" s="16" t="s">
        <v>2582</v>
      </c>
      <c r="P526" s="34" t="s">
        <v>2583</v>
      </c>
      <c r="Q526" s="16" t="s">
        <v>52</v>
      </c>
      <c r="R526" s="16" t="s">
        <v>17</v>
      </c>
      <c r="S526" s="16" t="s">
        <v>1493</v>
      </c>
      <c r="T526" s="16"/>
    </row>
    <row r="527">
      <c r="A527" s="54">
        <v>46178.55560622685</v>
      </c>
      <c r="B527" s="16" t="s">
        <v>75</v>
      </c>
      <c r="C527" s="16" t="s">
        <v>1225</v>
      </c>
      <c r="D527" s="17"/>
      <c r="E527" s="31"/>
      <c r="F527" s="39">
        <v>43.0</v>
      </c>
      <c r="G527" s="16" t="s">
        <v>181</v>
      </c>
      <c r="H527" s="52">
        <v>46178.0</v>
      </c>
      <c r="I527" s="17"/>
      <c r="J527" s="16" t="s">
        <v>92</v>
      </c>
      <c r="K527" s="12" t="s">
        <v>2480</v>
      </c>
      <c r="L527" s="16" t="s">
        <v>54</v>
      </c>
      <c r="M527" s="16" t="s">
        <v>2350</v>
      </c>
      <c r="N527" s="16" t="s">
        <v>969</v>
      </c>
      <c r="O527" s="16" t="s">
        <v>2584</v>
      </c>
      <c r="P527" s="34" t="s">
        <v>2585</v>
      </c>
      <c r="Q527" s="16" t="s">
        <v>52</v>
      </c>
      <c r="R527" s="16" t="s">
        <v>17</v>
      </c>
      <c r="S527" s="16" t="s">
        <v>1493</v>
      </c>
      <c r="T527" s="16" t="s">
        <v>398</v>
      </c>
    </row>
    <row r="528">
      <c r="A528" s="54">
        <v>46178.55719162037</v>
      </c>
      <c r="B528" s="16" t="s">
        <v>68</v>
      </c>
      <c r="C528" s="16" t="s">
        <v>1228</v>
      </c>
      <c r="D528" s="17"/>
      <c r="E528" s="31"/>
      <c r="F528" s="39">
        <v>4.0</v>
      </c>
      <c r="G528" s="16" t="s">
        <v>181</v>
      </c>
      <c r="H528" s="52">
        <v>46178.0</v>
      </c>
      <c r="I528" s="17"/>
      <c r="J528" s="16" t="s">
        <v>92</v>
      </c>
      <c r="K528" s="12" t="s">
        <v>2480</v>
      </c>
      <c r="L528" s="16" t="s">
        <v>54</v>
      </c>
      <c r="M528" s="16" t="s">
        <v>2350</v>
      </c>
      <c r="N528" s="16" t="s">
        <v>1228</v>
      </c>
      <c r="O528" s="16" t="s">
        <v>2586</v>
      </c>
      <c r="P528" s="34" t="s">
        <v>2587</v>
      </c>
      <c r="Q528" s="16" t="s">
        <v>52</v>
      </c>
      <c r="R528" s="16" t="s">
        <v>17</v>
      </c>
      <c r="S528" s="16" t="s">
        <v>1493</v>
      </c>
      <c r="T528" s="16"/>
    </row>
    <row r="529">
      <c r="A529" s="54">
        <v>46178.55780733796</v>
      </c>
      <c r="B529" s="16" t="s">
        <v>75</v>
      </c>
      <c r="C529" s="16" t="s">
        <v>1229</v>
      </c>
      <c r="D529" s="17"/>
      <c r="E529" s="31"/>
      <c r="F529" s="39">
        <v>4.0</v>
      </c>
      <c r="G529" s="16" t="s">
        <v>181</v>
      </c>
      <c r="H529" s="52">
        <v>46178.0</v>
      </c>
      <c r="I529" s="17"/>
      <c r="J529" s="16" t="s">
        <v>92</v>
      </c>
      <c r="K529" s="12" t="s">
        <v>2480</v>
      </c>
      <c r="L529" s="16" t="s">
        <v>54</v>
      </c>
      <c r="M529" s="16" t="s">
        <v>2350</v>
      </c>
      <c r="N529" s="16" t="s">
        <v>1229</v>
      </c>
      <c r="O529" s="16" t="s">
        <v>2588</v>
      </c>
      <c r="P529" s="34" t="s">
        <v>2589</v>
      </c>
      <c r="Q529" s="16" t="s">
        <v>52</v>
      </c>
      <c r="R529" s="16" t="s">
        <v>17</v>
      </c>
      <c r="S529" s="16" t="s">
        <v>1493</v>
      </c>
      <c r="T529" s="16"/>
    </row>
    <row r="530">
      <c r="A530" s="54">
        <v>46178.55988876158</v>
      </c>
      <c r="B530" s="16" t="s">
        <v>75</v>
      </c>
      <c r="C530" s="16" t="s">
        <v>1217</v>
      </c>
      <c r="D530" s="17"/>
      <c r="E530" s="31"/>
      <c r="F530" s="39">
        <v>16.0</v>
      </c>
      <c r="G530" s="16" t="s">
        <v>181</v>
      </c>
      <c r="H530" s="52">
        <v>46178.0</v>
      </c>
      <c r="I530" s="17"/>
      <c r="J530" s="16" t="s">
        <v>92</v>
      </c>
      <c r="K530" s="12" t="s">
        <v>2480</v>
      </c>
      <c r="L530" s="16" t="s">
        <v>54</v>
      </c>
      <c r="M530" s="16" t="s">
        <v>2350</v>
      </c>
      <c r="N530" s="16" t="s">
        <v>1217</v>
      </c>
      <c r="O530" s="16" t="s">
        <v>2590</v>
      </c>
      <c r="P530" s="34" t="s">
        <v>2591</v>
      </c>
      <c r="Q530" s="16" t="s">
        <v>52</v>
      </c>
      <c r="R530" s="16" t="s">
        <v>17</v>
      </c>
      <c r="S530" s="16" t="s">
        <v>1493</v>
      </c>
      <c r="T530" s="16"/>
    </row>
    <row r="531">
      <c r="A531" s="54">
        <v>46178.56127822917</v>
      </c>
      <c r="B531" s="16" t="s">
        <v>68</v>
      </c>
      <c r="C531" s="16" t="s">
        <v>1233</v>
      </c>
      <c r="D531" s="17"/>
      <c r="E531" s="31"/>
      <c r="F531" s="39">
        <v>1.0</v>
      </c>
      <c r="G531" s="16" t="s">
        <v>181</v>
      </c>
      <c r="H531" s="52">
        <v>46178.0</v>
      </c>
      <c r="I531" s="17"/>
      <c r="J531" s="16" t="s">
        <v>92</v>
      </c>
      <c r="K531" s="12" t="s">
        <v>2480</v>
      </c>
      <c r="L531" s="16" t="s">
        <v>54</v>
      </c>
      <c r="M531" s="16" t="s">
        <v>2350</v>
      </c>
      <c r="N531" s="16" t="s">
        <v>103</v>
      </c>
      <c r="O531" s="16" t="s">
        <v>2592</v>
      </c>
      <c r="P531" s="34" t="s">
        <v>2593</v>
      </c>
      <c r="Q531" s="16" t="s">
        <v>52</v>
      </c>
      <c r="R531" s="16" t="s">
        <v>17</v>
      </c>
      <c r="S531" s="16" t="s">
        <v>1493</v>
      </c>
      <c r="T531" s="16"/>
    </row>
    <row r="532">
      <c r="A532" s="54">
        <v>46178.56372644676</v>
      </c>
      <c r="B532" s="16" t="s">
        <v>34</v>
      </c>
      <c r="C532" s="16" t="s">
        <v>1236</v>
      </c>
      <c r="D532" s="17"/>
      <c r="E532" s="31"/>
      <c r="F532" s="39">
        <v>6.0</v>
      </c>
      <c r="G532" s="16" t="s">
        <v>181</v>
      </c>
      <c r="H532" s="52">
        <v>46178.0</v>
      </c>
      <c r="I532" s="17"/>
      <c r="J532" s="16" t="s">
        <v>35</v>
      </c>
      <c r="K532" s="12" t="s">
        <v>2594</v>
      </c>
      <c r="L532" s="16" t="s">
        <v>54</v>
      </c>
      <c r="M532" s="16" t="s">
        <v>2551</v>
      </c>
      <c r="N532" s="16" t="s">
        <v>1237</v>
      </c>
      <c r="O532" s="16" t="s">
        <v>2595</v>
      </c>
      <c r="P532" s="34" t="s">
        <v>2596</v>
      </c>
      <c r="Q532" s="16" t="s">
        <v>52</v>
      </c>
      <c r="R532" s="16" t="s">
        <v>88</v>
      </c>
      <c r="S532" s="16" t="s">
        <v>1493</v>
      </c>
      <c r="T532" s="16"/>
    </row>
    <row r="533">
      <c r="A533" s="54">
        <v>46178.56480325232</v>
      </c>
      <c r="B533" s="16" t="s">
        <v>34</v>
      </c>
      <c r="C533" s="16" t="s">
        <v>1200</v>
      </c>
      <c r="D533" s="17"/>
      <c r="E533" s="31"/>
      <c r="F533" s="39">
        <v>1.0</v>
      </c>
      <c r="G533" s="16" t="s">
        <v>181</v>
      </c>
      <c r="H533" s="52">
        <v>46178.0</v>
      </c>
      <c r="I533" s="16" t="s">
        <v>158</v>
      </c>
      <c r="J533" s="17"/>
      <c r="K533" s="13"/>
      <c r="L533" s="16" t="s">
        <v>54</v>
      </c>
      <c r="M533" s="16" t="s">
        <v>2350</v>
      </c>
      <c r="N533" s="16" t="s">
        <v>376</v>
      </c>
      <c r="O533" s="16" t="s">
        <v>2571</v>
      </c>
      <c r="P533" s="18"/>
      <c r="Q533" s="16" t="s">
        <v>52</v>
      </c>
      <c r="R533" s="16" t="s">
        <v>195</v>
      </c>
      <c r="S533" s="16" t="s">
        <v>1895</v>
      </c>
      <c r="T533" s="16"/>
    </row>
    <row r="534">
      <c r="A534" s="54">
        <v>46178.568121828706</v>
      </c>
      <c r="B534" s="16" t="s">
        <v>34</v>
      </c>
      <c r="C534" s="16" t="s">
        <v>666</v>
      </c>
      <c r="D534" s="17"/>
      <c r="E534" s="31"/>
      <c r="F534" s="39">
        <v>2.0</v>
      </c>
      <c r="G534" s="16" t="s">
        <v>181</v>
      </c>
      <c r="H534" s="52">
        <v>46178.0</v>
      </c>
      <c r="I534" s="16" t="s">
        <v>187</v>
      </c>
      <c r="J534" s="17"/>
      <c r="K534" s="13"/>
      <c r="L534" s="16" t="s">
        <v>54</v>
      </c>
      <c r="M534" s="16" t="s">
        <v>2350</v>
      </c>
      <c r="N534" s="16" t="s">
        <v>376</v>
      </c>
      <c r="O534" s="16" t="s">
        <v>2465</v>
      </c>
      <c r="P534" s="18"/>
      <c r="Q534" s="16" t="s">
        <v>52</v>
      </c>
      <c r="R534" s="16" t="s">
        <v>195</v>
      </c>
      <c r="S534" s="16" t="s">
        <v>1895</v>
      </c>
      <c r="T534" s="16"/>
    </row>
    <row r="535">
      <c r="A535" s="54">
        <v>46178.569662766204</v>
      </c>
      <c r="B535" s="16" t="s">
        <v>34</v>
      </c>
      <c r="C535" s="16" t="s">
        <v>781</v>
      </c>
      <c r="D535" s="17"/>
      <c r="E535" s="31"/>
      <c r="F535" s="39">
        <v>15.0</v>
      </c>
      <c r="G535" s="16" t="s">
        <v>181</v>
      </c>
      <c r="H535" s="52">
        <v>46178.0</v>
      </c>
      <c r="I535" s="17"/>
      <c r="J535" s="16" t="s">
        <v>35</v>
      </c>
      <c r="K535" s="13"/>
      <c r="L535" s="16" t="s">
        <v>54</v>
      </c>
      <c r="M535" s="16" t="s">
        <v>2551</v>
      </c>
      <c r="N535" s="16" t="s">
        <v>781</v>
      </c>
      <c r="O535" s="16" t="s">
        <v>2597</v>
      </c>
      <c r="P535" s="34" t="s">
        <v>2598</v>
      </c>
      <c r="Q535" s="16" t="s">
        <v>52</v>
      </c>
      <c r="R535" s="16" t="s">
        <v>142</v>
      </c>
      <c r="S535" s="16" t="s">
        <v>1493</v>
      </c>
      <c r="T535" s="16"/>
    </row>
    <row r="536">
      <c r="A536" s="54">
        <v>46178.57100795139</v>
      </c>
      <c r="B536" s="16" t="s">
        <v>34</v>
      </c>
      <c r="C536" s="16" t="s">
        <v>783</v>
      </c>
      <c r="D536" s="17"/>
      <c r="E536" s="31"/>
      <c r="F536" s="39">
        <v>16.0</v>
      </c>
      <c r="G536" s="16" t="s">
        <v>181</v>
      </c>
      <c r="H536" s="52">
        <v>46178.0</v>
      </c>
      <c r="I536" s="17"/>
      <c r="J536" s="16" t="s">
        <v>35</v>
      </c>
      <c r="K536" s="13"/>
      <c r="L536" s="16" t="s">
        <v>54</v>
      </c>
      <c r="M536" s="16" t="s">
        <v>2551</v>
      </c>
      <c r="N536" s="16" t="s">
        <v>783</v>
      </c>
      <c r="O536" s="16" t="s">
        <v>2599</v>
      </c>
      <c r="P536" s="34" t="s">
        <v>2600</v>
      </c>
      <c r="Q536" s="16" t="s">
        <v>52</v>
      </c>
      <c r="R536" s="16" t="s">
        <v>120</v>
      </c>
      <c r="S536" s="16" t="s">
        <v>1493</v>
      </c>
      <c r="T536" s="16"/>
    </row>
    <row r="537">
      <c r="A537" s="54">
        <v>46178.590570625005</v>
      </c>
      <c r="B537" s="16" t="s">
        <v>2601</v>
      </c>
      <c r="C537" s="16" t="s">
        <v>326</v>
      </c>
      <c r="D537" s="17"/>
      <c r="E537" s="31"/>
      <c r="F537" s="39">
        <v>90.0</v>
      </c>
      <c r="G537" s="16" t="s">
        <v>363</v>
      </c>
      <c r="H537" s="52">
        <v>46178.0</v>
      </c>
      <c r="I537" s="17"/>
      <c r="J537" s="16" t="s">
        <v>62</v>
      </c>
      <c r="K537" s="12" t="s">
        <v>2602</v>
      </c>
      <c r="L537" s="16" t="s">
        <v>54</v>
      </c>
      <c r="M537" s="16" t="s">
        <v>2350</v>
      </c>
      <c r="N537" s="16" t="s">
        <v>376</v>
      </c>
      <c r="O537" s="16" t="s">
        <v>1453</v>
      </c>
      <c r="P537" s="34" t="s">
        <v>2603</v>
      </c>
      <c r="Q537" s="16" t="s">
        <v>52</v>
      </c>
      <c r="R537" s="16" t="s">
        <v>245</v>
      </c>
      <c r="S537" s="16" t="s">
        <v>1493</v>
      </c>
      <c r="T537" s="16"/>
    </row>
    <row r="538">
      <c r="A538" s="54">
        <v>46181.39001563657</v>
      </c>
      <c r="B538" s="16" t="s">
        <v>34</v>
      </c>
      <c r="C538" s="16" t="s">
        <v>787</v>
      </c>
      <c r="D538" s="17"/>
      <c r="E538" s="31"/>
      <c r="F538" s="39">
        <v>1.0</v>
      </c>
      <c r="G538" s="16" t="s">
        <v>181</v>
      </c>
      <c r="H538" s="52">
        <v>46181.0</v>
      </c>
      <c r="I538" s="17"/>
      <c r="J538" s="16" t="s">
        <v>51</v>
      </c>
      <c r="K538" s="12" t="s">
        <v>2604</v>
      </c>
      <c r="L538" s="16" t="s">
        <v>54</v>
      </c>
      <c r="M538" s="16" t="s">
        <v>2350</v>
      </c>
      <c r="N538" s="16" t="s">
        <v>2605</v>
      </c>
      <c r="O538" s="16" t="s">
        <v>2606</v>
      </c>
      <c r="P538" s="34" t="s">
        <v>2607</v>
      </c>
      <c r="Q538" s="16" t="s">
        <v>52</v>
      </c>
      <c r="R538" s="16" t="s">
        <v>158</v>
      </c>
      <c r="S538" s="16" t="s">
        <v>1493</v>
      </c>
      <c r="T538" s="16" t="s">
        <v>393</v>
      </c>
    </row>
    <row r="539">
      <c r="A539" s="54">
        <v>46181.43797496527</v>
      </c>
      <c r="B539" s="16" t="s">
        <v>34</v>
      </c>
      <c r="C539" s="16" t="s">
        <v>778</v>
      </c>
      <c r="D539" s="17"/>
      <c r="E539" s="16">
        <v>7036.0</v>
      </c>
      <c r="F539" s="39">
        <v>1.0</v>
      </c>
      <c r="G539" s="16" t="s">
        <v>181</v>
      </c>
      <c r="H539" s="52">
        <v>46181.0</v>
      </c>
      <c r="I539" s="17"/>
      <c r="J539" s="16" t="s">
        <v>51</v>
      </c>
      <c r="K539" s="13"/>
      <c r="L539" s="16" t="s">
        <v>54</v>
      </c>
      <c r="M539" s="16" t="s">
        <v>2350</v>
      </c>
      <c r="N539" s="16" t="s">
        <v>778</v>
      </c>
      <c r="O539" s="16" t="s">
        <v>2581</v>
      </c>
      <c r="P539" s="34" t="s">
        <v>2608</v>
      </c>
      <c r="Q539" s="16" t="s">
        <v>52</v>
      </c>
      <c r="R539" s="16" t="s">
        <v>177</v>
      </c>
      <c r="S539" s="16" t="s">
        <v>1493</v>
      </c>
      <c r="T539" s="16"/>
    </row>
    <row r="540">
      <c r="A540" s="54">
        <v>46181.558741608795</v>
      </c>
      <c r="B540" s="16" t="s">
        <v>34</v>
      </c>
      <c r="C540" s="16" t="s">
        <v>716</v>
      </c>
      <c r="D540" s="17"/>
      <c r="E540" s="31"/>
      <c r="F540" s="39">
        <v>1.0</v>
      </c>
      <c r="G540" s="16" t="s">
        <v>181</v>
      </c>
      <c r="H540" s="52">
        <v>46181.0</v>
      </c>
      <c r="I540" s="16" t="s">
        <v>183</v>
      </c>
      <c r="J540" s="17"/>
      <c r="K540" s="12" t="s">
        <v>2609</v>
      </c>
      <c r="L540" s="16" t="s">
        <v>2507</v>
      </c>
      <c r="M540" s="16" t="s">
        <v>2610</v>
      </c>
      <c r="N540" s="17"/>
      <c r="O540" s="16" t="s">
        <v>2543</v>
      </c>
      <c r="P540" s="18"/>
      <c r="Q540" s="16" t="s">
        <v>52</v>
      </c>
      <c r="R540" s="16" t="s">
        <v>1257</v>
      </c>
      <c r="S540" s="16" t="s">
        <v>1607</v>
      </c>
      <c r="T540" s="16"/>
    </row>
    <row r="541">
      <c r="A541" s="54">
        <v>46181.559475497685</v>
      </c>
      <c r="B541" s="16" t="s">
        <v>34</v>
      </c>
      <c r="C541" s="16" t="s">
        <v>787</v>
      </c>
      <c r="D541" s="17"/>
      <c r="E541" s="31"/>
      <c r="F541" s="39">
        <v>1.0</v>
      </c>
      <c r="G541" s="16" t="s">
        <v>181</v>
      </c>
      <c r="H541" s="52">
        <v>46181.0</v>
      </c>
      <c r="I541" s="16" t="s">
        <v>158</v>
      </c>
      <c r="J541" s="17"/>
      <c r="K541" s="13"/>
      <c r="L541" s="16" t="s">
        <v>2507</v>
      </c>
      <c r="M541" s="16" t="s">
        <v>2192</v>
      </c>
      <c r="N541" s="17"/>
      <c r="O541" s="16" t="s">
        <v>2606</v>
      </c>
      <c r="P541" s="18"/>
      <c r="Q541" s="16" t="s">
        <v>52</v>
      </c>
      <c r="R541" s="16" t="s">
        <v>1257</v>
      </c>
      <c r="S541" s="16" t="s">
        <v>1607</v>
      </c>
      <c r="T541" s="16"/>
    </row>
    <row r="542">
      <c r="A542" s="54">
        <v>46182.549912222225</v>
      </c>
      <c r="B542" s="16" t="s">
        <v>34</v>
      </c>
      <c r="C542" s="16" t="s">
        <v>778</v>
      </c>
      <c r="D542" s="17"/>
      <c r="E542" s="31"/>
      <c r="F542" s="39">
        <v>10.0</v>
      </c>
      <c r="G542" s="16" t="s">
        <v>181</v>
      </c>
      <c r="H542" s="52">
        <v>46182.0</v>
      </c>
      <c r="I542" s="16" t="s">
        <v>177</v>
      </c>
      <c r="J542" s="17"/>
      <c r="K542" s="12" t="s">
        <v>2611</v>
      </c>
      <c r="L542" s="16" t="s">
        <v>2507</v>
      </c>
      <c r="M542" s="16" t="s">
        <v>2350</v>
      </c>
      <c r="N542" s="17"/>
      <c r="O542" s="16" t="s">
        <v>2581</v>
      </c>
      <c r="P542" s="18"/>
      <c r="Q542" s="16" t="s">
        <v>52</v>
      </c>
      <c r="R542" s="16" t="s">
        <v>778</v>
      </c>
      <c r="S542" s="16" t="s">
        <v>1607</v>
      </c>
      <c r="T542" s="16"/>
    </row>
    <row r="543">
      <c r="A543" s="54">
        <v>46182.551119861106</v>
      </c>
      <c r="B543" s="16" t="s">
        <v>34</v>
      </c>
      <c r="C543" s="16" t="s">
        <v>555</v>
      </c>
      <c r="D543" s="17"/>
      <c r="E543" s="31"/>
      <c r="F543" s="39">
        <v>12.0</v>
      </c>
      <c r="G543" s="16" t="s">
        <v>181</v>
      </c>
      <c r="H543" s="52">
        <v>46182.0</v>
      </c>
      <c r="I543" s="16" t="s">
        <v>93</v>
      </c>
      <c r="J543" s="17"/>
      <c r="K543" s="13"/>
      <c r="L543" s="16" t="s">
        <v>2507</v>
      </c>
      <c r="M543" s="16" t="s">
        <v>2141</v>
      </c>
      <c r="N543" s="17"/>
      <c r="O543" s="16" t="s">
        <v>2339</v>
      </c>
      <c r="P543" s="18"/>
      <c r="Q543" s="16" t="s">
        <v>52</v>
      </c>
      <c r="R543" s="16" t="s">
        <v>555</v>
      </c>
      <c r="S543" s="16" t="s">
        <v>1607</v>
      </c>
      <c r="T543" s="16"/>
    </row>
    <row r="544">
      <c r="A544" s="54">
        <v>46182.551166296296</v>
      </c>
      <c r="B544" s="16" t="s">
        <v>34</v>
      </c>
      <c r="C544" s="16" t="s">
        <v>555</v>
      </c>
      <c r="D544" s="17"/>
      <c r="E544" s="31"/>
      <c r="F544" s="39">
        <v>12.0</v>
      </c>
      <c r="G544" s="16" t="s">
        <v>181</v>
      </c>
      <c r="H544" s="52">
        <v>46182.0</v>
      </c>
      <c r="I544" s="16" t="s">
        <v>98</v>
      </c>
      <c r="J544" s="17"/>
      <c r="K544" s="13"/>
      <c r="L544" s="16" t="s">
        <v>2507</v>
      </c>
      <c r="M544" s="16" t="s">
        <v>2141</v>
      </c>
      <c r="N544" s="17"/>
      <c r="O544" s="16" t="s">
        <v>2339</v>
      </c>
      <c r="P544" s="18"/>
      <c r="Q544" s="16" t="s">
        <v>52</v>
      </c>
      <c r="R544" s="16" t="s">
        <v>555</v>
      </c>
      <c r="S544" s="16" t="s">
        <v>1607</v>
      </c>
      <c r="T544" s="16"/>
    </row>
    <row r="545">
      <c r="A545" s="54">
        <v>46183.41668944445</v>
      </c>
      <c r="B545" s="16" t="s">
        <v>75</v>
      </c>
      <c r="C545" s="16" t="s">
        <v>791</v>
      </c>
      <c r="D545" s="17"/>
      <c r="E545" s="31"/>
      <c r="F545" s="39">
        <v>264.0</v>
      </c>
      <c r="G545" s="16" t="s">
        <v>181</v>
      </c>
      <c r="H545" s="51">
        <v>46181.0</v>
      </c>
      <c r="I545" s="17"/>
      <c r="J545" s="16" t="s">
        <v>92</v>
      </c>
      <c r="K545" s="12" t="s">
        <v>2480</v>
      </c>
      <c r="L545" s="16" t="s">
        <v>54</v>
      </c>
      <c r="M545" s="16" t="s">
        <v>2350</v>
      </c>
      <c r="N545" s="16" t="s">
        <v>791</v>
      </c>
      <c r="O545" s="16" t="s">
        <v>2612</v>
      </c>
      <c r="P545" s="34" t="s">
        <v>2613</v>
      </c>
      <c r="Q545" s="16" t="s">
        <v>52</v>
      </c>
      <c r="R545" s="16" t="s">
        <v>17</v>
      </c>
      <c r="S545" s="16" t="s">
        <v>1493</v>
      </c>
      <c r="T545" s="16" t="s">
        <v>393</v>
      </c>
    </row>
    <row r="546">
      <c r="A546" s="54">
        <v>46183.41780527778</v>
      </c>
      <c r="B546" s="16" t="s">
        <v>75</v>
      </c>
      <c r="C546" s="16" t="s">
        <v>814</v>
      </c>
      <c r="D546" s="17"/>
      <c r="E546" s="31"/>
      <c r="F546" s="39">
        <v>4.0</v>
      </c>
      <c r="G546" s="16" t="s">
        <v>181</v>
      </c>
      <c r="H546" s="51">
        <v>46182.0</v>
      </c>
      <c r="I546" s="17"/>
      <c r="J546" s="16" t="s">
        <v>92</v>
      </c>
      <c r="K546" s="13"/>
      <c r="L546" s="16" t="s">
        <v>54</v>
      </c>
      <c r="M546" s="16" t="s">
        <v>2350</v>
      </c>
      <c r="N546" s="16" t="s">
        <v>814</v>
      </c>
      <c r="O546" s="16" t="s">
        <v>2614</v>
      </c>
      <c r="P546" s="34" t="s">
        <v>2615</v>
      </c>
      <c r="Q546" s="16" t="s">
        <v>52</v>
      </c>
      <c r="R546" s="16" t="s">
        <v>77</v>
      </c>
      <c r="S546" s="16" t="s">
        <v>1493</v>
      </c>
      <c r="T546" s="16"/>
    </row>
    <row r="547">
      <c r="A547" s="54">
        <v>46183.422136064815</v>
      </c>
      <c r="B547" s="16" t="s">
        <v>104</v>
      </c>
      <c r="C547" s="16" t="s">
        <v>689</v>
      </c>
      <c r="D547" s="17"/>
      <c r="E547" s="31"/>
      <c r="F547" s="39">
        <v>1.0</v>
      </c>
      <c r="G547" s="16" t="s">
        <v>181</v>
      </c>
      <c r="H547" s="51">
        <v>46183.0</v>
      </c>
      <c r="I547" s="17"/>
      <c r="J547" s="16" t="s">
        <v>51</v>
      </c>
      <c r="K547" s="13"/>
      <c r="L547" s="16" t="s">
        <v>54</v>
      </c>
      <c r="M547" s="16" t="s">
        <v>2350</v>
      </c>
      <c r="N547" s="16" t="s">
        <v>2616</v>
      </c>
      <c r="O547" s="16" t="s">
        <v>2617</v>
      </c>
      <c r="P547" s="34" t="s">
        <v>2618</v>
      </c>
      <c r="Q547" s="16" t="s">
        <v>52</v>
      </c>
      <c r="R547" s="16" t="s">
        <v>267</v>
      </c>
      <c r="S547" s="16" t="s">
        <v>1493</v>
      </c>
      <c r="T547" s="16"/>
    </row>
    <row r="548">
      <c r="A548" s="54">
        <v>46183.4398784838</v>
      </c>
      <c r="B548" s="16" t="s">
        <v>49</v>
      </c>
      <c r="C548" s="16" t="s">
        <v>1243</v>
      </c>
      <c r="D548" s="17"/>
      <c r="E548" s="42" t="s">
        <v>2619</v>
      </c>
      <c r="F548" s="39">
        <v>6.0</v>
      </c>
      <c r="G548" s="16" t="s">
        <v>181</v>
      </c>
      <c r="H548" s="51">
        <v>46183.0</v>
      </c>
      <c r="I548" s="17"/>
      <c r="J548" s="16" t="s">
        <v>51</v>
      </c>
      <c r="K548" s="12" t="s">
        <v>2620</v>
      </c>
      <c r="L548" s="16" t="s">
        <v>54</v>
      </c>
      <c r="M548" s="16" t="s">
        <v>2350</v>
      </c>
      <c r="N548" s="16" t="s">
        <v>1243</v>
      </c>
      <c r="O548" s="16" t="s">
        <v>2621</v>
      </c>
      <c r="P548" s="34" t="s">
        <v>2622</v>
      </c>
      <c r="Q548" s="16" t="s">
        <v>52</v>
      </c>
      <c r="R548" s="16" t="s">
        <v>189</v>
      </c>
      <c r="S548" s="16" t="s">
        <v>1493</v>
      </c>
      <c r="T548" s="16"/>
    </row>
    <row r="549">
      <c r="A549" s="54">
        <v>46183.48293731481</v>
      </c>
      <c r="B549" s="16" t="s">
        <v>104</v>
      </c>
      <c r="C549" s="16" t="s">
        <v>683</v>
      </c>
      <c r="D549" s="17"/>
      <c r="E549" s="31"/>
      <c r="F549" s="39">
        <v>1.0</v>
      </c>
      <c r="G549" s="16" t="s">
        <v>181</v>
      </c>
      <c r="H549" s="51">
        <v>46183.0</v>
      </c>
      <c r="I549" s="16" t="s">
        <v>17</v>
      </c>
      <c r="J549" s="17"/>
      <c r="K549" s="12" t="s">
        <v>2623</v>
      </c>
      <c r="L549" s="16" t="s">
        <v>2507</v>
      </c>
      <c r="M549" s="16" t="s">
        <v>2350</v>
      </c>
      <c r="N549" s="17"/>
      <c r="O549" s="16" t="s">
        <v>2481</v>
      </c>
      <c r="P549" s="18"/>
      <c r="Q549" s="16" t="s">
        <v>52</v>
      </c>
      <c r="R549" s="16" t="s">
        <v>683</v>
      </c>
      <c r="S549" s="16" t="s">
        <v>1607</v>
      </c>
      <c r="T549" s="16"/>
    </row>
    <row r="550">
      <c r="A550" s="54">
        <v>46183.50037309028</v>
      </c>
      <c r="B550" s="16" t="s">
        <v>104</v>
      </c>
      <c r="C550" s="16" t="s">
        <v>1245</v>
      </c>
      <c r="D550" s="17"/>
      <c r="E550" s="31"/>
      <c r="F550" s="39">
        <v>1.0</v>
      </c>
      <c r="G550" s="16" t="s">
        <v>181</v>
      </c>
      <c r="H550" s="51">
        <v>46183.0</v>
      </c>
      <c r="I550" s="17"/>
      <c r="J550" s="16" t="s">
        <v>92</v>
      </c>
      <c r="K550" s="13"/>
      <c r="L550" s="16" t="s">
        <v>54</v>
      </c>
      <c r="M550" s="16" t="s">
        <v>2350</v>
      </c>
      <c r="N550" s="16" t="s">
        <v>1246</v>
      </c>
      <c r="O550" s="16" t="s">
        <v>2624</v>
      </c>
      <c r="P550" s="34" t="s">
        <v>2625</v>
      </c>
      <c r="Q550" s="16" t="s">
        <v>52</v>
      </c>
      <c r="R550" s="16" t="s">
        <v>267</v>
      </c>
      <c r="S550" s="16" t="s">
        <v>1493</v>
      </c>
      <c r="T550" s="16"/>
    </row>
    <row r="551">
      <c r="A551" s="54">
        <v>46183.50037309028</v>
      </c>
      <c r="B551" s="16" t="s">
        <v>104</v>
      </c>
      <c r="C551" s="16" t="s">
        <v>1248</v>
      </c>
      <c r="D551" s="17"/>
      <c r="E551" s="31"/>
      <c r="F551" s="39">
        <v>1.0</v>
      </c>
      <c r="G551" s="16" t="s">
        <v>181</v>
      </c>
      <c r="H551" s="51">
        <v>46183.0</v>
      </c>
      <c r="I551" s="17"/>
      <c r="J551" s="16" t="s">
        <v>92</v>
      </c>
      <c r="K551" s="13"/>
      <c r="L551" s="16" t="s">
        <v>54</v>
      </c>
      <c r="M551" s="16" t="s">
        <v>2350</v>
      </c>
      <c r="N551" s="16" t="s">
        <v>1246</v>
      </c>
      <c r="O551" s="16" t="s">
        <v>2626</v>
      </c>
      <c r="P551" s="34" t="s">
        <v>2627</v>
      </c>
      <c r="Q551" s="16" t="s">
        <v>52</v>
      </c>
      <c r="R551" s="16" t="s">
        <v>267</v>
      </c>
      <c r="S551" s="16" t="s">
        <v>1493</v>
      </c>
      <c r="T551" s="16"/>
    </row>
    <row r="552">
      <c r="A552" s="54">
        <v>46184.33240222222</v>
      </c>
      <c r="B552" s="16" t="s">
        <v>34</v>
      </c>
      <c r="C552" s="16" t="s">
        <v>1251</v>
      </c>
      <c r="D552" s="17"/>
      <c r="E552" s="42" t="s">
        <v>2628</v>
      </c>
      <c r="F552" s="39">
        <v>2.0</v>
      </c>
      <c r="G552" s="16" t="s">
        <v>181</v>
      </c>
      <c r="H552" s="51">
        <v>46184.0</v>
      </c>
      <c r="I552" s="17"/>
      <c r="J552" s="16" t="s">
        <v>51</v>
      </c>
      <c r="K552" s="12" t="s">
        <v>2629</v>
      </c>
      <c r="L552" s="16" t="s">
        <v>54</v>
      </c>
      <c r="M552" s="16" t="s">
        <v>2350</v>
      </c>
      <c r="N552" s="16" t="s">
        <v>1251</v>
      </c>
      <c r="O552" s="16" t="s">
        <v>2630</v>
      </c>
      <c r="P552" s="18"/>
      <c r="Q552" s="16" t="s">
        <v>52</v>
      </c>
      <c r="R552" s="16" t="s">
        <v>183</v>
      </c>
      <c r="S552" s="16" t="s">
        <v>1493</v>
      </c>
      <c r="T552" s="16"/>
    </row>
    <row r="553">
      <c r="A553" s="54">
        <v>46184.34063287037</v>
      </c>
      <c r="B553" s="16" t="s">
        <v>49</v>
      </c>
      <c r="C553" s="16" t="s">
        <v>772</v>
      </c>
      <c r="D553" s="16" t="s">
        <v>1061</v>
      </c>
      <c r="E553" s="31"/>
      <c r="F553" s="39">
        <v>2.0</v>
      </c>
      <c r="G553" s="16" t="s">
        <v>181</v>
      </c>
      <c r="H553" s="51">
        <v>46184.0</v>
      </c>
      <c r="I553" s="17"/>
      <c r="J553" s="16" t="s">
        <v>51</v>
      </c>
      <c r="K553" s="12" t="s">
        <v>2631</v>
      </c>
      <c r="L553" s="16" t="s">
        <v>54</v>
      </c>
      <c r="M553" s="16" t="s">
        <v>2350</v>
      </c>
      <c r="N553" s="16" t="s">
        <v>772</v>
      </c>
      <c r="O553" s="16" t="s">
        <v>2570</v>
      </c>
      <c r="P553" s="18"/>
      <c r="Q553" s="16" t="s">
        <v>52</v>
      </c>
      <c r="R553" s="16" t="s">
        <v>189</v>
      </c>
      <c r="S553" s="16" t="s">
        <v>1493</v>
      </c>
      <c r="T553" s="16" t="s">
        <v>625</v>
      </c>
    </row>
    <row r="554">
      <c r="A554" s="54">
        <v>46184.343764652775</v>
      </c>
      <c r="B554" s="16" t="s">
        <v>49</v>
      </c>
      <c r="C554" s="16" t="s">
        <v>1254</v>
      </c>
      <c r="D554" s="17"/>
      <c r="E554" s="42" t="s">
        <v>2632</v>
      </c>
      <c r="F554" s="39">
        <v>1.0</v>
      </c>
      <c r="G554" s="16" t="s">
        <v>181</v>
      </c>
      <c r="H554" s="51">
        <v>46184.0</v>
      </c>
      <c r="I554" s="17"/>
      <c r="J554" s="16" t="s">
        <v>51</v>
      </c>
      <c r="K554" s="12" t="s">
        <v>2633</v>
      </c>
      <c r="L554" s="16" t="s">
        <v>54</v>
      </c>
      <c r="M554" s="16" t="s">
        <v>2350</v>
      </c>
      <c r="N554" s="16" t="s">
        <v>951</v>
      </c>
      <c r="O554" s="16" t="s">
        <v>2634</v>
      </c>
      <c r="P554" s="18"/>
      <c r="Q554" s="16" t="s">
        <v>52</v>
      </c>
      <c r="R554" s="16" t="s">
        <v>189</v>
      </c>
      <c r="S554" s="16" t="s">
        <v>1493</v>
      </c>
      <c r="T554" s="16"/>
    </row>
    <row r="555">
      <c r="A555" s="54">
        <v>46184.35064524306</v>
      </c>
      <c r="B555" s="16" t="s">
        <v>49</v>
      </c>
      <c r="C555" s="16" t="s">
        <v>796</v>
      </c>
      <c r="D555" s="17"/>
      <c r="E555" s="31"/>
      <c r="F555" s="39">
        <v>4.0</v>
      </c>
      <c r="G555" s="16" t="s">
        <v>181</v>
      </c>
      <c r="H555" s="51">
        <v>46178.0</v>
      </c>
      <c r="I555" s="17"/>
      <c r="J555" s="16" t="s">
        <v>35</v>
      </c>
      <c r="K555" s="12" t="s">
        <v>2635</v>
      </c>
      <c r="L555" s="16" t="s">
        <v>54</v>
      </c>
      <c r="M555" s="16" t="s">
        <v>2350</v>
      </c>
      <c r="N555" s="16" t="s">
        <v>1237</v>
      </c>
      <c r="O555" s="16" t="s">
        <v>2636</v>
      </c>
      <c r="P555" s="18"/>
      <c r="Q555" s="16" t="s">
        <v>52</v>
      </c>
      <c r="R555" s="16" t="s">
        <v>192</v>
      </c>
      <c r="S555" s="16" t="s">
        <v>1493</v>
      </c>
      <c r="T555" s="16"/>
    </row>
    <row r="556">
      <c r="A556" s="54">
        <v>46184.37596297453</v>
      </c>
      <c r="B556" s="16" t="s">
        <v>49</v>
      </c>
      <c r="C556" s="16" t="s">
        <v>1257</v>
      </c>
      <c r="D556" s="17"/>
      <c r="E556" s="42" t="s">
        <v>2637</v>
      </c>
      <c r="F556" s="39">
        <v>1.0</v>
      </c>
      <c r="G556" s="16" t="s">
        <v>181</v>
      </c>
      <c r="H556" s="51">
        <v>46178.0</v>
      </c>
      <c r="I556" s="17"/>
      <c r="J556" s="16" t="s">
        <v>51</v>
      </c>
      <c r="K556" s="13"/>
      <c r="L556" s="16" t="s">
        <v>54</v>
      </c>
      <c r="M556" s="16" t="s">
        <v>2350</v>
      </c>
      <c r="N556" s="16" t="s">
        <v>1257</v>
      </c>
      <c r="O556" s="16" t="s">
        <v>2638</v>
      </c>
      <c r="P556" s="18"/>
      <c r="Q556" s="16" t="s">
        <v>52</v>
      </c>
      <c r="R556" s="16" t="s">
        <v>189</v>
      </c>
      <c r="S556" s="16" t="s">
        <v>1493</v>
      </c>
      <c r="T556" s="16"/>
    </row>
    <row r="557">
      <c r="A557" s="54">
        <v>46184.37723596065</v>
      </c>
      <c r="B557" s="16" t="s">
        <v>49</v>
      </c>
      <c r="C557" s="16" t="s">
        <v>1257</v>
      </c>
      <c r="D557" s="17"/>
      <c r="E557" s="42" t="s">
        <v>2637</v>
      </c>
      <c r="F557" s="39">
        <v>6.0</v>
      </c>
      <c r="G557" s="16" t="s">
        <v>181</v>
      </c>
      <c r="H557" s="51">
        <v>46178.0</v>
      </c>
      <c r="I557" s="17"/>
      <c r="J557" s="16" t="s">
        <v>51</v>
      </c>
      <c r="K557" s="13"/>
      <c r="L557" s="16" t="s">
        <v>54</v>
      </c>
      <c r="M557" s="16" t="s">
        <v>2350</v>
      </c>
      <c r="N557" s="16" t="s">
        <v>1257</v>
      </c>
      <c r="O557" s="16" t="s">
        <v>2638</v>
      </c>
      <c r="P557" s="18"/>
      <c r="Q557" s="16" t="s">
        <v>52</v>
      </c>
      <c r="R557" s="16" t="s">
        <v>189</v>
      </c>
      <c r="S557" s="16" t="s">
        <v>1493</v>
      </c>
      <c r="T557" s="16"/>
    </row>
    <row r="558">
      <c r="A558" s="54">
        <v>46184.40848569444</v>
      </c>
      <c r="B558" s="16" t="s">
        <v>68</v>
      </c>
      <c r="C558" s="16" t="s">
        <v>592</v>
      </c>
      <c r="D558" s="17"/>
      <c r="E558" s="31"/>
      <c r="F558" s="39">
        <v>21.0</v>
      </c>
      <c r="G558" s="16" t="s">
        <v>181</v>
      </c>
      <c r="H558" s="51">
        <v>46184.0</v>
      </c>
      <c r="I558" s="16" t="s">
        <v>294</v>
      </c>
      <c r="J558" s="17"/>
      <c r="K558" s="13"/>
      <c r="L558" s="16" t="s">
        <v>2507</v>
      </c>
      <c r="M558" s="16" t="s">
        <v>52</v>
      </c>
      <c r="N558" s="17"/>
      <c r="O558" s="16" t="s">
        <v>2378</v>
      </c>
      <c r="P558" s="18"/>
      <c r="Q558" s="16" t="s">
        <v>52</v>
      </c>
      <c r="R558" s="16" t="s">
        <v>592</v>
      </c>
      <c r="S558" s="16" t="s">
        <v>1607</v>
      </c>
      <c r="T558" s="16"/>
    </row>
    <row r="559">
      <c r="A559" s="54">
        <v>46184.4273852662</v>
      </c>
      <c r="B559" s="16" t="s">
        <v>34</v>
      </c>
      <c r="C559" s="16" t="s">
        <v>2639</v>
      </c>
      <c r="D559" s="17"/>
      <c r="E559" s="31"/>
      <c r="F559" s="39">
        <v>19.0</v>
      </c>
      <c r="G559" s="16" t="s">
        <v>181</v>
      </c>
      <c r="H559" s="51">
        <v>46111.0</v>
      </c>
      <c r="I559" s="16" t="s">
        <v>183</v>
      </c>
      <c r="J559" s="17"/>
      <c r="K559" s="13"/>
      <c r="L559" s="16" t="s">
        <v>2507</v>
      </c>
      <c r="M559" s="16" t="s">
        <v>52</v>
      </c>
      <c r="N559" s="17"/>
      <c r="O559" s="16" t="s">
        <v>1512</v>
      </c>
      <c r="P559" s="18"/>
      <c r="Q559" s="16" t="s">
        <v>52</v>
      </c>
      <c r="R559" s="16" t="s">
        <v>2639</v>
      </c>
      <c r="S559" s="16" t="s">
        <v>1607</v>
      </c>
      <c r="T559" s="16"/>
    </row>
    <row r="560">
      <c r="A560" s="54">
        <v>46184.43141953704</v>
      </c>
      <c r="B560" s="16" t="s">
        <v>34</v>
      </c>
      <c r="C560" s="16" t="s">
        <v>666</v>
      </c>
      <c r="D560" s="17"/>
      <c r="E560" s="31"/>
      <c r="F560" s="39">
        <v>2.0</v>
      </c>
      <c r="G560" s="16" t="s">
        <v>181</v>
      </c>
      <c r="H560" s="51">
        <v>46169.0</v>
      </c>
      <c r="I560" s="16" t="s">
        <v>183</v>
      </c>
      <c r="J560" s="17"/>
      <c r="K560" s="13"/>
      <c r="L560" s="16" t="s">
        <v>2507</v>
      </c>
      <c r="M560" s="16" t="s">
        <v>52</v>
      </c>
      <c r="N560" s="17"/>
      <c r="O560" s="16" t="s">
        <v>2465</v>
      </c>
      <c r="P560" s="18"/>
      <c r="Q560" s="16" t="s">
        <v>52</v>
      </c>
      <c r="R560" s="16" t="s">
        <v>1090</v>
      </c>
      <c r="S560" s="16" t="s">
        <v>1607</v>
      </c>
      <c r="T560" s="16"/>
    </row>
    <row r="561">
      <c r="A561" s="54">
        <v>46184.43363234954</v>
      </c>
      <c r="B561" s="16" t="s">
        <v>34</v>
      </c>
      <c r="C561" s="16" t="s">
        <v>678</v>
      </c>
      <c r="D561" s="17"/>
      <c r="E561" s="31"/>
      <c r="F561" s="39">
        <v>1.0</v>
      </c>
      <c r="G561" s="16" t="s">
        <v>181</v>
      </c>
      <c r="H561" s="51">
        <v>46174.0</v>
      </c>
      <c r="I561" s="16" t="s">
        <v>183</v>
      </c>
      <c r="J561" s="17"/>
      <c r="K561" s="13"/>
      <c r="L561" s="16" t="s">
        <v>2507</v>
      </c>
      <c r="M561" s="16" t="s">
        <v>52</v>
      </c>
      <c r="N561" s="17"/>
      <c r="O561" s="16" t="s">
        <v>2478</v>
      </c>
      <c r="P561" s="18"/>
      <c r="Q561" s="16" t="s">
        <v>52</v>
      </c>
      <c r="R561" s="16" t="s">
        <v>678</v>
      </c>
      <c r="S561" s="16" t="s">
        <v>1607</v>
      </c>
      <c r="T561" s="16"/>
    </row>
    <row r="562">
      <c r="A562" s="54">
        <v>46184.433972025465</v>
      </c>
      <c r="B562" s="16" t="s">
        <v>34</v>
      </c>
      <c r="C562" s="16" t="s">
        <v>675</v>
      </c>
      <c r="D562" s="17"/>
      <c r="E562" s="31"/>
      <c r="F562" s="39">
        <v>1.0</v>
      </c>
      <c r="G562" s="16" t="s">
        <v>181</v>
      </c>
      <c r="H562" s="51">
        <v>46174.0</v>
      </c>
      <c r="I562" s="16" t="s">
        <v>183</v>
      </c>
      <c r="J562" s="17"/>
      <c r="K562" s="13"/>
      <c r="L562" s="16" t="s">
        <v>2507</v>
      </c>
      <c r="M562" s="16" t="s">
        <v>52</v>
      </c>
      <c r="N562" s="17"/>
      <c r="O562" s="16" t="s">
        <v>2475</v>
      </c>
      <c r="P562" s="18"/>
      <c r="Q562" s="16" t="s">
        <v>52</v>
      </c>
      <c r="R562" s="16" t="s">
        <v>675</v>
      </c>
      <c r="S562" s="16" t="s">
        <v>1607</v>
      </c>
      <c r="T562" s="16"/>
    </row>
    <row r="563">
      <c r="A563" s="54">
        <v>46184.43428548611</v>
      </c>
      <c r="B563" s="16" t="s">
        <v>34</v>
      </c>
      <c r="C563" s="16" t="s">
        <v>669</v>
      </c>
      <c r="D563" s="17"/>
      <c r="E563" s="31"/>
      <c r="F563" s="39">
        <v>1.0</v>
      </c>
      <c r="G563" s="16" t="s">
        <v>181</v>
      </c>
      <c r="H563" s="51">
        <v>46174.0</v>
      </c>
      <c r="I563" s="16" t="s">
        <v>183</v>
      </c>
      <c r="J563" s="17"/>
      <c r="K563" s="13"/>
      <c r="L563" s="16" t="s">
        <v>2507</v>
      </c>
      <c r="M563" s="16" t="s">
        <v>52</v>
      </c>
      <c r="N563" s="17"/>
      <c r="O563" s="16" t="s">
        <v>2471</v>
      </c>
      <c r="P563" s="18"/>
      <c r="Q563" s="16" t="s">
        <v>52</v>
      </c>
      <c r="R563" s="16" t="s">
        <v>669</v>
      </c>
      <c r="S563" s="16" t="s">
        <v>1607</v>
      </c>
      <c r="T563" s="16"/>
    </row>
    <row r="564">
      <c r="A564" s="54">
        <v>46184.43477652778</v>
      </c>
      <c r="B564" s="16" t="s">
        <v>34</v>
      </c>
      <c r="C564" s="16" t="s">
        <v>542</v>
      </c>
      <c r="D564" s="17"/>
      <c r="E564" s="31"/>
      <c r="F564" s="39">
        <v>1.0</v>
      </c>
      <c r="G564" s="16" t="s">
        <v>181</v>
      </c>
      <c r="H564" s="51">
        <v>46174.0</v>
      </c>
      <c r="I564" s="16" t="s">
        <v>183</v>
      </c>
      <c r="J564" s="17"/>
      <c r="K564" s="13"/>
      <c r="L564" s="16" t="s">
        <v>2507</v>
      </c>
      <c r="M564" s="16" t="s">
        <v>388</v>
      </c>
      <c r="N564" s="17"/>
      <c r="O564" s="16" t="s">
        <v>2304</v>
      </c>
      <c r="P564" s="18"/>
      <c r="Q564" s="16" t="s">
        <v>52</v>
      </c>
      <c r="R564" s="16" t="s">
        <v>542</v>
      </c>
      <c r="S564" s="16" t="s">
        <v>1607</v>
      </c>
      <c r="T564" s="16"/>
    </row>
    <row r="565">
      <c r="A565" s="54">
        <v>46184.43762444444</v>
      </c>
      <c r="B565" s="16" t="s">
        <v>104</v>
      </c>
      <c r="C565" s="16" t="s">
        <v>1260</v>
      </c>
      <c r="D565" s="17"/>
      <c r="E565" s="31"/>
      <c r="F565" s="39">
        <v>1.0</v>
      </c>
      <c r="G565" s="16" t="s">
        <v>181</v>
      </c>
      <c r="H565" s="51">
        <v>46160.0</v>
      </c>
      <c r="I565" s="17"/>
      <c r="J565" s="16" t="s">
        <v>35</v>
      </c>
      <c r="K565" s="13"/>
      <c r="L565" s="16" t="s">
        <v>54</v>
      </c>
      <c r="M565" s="16" t="s">
        <v>52</v>
      </c>
      <c r="N565" s="16" t="s">
        <v>1260</v>
      </c>
      <c r="O565" s="16" t="s">
        <v>2640</v>
      </c>
      <c r="P565" s="18"/>
      <c r="Q565" s="16" t="s">
        <v>52</v>
      </c>
      <c r="R565" s="16" t="s">
        <v>267</v>
      </c>
      <c r="S565" s="16" t="s">
        <v>1493</v>
      </c>
      <c r="T565" s="16"/>
    </row>
    <row r="566">
      <c r="A566" s="54">
        <v>46184.4385233912</v>
      </c>
      <c r="B566" s="16" t="s">
        <v>34</v>
      </c>
      <c r="C566" s="16" t="s">
        <v>616</v>
      </c>
      <c r="D566" s="17"/>
      <c r="E566" s="31"/>
      <c r="F566" s="39">
        <v>2.0</v>
      </c>
      <c r="G566" s="16" t="s">
        <v>181</v>
      </c>
      <c r="H566" s="51">
        <v>46134.0</v>
      </c>
      <c r="I566" s="16" t="s">
        <v>183</v>
      </c>
      <c r="J566" s="17"/>
      <c r="K566" s="13"/>
      <c r="L566" s="16" t="s">
        <v>2507</v>
      </c>
      <c r="M566" s="16" t="s">
        <v>52</v>
      </c>
      <c r="N566" s="17"/>
      <c r="O566" s="16" t="s">
        <v>2396</v>
      </c>
      <c r="P566" s="18"/>
      <c r="Q566" s="16" t="s">
        <v>52</v>
      </c>
      <c r="R566" s="16" t="s">
        <v>616</v>
      </c>
      <c r="S566" s="16" t="s">
        <v>1607</v>
      </c>
      <c r="T566" s="16"/>
    </row>
    <row r="567">
      <c r="A567" s="54">
        <v>46184.43968452547</v>
      </c>
      <c r="B567" s="16" t="s">
        <v>34</v>
      </c>
      <c r="C567" s="16" t="s">
        <v>480</v>
      </c>
      <c r="D567" s="17"/>
      <c r="E567" s="31"/>
      <c r="F567" s="39">
        <v>1.0</v>
      </c>
      <c r="G567" s="16" t="s">
        <v>181</v>
      </c>
      <c r="H567" s="51">
        <v>46160.0</v>
      </c>
      <c r="I567" s="16" t="s">
        <v>88</v>
      </c>
      <c r="J567" s="17"/>
      <c r="K567" s="13"/>
      <c r="L567" s="16" t="s">
        <v>2507</v>
      </c>
      <c r="M567" s="16" t="s">
        <v>52</v>
      </c>
      <c r="N567" s="17"/>
      <c r="O567" s="16" t="s">
        <v>2187</v>
      </c>
      <c r="P567" s="18"/>
      <c r="Q567" s="16" t="s">
        <v>52</v>
      </c>
      <c r="R567" s="16" t="s">
        <v>480</v>
      </c>
      <c r="S567" s="16" t="s">
        <v>1607</v>
      </c>
      <c r="T567" s="16"/>
    </row>
    <row r="568">
      <c r="A568" s="54">
        <v>46184.4412062037</v>
      </c>
      <c r="B568" s="16" t="s">
        <v>34</v>
      </c>
      <c r="C568" s="16" t="s">
        <v>536</v>
      </c>
      <c r="D568" s="17"/>
      <c r="E568" s="31"/>
      <c r="F568" s="39">
        <v>21.0</v>
      </c>
      <c r="G568" s="16" t="s">
        <v>181</v>
      </c>
      <c r="H568" s="51">
        <v>46184.0</v>
      </c>
      <c r="I568" s="16" t="s">
        <v>106</v>
      </c>
      <c r="J568" s="17"/>
      <c r="K568" s="13"/>
      <c r="L568" s="16" t="s">
        <v>2507</v>
      </c>
      <c r="M568" s="16" t="s">
        <v>2192</v>
      </c>
      <c r="N568" s="17"/>
      <c r="O568" s="16" t="s">
        <v>2280</v>
      </c>
      <c r="P568" s="18"/>
      <c r="Q568" s="16" t="s">
        <v>52</v>
      </c>
      <c r="R568" s="16" t="s">
        <v>536</v>
      </c>
      <c r="S568" s="16" t="s">
        <v>1607</v>
      </c>
      <c r="T568" s="16"/>
    </row>
    <row r="569">
      <c r="A569" s="54">
        <v>46184.44330537037</v>
      </c>
      <c r="B569" s="16" t="s">
        <v>34</v>
      </c>
      <c r="C569" s="16" t="s">
        <v>549</v>
      </c>
      <c r="D569" s="17"/>
      <c r="E569" s="31"/>
      <c r="F569" s="39">
        <v>28.0</v>
      </c>
      <c r="G569" s="16" t="s">
        <v>181</v>
      </c>
      <c r="H569" s="51">
        <v>46163.0</v>
      </c>
      <c r="I569" s="16" t="s">
        <v>128</v>
      </c>
      <c r="J569" s="17"/>
      <c r="K569" s="13"/>
      <c r="L569" s="16" t="s">
        <v>2507</v>
      </c>
      <c r="M569" s="16" t="s">
        <v>2641</v>
      </c>
      <c r="N569" s="17"/>
      <c r="O569" s="16" t="s">
        <v>2334</v>
      </c>
      <c r="P569" s="18"/>
      <c r="Q569" s="16" t="s">
        <v>52</v>
      </c>
      <c r="R569" s="16" t="s">
        <v>549</v>
      </c>
      <c r="S569" s="16" t="s">
        <v>1607</v>
      </c>
      <c r="T569" s="16"/>
    </row>
    <row r="570">
      <c r="A570" s="54">
        <v>46184.445823981485</v>
      </c>
      <c r="B570" s="16" t="s">
        <v>34</v>
      </c>
      <c r="C570" s="16" t="s">
        <v>720</v>
      </c>
      <c r="D570" s="17"/>
      <c r="E570" s="31"/>
      <c r="F570" s="39">
        <v>1.0</v>
      </c>
      <c r="G570" s="16" t="s">
        <v>181</v>
      </c>
      <c r="H570" s="52">
        <v>46182.0</v>
      </c>
      <c r="I570" s="16" t="s">
        <v>158</v>
      </c>
      <c r="J570" s="17"/>
      <c r="K570" s="13"/>
      <c r="L570" s="16" t="s">
        <v>54</v>
      </c>
      <c r="M570" s="16" t="s">
        <v>2350</v>
      </c>
      <c r="N570" s="16" t="s">
        <v>376</v>
      </c>
      <c r="O570" s="16" t="s">
        <v>2545</v>
      </c>
      <c r="P570" s="18"/>
      <c r="Q570" s="16" t="s">
        <v>52</v>
      </c>
      <c r="R570" s="16" t="s">
        <v>206</v>
      </c>
      <c r="S570" s="16" t="s">
        <v>1895</v>
      </c>
      <c r="T570" s="16"/>
    </row>
    <row r="571">
      <c r="A571" s="54">
        <v>46184.453689120375</v>
      </c>
      <c r="B571" s="16" t="s">
        <v>34</v>
      </c>
      <c r="C571" s="16" t="s">
        <v>601</v>
      </c>
      <c r="D571" s="17"/>
      <c r="E571" s="31"/>
      <c r="F571" s="39">
        <v>25.0</v>
      </c>
      <c r="G571" s="16" t="s">
        <v>181</v>
      </c>
      <c r="H571" s="51">
        <v>46169.0</v>
      </c>
      <c r="I571" s="16" t="s">
        <v>199</v>
      </c>
      <c r="J571" s="17"/>
      <c r="K571" s="13"/>
      <c r="L571" s="16" t="s">
        <v>2507</v>
      </c>
      <c r="M571" s="16" t="s">
        <v>52</v>
      </c>
      <c r="N571" s="17"/>
      <c r="O571" s="16" t="s">
        <v>2389</v>
      </c>
      <c r="P571" s="18"/>
      <c r="Q571" s="16" t="s">
        <v>52</v>
      </c>
      <c r="R571" s="16" t="s">
        <v>601</v>
      </c>
      <c r="S571" s="16" t="s">
        <v>1607</v>
      </c>
      <c r="T571" s="16"/>
    </row>
    <row r="572">
      <c r="A572" s="54">
        <v>46184.453689120375</v>
      </c>
      <c r="B572" s="16" t="s">
        <v>34</v>
      </c>
      <c r="C572" s="16" t="s">
        <v>601</v>
      </c>
      <c r="D572" s="17"/>
      <c r="E572" s="31"/>
      <c r="F572" s="39">
        <v>25.0</v>
      </c>
      <c r="G572" s="16" t="s">
        <v>181</v>
      </c>
      <c r="H572" s="51">
        <v>46169.0</v>
      </c>
      <c r="I572" s="16" t="s">
        <v>174</v>
      </c>
      <c r="J572" s="17"/>
      <c r="K572" s="13"/>
      <c r="L572" s="16" t="s">
        <v>2507</v>
      </c>
      <c r="M572" s="16" t="s">
        <v>52</v>
      </c>
      <c r="N572" s="17"/>
      <c r="O572" s="16" t="s">
        <v>2389</v>
      </c>
      <c r="P572" s="18"/>
      <c r="Q572" s="16" t="s">
        <v>52</v>
      </c>
      <c r="R572" s="16" t="s">
        <v>601</v>
      </c>
      <c r="S572" s="16" t="s">
        <v>1607</v>
      </c>
      <c r="T572" s="16"/>
    </row>
    <row r="573">
      <c r="A573" s="54">
        <v>46184.453689120375</v>
      </c>
      <c r="B573" s="16" t="s">
        <v>34</v>
      </c>
      <c r="C573" s="16" t="s">
        <v>601</v>
      </c>
      <c r="D573" s="17"/>
      <c r="E573" s="31"/>
      <c r="F573" s="39">
        <v>22.0</v>
      </c>
      <c r="G573" s="16" t="s">
        <v>181</v>
      </c>
      <c r="H573" s="51">
        <v>46169.0</v>
      </c>
      <c r="I573" s="16" t="s">
        <v>195</v>
      </c>
      <c r="J573" s="17"/>
      <c r="K573" s="13"/>
      <c r="L573" s="16" t="s">
        <v>2507</v>
      </c>
      <c r="M573" s="16" t="s">
        <v>52</v>
      </c>
      <c r="N573" s="17"/>
      <c r="O573" s="16" t="s">
        <v>2389</v>
      </c>
      <c r="P573" s="18"/>
      <c r="Q573" s="16" t="s">
        <v>52</v>
      </c>
      <c r="R573" s="16" t="s">
        <v>601</v>
      </c>
      <c r="S573" s="16" t="s">
        <v>1607</v>
      </c>
      <c r="T573" s="16"/>
    </row>
    <row r="574">
      <c r="A574" s="54">
        <v>46184.458034780095</v>
      </c>
      <c r="B574" s="16" t="s">
        <v>34</v>
      </c>
      <c r="C574" s="16" t="s">
        <v>381</v>
      </c>
      <c r="D574" s="17"/>
      <c r="E574" s="31"/>
      <c r="F574" s="39">
        <v>29.0</v>
      </c>
      <c r="G574" s="16" t="s">
        <v>181</v>
      </c>
      <c r="H574" s="51">
        <v>46155.0</v>
      </c>
      <c r="I574" s="16" t="s">
        <v>202</v>
      </c>
      <c r="J574" s="17"/>
      <c r="K574" s="13"/>
      <c r="L574" s="16" t="s">
        <v>2507</v>
      </c>
      <c r="M574" s="16" t="s">
        <v>52</v>
      </c>
      <c r="N574" s="17"/>
      <c r="O574" s="16" t="s">
        <v>1548</v>
      </c>
      <c r="P574" s="18"/>
      <c r="Q574" s="16" t="s">
        <v>52</v>
      </c>
      <c r="R574" s="16" t="s">
        <v>381</v>
      </c>
      <c r="S574" s="16" t="s">
        <v>1607</v>
      </c>
      <c r="T574" s="16"/>
    </row>
    <row r="575">
      <c r="A575" s="54">
        <v>46184.458034780095</v>
      </c>
      <c r="B575" s="16" t="s">
        <v>34</v>
      </c>
      <c r="C575" s="16" t="s">
        <v>381</v>
      </c>
      <c r="D575" s="17"/>
      <c r="E575" s="31"/>
      <c r="F575" s="39">
        <v>25.0</v>
      </c>
      <c r="G575" s="16" t="s">
        <v>181</v>
      </c>
      <c r="H575" s="51">
        <v>46155.0</v>
      </c>
      <c r="I575" s="16" t="s">
        <v>177</v>
      </c>
      <c r="J575" s="17"/>
      <c r="K575" s="13"/>
      <c r="L575" s="16" t="s">
        <v>2507</v>
      </c>
      <c r="M575" s="16" t="s">
        <v>52</v>
      </c>
      <c r="N575" s="17"/>
      <c r="O575" s="16" t="s">
        <v>1548</v>
      </c>
      <c r="P575" s="18"/>
      <c r="Q575" s="16" t="s">
        <v>52</v>
      </c>
      <c r="R575" s="16" t="s">
        <v>381</v>
      </c>
      <c r="S575" s="16" t="s">
        <v>1607</v>
      </c>
      <c r="T575" s="16"/>
    </row>
    <row r="576">
      <c r="A576" s="54">
        <v>46184.50452777778</v>
      </c>
      <c r="B576" s="16" t="s">
        <v>49</v>
      </c>
      <c r="C576" s="16" t="s">
        <v>1263</v>
      </c>
      <c r="D576" s="17"/>
      <c r="E576" s="42" t="s">
        <v>2642</v>
      </c>
      <c r="F576" s="39">
        <v>4.0</v>
      </c>
      <c r="G576" s="16" t="s">
        <v>181</v>
      </c>
      <c r="H576" s="51">
        <v>46174.0</v>
      </c>
      <c r="I576" s="17"/>
      <c r="J576" s="16" t="s">
        <v>51</v>
      </c>
      <c r="K576" s="12" t="s">
        <v>2643</v>
      </c>
      <c r="L576" s="16" t="s">
        <v>54</v>
      </c>
      <c r="M576" s="16" t="s">
        <v>2350</v>
      </c>
      <c r="N576" s="16" t="s">
        <v>1264</v>
      </c>
      <c r="O576" s="16" t="s">
        <v>2644</v>
      </c>
      <c r="P576" s="18"/>
      <c r="Q576" s="16" t="s">
        <v>52</v>
      </c>
      <c r="R576" s="16" t="s">
        <v>189</v>
      </c>
      <c r="S576" s="16" t="s">
        <v>1493</v>
      </c>
      <c r="T576" s="16"/>
    </row>
    <row r="577">
      <c r="A577" s="54">
        <v>46184.52912413194</v>
      </c>
      <c r="B577" s="16" t="s">
        <v>49</v>
      </c>
      <c r="C577" s="16" t="s">
        <v>1266</v>
      </c>
      <c r="D577" s="17"/>
      <c r="E577" s="42" t="s">
        <v>2645</v>
      </c>
      <c r="F577" s="39">
        <v>1.0</v>
      </c>
      <c r="G577" s="16" t="s">
        <v>181</v>
      </c>
      <c r="H577" s="51">
        <v>46178.0</v>
      </c>
      <c r="I577" s="17"/>
      <c r="J577" s="16" t="s">
        <v>51</v>
      </c>
      <c r="K577" s="12" t="s">
        <v>2646</v>
      </c>
      <c r="L577" s="16" t="s">
        <v>54</v>
      </c>
      <c r="M577" s="16" t="s">
        <v>2350</v>
      </c>
      <c r="N577" s="16" t="s">
        <v>1266</v>
      </c>
      <c r="O577" s="16" t="s">
        <v>2647</v>
      </c>
      <c r="P577" s="18"/>
      <c r="Q577" s="16" t="s">
        <v>52</v>
      </c>
      <c r="R577" s="16" t="s">
        <v>219</v>
      </c>
      <c r="S577" s="16" t="s">
        <v>1493</v>
      </c>
      <c r="T577" s="16"/>
    </row>
    <row r="578">
      <c r="A578" s="54">
        <v>46184.535173738426</v>
      </c>
      <c r="B578" s="16" t="s">
        <v>49</v>
      </c>
      <c r="C578" s="16" t="s">
        <v>781</v>
      </c>
      <c r="D578" s="17"/>
      <c r="E578" s="42" t="s">
        <v>2648</v>
      </c>
      <c r="F578" s="39">
        <v>1.0</v>
      </c>
      <c r="G578" s="16" t="s">
        <v>181</v>
      </c>
      <c r="H578" s="51">
        <v>46184.0</v>
      </c>
      <c r="I578" s="17"/>
      <c r="J578" s="16" t="s">
        <v>35</v>
      </c>
      <c r="K578" s="12" t="s">
        <v>2358</v>
      </c>
      <c r="L578" s="16" t="s">
        <v>54</v>
      </c>
      <c r="M578" s="16" t="s">
        <v>2350</v>
      </c>
      <c r="N578" s="16" t="s">
        <v>781</v>
      </c>
      <c r="O578" s="16" t="s">
        <v>2649</v>
      </c>
      <c r="P578" s="18"/>
      <c r="Q578" s="16" t="s">
        <v>52</v>
      </c>
      <c r="R578" s="16" t="s">
        <v>216</v>
      </c>
      <c r="S578" s="16" t="s">
        <v>1493</v>
      </c>
      <c r="T578" s="16"/>
    </row>
    <row r="579">
      <c r="A579" s="54">
        <v>46184.535173738426</v>
      </c>
      <c r="B579" s="16" t="s">
        <v>49</v>
      </c>
      <c r="C579" s="16" t="s">
        <v>783</v>
      </c>
      <c r="D579" s="17"/>
      <c r="E579" s="42" t="s">
        <v>2650</v>
      </c>
      <c r="F579" s="39">
        <v>1.0</v>
      </c>
      <c r="G579" s="16" t="s">
        <v>181</v>
      </c>
      <c r="H579" s="51">
        <v>46184.0</v>
      </c>
      <c r="I579" s="17"/>
      <c r="J579" s="16" t="s">
        <v>35</v>
      </c>
      <c r="K579" s="12" t="s">
        <v>2358</v>
      </c>
      <c r="L579" s="16" t="s">
        <v>54</v>
      </c>
      <c r="M579" s="16" t="s">
        <v>2350</v>
      </c>
      <c r="N579" s="16" t="s">
        <v>783</v>
      </c>
      <c r="O579" s="16" t="s">
        <v>2651</v>
      </c>
      <c r="P579" s="18"/>
      <c r="Q579" s="16" t="s">
        <v>52</v>
      </c>
      <c r="R579" s="16" t="s">
        <v>216</v>
      </c>
      <c r="S579" s="16" t="s">
        <v>1493</v>
      </c>
      <c r="T579" s="16"/>
    </row>
    <row r="580">
      <c r="A580" s="54">
        <v>46184.544333576385</v>
      </c>
      <c r="B580" s="16" t="s">
        <v>49</v>
      </c>
      <c r="C580" s="16" t="s">
        <v>783</v>
      </c>
      <c r="D580" s="17"/>
      <c r="E580" s="42" t="s">
        <v>2650</v>
      </c>
      <c r="F580" s="39">
        <v>11.0</v>
      </c>
      <c r="G580" s="16" t="s">
        <v>181</v>
      </c>
      <c r="H580" s="51">
        <v>46178.0</v>
      </c>
      <c r="I580" s="17"/>
      <c r="J580" s="16" t="s">
        <v>35</v>
      </c>
      <c r="K580" s="12" t="s">
        <v>2652</v>
      </c>
      <c r="L580" s="16" t="s">
        <v>54</v>
      </c>
      <c r="M580" s="16" t="s">
        <v>2350</v>
      </c>
      <c r="N580" s="16" t="s">
        <v>783</v>
      </c>
      <c r="O580" s="16" t="s">
        <v>2651</v>
      </c>
      <c r="P580" s="18"/>
      <c r="Q580" s="16" t="s">
        <v>52</v>
      </c>
      <c r="R580" s="16" t="s">
        <v>161</v>
      </c>
      <c r="S580" s="16" t="s">
        <v>1493</v>
      </c>
      <c r="T580" s="16"/>
    </row>
    <row r="581">
      <c r="A581" s="54">
        <v>46184.552299641204</v>
      </c>
      <c r="B581" s="16" t="s">
        <v>49</v>
      </c>
      <c r="C581" s="16" t="s">
        <v>781</v>
      </c>
      <c r="D581" s="17"/>
      <c r="E581" s="42" t="s">
        <v>2648</v>
      </c>
      <c r="F581" s="39">
        <v>11.0</v>
      </c>
      <c r="G581" s="16" t="s">
        <v>181</v>
      </c>
      <c r="H581" s="51">
        <v>46178.0</v>
      </c>
      <c r="I581" s="17"/>
      <c r="J581" s="16" t="s">
        <v>35</v>
      </c>
      <c r="K581" s="12" t="s">
        <v>2653</v>
      </c>
      <c r="L581" s="16" t="s">
        <v>54</v>
      </c>
      <c r="M581" s="16" t="s">
        <v>2350</v>
      </c>
      <c r="N581" s="16" t="s">
        <v>781</v>
      </c>
      <c r="O581" s="16" t="s">
        <v>2649</v>
      </c>
      <c r="P581" s="18"/>
      <c r="Q581" s="16" t="s">
        <v>52</v>
      </c>
      <c r="R581" s="16" t="s">
        <v>161</v>
      </c>
      <c r="S581" s="16" t="s">
        <v>1493</v>
      </c>
      <c r="T581" s="16"/>
    </row>
    <row r="582">
      <c r="A582" s="54">
        <v>46184.56394341435</v>
      </c>
      <c r="B582" s="16" t="s">
        <v>49</v>
      </c>
      <c r="C582" s="16" t="s">
        <v>720</v>
      </c>
      <c r="D582" s="17"/>
      <c r="E582" s="31"/>
      <c r="F582" s="39">
        <v>3.0</v>
      </c>
      <c r="G582" s="16" t="s">
        <v>181</v>
      </c>
      <c r="H582" s="51">
        <v>46178.0</v>
      </c>
      <c r="I582" s="17"/>
      <c r="J582" s="16" t="s">
        <v>115</v>
      </c>
      <c r="K582" s="12" t="s">
        <v>2654</v>
      </c>
      <c r="L582" s="16" t="s">
        <v>54</v>
      </c>
      <c r="M582" s="16" t="s">
        <v>2350</v>
      </c>
      <c r="N582" s="16" t="s">
        <v>720</v>
      </c>
      <c r="O582" s="16" t="s">
        <v>2655</v>
      </c>
      <c r="P582" s="18"/>
      <c r="Q582" s="16" t="s">
        <v>52</v>
      </c>
      <c r="R582" s="16" t="s">
        <v>224</v>
      </c>
      <c r="S582" s="16" t="s">
        <v>1493</v>
      </c>
      <c r="T582" s="16"/>
    </row>
    <row r="583">
      <c r="A583" s="54">
        <v>46184.57121675926</v>
      </c>
      <c r="B583" s="16" t="s">
        <v>49</v>
      </c>
      <c r="C583" s="16" t="s">
        <v>751</v>
      </c>
      <c r="D583" s="17"/>
      <c r="E583" s="42" t="s">
        <v>2656</v>
      </c>
      <c r="F583" s="39">
        <v>4.0</v>
      </c>
      <c r="G583" s="16" t="s">
        <v>181</v>
      </c>
      <c r="H583" s="51">
        <v>46178.0</v>
      </c>
      <c r="I583" s="17"/>
      <c r="J583" s="16" t="s">
        <v>51</v>
      </c>
      <c r="K583" s="12" t="s">
        <v>2653</v>
      </c>
      <c r="L583" s="16" t="s">
        <v>54</v>
      </c>
      <c r="M583" s="16" t="s">
        <v>2350</v>
      </c>
      <c r="N583" s="16" t="s">
        <v>751</v>
      </c>
      <c r="O583" s="16" t="s">
        <v>2557</v>
      </c>
      <c r="P583" s="18"/>
      <c r="Q583" s="16" t="s">
        <v>52</v>
      </c>
      <c r="R583" s="16" t="s">
        <v>189</v>
      </c>
      <c r="S583" s="16" t="s">
        <v>1493</v>
      </c>
      <c r="T583" s="16" t="s">
        <v>625</v>
      </c>
    </row>
    <row r="584">
      <c r="A584" s="54">
        <v>46184.57353631944</v>
      </c>
      <c r="B584" s="16" t="s">
        <v>49</v>
      </c>
      <c r="C584" s="16" t="s">
        <v>759</v>
      </c>
      <c r="D584" s="17"/>
      <c r="E584" s="42" t="s">
        <v>2657</v>
      </c>
      <c r="F584" s="39">
        <v>3.0</v>
      </c>
      <c r="G584" s="16" t="s">
        <v>181</v>
      </c>
      <c r="H584" s="51">
        <v>46178.0</v>
      </c>
      <c r="I584" s="17"/>
      <c r="J584" s="16" t="s">
        <v>51</v>
      </c>
      <c r="K584" s="12" t="s">
        <v>1809</v>
      </c>
      <c r="L584" s="16" t="s">
        <v>54</v>
      </c>
      <c r="M584" s="16" t="s">
        <v>2350</v>
      </c>
      <c r="N584" s="16" t="s">
        <v>759</v>
      </c>
      <c r="O584" s="16" t="s">
        <v>2558</v>
      </c>
      <c r="P584" s="18"/>
      <c r="Q584" s="16" t="s">
        <v>52</v>
      </c>
      <c r="R584" s="16" t="s">
        <v>189</v>
      </c>
      <c r="S584" s="16" t="s">
        <v>1493</v>
      </c>
      <c r="T584" s="16" t="s">
        <v>625</v>
      </c>
    </row>
    <row r="585">
      <c r="A585" s="54">
        <v>46184.65056230324</v>
      </c>
      <c r="B585" s="16" t="s">
        <v>34</v>
      </c>
      <c r="C585" s="16" t="s">
        <v>744</v>
      </c>
      <c r="D585" s="17"/>
      <c r="E585" s="31"/>
      <c r="F585" s="39">
        <v>8.0</v>
      </c>
      <c r="G585" s="16" t="s">
        <v>181</v>
      </c>
      <c r="H585" s="51">
        <v>46185.0</v>
      </c>
      <c r="I585" s="16" t="s">
        <v>136</v>
      </c>
      <c r="J585" s="17"/>
      <c r="K585" s="13"/>
      <c r="L585" s="16" t="s">
        <v>2507</v>
      </c>
      <c r="M585" s="16" t="s">
        <v>2350</v>
      </c>
      <c r="N585" s="17"/>
      <c r="O585" s="16" t="s">
        <v>2563</v>
      </c>
      <c r="P585" s="18"/>
      <c r="Q585" s="16" t="s">
        <v>52</v>
      </c>
      <c r="R585" s="16" t="s">
        <v>744</v>
      </c>
      <c r="S585" s="16" t="s">
        <v>1607</v>
      </c>
      <c r="T585" s="16"/>
    </row>
    <row r="586">
      <c r="A586" s="54">
        <v>46184.652307083335</v>
      </c>
      <c r="B586" s="16" t="s">
        <v>34</v>
      </c>
      <c r="C586" s="16" t="s">
        <v>759</v>
      </c>
      <c r="D586" s="17"/>
      <c r="E586" s="31"/>
      <c r="F586" s="39">
        <v>11.0</v>
      </c>
      <c r="G586" s="16" t="s">
        <v>181</v>
      </c>
      <c r="H586" s="51">
        <v>46184.0</v>
      </c>
      <c r="I586" s="16" t="s">
        <v>202</v>
      </c>
      <c r="J586" s="17"/>
      <c r="K586" s="13"/>
      <c r="L586" s="16" t="s">
        <v>2507</v>
      </c>
      <c r="M586" s="16" t="s">
        <v>2350</v>
      </c>
      <c r="N586" s="17"/>
      <c r="O586" s="16" t="s">
        <v>2565</v>
      </c>
      <c r="P586" s="18"/>
      <c r="Q586" s="16" t="s">
        <v>52</v>
      </c>
      <c r="R586" s="16" t="s">
        <v>759</v>
      </c>
      <c r="S586" s="16" t="s">
        <v>1607</v>
      </c>
      <c r="T586" s="16"/>
    </row>
    <row r="587">
      <c r="A587" s="54">
        <v>46184.652307083335</v>
      </c>
      <c r="B587" s="16" t="s">
        <v>34</v>
      </c>
      <c r="C587" s="16" t="s">
        <v>751</v>
      </c>
      <c r="D587" s="17"/>
      <c r="E587" s="31"/>
      <c r="F587" s="39">
        <v>10.0</v>
      </c>
      <c r="G587" s="16" t="s">
        <v>181</v>
      </c>
      <c r="H587" s="51">
        <v>46184.0</v>
      </c>
      <c r="I587" s="16" t="s">
        <v>177</v>
      </c>
      <c r="J587" s="17"/>
      <c r="K587" s="13"/>
      <c r="L587" s="16" t="s">
        <v>2507</v>
      </c>
      <c r="M587" s="16" t="s">
        <v>2350</v>
      </c>
      <c r="N587" s="17"/>
      <c r="O587" s="16" t="s">
        <v>2564</v>
      </c>
      <c r="P587" s="18"/>
      <c r="Q587" s="16" t="s">
        <v>52</v>
      </c>
      <c r="R587" s="16" t="s">
        <v>751</v>
      </c>
      <c r="S587" s="16" t="s">
        <v>1607</v>
      </c>
      <c r="T587" s="16"/>
    </row>
    <row r="588">
      <c r="A588" s="54">
        <v>46185.6038890625</v>
      </c>
      <c r="B588" s="16" t="s">
        <v>68</v>
      </c>
      <c r="C588" s="16" t="s">
        <v>798</v>
      </c>
      <c r="D588" s="17"/>
      <c r="E588" s="31"/>
      <c r="F588" s="39">
        <v>1.0</v>
      </c>
      <c r="G588" s="16" t="s">
        <v>181</v>
      </c>
      <c r="H588" s="51">
        <v>46184.0</v>
      </c>
      <c r="I588" s="17"/>
      <c r="J588" s="16" t="s">
        <v>92</v>
      </c>
      <c r="K588" s="13"/>
      <c r="L588" s="16" t="s">
        <v>54</v>
      </c>
      <c r="M588" s="16" t="s">
        <v>52</v>
      </c>
      <c r="N588" s="16" t="s">
        <v>2658</v>
      </c>
      <c r="O588" s="16" t="s">
        <v>2659</v>
      </c>
      <c r="P588" s="34" t="s">
        <v>2660</v>
      </c>
      <c r="Q588" s="16" t="s">
        <v>52</v>
      </c>
      <c r="R588" s="16" t="s">
        <v>17</v>
      </c>
      <c r="S588" s="16" t="s">
        <v>1493</v>
      </c>
      <c r="T588" s="16"/>
    </row>
    <row r="589">
      <c r="A589" s="54">
        <v>46185.62086202546</v>
      </c>
      <c r="B589" s="16" t="s">
        <v>75</v>
      </c>
      <c r="C589" s="16" t="s">
        <v>1276</v>
      </c>
      <c r="D589" s="17"/>
      <c r="E589" s="31"/>
      <c r="F589" s="39">
        <v>1.0</v>
      </c>
      <c r="G589" s="16" t="s">
        <v>181</v>
      </c>
      <c r="H589" s="51">
        <v>46184.0</v>
      </c>
      <c r="I589" s="17"/>
      <c r="J589" s="16" t="s">
        <v>92</v>
      </c>
      <c r="K589" s="13"/>
      <c r="L589" s="16" t="s">
        <v>54</v>
      </c>
      <c r="M589" s="16" t="s">
        <v>52</v>
      </c>
      <c r="N589" s="16" t="s">
        <v>1276</v>
      </c>
      <c r="O589" s="16" t="s">
        <v>2661</v>
      </c>
      <c r="P589" s="34" t="s">
        <v>2662</v>
      </c>
      <c r="Q589" s="16" t="s">
        <v>52</v>
      </c>
      <c r="R589" s="16" t="s">
        <v>17</v>
      </c>
      <c r="S589" s="16" t="s">
        <v>1493</v>
      </c>
      <c r="T589" s="16"/>
    </row>
    <row r="590">
      <c r="A590" s="54">
        <v>46185.62252675926</v>
      </c>
      <c r="B590" s="16" t="s">
        <v>68</v>
      </c>
      <c r="C590" s="16" t="s">
        <v>1279</v>
      </c>
      <c r="D590" s="17"/>
      <c r="E590" s="31"/>
      <c r="F590" s="39">
        <v>5.0</v>
      </c>
      <c r="G590" s="16" t="s">
        <v>181</v>
      </c>
      <c r="H590" s="51">
        <v>46184.0</v>
      </c>
      <c r="I590" s="17"/>
      <c r="J590" s="16" t="s">
        <v>92</v>
      </c>
      <c r="K590" s="13"/>
      <c r="L590" s="16" t="s">
        <v>54</v>
      </c>
      <c r="M590" s="16" t="s">
        <v>52</v>
      </c>
      <c r="N590" s="16" t="s">
        <v>1281</v>
      </c>
      <c r="O590" s="16" t="s">
        <v>2663</v>
      </c>
      <c r="P590" s="34" t="s">
        <v>2664</v>
      </c>
      <c r="Q590" s="16" t="s">
        <v>52</v>
      </c>
      <c r="R590" s="16" t="s">
        <v>17</v>
      </c>
      <c r="S590" s="16" t="s">
        <v>1493</v>
      </c>
      <c r="T590" s="16"/>
    </row>
    <row r="591">
      <c r="A591" s="54">
        <v>46185.62550434028</v>
      </c>
      <c r="B591" s="16" t="s">
        <v>68</v>
      </c>
      <c r="C591" s="16" t="s">
        <v>798</v>
      </c>
      <c r="D591" s="17"/>
      <c r="E591" s="31"/>
      <c r="F591" s="39">
        <v>1.0</v>
      </c>
      <c r="G591" s="16" t="s">
        <v>181</v>
      </c>
      <c r="H591" s="51">
        <v>46185.0</v>
      </c>
      <c r="I591" s="16" t="s">
        <v>17</v>
      </c>
      <c r="J591" s="17"/>
      <c r="K591" s="13"/>
      <c r="L591" s="16" t="s">
        <v>2507</v>
      </c>
      <c r="M591" s="16" t="s">
        <v>52</v>
      </c>
      <c r="N591" s="17"/>
      <c r="O591" s="16" t="s">
        <v>2659</v>
      </c>
      <c r="P591" s="18"/>
      <c r="Q591" s="16" t="s">
        <v>52</v>
      </c>
      <c r="R591" s="16" t="s">
        <v>798</v>
      </c>
      <c r="S591" s="16" t="s">
        <v>1607</v>
      </c>
      <c r="T591" s="16"/>
    </row>
    <row r="592">
      <c r="A592" s="54">
        <v>46188.34552743056</v>
      </c>
      <c r="B592" s="16" t="s">
        <v>34</v>
      </c>
      <c r="C592" s="16" t="s">
        <v>800</v>
      </c>
      <c r="D592" s="17"/>
      <c r="E592" s="31"/>
      <c r="F592" s="39">
        <v>13.0</v>
      </c>
      <c r="G592" s="16" t="s">
        <v>181</v>
      </c>
      <c r="H592" s="51">
        <v>46185.0</v>
      </c>
      <c r="I592" s="17"/>
      <c r="J592" s="16" t="s">
        <v>51</v>
      </c>
      <c r="K592" s="13"/>
      <c r="L592" s="16" t="s">
        <v>54</v>
      </c>
      <c r="M592" s="16" t="s">
        <v>52</v>
      </c>
      <c r="N592" s="16" t="s">
        <v>800</v>
      </c>
      <c r="O592" s="16" t="s">
        <v>2665</v>
      </c>
      <c r="P592" s="18"/>
      <c r="Q592" s="16" t="s">
        <v>52</v>
      </c>
      <c r="R592" s="16" t="s">
        <v>170</v>
      </c>
      <c r="S592" s="16" t="s">
        <v>1493</v>
      </c>
      <c r="T592" s="16"/>
    </row>
    <row r="593">
      <c r="A593" s="54">
        <v>46188.34629864583</v>
      </c>
      <c r="B593" s="16" t="s">
        <v>34</v>
      </c>
      <c r="C593" s="16" t="s">
        <v>1283</v>
      </c>
      <c r="D593" s="17"/>
      <c r="E593" s="31"/>
      <c r="F593" s="39">
        <v>17.0</v>
      </c>
      <c r="G593" s="16" t="s">
        <v>181</v>
      </c>
      <c r="H593" s="51">
        <v>46185.0</v>
      </c>
      <c r="I593" s="17"/>
      <c r="J593" s="16" t="s">
        <v>51</v>
      </c>
      <c r="K593" s="12" t="s">
        <v>2666</v>
      </c>
      <c r="L593" s="16" t="s">
        <v>54</v>
      </c>
      <c r="M593" s="16" t="s">
        <v>52</v>
      </c>
      <c r="N593" s="16" t="s">
        <v>1283</v>
      </c>
      <c r="O593" s="16" t="s">
        <v>2667</v>
      </c>
      <c r="P593" s="18"/>
      <c r="Q593" s="16" t="s">
        <v>52</v>
      </c>
      <c r="R593" s="16" t="s">
        <v>177</v>
      </c>
      <c r="S593" s="16" t="s">
        <v>1493</v>
      </c>
      <c r="T593" s="16"/>
    </row>
    <row r="594">
      <c r="A594" s="54">
        <v>46188.3472343287</v>
      </c>
      <c r="B594" s="16" t="s">
        <v>34</v>
      </c>
      <c r="C594" s="16" t="s">
        <v>804</v>
      </c>
      <c r="D594" s="17"/>
      <c r="E594" s="31"/>
      <c r="F594" s="39">
        <v>18.0</v>
      </c>
      <c r="G594" s="16" t="s">
        <v>181</v>
      </c>
      <c r="H594" s="51">
        <v>46185.0</v>
      </c>
      <c r="I594" s="17"/>
      <c r="J594" s="16" t="s">
        <v>51</v>
      </c>
      <c r="K594" s="13"/>
      <c r="L594" s="16" t="s">
        <v>54</v>
      </c>
      <c r="M594" s="16" t="s">
        <v>52</v>
      </c>
      <c r="N594" s="16" t="s">
        <v>804</v>
      </c>
      <c r="O594" s="16" t="s">
        <v>2668</v>
      </c>
      <c r="P594" s="18"/>
      <c r="Q594" s="16" t="s">
        <v>52</v>
      </c>
      <c r="R594" s="16" t="s">
        <v>136</v>
      </c>
      <c r="S594" s="16" t="s">
        <v>1493</v>
      </c>
      <c r="T594" s="16"/>
    </row>
    <row r="595">
      <c r="A595" s="54">
        <v>46188.35223878472</v>
      </c>
      <c r="B595" s="16" t="s">
        <v>104</v>
      </c>
      <c r="C595" s="16" t="s">
        <v>808</v>
      </c>
      <c r="D595" s="16" t="s">
        <v>1517</v>
      </c>
      <c r="E595" s="31"/>
      <c r="F595" s="39">
        <v>2.0</v>
      </c>
      <c r="G595" s="16" t="s">
        <v>181</v>
      </c>
      <c r="H595" s="51">
        <v>46185.0</v>
      </c>
      <c r="I595" s="17"/>
      <c r="J595" s="16" t="s">
        <v>35</v>
      </c>
      <c r="K595" s="13"/>
      <c r="L595" s="16" t="s">
        <v>54</v>
      </c>
      <c r="M595" s="16" t="s">
        <v>52</v>
      </c>
      <c r="N595" s="16" t="s">
        <v>808</v>
      </c>
      <c r="O595" s="16" t="s">
        <v>2669</v>
      </c>
      <c r="P595" s="18"/>
      <c r="Q595" s="16" t="s">
        <v>52</v>
      </c>
      <c r="R595" s="16" t="s">
        <v>106</v>
      </c>
      <c r="S595" s="16" t="s">
        <v>1493</v>
      </c>
      <c r="T595" s="16"/>
    </row>
    <row r="596">
      <c r="A596" s="54">
        <v>46188.3547766088</v>
      </c>
      <c r="B596" s="16" t="s">
        <v>61</v>
      </c>
      <c r="C596" s="16" t="s">
        <v>1285</v>
      </c>
      <c r="D596" s="17"/>
      <c r="E596" s="31"/>
      <c r="F596" s="39">
        <v>1.0</v>
      </c>
      <c r="G596" s="16" t="s">
        <v>363</v>
      </c>
      <c r="H596" s="51">
        <v>46185.0</v>
      </c>
      <c r="I596" s="17"/>
      <c r="J596" s="16" t="s">
        <v>35</v>
      </c>
      <c r="K596" s="12" t="s">
        <v>2670</v>
      </c>
      <c r="L596" s="16" t="s">
        <v>54</v>
      </c>
      <c r="M596" s="16" t="s">
        <v>52</v>
      </c>
      <c r="N596" s="16" t="s">
        <v>1144</v>
      </c>
      <c r="O596" s="16" t="s">
        <v>2671</v>
      </c>
      <c r="P596" s="18"/>
      <c r="Q596" s="16" t="s">
        <v>52</v>
      </c>
      <c r="R596" s="16" t="s">
        <v>53</v>
      </c>
      <c r="S596" s="16" t="s">
        <v>1493</v>
      </c>
      <c r="T596" s="16"/>
    </row>
    <row r="597">
      <c r="A597" s="54">
        <v>46188.35659137732</v>
      </c>
      <c r="B597" s="16" t="s">
        <v>34</v>
      </c>
      <c r="C597" s="16" t="s">
        <v>1287</v>
      </c>
      <c r="D597" s="17"/>
      <c r="E597" s="42" t="s">
        <v>2672</v>
      </c>
      <c r="F597" s="39">
        <v>4.0</v>
      </c>
      <c r="G597" s="16" t="s">
        <v>181</v>
      </c>
      <c r="H597" s="51">
        <v>46185.0</v>
      </c>
      <c r="I597" s="17"/>
      <c r="J597" s="16" t="s">
        <v>35</v>
      </c>
      <c r="K597" s="13"/>
      <c r="L597" s="16" t="s">
        <v>54</v>
      </c>
      <c r="M597" s="16" t="s">
        <v>52</v>
      </c>
      <c r="N597" s="16" t="s">
        <v>499</v>
      </c>
      <c r="O597" s="16" t="s">
        <v>2673</v>
      </c>
      <c r="P597" s="18"/>
      <c r="Q597" s="16" t="s">
        <v>52</v>
      </c>
      <c r="R597" s="16" t="s">
        <v>183</v>
      </c>
      <c r="S597" s="16" t="s">
        <v>1493</v>
      </c>
      <c r="T597" s="16"/>
    </row>
    <row r="598">
      <c r="A598" s="54">
        <v>46188.35659137732</v>
      </c>
      <c r="B598" s="16" t="s">
        <v>49</v>
      </c>
      <c r="C598" s="16" t="s">
        <v>1287</v>
      </c>
      <c r="D598" s="17"/>
      <c r="E598" s="42" t="s">
        <v>2672</v>
      </c>
      <c r="F598" s="39">
        <v>2.0</v>
      </c>
      <c r="G598" s="16" t="s">
        <v>181</v>
      </c>
      <c r="H598" s="51">
        <v>46185.0</v>
      </c>
      <c r="I598" s="17"/>
      <c r="J598" s="16" t="s">
        <v>35</v>
      </c>
      <c r="K598" s="13"/>
      <c r="L598" s="16" t="s">
        <v>54</v>
      </c>
      <c r="M598" s="16" t="s">
        <v>52</v>
      </c>
      <c r="N598" s="16" t="s">
        <v>499</v>
      </c>
      <c r="O598" s="16" t="s">
        <v>2674</v>
      </c>
      <c r="P598" s="18"/>
      <c r="Q598" s="16" t="s">
        <v>52</v>
      </c>
      <c r="R598" s="16" t="s">
        <v>189</v>
      </c>
      <c r="S598" s="16" t="s">
        <v>1493</v>
      </c>
      <c r="T598" s="16"/>
    </row>
    <row r="599">
      <c r="A599" s="54">
        <v>46188.35981969908</v>
      </c>
      <c r="B599" s="16" t="s">
        <v>34</v>
      </c>
      <c r="C599" s="16" t="s">
        <v>1290</v>
      </c>
      <c r="D599" s="17"/>
      <c r="E599" s="31"/>
      <c r="F599" s="39">
        <v>2.0</v>
      </c>
      <c r="G599" s="16" t="s">
        <v>181</v>
      </c>
      <c r="H599" s="51">
        <v>46185.0</v>
      </c>
      <c r="I599" s="17"/>
      <c r="J599" s="16" t="s">
        <v>35</v>
      </c>
      <c r="K599" s="12" t="s">
        <v>2675</v>
      </c>
      <c r="L599" s="16" t="s">
        <v>54</v>
      </c>
      <c r="M599" s="16" t="s">
        <v>52</v>
      </c>
      <c r="N599" s="16" t="s">
        <v>1290</v>
      </c>
      <c r="O599" s="16" t="s">
        <v>2676</v>
      </c>
      <c r="P599" s="18"/>
      <c r="Q599" s="16" t="s">
        <v>52</v>
      </c>
      <c r="R599" s="16" t="s">
        <v>106</v>
      </c>
      <c r="S599" s="16" t="s">
        <v>1493</v>
      </c>
      <c r="T599" s="16"/>
    </row>
    <row r="600">
      <c r="A600" s="54">
        <v>46188.36075047454</v>
      </c>
      <c r="B600" s="16" t="s">
        <v>34</v>
      </c>
      <c r="C600" s="16" t="s">
        <v>800</v>
      </c>
      <c r="D600" s="17"/>
      <c r="E600" s="31"/>
      <c r="F600" s="39">
        <v>2.0</v>
      </c>
      <c r="G600" s="16" t="s">
        <v>181</v>
      </c>
      <c r="H600" s="51">
        <v>46185.0</v>
      </c>
      <c r="I600" s="17"/>
      <c r="J600" s="16" t="s">
        <v>35</v>
      </c>
      <c r="K600" s="12" t="s">
        <v>2675</v>
      </c>
      <c r="L600" s="16" t="s">
        <v>54</v>
      </c>
      <c r="M600" s="16" t="s">
        <v>52</v>
      </c>
      <c r="N600" s="16" t="s">
        <v>800</v>
      </c>
      <c r="O600" s="16" t="s">
        <v>2665</v>
      </c>
      <c r="P600" s="18"/>
      <c r="Q600" s="16" t="s">
        <v>52</v>
      </c>
      <c r="R600" s="16" t="s">
        <v>106</v>
      </c>
      <c r="S600" s="16" t="s">
        <v>1493</v>
      </c>
      <c r="T600" s="16"/>
    </row>
    <row r="601">
      <c r="A601" s="54">
        <v>46188.36209846065</v>
      </c>
      <c r="B601" s="16" t="s">
        <v>34</v>
      </c>
      <c r="C601" s="16" t="s">
        <v>1293</v>
      </c>
      <c r="D601" s="17"/>
      <c r="E601" s="31"/>
      <c r="F601" s="39">
        <v>13.0</v>
      </c>
      <c r="G601" s="16" t="s">
        <v>181</v>
      </c>
      <c r="H601" s="51">
        <v>46185.0</v>
      </c>
      <c r="I601" s="17"/>
      <c r="J601" s="16" t="s">
        <v>35</v>
      </c>
      <c r="K601" s="13"/>
      <c r="L601" s="16" t="s">
        <v>54</v>
      </c>
      <c r="M601" s="16" t="s">
        <v>52</v>
      </c>
      <c r="N601" s="16" t="s">
        <v>1293</v>
      </c>
      <c r="O601" s="16" t="s">
        <v>2677</v>
      </c>
      <c r="P601" s="18"/>
      <c r="Q601" s="16" t="s">
        <v>52</v>
      </c>
      <c r="R601" s="16" t="s">
        <v>202</v>
      </c>
      <c r="S601" s="16" t="s">
        <v>1493</v>
      </c>
      <c r="T601" s="16"/>
    </row>
    <row r="602">
      <c r="A602" s="54">
        <v>46188.36209846065</v>
      </c>
      <c r="B602" s="16" t="s">
        <v>34</v>
      </c>
      <c r="C602" s="16" t="s">
        <v>1293</v>
      </c>
      <c r="D602" s="17"/>
      <c r="E602" s="31"/>
      <c r="F602" s="39">
        <v>13.0</v>
      </c>
      <c r="G602" s="16" t="s">
        <v>181</v>
      </c>
      <c r="H602" s="51">
        <v>46185.0</v>
      </c>
      <c r="I602" s="17"/>
      <c r="J602" s="16" t="s">
        <v>35</v>
      </c>
      <c r="K602" s="13"/>
      <c r="L602" s="16" t="s">
        <v>54</v>
      </c>
      <c r="M602" s="16" t="s">
        <v>52</v>
      </c>
      <c r="N602" s="16" t="s">
        <v>1293</v>
      </c>
      <c r="O602" s="16" t="s">
        <v>2677</v>
      </c>
      <c r="P602" s="18"/>
      <c r="Q602" s="16" t="s">
        <v>52</v>
      </c>
      <c r="R602" s="16" t="s">
        <v>177</v>
      </c>
      <c r="S602" s="16" t="s">
        <v>1493</v>
      </c>
      <c r="T602" s="16"/>
    </row>
    <row r="603">
      <c r="A603" s="54">
        <v>46188.36477962963</v>
      </c>
      <c r="B603" s="16" t="s">
        <v>49</v>
      </c>
      <c r="C603" s="16" t="s">
        <v>1293</v>
      </c>
      <c r="D603" s="17"/>
      <c r="E603" s="31"/>
      <c r="F603" s="39">
        <v>14.0</v>
      </c>
      <c r="G603" s="16" t="s">
        <v>181</v>
      </c>
      <c r="H603" s="51">
        <v>46185.0</v>
      </c>
      <c r="I603" s="17"/>
      <c r="J603" s="16" t="s">
        <v>35</v>
      </c>
      <c r="K603" s="13"/>
      <c r="L603" s="16" t="s">
        <v>54</v>
      </c>
      <c r="M603" s="16" t="s">
        <v>52</v>
      </c>
      <c r="N603" s="16" t="s">
        <v>1293</v>
      </c>
      <c r="O603" s="16" t="s">
        <v>2678</v>
      </c>
      <c r="P603" s="18"/>
      <c r="Q603" s="16" t="s">
        <v>52</v>
      </c>
      <c r="R603" s="16" t="s">
        <v>161</v>
      </c>
      <c r="S603" s="16" t="s">
        <v>1493</v>
      </c>
      <c r="T603" s="16"/>
    </row>
    <row r="604">
      <c r="A604" s="54">
        <v>46188.46188569444</v>
      </c>
      <c r="B604" s="16" t="s">
        <v>49</v>
      </c>
      <c r="C604" s="16" t="s">
        <v>407</v>
      </c>
      <c r="D604" s="17"/>
      <c r="E604" s="31"/>
      <c r="F604" s="39">
        <v>22.0</v>
      </c>
      <c r="G604" s="16" t="s">
        <v>181</v>
      </c>
      <c r="H604" s="51">
        <v>46188.0</v>
      </c>
      <c r="I604" s="16" t="s">
        <v>161</v>
      </c>
      <c r="J604" s="17"/>
      <c r="K604" s="13"/>
      <c r="L604" s="16" t="s">
        <v>2507</v>
      </c>
      <c r="M604" s="16" t="s">
        <v>2192</v>
      </c>
      <c r="N604" s="17"/>
      <c r="O604" s="16" t="s">
        <v>2021</v>
      </c>
      <c r="P604" s="18"/>
      <c r="Q604" s="16" t="s">
        <v>52</v>
      </c>
      <c r="R604" s="16" t="s">
        <v>407</v>
      </c>
      <c r="S604" s="16" t="s">
        <v>1607</v>
      </c>
      <c r="T604" s="16"/>
    </row>
    <row r="605">
      <c r="A605" s="54">
        <v>46189.36685626158</v>
      </c>
      <c r="B605" s="16" t="s">
        <v>34</v>
      </c>
      <c r="C605" s="16" t="s">
        <v>275</v>
      </c>
      <c r="D605" s="17"/>
      <c r="E605" s="31"/>
      <c r="F605" s="39">
        <v>42.0</v>
      </c>
      <c r="G605" s="16" t="s">
        <v>181</v>
      </c>
      <c r="H605" s="51">
        <v>46189.0</v>
      </c>
      <c r="I605" s="16" t="s">
        <v>150</v>
      </c>
      <c r="J605" s="17"/>
      <c r="K605" s="13"/>
      <c r="L605" s="16" t="s">
        <v>2507</v>
      </c>
      <c r="M605" s="16" t="s">
        <v>2679</v>
      </c>
      <c r="N605" s="17"/>
      <c r="O605" s="16" t="s">
        <v>271</v>
      </c>
      <c r="P605" s="18"/>
      <c r="Q605" s="16" t="s">
        <v>52</v>
      </c>
      <c r="R605" s="16" t="s">
        <v>275</v>
      </c>
      <c r="S605" s="16" t="s">
        <v>1607</v>
      </c>
      <c r="T605" s="16"/>
    </row>
    <row r="606">
      <c r="A606" s="54">
        <v>46189.368269375</v>
      </c>
      <c r="B606" s="16" t="s">
        <v>34</v>
      </c>
      <c r="C606" s="16" t="s">
        <v>736</v>
      </c>
      <c r="D606" s="17"/>
      <c r="E606" s="31"/>
      <c r="F606" s="39">
        <v>8.0</v>
      </c>
      <c r="G606" s="16" t="s">
        <v>181</v>
      </c>
      <c r="H606" s="51">
        <v>46189.0</v>
      </c>
      <c r="I606" s="16" t="s">
        <v>128</v>
      </c>
      <c r="J606" s="17"/>
      <c r="K606" s="13"/>
      <c r="L606" s="16" t="s">
        <v>2507</v>
      </c>
      <c r="M606" s="16" t="s">
        <v>2680</v>
      </c>
      <c r="N606" s="17"/>
      <c r="O606" s="16" t="s">
        <v>2562</v>
      </c>
      <c r="P606" s="18"/>
      <c r="Q606" s="16" t="s">
        <v>52</v>
      </c>
      <c r="R606" s="16" t="s">
        <v>736</v>
      </c>
      <c r="S606" s="16" t="s">
        <v>1607</v>
      </c>
      <c r="T606" s="16"/>
    </row>
    <row r="607">
      <c r="A607" s="54">
        <v>46189.368269375</v>
      </c>
      <c r="B607" s="16" t="s">
        <v>34</v>
      </c>
      <c r="C607" s="16" t="s">
        <v>733</v>
      </c>
      <c r="D607" s="17"/>
      <c r="E607" s="31"/>
      <c r="F607" s="39">
        <v>13.0</v>
      </c>
      <c r="G607" s="16" t="s">
        <v>181</v>
      </c>
      <c r="H607" s="51">
        <v>46189.0</v>
      </c>
      <c r="I607" s="16" t="s">
        <v>128</v>
      </c>
      <c r="J607" s="17"/>
      <c r="K607" s="13"/>
      <c r="L607" s="16" t="s">
        <v>2507</v>
      </c>
      <c r="M607" s="16" t="s">
        <v>2680</v>
      </c>
      <c r="N607" s="17"/>
      <c r="O607" s="16" t="s">
        <v>2561</v>
      </c>
      <c r="P607" s="18"/>
      <c r="Q607" s="16" t="s">
        <v>52</v>
      </c>
      <c r="R607" s="16" t="s">
        <v>733</v>
      </c>
      <c r="S607" s="16" t="s">
        <v>1607</v>
      </c>
      <c r="T607" s="16"/>
    </row>
    <row r="608">
      <c r="A608" s="54">
        <v>46189.368269375</v>
      </c>
      <c r="B608" s="16" t="s">
        <v>34</v>
      </c>
      <c r="C608" s="16" t="s">
        <v>804</v>
      </c>
      <c r="D608" s="17"/>
      <c r="E608" s="31"/>
      <c r="F608" s="39">
        <v>18.0</v>
      </c>
      <c r="G608" s="16" t="s">
        <v>181</v>
      </c>
      <c r="H608" s="51">
        <v>46189.0</v>
      </c>
      <c r="I608" s="16" t="s">
        <v>136</v>
      </c>
      <c r="J608" s="17"/>
      <c r="K608" s="13"/>
      <c r="L608" s="16" t="s">
        <v>2507</v>
      </c>
      <c r="M608" s="16" t="s">
        <v>2680</v>
      </c>
      <c r="N608" s="17"/>
      <c r="O608" s="16" t="s">
        <v>2668</v>
      </c>
      <c r="P608" s="18"/>
      <c r="Q608" s="16" t="s">
        <v>52</v>
      </c>
      <c r="R608" s="16" t="s">
        <v>804</v>
      </c>
      <c r="S608" s="16" t="s">
        <v>1607</v>
      </c>
      <c r="T608" s="16"/>
    </row>
    <row r="609">
      <c r="A609" s="54">
        <v>46189.38289504629</v>
      </c>
      <c r="B609" s="16" t="s">
        <v>49</v>
      </c>
      <c r="C609" s="16" t="s">
        <v>1192</v>
      </c>
      <c r="D609" s="16" t="s">
        <v>1061</v>
      </c>
      <c r="E609" s="42" t="s">
        <v>2681</v>
      </c>
      <c r="F609" s="39">
        <v>4.0</v>
      </c>
      <c r="G609" s="16" t="s">
        <v>181</v>
      </c>
      <c r="H609" s="51">
        <v>46175.0</v>
      </c>
      <c r="I609" s="17"/>
      <c r="J609" s="16" t="s">
        <v>51</v>
      </c>
      <c r="K609" s="13"/>
      <c r="L609" s="16" t="s">
        <v>54</v>
      </c>
      <c r="M609" s="16" t="s">
        <v>2350</v>
      </c>
      <c r="N609" s="16" t="s">
        <v>1192</v>
      </c>
      <c r="O609" s="16" t="s">
        <v>2559</v>
      </c>
      <c r="P609" s="18"/>
      <c r="Q609" s="16" t="s">
        <v>52</v>
      </c>
      <c r="R609" s="16" t="s">
        <v>189</v>
      </c>
      <c r="S609" s="16" t="s">
        <v>1493</v>
      </c>
      <c r="T609" s="16"/>
    </row>
    <row r="610">
      <c r="A610" s="54">
        <v>46189.384367060185</v>
      </c>
      <c r="B610" s="16" t="s">
        <v>49</v>
      </c>
      <c r="C610" s="16" t="s">
        <v>744</v>
      </c>
      <c r="D610" s="16" t="s">
        <v>1061</v>
      </c>
      <c r="E610" s="42" t="s">
        <v>2682</v>
      </c>
      <c r="F610" s="39">
        <v>4.0</v>
      </c>
      <c r="G610" s="16" t="s">
        <v>181</v>
      </c>
      <c r="H610" s="51">
        <v>46175.0</v>
      </c>
      <c r="I610" s="17"/>
      <c r="J610" s="16" t="s">
        <v>51</v>
      </c>
      <c r="K610" s="13"/>
      <c r="L610" s="16" t="s">
        <v>54</v>
      </c>
      <c r="M610" s="16" t="s">
        <v>2350</v>
      </c>
      <c r="N610" s="16" t="s">
        <v>744</v>
      </c>
      <c r="O610" s="16" t="s">
        <v>2556</v>
      </c>
      <c r="P610" s="18"/>
      <c r="Q610" s="16" t="s">
        <v>52</v>
      </c>
      <c r="R610" s="16" t="s">
        <v>189</v>
      </c>
      <c r="S610" s="16" t="s">
        <v>1493</v>
      </c>
      <c r="T610" s="16" t="s">
        <v>625</v>
      </c>
    </row>
    <row r="611">
      <c r="A611" s="54">
        <v>46189.38558292824</v>
      </c>
      <c r="B611" s="16" t="s">
        <v>49</v>
      </c>
      <c r="C611" s="16" t="s">
        <v>730</v>
      </c>
      <c r="D611" s="16" t="s">
        <v>1061</v>
      </c>
      <c r="E611" s="42" t="s">
        <v>2683</v>
      </c>
      <c r="F611" s="39">
        <v>6.0</v>
      </c>
      <c r="G611" s="16" t="s">
        <v>181</v>
      </c>
      <c r="H611" s="51">
        <v>46175.0</v>
      </c>
      <c r="I611" s="17"/>
      <c r="J611" s="16" t="s">
        <v>51</v>
      </c>
      <c r="K611" s="13"/>
      <c r="L611" s="16" t="s">
        <v>54</v>
      </c>
      <c r="M611" s="16" t="s">
        <v>2350</v>
      </c>
      <c r="N611" s="16" t="s">
        <v>730</v>
      </c>
      <c r="O611" s="16" t="s">
        <v>2553</v>
      </c>
      <c r="P611" s="18"/>
      <c r="Q611" s="16" t="s">
        <v>52</v>
      </c>
      <c r="R611" s="16" t="s">
        <v>189</v>
      </c>
      <c r="S611" s="16" t="s">
        <v>1493</v>
      </c>
      <c r="T611" s="16" t="s">
        <v>625</v>
      </c>
    </row>
    <row r="612">
      <c r="A612" s="54">
        <v>46189.386469861114</v>
      </c>
      <c r="B612" s="16" t="s">
        <v>49</v>
      </c>
      <c r="C612" s="16" t="s">
        <v>768</v>
      </c>
      <c r="D612" s="16" t="s">
        <v>1061</v>
      </c>
      <c r="E612" s="42" t="s">
        <v>2684</v>
      </c>
      <c r="F612" s="39">
        <v>10.0</v>
      </c>
      <c r="G612" s="16" t="s">
        <v>181</v>
      </c>
      <c r="H612" s="51">
        <v>46175.0</v>
      </c>
      <c r="I612" s="17"/>
      <c r="J612" s="16" t="s">
        <v>51</v>
      </c>
      <c r="K612" s="13"/>
      <c r="L612" s="16" t="s">
        <v>54</v>
      </c>
      <c r="M612" s="16" t="s">
        <v>2350</v>
      </c>
      <c r="N612" s="16" t="s">
        <v>768</v>
      </c>
      <c r="O612" s="16" t="s">
        <v>2568</v>
      </c>
      <c r="P612" s="18"/>
      <c r="Q612" s="16" t="s">
        <v>52</v>
      </c>
      <c r="R612" s="16" t="s">
        <v>189</v>
      </c>
      <c r="S612" s="16" t="s">
        <v>1493</v>
      </c>
      <c r="T612" s="16" t="s">
        <v>625</v>
      </c>
    </row>
    <row r="613">
      <c r="A613" s="54">
        <v>46189.38921634259</v>
      </c>
      <c r="B613" s="16" t="s">
        <v>49</v>
      </c>
      <c r="C613" s="16" t="s">
        <v>736</v>
      </c>
      <c r="D613" s="16" t="s">
        <v>1061</v>
      </c>
      <c r="E613" s="42" t="s">
        <v>2685</v>
      </c>
      <c r="F613" s="39">
        <v>4.0</v>
      </c>
      <c r="G613" s="16" t="s">
        <v>181</v>
      </c>
      <c r="H613" s="51">
        <v>46175.0</v>
      </c>
      <c r="I613" s="17"/>
      <c r="J613" s="16" t="s">
        <v>51</v>
      </c>
      <c r="K613" s="13"/>
      <c r="L613" s="16" t="s">
        <v>54</v>
      </c>
      <c r="M613" s="16" t="s">
        <v>2350</v>
      </c>
      <c r="N613" s="16" t="s">
        <v>736</v>
      </c>
      <c r="O613" s="16" t="s">
        <v>2554</v>
      </c>
      <c r="P613" s="18"/>
      <c r="Q613" s="16" t="s">
        <v>52</v>
      </c>
      <c r="R613" s="16" t="s">
        <v>189</v>
      </c>
      <c r="S613" s="16" t="s">
        <v>1493</v>
      </c>
      <c r="T613" s="16" t="s">
        <v>625</v>
      </c>
    </row>
    <row r="614">
      <c r="A614" s="54">
        <v>46189.39268844908</v>
      </c>
      <c r="B614" s="16" t="s">
        <v>49</v>
      </c>
      <c r="C614" s="16" t="s">
        <v>733</v>
      </c>
      <c r="D614" s="16" t="s">
        <v>1061</v>
      </c>
      <c r="E614" s="42" t="s">
        <v>2686</v>
      </c>
      <c r="F614" s="39">
        <v>4.0</v>
      </c>
      <c r="G614" s="16" t="s">
        <v>181</v>
      </c>
      <c r="H614" s="51">
        <v>46175.0</v>
      </c>
      <c r="I614" s="17"/>
      <c r="J614" s="16" t="s">
        <v>51</v>
      </c>
      <c r="K614" s="13"/>
      <c r="L614" s="16" t="s">
        <v>54</v>
      </c>
      <c r="M614" s="16" t="s">
        <v>2350</v>
      </c>
      <c r="N614" s="16" t="s">
        <v>733</v>
      </c>
      <c r="O614" s="16" t="s">
        <v>2555</v>
      </c>
      <c r="P614" s="18"/>
      <c r="Q614" s="16" t="s">
        <v>52</v>
      </c>
      <c r="R614" s="16" t="s">
        <v>189</v>
      </c>
      <c r="S614" s="16" t="s">
        <v>1493</v>
      </c>
      <c r="T614" s="16" t="s">
        <v>625</v>
      </c>
    </row>
    <row r="615">
      <c r="A615" s="54">
        <v>46189.394271655096</v>
      </c>
      <c r="B615" s="16" t="s">
        <v>49</v>
      </c>
      <c r="C615" s="16" t="s">
        <v>800</v>
      </c>
      <c r="D615" s="17"/>
      <c r="E615" s="31"/>
      <c r="F615" s="39">
        <v>9.0</v>
      </c>
      <c r="G615" s="16" t="s">
        <v>181</v>
      </c>
      <c r="H615" s="51">
        <v>46185.0</v>
      </c>
      <c r="I615" s="17"/>
      <c r="J615" s="16" t="s">
        <v>51</v>
      </c>
      <c r="K615" s="13"/>
      <c r="L615" s="16" t="s">
        <v>54</v>
      </c>
      <c r="M615" s="16" t="s">
        <v>52</v>
      </c>
      <c r="N615" s="16" t="s">
        <v>800</v>
      </c>
      <c r="O615" s="16" t="s">
        <v>2687</v>
      </c>
      <c r="P615" s="18"/>
      <c r="Q615" s="16" t="s">
        <v>52</v>
      </c>
      <c r="R615" s="16" t="s">
        <v>189</v>
      </c>
      <c r="S615" s="16" t="s">
        <v>1493</v>
      </c>
      <c r="T615" s="16"/>
    </row>
    <row r="616">
      <c r="A616" s="54">
        <v>46189.39653869213</v>
      </c>
      <c r="B616" s="16" t="s">
        <v>49</v>
      </c>
      <c r="C616" s="16" t="s">
        <v>804</v>
      </c>
      <c r="D616" s="16" t="s">
        <v>1061</v>
      </c>
      <c r="E616" s="42" t="s">
        <v>2688</v>
      </c>
      <c r="F616" s="39">
        <v>10.0</v>
      </c>
      <c r="G616" s="16" t="s">
        <v>181</v>
      </c>
      <c r="H616" s="51">
        <v>46185.0</v>
      </c>
      <c r="I616" s="17"/>
      <c r="J616" s="16" t="s">
        <v>51</v>
      </c>
      <c r="K616" s="13"/>
      <c r="L616" s="16" t="s">
        <v>54</v>
      </c>
      <c r="M616" s="16" t="s">
        <v>52</v>
      </c>
      <c r="N616" s="16" t="s">
        <v>804</v>
      </c>
      <c r="O616" s="16" t="s">
        <v>2689</v>
      </c>
      <c r="P616" s="18"/>
      <c r="Q616" s="16" t="s">
        <v>52</v>
      </c>
      <c r="R616" s="16" t="s">
        <v>189</v>
      </c>
      <c r="S616" s="16" t="s">
        <v>1493</v>
      </c>
      <c r="T616" s="16" t="s">
        <v>625</v>
      </c>
    </row>
    <row r="617">
      <c r="A617" s="54">
        <v>46189.39821704861</v>
      </c>
      <c r="B617" s="16" t="s">
        <v>49</v>
      </c>
      <c r="C617" s="16" t="s">
        <v>1283</v>
      </c>
      <c r="D617" s="17"/>
      <c r="E617" s="42" t="s">
        <v>2690</v>
      </c>
      <c r="F617" s="39">
        <v>13.0</v>
      </c>
      <c r="G617" s="16" t="s">
        <v>181</v>
      </c>
      <c r="H617" s="51">
        <v>46185.0</v>
      </c>
      <c r="I617" s="17"/>
      <c r="J617" s="16" t="s">
        <v>51</v>
      </c>
      <c r="K617" s="12" t="s">
        <v>2666</v>
      </c>
      <c r="L617" s="16" t="s">
        <v>54</v>
      </c>
      <c r="M617" s="16" t="s">
        <v>52</v>
      </c>
      <c r="N617" s="16" t="s">
        <v>1283</v>
      </c>
      <c r="O617" s="16" t="s">
        <v>2691</v>
      </c>
      <c r="P617" s="18"/>
      <c r="Q617" s="16" t="s">
        <v>52</v>
      </c>
      <c r="R617" s="16" t="s">
        <v>189</v>
      </c>
      <c r="S617" s="16" t="s">
        <v>1493</v>
      </c>
      <c r="T617" s="16"/>
    </row>
    <row r="618">
      <c r="A618" s="54">
        <v>46189.400195462964</v>
      </c>
      <c r="B618" s="16" t="s">
        <v>34</v>
      </c>
      <c r="C618" s="16" t="s">
        <v>810</v>
      </c>
      <c r="D618" s="17"/>
      <c r="E618" s="42" t="s">
        <v>2692</v>
      </c>
      <c r="F618" s="39">
        <v>1.0</v>
      </c>
      <c r="G618" s="16" t="s">
        <v>181</v>
      </c>
      <c r="H618" s="51">
        <v>46185.0</v>
      </c>
      <c r="I618" s="17"/>
      <c r="J618" s="16" t="s">
        <v>35</v>
      </c>
      <c r="K618" s="13"/>
      <c r="L618" s="16" t="s">
        <v>54</v>
      </c>
      <c r="M618" s="16" t="s">
        <v>52</v>
      </c>
      <c r="N618" s="16" t="s">
        <v>810</v>
      </c>
      <c r="O618" s="16" t="s">
        <v>2693</v>
      </c>
      <c r="P618" s="18"/>
      <c r="Q618" s="16" t="s">
        <v>52</v>
      </c>
      <c r="R618" s="16" t="s">
        <v>88</v>
      </c>
      <c r="S618" s="16" t="s">
        <v>1493</v>
      </c>
      <c r="T618" s="16" t="s">
        <v>393</v>
      </c>
    </row>
    <row r="619">
      <c r="A619" s="54">
        <v>46189.40065635416</v>
      </c>
      <c r="B619" s="16" t="s">
        <v>34</v>
      </c>
      <c r="C619" s="16" t="s">
        <v>810</v>
      </c>
      <c r="D619" s="17"/>
      <c r="E619" s="31"/>
      <c r="F619" s="39">
        <v>1.0</v>
      </c>
      <c r="G619" s="16" t="s">
        <v>181</v>
      </c>
      <c r="H619" s="51">
        <v>46185.0</v>
      </c>
      <c r="I619" s="16" t="s">
        <v>88</v>
      </c>
      <c r="J619" s="17"/>
      <c r="K619" s="13"/>
      <c r="L619" s="16" t="s">
        <v>2507</v>
      </c>
      <c r="M619" s="16" t="s">
        <v>393</v>
      </c>
      <c r="N619" s="17"/>
      <c r="O619" s="16" t="s">
        <v>2693</v>
      </c>
      <c r="P619" s="18"/>
      <c r="Q619" s="16" t="s">
        <v>52</v>
      </c>
      <c r="R619" s="16" t="s">
        <v>810</v>
      </c>
      <c r="S619" s="16" t="s">
        <v>1607</v>
      </c>
      <c r="T619" s="16"/>
    </row>
    <row r="620">
      <c r="A620" s="54">
        <v>46189.40284631944</v>
      </c>
      <c r="B620" s="16" t="s">
        <v>34</v>
      </c>
      <c r="C620" s="16" t="s">
        <v>812</v>
      </c>
      <c r="D620" s="17"/>
      <c r="E620" s="31"/>
      <c r="F620" s="39">
        <v>1.0</v>
      </c>
      <c r="G620" s="16" t="s">
        <v>181</v>
      </c>
      <c r="H620" s="51">
        <v>46189.0</v>
      </c>
      <c r="I620" s="17"/>
      <c r="J620" s="16" t="s">
        <v>115</v>
      </c>
      <c r="K620" s="12" t="s">
        <v>2694</v>
      </c>
      <c r="L620" s="16" t="s">
        <v>54</v>
      </c>
      <c r="M620" s="16" t="s">
        <v>52</v>
      </c>
      <c r="N620" s="16" t="s">
        <v>812</v>
      </c>
      <c r="O620" s="16" t="s">
        <v>2695</v>
      </c>
      <c r="P620" s="18"/>
      <c r="Q620" s="16" t="s">
        <v>52</v>
      </c>
      <c r="R620" s="16" t="s">
        <v>88</v>
      </c>
      <c r="S620" s="16" t="s">
        <v>1493</v>
      </c>
      <c r="T620" s="16"/>
    </row>
    <row r="621">
      <c r="A621" s="54">
        <v>46189.40335866898</v>
      </c>
      <c r="B621" s="16" t="s">
        <v>34</v>
      </c>
      <c r="C621" s="16" t="s">
        <v>812</v>
      </c>
      <c r="D621" s="17"/>
      <c r="E621" s="31"/>
      <c r="F621" s="39">
        <v>1.0</v>
      </c>
      <c r="G621" s="16" t="s">
        <v>181</v>
      </c>
      <c r="H621" s="51">
        <v>46189.0</v>
      </c>
      <c r="I621" s="16" t="s">
        <v>88</v>
      </c>
      <c r="J621" s="17"/>
      <c r="K621" s="12" t="s">
        <v>2696</v>
      </c>
      <c r="L621" s="16" t="s">
        <v>2507</v>
      </c>
      <c r="M621" s="16" t="s">
        <v>52</v>
      </c>
      <c r="N621" s="17"/>
      <c r="O621" s="16" t="s">
        <v>2695</v>
      </c>
      <c r="P621" s="18"/>
      <c r="Q621" s="16" t="s">
        <v>52</v>
      </c>
      <c r="R621" s="16" t="s">
        <v>810</v>
      </c>
      <c r="S621" s="16" t="s">
        <v>1607</v>
      </c>
      <c r="T621" s="16"/>
    </row>
    <row r="622">
      <c r="A622" s="54">
        <v>46189.40459826389</v>
      </c>
      <c r="B622" s="16" t="s">
        <v>68</v>
      </c>
      <c r="C622" s="16" t="s">
        <v>1305</v>
      </c>
      <c r="D622" s="17"/>
      <c r="E622" s="31"/>
      <c r="F622" s="39">
        <v>4.0</v>
      </c>
      <c r="G622" s="16" t="s">
        <v>181</v>
      </c>
      <c r="H622" s="51">
        <v>46181.0</v>
      </c>
      <c r="I622" s="17"/>
      <c r="J622" s="16" t="s">
        <v>92</v>
      </c>
      <c r="K622" s="13"/>
      <c r="L622" s="16" t="s">
        <v>54</v>
      </c>
      <c r="M622" s="16" t="s">
        <v>52</v>
      </c>
      <c r="N622" s="16" t="s">
        <v>1307</v>
      </c>
      <c r="O622" s="16" t="s">
        <v>2697</v>
      </c>
      <c r="P622" s="18"/>
      <c r="Q622" s="16" t="s">
        <v>52</v>
      </c>
      <c r="R622" s="16" t="s">
        <v>17</v>
      </c>
      <c r="S622" s="16" t="s">
        <v>1493</v>
      </c>
      <c r="T622" s="16" t="s">
        <v>398</v>
      </c>
    </row>
    <row r="623">
      <c r="A623" s="54">
        <v>46189.40572571759</v>
      </c>
      <c r="B623" s="16" t="s">
        <v>75</v>
      </c>
      <c r="C623" s="16" t="s">
        <v>1310</v>
      </c>
      <c r="D623" s="17"/>
      <c r="E623" s="31"/>
      <c r="F623" s="39">
        <v>13.0</v>
      </c>
      <c r="G623" s="16" t="s">
        <v>181</v>
      </c>
      <c r="H623" s="51">
        <v>46188.0</v>
      </c>
      <c r="I623" s="17"/>
      <c r="J623" s="16" t="s">
        <v>92</v>
      </c>
      <c r="K623" s="13"/>
      <c r="L623" s="16" t="s">
        <v>54</v>
      </c>
      <c r="M623" s="16" t="s">
        <v>2350</v>
      </c>
      <c r="N623" s="16" t="s">
        <v>1310</v>
      </c>
      <c r="O623" s="16" t="s">
        <v>2698</v>
      </c>
      <c r="P623" s="18"/>
      <c r="Q623" s="16" t="s">
        <v>52</v>
      </c>
      <c r="R623" s="16" t="s">
        <v>17</v>
      </c>
      <c r="S623" s="16" t="s">
        <v>1493</v>
      </c>
      <c r="T623" s="16" t="s">
        <v>625</v>
      </c>
    </row>
    <row r="624">
      <c r="A624" s="54">
        <v>46189.407056111115</v>
      </c>
      <c r="B624" s="16" t="s">
        <v>68</v>
      </c>
      <c r="C624" s="16" t="s">
        <v>1310</v>
      </c>
      <c r="D624" s="17"/>
      <c r="E624" s="31"/>
      <c r="F624" s="39">
        <v>6.0</v>
      </c>
      <c r="G624" s="16" t="s">
        <v>181</v>
      </c>
      <c r="H624" s="51">
        <v>46188.0</v>
      </c>
      <c r="I624" s="17"/>
      <c r="J624" s="16" t="s">
        <v>92</v>
      </c>
      <c r="K624" s="13"/>
      <c r="L624" s="16" t="s">
        <v>54</v>
      </c>
      <c r="M624" s="16" t="s">
        <v>2350</v>
      </c>
      <c r="N624" s="16" t="s">
        <v>1310</v>
      </c>
      <c r="O624" s="16" t="s">
        <v>2699</v>
      </c>
      <c r="P624" s="18"/>
      <c r="Q624" s="16" t="s">
        <v>52</v>
      </c>
      <c r="R624" s="16" t="s">
        <v>17</v>
      </c>
      <c r="S624" s="16" t="s">
        <v>1493</v>
      </c>
      <c r="T624" s="16" t="s">
        <v>625</v>
      </c>
    </row>
    <row r="625">
      <c r="A625" s="54">
        <v>46189.425636087966</v>
      </c>
      <c r="B625" s="16" t="s">
        <v>75</v>
      </c>
      <c r="C625" s="16" t="s">
        <v>1314</v>
      </c>
      <c r="D625" s="17"/>
      <c r="E625" s="31"/>
      <c r="F625" s="39">
        <v>1.0</v>
      </c>
      <c r="G625" s="16" t="s">
        <v>181</v>
      </c>
      <c r="H625" s="51">
        <v>46188.0</v>
      </c>
      <c r="I625" s="17"/>
      <c r="J625" s="16" t="s">
        <v>92</v>
      </c>
      <c r="K625" s="13"/>
      <c r="L625" s="16" t="s">
        <v>54</v>
      </c>
      <c r="M625" s="16" t="s">
        <v>2350</v>
      </c>
      <c r="N625" s="16" t="s">
        <v>1314</v>
      </c>
      <c r="O625" s="16" t="s">
        <v>2700</v>
      </c>
      <c r="P625" s="18"/>
      <c r="Q625" s="16" t="s">
        <v>52</v>
      </c>
      <c r="R625" s="16" t="s">
        <v>17</v>
      </c>
      <c r="S625" s="16" t="s">
        <v>1493</v>
      </c>
      <c r="T625" s="16"/>
    </row>
    <row r="626">
      <c r="A626" s="54">
        <v>46189.426535266204</v>
      </c>
      <c r="B626" s="16" t="s">
        <v>104</v>
      </c>
      <c r="C626" s="16" t="s">
        <v>1305</v>
      </c>
      <c r="D626" s="17"/>
      <c r="E626" s="31"/>
      <c r="F626" s="39">
        <v>1.0</v>
      </c>
      <c r="G626" s="16" t="s">
        <v>181</v>
      </c>
      <c r="H626" s="51">
        <v>46188.0</v>
      </c>
      <c r="I626" s="17"/>
      <c r="J626" s="16" t="s">
        <v>92</v>
      </c>
      <c r="K626" s="13"/>
      <c r="L626" s="16" t="s">
        <v>54</v>
      </c>
      <c r="M626" s="16" t="s">
        <v>2350</v>
      </c>
      <c r="N626" s="16" t="s">
        <v>1305</v>
      </c>
      <c r="O626" s="16" t="s">
        <v>2701</v>
      </c>
      <c r="P626" s="18"/>
      <c r="Q626" s="16" t="s">
        <v>52</v>
      </c>
      <c r="R626" s="16" t="s">
        <v>17</v>
      </c>
      <c r="S626" s="16" t="s">
        <v>1493</v>
      </c>
      <c r="T626" s="16"/>
    </row>
    <row r="627">
      <c r="A627" s="54">
        <v>46189.53049175926</v>
      </c>
      <c r="B627" s="16" t="s">
        <v>104</v>
      </c>
      <c r="C627" s="16" t="s">
        <v>689</v>
      </c>
      <c r="D627" s="17"/>
      <c r="E627" s="31"/>
      <c r="F627" s="39">
        <v>1.0</v>
      </c>
      <c r="G627" s="16" t="s">
        <v>181</v>
      </c>
      <c r="H627" s="51">
        <v>46188.0</v>
      </c>
      <c r="I627" s="16" t="s">
        <v>267</v>
      </c>
      <c r="J627" s="17"/>
      <c r="K627" s="13"/>
      <c r="L627" s="16" t="s">
        <v>2507</v>
      </c>
      <c r="M627" s="16" t="s">
        <v>2551</v>
      </c>
      <c r="N627" s="17"/>
      <c r="O627" s="16" t="s">
        <v>2617</v>
      </c>
      <c r="P627" s="18"/>
      <c r="Q627" s="16" t="s">
        <v>52</v>
      </c>
      <c r="R627" s="16" t="s">
        <v>689</v>
      </c>
      <c r="S627" s="16" t="s">
        <v>1607</v>
      </c>
      <c r="T627" s="16"/>
    </row>
    <row r="628">
      <c r="A628" s="54">
        <v>46190.36255730324</v>
      </c>
      <c r="B628" s="16" t="s">
        <v>34</v>
      </c>
      <c r="C628" s="16" t="s">
        <v>699</v>
      </c>
      <c r="D628" s="17"/>
      <c r="E628" s="31"/>
      <c r="F628" s="39">
        <v>25.0</v>
      </c>
      <c r="G628" s="16" t="s">
        <v>181</v>
      </c>
      <c r="H628" s="51">
        <v>46190.0</v>
      </c>
      <c r="I628" s="16" t="s">
        <v>199</v>
      </c>
      <c r="J628" s="17"/>
      <c r="K628" s="13"/>
      <c r="L628" s="16" t="s">
        <v>2507</v>
      </c>
      <c r="M628" s="16" t="s">
        <v>52</v>
      </c>
      <c r="N628" s="17"/>
      <c r="O628" s="16" t="s">
        <v>2523</v>
      </c>
      <c r="P628" s="18"/>
      <c r="Q628" s="16" t="s">
        <v>52</v>
      </c>
      <c r="R628" s="16" t="s">
        <v>699</v>
      </c>
      <c r="S628" s="16" t="s">
        <v>1607</v>
      </c>
      <c r="T628" s="16"/>
    </row>
    <row r="629">
      <c r="A629" s="54">
        <v>46190.36255730324</v>
      </c>
      <c r="B629" s="16" t="s">
        <v>34</v>
      </c>
      <c r="C629" s="16" t="s">
        <v>699</v>
      </c>
      <c r="D629" s="17"/>
      <c r="E629" s="31"/>
      <c r="F629" s="39">
        <v>15.0</v>
      </c>
      <c r="G629" s="16" t="s">
        <v>181</v>
      </c>
      <c r="H629" s="51">
        <v>46190.0</v>
      </c>
      <c r="I629" s="16" t="s">
        <v>195</v>
      </c>
      <c r="J629" s="17"/>
      <c r="K629" s="13"/>
      <c r="L629" s="16" t="s">
        <v>2507</v>
      </c>
      <c r="M629" s="16" t="s">
        <v>52</v>
      </c>
      <c r="N629" s="17"/>
      <c r="O629" s="16" t="s">
        <v>2523</v>
      </c>
      <c r="P629" s="18"/>
      <c r="Q629" s="16" t="s">
        <v>52</v>
      </c>
      <c r="R629" s="16" t="s">
        <v>699</v>
      </c>
      <c r="S629" s="16" t="s">
        <v>1607</v>
      </c>
      <c r="T629" s="16"/>
    </row>
    <row r="630">
      <c r="A630" s="54">
        <v>46190.36255730324</v>
      </c>
      <c r="B630" s="16" t="s">
        <v>34</v>
      </c>
      <c r="C630" s="16" t="s">
        <v>699</v>
      </c>
      <c r="D630" s="17"/>
      <c r="E630" s="31"/>
      <c r="F630" s="39">
        <v>13.0</v>
      </c>
      <c r="G630" s="16" t="s">
        <v>181</v>
      </c>
      <c r="H630" s="51">
        <v>46190.0</v>
      </c>
      <c r="I630" s="16" t="s">
        <v>174</v>
      </c>
      <c r="J630" s="17"/>
      <c r="K630" s="13"/>
      <c r="L630" s="16" t="s">
        <v>2507</v>
      </c>
      <c r="M630" s="16" t="s">
        <v>52</v>
      </c>
      <c r="N630" s="17"/>
      <c r="O630" s="16" t="s">
        <v>2523</v>
      </c>
      <c r="P630" s="18"/>
      <c r="Q630" s="16" t="s">
        <v>52</v>
      </c>
      <c r="R630" s="16" t="s">
        <v>699</v>
      </c>
      <c r="S630" s="16" t="s">
        <v>1607</v>
      </c>
      <c r="T630" s="16"/>
    </row>
    <row r="631">
      <c r="A631" s="54">
        <v>46190.487846331016</v>
      </c>
      <c r="B631" s="16" t="s">
        <v>104</v>
      </c>
      <c r="C631" s="16" t="s">
        <v>808</v>
      </c>
      <c r="D631" s="17"/>
      <c r="E631" s="31"/>
      <c r="F631" s="39">
        <v>2.0</v>
      </c>
      <c r="G631" s="16" t="s">
        <v>181</v>
      </c>
      <c r="H631" s="51">
        <v>46190.0</v>
      </c>
      <c r="I631" s="16" t="s">
        <v>106</v>
      </c>
      <c r="J631" s="17"/>
      <c r="K631" s="13"/>
      <c r="L631" s="16" t="s">
        <v>2507</v>
      </c>
      <c r="M631" s="16" t="s">
        <v>52</v>
      </c>
      <c r="N631" s="17"/>
      <c r="O631" s="16" t="s">
        <v>2669</v>
      </c>
      <c r="P631" s="18"/>
      <c r="Q631" s="16" t="s">
        <v>52</v>
      </c>
      <c r="R631" s="16" t="s">
        <v>808</v>
      </c>
      <c r="S631" s="16" t="s">
        <v>1607</v>
      </c>
      <c r="T631" s="16"/>
    </row>
    <row r="632">
      <c r="A632" s="54">
        <v>46190.48978798611</v>
      </c>
      <c r="B632" s="16" t="s">
        <v>104</v>
      </c>
      <c r="C632" s="16" t="s">
        <v>692</v>
      </c>
      <c r="D632" s="17"/>
      <c r="E632" s="31"/>
      <c r="F632" s="39">
        <v>1.0</v>
      </c>
      <c r="G632" s="16" t="s">
        <v>181</v>
      </c>
      <c r="H632" s="51">
        <v>46190.0</v>
      </c>
      <c r="I632" s="16" t="s">
        <v>106</v>
      </c>
      <c r="J632" s="17"/>
      <c r="K632" s="13"/>
      <c r="L632" s="16" t="s">
        <v>2507</v>
      </c>
      <c r="M632" s="16" t="s">
        <v>52</v>
      </c>
      <c r="N632" s="17"/>
      <c r="O632" s="16" t="s">
        <v>2513</v>
      </c>
      <c r="P632" s="18"/>
      <c r="Q632" s="16" t="s">
        <v>52</v>
      </c>
      <c r="R632" s="16" t="s">
        <v>692</v>
      </c>
      <c r="S632" s="16" t="s">
        <v>1607</v>
      </c>
      <c r="T632" s="16"/>
    </row>
    <row r="633">
      <c r="A633" s="54">
        <v>46190.49690857639</v>
      </c>
      <c r="B633" s="16" t="s">
        <v>34</v>
      </c>
      <c r="C633" s="16" t="s">
        <v>783</v>
      </c>
      <c r="D633" s="17"/>
      <c r="E633" s="31"/>
      <c r="F633" s="39">
        <v>16.0</v>
      </c>
      <c r="G633" s="16" t="s">
        <v>181</v>
      </c>
      <c r="H633" s="51">
        <v>46188.0</v>
      </c>
      <c r="I633" s="16" t="s">
        <v>120</v>
      </c>
      <c r="J633" s="17"/>
      <c r="K633" s="13"/>
      <c r="L633" s="16" t="s">
        <v>2507</v>
      </c>
      <c r="M633" s="16" t="s">
        <v>52</v>
      </c>
      <c r="N633" s="17"/>
      <c r="O633" s="16" t="s">
        <v>2599</v>
      </c>
      <c r="P633" s="18"/>
      <c r="Q633" s="16" t="s">
        <v>52</v>
      </c>
      <c r="R633" s="16" t="s">
        <v>808</v>
      </c>
      <c r="S633" s="16" t="s">
        <v>1607</v>
      </c>
      <c r="T633" s="16"/>
    </row>
    <row r="634">
      <c r="A634" s="54">
        <v>46190.499017002316</v>
      </c>
      <c r="B634" s="16" t="s">
        <v>34</v>
      </c>
      <c r="C634" s="16" t="s">
        <v>730</v>
      </c>
      <c r="D634" s="17"/>
      <c r="E634" s="31"/>
      <c r="F634" s="39">
        <v>14.0</v>
      </c>
      <c r="G634" s="16" t="s">
        <v>181</v>
      </c>
      <c r="H634" s="51">
        <v>46189.0</v>
      </c>
      <c r="I634" s="16" t="s">
        <v>136</v>
      </c>
      <c r="J634" s="17"/>
      <c r="K634" s="13"/>
      <c r="L634" s="16" t="s">
        <v>2507</v>
      </c>
      <c r="M634" s="16" t="s">
        <v>2141</v>
      </c>
      <c r="N634" s="17"/>
      <c r="O634" s="16" t="s">
        <v>2560</v>
      </c>
      <c r="P634" s="18"/>
      <c r="Q634" s="16" t="s">
        <v>52</v>
      </c>
      <c r="R634" s="16" t="s">
        <v>730</v>
      </c>
      <c r="S634" s="16" t="s">
        <v>1607</v>
      </c>
      <c r="T634" s="16"/>
    </row>
    <row r="635">
      <c r="A635" s="54">
        <v>46190.50006597222</v>
      </c>
      <c r="B635" s="16" t="s">
        <v>34</v>
      </c>
      <c r="C635" s="16" t="s">
        <v>781</v>
      </c>
      <c r="D635" s="17"/>
      <c r="E635" s="31"/>
      <c r="F635" s="39">
        <v>15.0</v>
      </c>
      <c r="G635" s="16" t="s">
        <v>181</v>
      </c>
      <c r="H635" s="51">
        <v>46188.0</v>
      </c>
      <c r="I635" s="16" t="s">
        <v>142</v>
      </c>
      <c r="J635" s="17"/>
      <c r="K635" s="13"/>
      <c r="L635" s="16" t="s">
        <v>2507</v>
      </c>
      <c r="M635" s="16" t="s">
        <v>2702</v>
      </c>
      <c r="N635" s="17"/>
      <c r="O635" s="16" t="s">
        <v>2597</v>
      </c>
      <c r="P635" s="18"/>
      <c r="Q635" s="16" t="s">
        <v>52</v>
      </c>
      <c r="R635" s="16" t="s">
        <v>781</v>
      </c>
      <c r="S635" s="16" t="s">
        <v>1607</v>
      </c>
      <c r="T635" s="16"/>
    </row>
    <row r="636">
      <c r="A636" s="54">
        <v>46190.50771416667</v>
      </c>
      <c r="B636" s="16" t="s">
        <v>34</v>
      </c>
      <c r="C636" s="16" t="s">
        <v>720</v>
      </c>
      <c r="D636" s="17"/>
      <c r="E636" s="31"/>
      <c r="F636" s="39">
        <v>1.0</v>
      </c>
      <c r="G636" s="16" t="s">
        <v>181</v>
      </c>
      <c r="H636" s="51">
        <v>46190.0</v>
      </c>
      <c r="I636" s="16" t="s">
        <v>206</v>
      </c>
      <c r="J636" s="17"/>
      <c r="K636" s="13"/>
      <c r="L636" s="16" t="s">
        <v>2507</v>
      </c>
      <c r="M636" s="16" t="s">
        <v>52</v>
      </c>
      <c r="N636" s="17"/>
      <c r="O636" s="16" t="s">
        <v>2545</v>
      </c>
      <c r="P636" s="18"/>
      <c r="Q636" s="16" t="s">
        <v>52</v>
      </c>
      <c r="R636" s="16" t="s">
        <v>720</v>
      </c>
      <c r="S636" s="16" t="s">
        <v>1607</v>
      </c>
      <c r="T636" s="16"/>
    </row>
    <row r="637">
      <c r="A637" s="54">
        <v>46190.5079991088</v>
      </c>
      <c r="B637" s="16" t="s">
        <v>34</v>
      </c>
      <c r="C637" s="16" t="s">
        <v>726</v>
      </c>
      <c r="D637" s="17"/>
      <c r="E637" s="31"/>
      <c r="F637" s="39">
        <v>1.0</v>
      </c>
      <c r="G637" s="16" t="s">
        <v>181</v>
      </c>
      <c r="H637" s="51">
        <v>46190.0</v>
      </c>
      <c r="I637" s="16" t="s">
        <v>206</v>
      </c>
      <c r="J637" s="17"/>
      <c r="K637" s="13"/>
      <c r="L637" s="16" t="s">
        <v>2507</v>
      </c>
      <c r="M637" s="16" t="s">
        <v>52</v>
      </c>
      <c r="N637" s="17"/>
      <c r="O637" s="16" t="s">
        <v>2546</v>
      </c>
      <c r="P637" s="18"/>
      <c r="Q637" s="16" t="s">
        <v>52</v>
      </c>
      <c r="R637" s="16" t="s">
        <v>30</v>
      </c>
      <c r="S637" s="16" t="s">
        <v>1607</v>
      </c>
      <c r="T637" s="16"/>
    </row>
    <row r="638">
      <c r="A638" s="54">
        <v>46190.510524375</v>
      </c>
      <c r="B638" s="16" t="s">
        <v>34</v>
      </c>
      <c r="C638" s="16" t="s">
        <v>2703</v>
      </c>
      <c r="D638" s="17"/>
      <c r="E638" s="31"/>
      <c r="F638" s="39">
        <v>1.0</v>
      </c>
      <c r="G638" s="16" t="s">
        <v>181</v>
      </c>
      <c r="H638" s="51">
        <v>46190.0</v>
      </c>
      <c r="I638" s="16" t="s">
        <v>206</v>
      </c>
      <c r="J638" s="17"/>
      <c r="K638" s="13"/>
      <c r="L638" s="16" t="s">
        <v>2507</v>
      </c>
      <c r="M638" s="16" t="s">
        <v>52</v>
      </c>
      <c r="N638" s="17"/>
      <c r="O638" s="16" t="s">
        <v>1491</v>
      </c>
      <c r="P638" s="18"/>
      <c r="Q638" s="16" t="s">
        <v>52</v>
      </c>
      <c r="R638" s="16" t="s">
        <v>2703</v>
      </c>
      <c r="S638" s="16" t="s">
        <v>1607</v>
      </c>
      <c r="T638" s="16"/>
    </row>
    <row r="639">
      <c r="A639" s="54">
        <v>46190.62976123842</v>
      </c>
      <c r="B639" s="16" t="s">
        <v>68</v>
      </c>
      <c r="C639" s="16" t="s">
        <v>1316</v>
      </c>
      <c r="D639" s="17"/>
      <c r="E639" s="31"/>
      <c r="F639" s="39">
        <v>1.0</v>
      </c>
      <c r="G639" s="16" t="s">
        <v>181</v>
      </c>
      <c r="H639" s="51">
        <v>46190.0</v>
      </c>
      <c r="I639" s="17"/>
      <c r="J639" s="16" t="s">
        <v>92</v>
      </c>
      <c r="K639" s="13"/>
      <c r="L639" s="16" t="s">
        <v>54</v>
      </c>
      <c r="M639" s="16" t="s">
        <v>2350</v>
      </c>
      <c r="N639" s="16" t="s">
        <v>1316</v>
      </c>
      <c r="O639" s="16" t="s">
        <v>2704</v>
      </c>
      <c r="P639" s="34" t="s">
        <v>2705</v>
      </c>
      <c r="Q639" s="16" t="s">
        <v>52</v>
      </c>
      <c r="R639" s="16" t="s">
        <v>17</v>
      </c>
      <c r="S639" s="16" t="s">
        <v>1493</v>
      </c>
      <c r="T639" s="16"/>
    </row>
    <row r="640">
      <c r="A640" s="54">
        <v>46190.63630644676</v>
      </c>
      <c r="B640" s="16" t="s">
        <v>68</v>
      </c>
      <c r="C640" s="16" t="s">
        <v>1318</v>
      </c>
      <c r="D640" s="17"/>
      <c r="E640" s="31"/>
      <c r="F640" s="39">
        <v>1.0</v>
      </c>
      <c r="G640" s="16" t="s">
        <v>181</v>
      </c>
      <c r="H640" s="51">
        <v>46190.0</v>
      </c>
      <c r="I640" s="17"/>
      <c r="J640" s="16" t="s">
        <v>92</v>
      </c>
      <c r="K640" s="13"/>
      <c r="L640" s="16" t="s">
        <v>54</v>
      </c>
      <c r="M640" s="16" t="s">
        <v>2350</v>
      </c>
      <c r="N640" s="16" t="s">
        <v>1318</v>
      </c>
      <c r="O640" s="16" t="s">
        <v>2706</v>
      </c>
      <c r="P640" s="34" t="s">
        <v>2707</v>
      </c>
      <c r="Q640" s="16" t="s">
        <v>52</v>
      </c>
      <c r="R640" s="16" t="s">
        <v>17</v>
      </c>
      <c r="S640" s="16" t="s">
        <v>1493</v>
      </c>
      <c r="T640" s="16"/>
    </row>
    <row r="641">
      <c r="A641" s="54">
        <v>46190.63772640046</v>
      </c>
      <c r="B641" s="16" t="s">
        <v>104</v>
      </c>
      <c r="C641" s="16" t="s">
        <v>1320</v>
      </c>
      <c r="D641" s="16" t="s">
        <v>1517</v>
      </c>
      <c r="E641" s="31"/>
      <c r="F641" s="39">
        <v>1.0</v>
      </c>
      <c r="G641" s="16" t="s">
        <v>181</v>
      </c>
      <c r="H641" s="51">
        <v>46190.0</v>
      </c>
      <c r="I641" s="17"/>
      <c r="J641" s="16" t="s">
        <v>92</v>
      </c>
      <c r="K641" s="13"/>
      <c r="L641" s="16" t="s">
        <v>54</v>
      </c>
      <c r="M641" s="16" t="s">
        <v>2350</v>
      </c>
      <c r="N641" s="16" t="s">
        <v>1320</v>
      </c>
      <c r="O641" s="16" t="s">
        <v>2708</v>
      </c>
      <c r="P641" s="34" t="s">
        <v>2709</v>
      </c>
      <c r="Q641" s="16" t="s">
        <v>52</v>
      </c>
      <c r="R641" s="16" t="s">
        <v>17</v>
      </c>
      <c r="S641" s="16" t="s">
        <v>1493</v>
      </c>
      <c r="T641" s="16"/>
    </row>
    <row r="642">
      <c r="A642" s="54">
        <v>46190.64037976852</v>
      </c>
      <c r="B642" s="16" t="s">
        <v>75</v>
      </c>
      <c r="C642" s="16" t="s">
        <v>1322</v>
      </c>
      <c r="D642" s="17"/>
      <c r="E642" s="31"/>
      <c r="F642" s="39">
        <v>27.0</v>
      </c>
      <c r="G642" s="16" t="s">
        <v>181</v>
      </c>
      <c r="H642" s="51">
        <v>46190.0</v>
      </c>
      <c r="I642" s="17"/>
      <c r="J642" s="16" t="s">
        <v>92</v>
      </c>
      <c r="K642" s="13"/>
      <c r="L642" s="16" t="s">
        <v>54</v>
      </c>
      <c r="M642" s="16" t="s">
        <v>2350</v>
      </c>
      <c r="N642" s="16" t="s">
        <v>1322</v>
      </c>
      <c r="O642" s="16" t="s">
        <v>2710</v>
      </c>
      <c r="P642" s="34" t="s">
        <v>2711</v>
      </c>
      <c r="Q642" s="16" t="s">
        <v>52</v>
      </c>
      <c r="R642" s="16" t="s">
        <v>17</v>
      </c>
      <c r="S642" s="16" t="s">
        <v>1493</v>
      </c>
      <c r="T642" s="16"/>
    </row>
    <row r="643">
      <c r="A643" s="54">
        <v>46190.641510243055</v>
      </c>
      <c r="B643" s="16" t="s">
        <v>75</v>
      </c>
      <c r="C643" s="16" t="s">
        <v>1324</v>
      </c>
      <c r="D643" s="17"/>
      <c r="E643" s="31"/>
      <c r="F643" s="39">
        <v>14.0</v>
      </c>
      <c r="G643" s="16" t="s">
        <v>181</v>
      </c>
      <c r="H643" s="51">
        <v>46190.0</v>
      </c>
      <c r="I643" s="17"/>
      <c r="J643" s="16" t="s">
        <v>92</v>
      </c>
      <c r="K643" s="13"/>
      <c r="L643" s="16" t="s">
        <v>54</v>
      </c>
      <c r="M643" s="16" t="s">
        <v>52</v>
      </c>
      <c r="N643" s="16" t="s">
        <v>1324</v>
      </c>
      <c r="O643" s="16" t="s">
        <v>2712</v>
      </c>
      <c r="P643" s="34" t="s">
        <v>2713</v>
      </c>
      <c r="Q643" s="16" t="s">
        <v>52</v>
      </c>
      <c r="R643" s="16" t="s">
        <v>17</v>
      </c>
      <c r="S643" s="16" t="s">
        <v>1493</v>
      </c>
      <c r="T643" s="16"/>
    </row>
    <row r="644">
      <c r="A644" s="54">
        <v>46190.64323699074</v>
      </c>
      <c r="B644" s="16" t="s">
        <v>104</v>
      </c>
      <c r="C644" s="16" t="s">
        <v>1326</v>
      </c>
      <c r="D644" s="17"/>
      <c r="E644" s="31"/>
      <c r="F644" s="39">
        <v>4.0</v>
      </c>
      <c r="G644" s="16" t="s">
        <v>181</v>
      </c>
      <c r="H644" s="51">
        <v>46190.0</v>
      </c>
      <c r="I644" s="17"/>
      <c r="J644" s="16" t="s">
        <v>92</v>
      </c>
      <c r="K644" s="13"/>
      <c r="L644" s="16" t="s">
        <v>54</v>
      </c>
      <c r="M644" s="16" t="s">
        <v>2350</v>
      </c>
      <c r="N644" s="16" t="s">
        <v>1326</v>
      </c>
      <c r="O644" s="16" t="s">
        <v>2714</v>
      </c>
      <c r="P644" s="34" t="s">
        <v>2715</v>
      </c>
      <c r="Q644" s="16" t="s">
        <v>52</v>
      </c>
      <c r="R644" s="16" t="s">
        <v>17</v>
      </c>
      <c r="S644" s="16" t="s">
        <v>1493</v>
      </c>
      <c r="T644" s="16"/>
    </row>
    <row r="645">
      <c r="A645" s="54">
        <v>46190.64430297454</v>
      </c>
      <c r="B645" s="16" t="s">
        <v>104</v>
      </c>
      <c r="C645" s="16" t="s">
        <v>1329</v>
      </c>
      <c r="D645" s="17"/>
      <c r="E645" s="31"/>
      <c r="F645" s="39">
        <v>1.0</v>
      </c>
      <c r="G645" s="16" t="s">
        <v>181</v>
      </c>
      <c r="H645" s="51">
        <v>46190.0</v>
      </c>
      <c r="I645" s="17"/>
      <c r="J645" s="16" t="s">
        <v>92</v>
      </c>
      <c r="K645" s="13"/>
      <c r="L645" s="16" t="s">
        <v>54</v>
      </c>
      <c r="M645" s="16" t="s">
        <v>2350</v>
      </c>
      <c r="N645" s="16" t="s">
        <v>1329</v>
      </c>
      <c r="O645" s="16" t="s">
        <v>2716</v>
      </c>
      <c r="P645" s="34" t="s">
        <v>2717</v>
      </c>
      <c r="Q645" s="16" t="s">
        <v>52</v>
      </c>
      <c r="R645" s="16" t="s">
        <v>17</v>
      </c>
      <c r="S645" s="16" t="s">
        <v>1493</v>
      </c>
      <c r="T645" s="16"/>
    </row>
    <row r="646">
      <c r="A646" s="54">
        <v>46190.64538512731</v>
      </c>
      <c r="B646" s="16" t="s">
        <v>68</v>
      </c>
      <c r="C646" s="16" t="s">
        <v>1333</v>
      </c>
      <c r="D646" s="17"/>
      <c r="E646" s="31"/>
      <c r="F646" s="39">
        <v>2.0</v>
      </c>
      <c r="G646" s="16" t="s">
        <v>181</v>
      </c>
      <c r="H646" s="51">
        <v>46190.0</v>
      </c>
      <c r="I646" s="17"/>
      <c r="J646" s="16" t="s">
        <v>92</v>
      </c>
      <c r="K646" s="13"/>
      <c r="L646" s="16" t="s">
        <v>54</v>
      </c>
      <c r="M646" s="16" t="s">
        <v>2350</v>
      </c>
      <c r="N646" s="16" t="s">
        <v>1333</v>
      </c>
      <c r="O646" s="16" t="s">
        <v>2718</v>
      </c>
      <c r="P646" s="34" t="s">
        <v>2719</v>
      </c>
      <c r="Q646" s="16" t="s">
        <v>52</v>
      </c>
      <c r="R646" s="16" t="s">
        <v>17</v>
      </c>
      <c r="S646" s="16" t="s">
        <v>1493</v>
      </c>
      <c r="T646" s="16"/>
    </row>
    <row r="647">
      <c r="A647" s="54">
        <v>46192.660999050924</v>
      </c>
      <c r="B647" s="16" t="s">
        <v>34</v>
      </c>
      <c r="C647" s="16" t="s">
        <v>1293</v>
      </c>
      <c r="D647" s="17"/>
      <c r="E647" s="42" t="s">
        <v>2720</v>
      </c>
      <c r="F647" s="39">
        <v>1.0</v>
      </c>
      <c r="G647" s="16" t="s">
        <v>181</v>
      </c>
      <c r="H647" s="51">
        <v>46192.0</v>
      </c>
      <c r="I647" s="17"/>
      <c r="J647" s="16" t="s">
        <v>35</v>
      </c>
      <c r="K647" s="13"/>
      <c r="L647" s="16" t="s">
        <v>54</v>
      </c>
      <c r="M647" s="16" t="s">
        <v>2350</v>
      </c>
      <c r="N647" s="16" t="s">
        <v>1293</v>
      </c>
      <c r="O647" s="16" t="s">
        <v>2677</v>
      </c>
      <c r="P647" s="18"/>
      <c r="Q647" s="16" t="s">
        <v>52</v>
      </c>
      <c r="R647" s="16" t="s">
        <v>158</v>
      </c>
      <c r="S647" s="16" t="s">
        <v>1493</v>
      </c>
      <c r="T647" s="16"/>
    </row>
    <row r="648">
      <c r="A648" s="54">
        <v>46192.661884155095</v>
      </c>
      <c r="B648" s="16" t="s">
        <v>34</v>
      </c>
      <c r="C648" s="16" t="s">
        <v>1335</v>
      </c>
      <c r="D648" s="17"/>
      <c r="E648" s="31"/>
      <c r="F648" s="39">
        <v>1.0</v>
      </c>
      <c r="G648" s="16" t="s">
        <v>181</v>
      </c>
      <c r="H648" s="51">
        <v>46192.0</v>
      </c>
      <c r="I648" s="17"/>
      <c r="J648" s="16" t="s">
        <v>35</v>
      </c>
      <c r="K648" s="12" t="s">
        <v>2721</v>
      </c>
      <c r="L648" s="16" t="s">
        <v>54</v>
      </c>
      <c r="M648" s="16" t="s">
        <v>2350</v>
      </c>
      <c r="N648" s="16" t="s">
        <v>1335</v>
      </c>
      <c r="O648" s="16" t="s">
        <v>2722</v>
      </c>
      <c r="P648" s="18"/>
      <c r="Q648" s="16" t="s">
        <v>52</v>
      </c>
      <c r="R648" s="16" t="s">
        <v>183</v>
      </c>
      <c r="S648" s="16" t="s">
        <v>1493</v>
      </c>
      <c r="T648" s="16"/>
    </row>
    <row r="649">
      <c r="A649" s="54">
        <v>46192.66250085648</v>
      </c>
      <c r="B649" s="16" t="s">
        <v>34</v>
      </c>
      <c r="C649" s="16" t="s">
        <v>814</v>
      </c>
      <c r="D649" s="17"/>
      <c r="E649" s="31"/>
      <c r="F649" s="39">
        <v>1.0</v>
      </c>
      <c r="G649" s="16" t="s">
        <v>181</v>
      </c>
      <c r="H649" s="51">
        <v>46192.0</v>
      </c>
      <c r="I649" s="17"/>
      <c r="J649" s="16" t="s">
        <v>35</v>
      </c>
      <c r="K649" s="13"/>
      <c r="L649" s="16" t="s">
        <v>54</v>
      </c>
      <c r="M649" s="16" t="s">
        <v>2350</v>
      </c>
      <c r="N649" s="16" t="s">
        <v>814</v>
      </c>
      <c r="O649" s="16" t="s">
        <v>2723</v>
      </c>
      <c r="P649" s="18"/>
      <c r="Q649" s="16" t="s">
        <v>52</v>
      </c>
      <c r="R649" s="16" t="s">
        <v>183</v>
      </c>
      <c r="S649" s="16" t="s">
        <v>1493</v>
      </c>
      <c r="T649" s="16"/>
    </row>
    <row r="650">
      <c r="A650" s="54">
        <v>46192.66304159722</v>
      </c>
      <c r="B650" s="16" t="s">
        <v>34</v>
      </c>
      <c r="C650" s="16" t="s">
        <v>814</v>
      </c>
      <c r="D650" s="17"/>
      <c r="E650" s="31"/>
      <c r="F650" s="39">
        <v>1.0</v>
      </c>
      <c r="G650" s="16" t="s">
        <v>181</v>
      </c>
      <c r="H650" s="51">
        <v>46192.0</v>
      </c>
      <c r="I650" s="16" t="s">
        <v>183</v>
      </c>
      <c r="J650" s="16" t="s">
        <v>35</v>
      </c>
      <c r="K650" s="13"/>
      <c r="L650" s="16" t="s">
        <v>2507</v>
      </c>
      <c r="M650" s="16" t="s">
        <v>2724</v>
      </c>
      <c r="N650" s="17"/>
      <c r="O650" s="16" t="s">
        <v>2723</v>
      </c>
      <c r="P650" s="18"/>
      <c r="Q650" s="16" t="s">
        <v>52</v>
      </c>
      <c r="R650" s="16" t="s">
        <v>814</v>
      </c>
      <c r="S650" s="16" t="s">
        <v>1607</v>
      </c>
      <c r="T650" s="16"/>
    </row>
    <row r="651">
      <c r="A651" s="54">
        <v>46192.66465146991</v>
      </c>
      <c r="B651" s="16" t="s">
        <v>34</v>
      </c>
      <c r="C651" s="16" t="s">
        <v>815</v>
      </c>
      <c r="D651" s="16" t="s">
        <v>2182</v>
      </c>
      <c r="E651" s="42" t="s">
        <v>2725</v>
      </c>
      <c r="F651" s="39">
        <v>21.0</v>
      </c>
      <c r="G651" s="16" t="s">
        <v>181</v>
      </c>
      <c r="H651" s="51">
        <v>46192.0</v>
      </c>
      <c r="I651" s="17"/>
      <c r="J651" s="16" t="s">
        <v>35</v>
      </c>
      <c r="K651" s="12" t="s">
        <v>2726</v>
      </c>
      <c r="L651" s="16" t="s">
        <v>54</v>
      </c>
      <c r="M651" s="16" t="s">
        <v>2350</v>
      </c>
      <c r="N651" s="16" t="s">
        <v>1341</v>
      </c>
      <c r="O651" s="16" t="s">
        <v>2727</v>
      </c>
      <c r="P651" s="18"/>
      <c r="Q651" s="16" t="s">
        <v>52</v>
      </c>
      <c r="R651" s="16" t="s">
        <v>187</v>
      </c>
      <c r="S651" s="16" t="s">
        <v>1493</v>
      </c>
      <c r="T651" s="16"/>
    </row>
    <row r="652">
      <c r="A652" s="54">
        <v>46192.66579025463</v>
      </c>
      <c r="B652" s="16" t="s">
        <v>34</v>
      </c>
      <c r="C652" s="16" t="s">
        <v>817</v>
      </c>
      <c r="D652" s="16" t="s">
        <v>2182</v>
      </c>
      <c r="E652" s="42" t="s">
        <v>2728</v>
      </c>
      <c r="F652" s="39">
        <v>21.0</v>
      </c>
      <c r="G652" s="16" t="s">
        <v>181</v>
      </c>
      <c r="H652" s="51">
        <v>46192.0</v>
      </c>
      <c r="I652" s="17"/>
      <c r="J652" s="16" t="s">
        <v>35</v>
      </c>
      <c r="K652" s="12" t="s">
        <v>2729</v>
      </c>
      <c r="L652" s="16" t="s">
        <v>54</v>
      </c>
      <c r="M652" s="16" t="s">
        <v>2350</v>
      </c>
      <c r="N652" s="16" t="s">
        <v>1337</v>
      </c>
      <c r="O652" s="16" t="s">
        <v>2730</v>
      </c>
      <c r="P652" s="18"/>
      <c r="Q652" s="16" t="s">
        <v>52</v>
      </c>
      <c r="R652" s="16" t="s">
        <v>158</v>
      </c>
      <c r="S652" s="16" t="s">
        <v>1493</v>
      </c>
      <c r="T652" s="16"/>
    </row>
    <row r="653">
      <c r="A653" s="54">
        <v>46195.344208078706</v>
      </c>
      <c r="B653" s="16" t="s">
        <v>49</v>
      </c>
      <c r="C653" s="16" t="s">
        <v>817</v>
      </c>
      <c r="D653" s="16" t="s">
        <v>2182</v>
      </c>
      <c r="E653" s="42" t="s">
        <v>2728</v>
      </c>
      <c r="F653" s="39">
        <v>10.0</v>
      </c>
      <c r="G653" s="16" t="s">
        <v>181</v>
      </c>
      <c r="H653" s="51">
        <v>46192.0</v>
      </c>
      <c r="I653" s="17"/>
      <c r="J653" s="16" t="s">
        <v>35</v>
      </c>
      <c r="K653" s="12" t="s">
        <v>1809</v>
      </c>
      <c r="L653" s="16" t="s">
        <v>54</v>
      </c>
      <c r="M653" s="16" t="s">
        <v>2350</v>
      </c>
      <c r="N653" s="16" t="s">
        <v>1337</v>
      </c>
      <c r="O653" s="16" t="s">
        <v>2731</v>
      </c>
      <c r="P653" s="18"/>
      <c r="Q653" s="16" t="s">
        <v>52</v>
      </c>
      <c r="R653" s="16" t="s">
        <v>161</v>
      </c>
      <c r="S653" s="16" t="s">
        <v>1493</v>
      </c>
      <c r="T653" s="16"/>
    </row>
    <row r="654">
      <c r="A654" s="54">
        <v>46195.3473872801</v>
      </c>
      <c r="B654" s="16" t="s">
        <v>49</v>
      </c>
      <c r="C654" s="16" t="s">
        <v>815</v>
      </c>
      <c r="D654" s="16" t="s">
        <v>2182</v>
      </c>
      <c r="E654" s="42" t="s">
        <v>2725</v>
      </c>
      <c r="F654" s="39">
        <v>11.0</v>
      </c>
      <c r="G654" s="16" t="s">
        <v>181</v>
      </c>
      <c r="H654" s="51">
        <v>46192.0</v>
      </c>
      <c r="I654" s="17"/>
      <c r="J654" s="16" t="s">
        <v>35</v>
      </c>
      <c r="K654" s="12" t="s">
        <v>1809</v>
      </c>
      <c r="L654" s="16" t="s">
        <v>54</v>
      </c>
      <c r="M654" s="16" t="s">
        <v>2350</v>
      </c>
      <c r="N654" s="16" t="s">
        <v>1341</v>
      </c>
      <c r="O654" s="16" t="s">
        <v>2732</v>
      </c>
      <c r="P654" s="18"/>
      <c r="Q654" s="16" t="s">
        <v>52</v>
      </c>
      <c r="R654" s="16" t="s">
        <v>161</v>
      </c>
      <c r="S654" s="16" t="s">
        <v>1493</v>
      </c>
      <c r="T654" s="16"/>
    </row>
    <row r="655">
      <c r="A655" s="54">
        <v>46195.360863587965</v>
      </c>
      <c r="B655" s="16" t="s">
        <v>68</v>
      </c>
      <c r="C655" s="16" t="s">
        <v>1344</v>
      </c>
      <c r="D655" s="17"/>
      <c r="E655" s="31"/>
      <c r="F655" s="39">
        <v>3.0</v>
      </c>
      <c r="G655" s="16" t="s">
        <v>181</v>
      </c>
      <c r="H655" s="51">
        <v>46192.0</v>
      </c>
      <c r="I655" s="17"/>
      <c r="J655" s="16" t="s">
        <v>92</v>
      </c>
      <c r="K655" s="13"/>
      <c r="L655" s="16" t="s">
        <v>54</v>
      </c>
      <c r="M655" s="16" t="s">
        <v>2135</v>
      </c>
      <c r="N655" s="16" t="s">
        <v>1347</v>
      </c>
      <c r="O655" s="16" t="s">
        <v>2733</v>
      </c>
      <c r="P655" s="18"/>
      <c r="Q655" s="16" t="s">
        <v>52</v>
      </c>
      <c r="R655" s="16" t="s">
        <v>17</v>
      </c>
      <c r="S655" s="16" t="s">
        <v>1493</v>
      </c>
      <c r="T655" s="16"/>
    </row>
    <row r="656">
      <c r="A656" s="54">
        <v>46195.36187905092</v>
      </c>
      <c r="B656" s="16" t="s">
        <v>75</v>
      </c>
      <c r="C656" s="16" t="s">
        <v>1349</v>
      </c>
      <c r="D656" s="17"/>
      <c r="E656" s="31"/>
      <c r="F656" s="39">
        <v>4.0</v>
      </c>
      <c r="G656" s="16" t="s">
        <v>181</v>
      </c>
      <c r="H656" s="51">
        <v>46192.0</v>
      </c>
      <c r="I656" s="17"/>
      <c r="J656" s="16" t="s">
        <v>92</v>
      </c>
      <c r="K656" s="12" t="s">
        <v>2734</v>
      </c>
      <c r="L656" s="16" t="s">
        <v>54</v>
      </c>
      <c r="M656" s="16" t="s">
        <v>2135</v>
      </c>
      <c r="N656" s="16" t="s">
        <v>1350</v>
      </c>
      <c r="O656" s="16" t="s">
        <v>2735</v>
      </c>
      <c r="P656" s="18"/>
      <c r="Q656" s="16" t="s">
        <v>52</v>
      </c>
      <c r="R656" s="16" t="s">
        <v>17</v>
      </c>
      <c r="S656" s="16" t="s">
        <v>1493</v>
      </c>
      <c r="T656" s="16"/>
    </row>
    <row r="657">
      <c r="A657" s="54">
        <v>46195.362767893515</v>
      </c>
      <c r="B657" s="16" t="s">
        <v>75</v>
      </c>
      <c r="C657" s="16" t="s">
        <v>1352</v>
      </c>
      <c r="D657" s="17"/>
      <c r="E657" s="31"/>
      <c r="F657" s="39">
        <v>12.0</v>
      </c>
      <c r="G657" s="16" t="s">
        <v>181</v>
      </c>
      <c r="H657" s="51">
        <v>46192.0</v>
      </c>
      <c r="I657" s="17"/>
      <c r="J657" s="16" t="s">
        <v>92</v>
      </c>
      <c r="K657" s="12" t="s">
        <v>2734</v>
      </c>
      <c r="L657" s="16" t="s">
        <v>54</v>
      </c>
      <c r="M657" s="16" t="s">
        <v>2135</v>
      </c>
      <c r="N657" s="16" t="s">
        <v>1352</v>
      </c>
      <c r="O657" s="16" t="s">
        <v>2736</v>
      </c>
      <c r="P657" s="18"/>
      <c r="Q657" s="16" t="s">
        <v>52</v>
      </c>
      <c r="R657" s="16" t="s">
        <v>17</v>
      </c>
      <c r="S657" s="16" t="s">
        <v>1493</v>
      </c>
      <c r="T657" s="16"/>
    </row>
    <row r="658">
      <c r="A658" s="54">
        <v>46195.363600474535</v>
      </c>
      <c r="B658" s="16" t="s">
        <v>104</v>
      </c>
      <c r="C658" s="16" t="s">
        <v>1355</v>
      </c>
      <c r="D658" s="17"/>
      <c r="E658" s="31"/>
      <c r="F658" s="39">
        <v>1.0</v>
      </c>
      <c r="G658" s="16" t="s">
        <v>181</v>
      </c>
      <c r="H658" s="51">
        <v>46192.0</v>
      </c>
      <c r="I658" s="17"/>
      <c r="J658" s="16" t="s">
        <v>92</v>
      </c>
      <c r="K658" s="12" t="s">
        <v>2734</v>
      </c>
      <c r="L658" s="16" t="s">
        <v>54</v>
      </c>
      <c r="M658" s="16" t="s">
        <v>2135</v>
      </c>
      <c r="N658" s="16" t="s">
        <v>1355</v>
      </c>
      <c r="O658" s="16" t="s">
        <v>2737</v>
      </c>
      <c r="P658" s="18"/>
      <c r="Q658" s="16" t="s">
        <v>52</v>
      </c>
      <c r="R658" s="16" t="s">
        <v>17</v>
      </c>
      <c r="S658" s="16" t="s">
        <v>1493</v>
      </c>
      <c r="T658" s="16"/>
    </row>
    <row r="659">
      <c r="A659" s="54">
        <v>46195.36567892361</v>
      </c>
      <c r="B659" s="16" t="s">
        <v>34</v>
      </c>
      <c r="C659" s="16" t="s">
        <v>30</v>
      </c>
      <c r="D659" s="17"/>
      <c r="E659" s="31"/>
      <c r="F659" s="39">
        <v>1.0</v>
      </c>
      <c r="G659" s="16" t="s">
        <v>181</v>
      </c>
      <c r="H659" s="51">
        <v>46191.0</v>
      </c>
      <c r="I659" s="17"/>
      <c r="J659" s="16" t="s">
        <v>672</v>
      </c>
      <c r="K659" s="12" t="s">
        <v>2738</v>
      </c>
      <c r="L659" s="16" t="s">
        <v>54</v>
      </c>
      <c r="M659" s="16" t="s">
        <v>2111</v>
      </c>
      <c r="N659" s="16" t="s">
        <v>449</v>
      </c>
      <c r="O659" s="16" t="s">
        <v>2101</v>
      </c>
      <c r="P659" s="18"/>
      <c r="Q659" s="16" t="s">
        <v>52</v>
      </c>
      <c r="R659" s="16" t="s">
        <v>183</v>
      </c>
      <c r="S659" s="16" t="s">
        <v>1493</v>
      </c>
      <c r="T659" s="16" t="s">
        <v>398</v>
      </c>
    </row>
    <row r="660">
      <c r="A660" s="54">
        <v>46195.37082476851</v>
      </c>
      <c r="B660" s="16" t="s">
        <v>34</v>
      </c>
      <c r="C660" s="16" t="s">
        <v>30</v>
      </c>
      <c r="D660" s="17"/>
      <c r="E660" s="31"/>
      <c r="F660" s="39">
        <v>1.0</v>
      </c>
      <c r="G660" s="16" t="s">
        <v>181</v>
      </c>
      <c r="H660" s="51">
        <v>46195.0</v>
      </c>
      <c r="I660" s="16" t="s">
        <v>183</v>
      </c>
      <c r="J660" s="17"/>
      <c r="K660" s="12" t="s">
        <v>2739</v>
      </c>
      <c r="L660" s="16" t="s">
        <v>2507</v>
      </c>
      <c r="M660" s="16" t="s">
        <v>2740</v>
      </c>
      <c r="N660" s="17"/>
      <c r="O660" s="16" t="s">
        <v>2101</v>
      </c>
      <c r="P660" s="18"/>
      <c r="Q660" s="16" t="s">
        <v>52</v>
      </c>
      <c r="R660" s="16" t="s">
        <v>30</v>
      </c>
      <c r="S660" s="16" t="s">
        <v>1607</v>
      </c>
      <c r="T660" s="16"/>
    </row>
    <row r="661">
      <c r="A661" s="54">
        <v>46195.56345233796</v>
      </c>
      <c r="B661" s="16" t="s">
        <v>34</v>
      </c>
      <c r="C661" s="16" t="s">
        <v>819</v>
      </c>
      <c r="D661" s="17"/>
      <c r="E661" s="31"/>
      <c r="F661" s="39">
        <v>6.0</v>
      </c>
      <c r="G661" s="16" t="s">
        <v>181</v>
      </c>
      <c r="H661" s="51">
        <v>46195.0</v>
      </c>
      <c r="I661" s="17"/>
      <c r="J661" s="16" t="s">
        <v>51</v>
      </c>
      <c r="K661" s="12" t="s">
        <v>2075</v>
      </c>
      <c r="L661" s="16" t="s">
        <v>54</v>
      </c>
      <c r="M661" s="16" t="s">
        <v>2350</v>
      </c>
      <c r="N661" s="16" t="s">
        <v>819</v>
      </c>
      <c r="O661" s="16" t="s">
        <v>2741</v>
      </c>
      <c r="P661" s="18"/>
      <c r="Q661" s="16" t="s">
        <v>52</v>
      </c>
      <c r="R661" s="16" t="s">
        <v>120</v>
      </c>
      <c r="S661" s="16" t="s">
        <v>1493</v>
      </c>
      <c r="T661" s="16"/>
    </row>
    <row r="662">
      <c r="A662" s="54">
        <v>46195.56461701389</v>
      </c>
      <c r="B662" s="16" t="s">
        <v>104</v>
      </c>
      <c r="C662" s="16" t="s">
        <v>1358</v>
      </c>
      <c r="D662" s="17"/>
      <c r="E662" s="31"/>
      <c r="F662" s="39">
        <v>1.0</v>
      </c>
      <c r="G662" s="16" t="s">
        <v>181</v>
      </c>
      <c r="H662" s="51">
        <v>46195.0</v>
      </c>
      <c r="I662" s="17"/>
      <c r="J662" s="16" t="s">
        <v>92</v>
      </c>
      <c r="K662" s="13"/>
      <c r="L662" s="16" t="s">
        <v>54</v>
      </c>
      <c r="M662" s="16" t="s">
        <v>2350</v>
      </c>
      <c r="N662" s="16" t="s">
        <v>1358</v>
      </c>
      <c r="O662" s="16" t="s">
        <v>2742</v>
      </c>
      <c r="P662" s="18"/>
      <c r="Q662" s="16" t="s">
        <v>52</v>
      </c>
      <c r="R662" s="16" t="s">
        <v>17</v>
      </c>
      <c r="S662" s="16" t="s">
        <v>1493</v>
      </c>
      <c r="T662" s="16"/>
    </row>
    <row r="663">
      <c r="A663" s="54">
        <v>46195.56536653935</v>
      </c>
      <c r="B663" s="16" t="s">
        <v>104</v>
      </c>
      <c r="C663" s="16" t="s">
        <v>1361</v>
      </c>
      <c r="D663" s="17"/>
      <c r="E663" s="31"/>
      <c r="F663" s="39">
        <v>1.0</v>
      </c>
      <c r="G663" s="16" t="s">
        <v>181</v>
      </c>
      <c r="H663" s="51">
        <v>46195.0</v>
      </c>
      <c r="I663" s="17"/>
      <c r="J663" s="16" t="s">
        <v>92</v>
      </c>
      <c r="K663" s="13"/>
      <c r="L663" s="16" t="s">
        <v>54</v>
      </c>
      <c r="M663" s="16" t="s">
        <v>2111</v>
      </c>
      <c r="N663" s="16" t="s">
        <v>1361</v>
      </c>
      <c r="O663" s="16" t="s">
        <v>2743</v>
      </c>
      <c r="P663" s="18"/>
      <c r="Q663" s="16" t="s">
        <v>52</v>
      </c>
      <c r="R663" s="16" t="s">
        <v>17</v>
      </c>
      <c r="S663" s="16" t="s">
        <v>1493</v>
      </c>
      <c r="T663" s="16"/>
    </row>
    <row r="664">
      <c r="A664" s="54">
        <v>46196.5954041088</v>
      </c>
      <c r="B664" s="16" t="s">
        <v>75</v>
      </c>
      <c r="C664" s="16" t="s">
        <v>1324</v>
      </c>
      <c r="D664" s="17"/>
      <c r="E664" s="31"/>
      <c r="F664" s="39">
        <v>1.0</v>
      </c>
      <c r="G664" s="16" t="s">
        <v>181</v>
      </c>
      <c r="H664" s="51">
        <v>46196.0</v>
      </c>
      <c r="I664" s="17"/>
      <c r="J664" s="16" t="s">
        <v>92</v>
      </c>
      <c r="K664" s="13"/>
      <c r="L664" s="16" t="s">
        <v>54</v>
      </c>
      <c r="M664" s="16" t="s">
        <v>2111</v>
      </c>
      <c r="N664" s="16" t="s">
        <v>1324</v>
      </c>
      <c r="O664" s="16" t="s">
        <v>2712</v>
      </c>
      <c r="P664" s="18"/>
      <c r="Q664" s="16" t="s">
        <v>40</v>
      </c>
      <c r="R664" s="16" t="s">
        <v>17</v>
      </c>
      <c r="S664" s="16" t="s">
        <v>1493</v>
      </c>
      <c r="T664" s="16"/>
    </row>
    <row r="665">
      <c r="A665" s="54">
        <v>46196.59614122685</v>
      </c>
      <c r="B665" s="16" t="s">
        <v>68</v>
      </c>
      <c r="C665" s="16" t="s">
        <v>1350</v>
      </c>
      <c r="D665" s="17"/>
      <c r="E665" s="31"/>
      <c r="F665" s="39">
        <v>2.0</v>
      </c>
      <c r="G665" s="16" t="s">
        <v>181</v>
      </c>
      <c r="H665" s="51">
        <v>46196.0</v>
      </c>
      <c r="I665" s="17"/>
      <c r="J665" s="16" t="s">
        <v>92</v>
      </c>
      <c r="K665" s="13"/>
      <c r="L665" s="16" t="s">
        <v>54</v>
      </c>
      <c r="M665" s="16" t="s">
        <v>2111</v>
      </c>
      <c r="N665" s="16" t="s">
        <v>1350</v>
      </c>
      <c r="O665" s="16" t="s">
        <v>2744</v>
      </c>
      <c r="P665" s="18"/>
      <c r="Q665" s="16" t="s">
        <v>40</v>
      </c>
      <c r="R665" s="16" t="s">
        <v>17</v>
      </c>
      <c r="S665" s="16" t="s">
        <v>1493</v>
      </c>
      <c r="T665" s="16"/>
    </row>
    <row r="666">
      <c r="A666" s="54">
        <v>46197.54587185185</v>
      </c>
      <c r="B666" s="16" t="s">
        <v>49</v>
      </c>
      <c r="C666" s="16" t="s">
        <v>815</v>
      </c>
      <c r="D666" s="16" t="s">
        <v>2182</v>
      </c>
      <c r="E666" s="42" t="s">
        <v>2725</v>
      </c>
      <c r="F666" s="39">
        <v>2.0</v>
      </c>
      <c r="G666" s="16" t="s">
        <v>181</v>
      </c>
      <c r="H666" s="51">
        <v>46192.0</v>
      </c>
      <c r="I666" s="17"/>
      <c r="J666" s="16" t="s">
        <v>35</v>
      </c>
      <c r="K666" s="12" t="s">
        <v>2358</v>
      </c>
      <c r="L666" s="16" t="s">
        <v>54</v>
      </c>
      <c r="M666" s="16" t="s">
        <v>2350</v>
      </c>
      <c r="N666" s="16" t="s">
        <v>1341</v>
      </c>
      <c r="O666" s="16" t="s">
        <v>2732</v>
      </c>
      <c r="P666" s="18"/>
      <c r="Q666" s="16" t="s">
        <v>52</v>
      </c>
      <c r="R666" s="16" t="s">
        <v>224</v>
      </c>
      <c r="S666" s="16" t="s">
        <v>1493</v>
      </c>
      <c r="T666" s="16"/>
    </row>
    <row r="667">
      <c r="A667" s="54">
        <v>46197.54587185185</v>
      </c>
      <c r="B667" s="16" t="s">
        <v>49</v>
      </c>
      <c r="C667" s="16" t="s">
        <v>817</v>
      </c>
      <c r="D667" s="16" t="s">
        <v>2182</v>
      </c>
      <c r="E667" s="42" t="s">
        <v>2728</v>
      </c>
      <c r="F667" s="39">
        <v>2.0</v>
      </c>
      <c r="G667" s="16" t="s">
        <v>181</v>
      </c>
      <c r="H667" s="51">
        <v>46192.0</v>
      </c>
      <c r="I667" s="17"/>
      <c r="J667" s="16" t="s">
        <v>35</v>
      </c>
      <c r="K667" s="12" t="s">
        <v>2358</v>
      </c>
      <c r="L667" s="16" t="s">
        <v>54</v>
      </c>
      <c r="M667" s="16" t="s">
        <v>2350</v>
      </c>
      <c r="N667" s="16" t="s">
        <v>1337</v>
      </c>
      <c r="O667" s="16" t="s">
        <v>2731</v>
      </c>
      <c r="P667" s="18"/>
      <c r="Q667" s="16" t="s">
        <v>52</v>
      </c>
      <c r="R667" s="16" t="s">
        <v>224</v>
      </c>
      <c r="S667" s="16" t="s">
        <v>1493</v>
      </c>
      <c r="T667" s="16"/>
    </row>
    <row r="668">
      <c r="A668" s="54">
        <v>46198.437989328704</v>
      </c>
      <c r="B668" s="16" t="s">
        <v>96</v>
      </c>
      <c r="C668" s="16" t="s">
        <v>322</v>
      </c>
      <c r="D668" s="17"/>
      <c r="E668" s="31"/>
      <c r="F668" s="39">
        <v>12.0</v>
      </c>
      <c r="G668" s="16" t="s">
        <v>363</v>
      </c>
      <c r="H668" s="51">
        <v>46197.0</v>
      </c>
      <c r="I668" s="17"/>
      <c r="J668" s="16" t="s">
        <v>62</v>
      </c>
      <c r="K668" s="12" t="s">
        <v>2745</v>
      </c>
      <c r="L668" s="16" t="s">
        <v>54</v>
      </c>
      <c r="M668" s="16" t="s">
        <v>2746</v>
      </c>
      <c r="N668" s="16" t="s">
        <v>376</v>
      </c>
      <c r="O668" s="16" t="s">
        <v>2747</v>
      </c>
      <c r="P668" s="56" t="s">
        <v>2748</v>
      </c>
      <c r="Q668" s="16" t="s">
        <v>124</v>
      </c>
      <c r="R668" s="16" t="s">
        <v>247</v>
      </c>
      <c r="S668" s="16" t="s">
        <v>1493</v>
      </c>
      <c r="T668" s="16"/>
    </row>
    <row r="669">
      <c r="A669" s="54">
        <v>46198.443213680555</v>
      </c>
      <c r="B669" s="16" t="s">
        <v>104</v>
      </c>
      <c r="C669" s="16" t="s">
        <v>1367</v>
      </c>
      <c r="D669" s="17"/>
      <c r="E669" s="31"/>
      <c r="F669" s="39">
        <v>1.0</v>
      </c>
      <c r="G669" s="16" t="s">
        <v>181</v>
      </c>
      <c r="H669" s="51">
        <v>46198.0</v>
      </c>
      <c r="I669" s="17"/>
      <c r="J669" s="16" t="s">
        <v>92</v>
      </c>
      <c r="K669" s="12" t="s">
        <v>2749</v>
      </c>
      <c r="L669" s="16" t="s">
        <v>54</v>
      </c>
      <c r="M669" s="16" t="s">
        <v>2746</v>
      </c>
      <c r="N669" s="16" t="s">
        <v>376</v>
      </c>
      <c r="O669" s="16" t="s">
        <v>2750</v>
      </c>
      <c r="P669" s="56" t="s">
        <v>2751</v>
      </c>
      <c r="Q669" s="16" t="s">
        <v>124</v>
      </c>
      <c r="R669" s="16" t="s">
        <v>17</v>
      </c>
      <c r="S669" s="16" t="s">
        <v>1493</v>
      </c>
      <c r="T669" s="16" t="s">
        <v>398</v>
      </c>
    </row>
    <row r="670">
      <c r="A670" s="54">
        <v>46198.447477118054</v>
      </c>
      <c r="B670" s="16" t="s">
        <v>68</v>
      </c>
      <c r="C670" s="16" t="s">
        <v>1369</v>
      </c>
      <c r="D670" s="17"/>
      <c r="E670" s="31"/>
      <c r="F670" s="39">
        <v>10.0</v>
      </c>
      <c r="G670" s="16" t="s">
        <v>181</v>
      </c>
      <c r="H670" s="51">
        <v>46198.0</v>
      </c>
      <c r="I670" s="17"/>
      <c r="J670" s="16" t="s">
        <v>92</v>
      </c>
      <c r="K670" s="12" t="s">
        <v>2752</v>
      </c>
      <c r="L670" s="16" t="s">
        <v>54</v>
      </c>
      <c r="M670" s="16" t="s">
        <v>124</v>
      </c>
      <c r="N670" s="16" t="s">
        <v>376</v>
      </c>
      <c r="O670" s="16" t="s">
        <v>2753</v>
      </c>
      <c r="P670" s="34" t="s">
        <v>2754</v>
      </c>
      <c r="Q670" s="16" t="s">
        <v>124</v>
      </c>
      <c r="R670" s="16" t="s">
        <v>17</v>
      </c>
      <c r="S670" s="16" t="s">
        <v>1493</v>
      </c>
      <c r="T670" s="16"/>
    </row>
    <row r="671">
      <c r="A671" s="54">
        <v>46198.44911663195</v>
      </c>
      <c r="B671" s="16" t="s">
        <v>75</v>
      </c>
      <c r="C671" s="16" t="s">
        <v>1372</v>
      </c>
      <c r="D671" s="17"/>
      <c r="E671" s="31"/>
      <c r="F671" s="39">
        <v>17.0</v>
      </c>
      <c r="G671" s="16" t="s">
        <v>181</v>
      </c>
      <c r="H671" s="51">
        <v>46198.0</v>
      </c>
      <c r="I671" s="17"/>
      <c r="J671" s="16" t="s">
        <v>92</v>
      </c>
      <c r="K671" s="13"/>
      <c r="L671" s="16" t="s">
        <v>54</v>
      </c>
      <c r="M671" s="16" t="s">
        <v>2746</v>
      </c>
      <c r="N671" s="16" t="s">
        <v>376</v>
      </c>
      <c r="O671" s="16" t="s">
        <v>2755</v>
      </c>
      <c r="P671" s="34" t="s">
        <v>2756</v>
      </c>
      <c r="Q671" s="16" t="s">
        <v>124</v>
      </c>
      <c r="R671" s="16" t="s">
        <v>17</v>
      </c>
      <c r="S671" s="16" t="s">
        <v>1493</v>
      </c>
      <c r="T671" s="16"/>
    </row>
    <row r="672">
      <c r="A672" s="54">
        <v>46198.451201585645</v>
      </c>
      <c r="B672" s="16" t="s">
        <v>104</v>
      </c>
      <c r="C672" s="16" t="s">
        <v>1375</v>
      </c>
      <c r="D672" s="17"/>
      <c r="E672" s="31"/>
      <c r="F672" s="39">
        <v>1.0</v>
      </c>
      <c r="G672" s="16" t="s">
        <v>181</v>
      </c>
      <c r="H672" s="51">
        <v>46198.0</v>
      </c>
      <c r="I672" s="17"/>
      <c r="J672" s="16" t="s">
        <v>92</v>
      </c>
      <c r="K672" s="12" t="s">
        <v>2757</v>
      </c>
      <c r="L672" s="16" t="s">
        <v>54</v>
      </c>
      <c r="M672" s="16" t="s">
        <v>2746</v>
      </c>
      <c r="N672" s="16" t="s">
        <v>376</v>
      </c>
      <c r="O672" s="16" t="s">
        <v>2758</v>
      </c>
      <c r="P672" s="34" t="s">
        <v>2759</v>
      </c>
      <c r="Q672" s="16" t="s">
        <v>124</v>
      </c>
      <c r="R672" s="16" t="s">
        <v>17</v>
      </c>
      <c r="S672" s="16" t="s">
        <v>1493</v>
      </c>
      <c r="T672" s="16"/>
    </row>
    <row r="673">
      <c r="A673" s="54">
        <v>46199.311383657405</v>
      </c>
      <c r="B673" s="16" t="s">
        <v>34</v>
      </c>
      <c r="C673" s="16" t="s">
        <v>819</v>
      </c>
      <c r="D673" s="17"/>
      <c r="E673" s="31"/>
      <c r="F673" s="39">
        <v>6.0</v>
      </c>
      <c r="G673" s="16" t="s">
        <v>181</v>
      </c>
      <c r="H673" s="52">
        <v>46199.0</v>
      </c>
      <c r="I673" s="16" t="s">
        <v>120</v>
      </c>
      <c r="J673" s="17"/>
      <c r="K673" s="13"/>
      <c r="L673" s="16" t="s">
        <v>54</v>
      </c>
      <c r="M673" s="16" t="s">
        <v>2746</v>
      </c>
      <c r="N673" s="16" t="s">
        <v>376</v>
      </c>
      <c r="O673" s="16" t="s">
        <v>2741</v>
      </c>
      <c r="P673" s="18"/>
      <c r="Q673" s="16" t="s">
        <v>52</v>
      </c>
      <c r="R673" s="16" t="s">
        <v>142</v>
      </c>
      <c r="S673" s="16" t="s">
        <v>1895</v>
      </c>
      <c r="T673" s="16"/>
    </row>
    <row r="674">
      <c r="A674" s="54">
        <v>46199.312070555556</v>
      </c>
      <c r="B674" s="16" t="s">
        <v>34</v>
      </c>
      <c r="C674" s="16" t="s">
        <v>1009</v>
      </c>
      <c r="D674" s="17"/>
      <c r="E674" s="31"/>
      <c r="F674" s="39">
        <v>8.0</v>
      </c>
      <c r="G674" s="16" t="s">
        <v>181</v>
      </c>
      <c r="H674" s="52">
        <v>46199.0</v>
      </c>
      <c r="I674" s="16" t="s">
        <v>106</v>
      </c>
      <c r="J674" s="17"/>
      <c r="K674" s="13"/>
      <c r="L674" s="16" t="s">
        <v>54</v>
      </c>
      <c r="M674" s="16" t="s">
        <v>2746</v>
      </c>
      <c r="N674" s="16" t="s">
        <v>376</v>
      </c>
      <c r="O674" s="16" t="s">
        <v>2279</v>
      </c>
      <c r="P674" s="18"/>
      <c r="Q674" s="16" t="s">
        <v>52</v>
      </c>
      <c r="R674" s="16" t="s">
        <v>202</v>
      </c>
      <c r="S674" s="16" t="s">
        <v>1895</v>
      </c>
      <c r="T674" s="16"/>
    </row>
    <row r="675">
      <c r="A675" s="54">
        <v>46199.31282924769</v>
      </c>
      <c r="B675" s="16" t="s">
        <v>34</v>
      </c>
      <c r="C675" s="16" t="s">
        <v>1290</v>
      </c>
      <c r="D675" s="17"/>
      <c r="E675" s="31"/>
      <c r="F675" s="39">
        <v>2.0</v>
      </c>
      <c r="G675" s="16" t="s">
        <v>181</v>
      </c>
      <c r="H675" s="52">
        <v>46199.0</v>
      </c>
      <c r="I675" s="16" t="s">
        <v>106</v>
      </c>
      <c r="J675" s="17"/>
      <c r="K675" s="13"/>
      <c r="L675" s="16" t="s">
        <v>54</v>
      </c>
      <c r="M675" s="16" t="s">
        <v>2746</v>
      </c>
      <c r="N675" s="16" t="s">
        <v>376</v>
      </c>
      <c r="O675" s="16" t="s">
        <v>2676</v>
      </c>
      <c r="P675" s="18"/>
      <c r="Q675" s="16" t="s">
        <v>52</v>
      </c>
      <c r="R675" s="16" t="s">
        <v>183</v>
      </c>
      <c r="S675" s="16" t="s">
        <v>1895</v>
      </c>
      <c r="T675" s="16"/>
    </row>
    <row r="676">
      <c r="A676" s="54">
        <v>46199.31403094907</v>
      </c>
      <c r="B676" s="16" t="s">
        <v>34</v>
      </c>
      <c r="C676" s="16" t="s">
        <v>800</v>
      </c>
      <c r="D676" s="17"/>
      <c r="E676" s="31"/>
      <c r="F676" s="39">
        <v>2.0</v>
      </c>
      <c r="G676" s="16" t="s">
        <v>181</v>
      </c>
      <c r="H676" s="52">
        <v>46199.0</v>
      </c>
      <c r="I676" s="16" t="s">
        <v>106</v>
      </c>
      <c r="J676" s="17"/>
      <c r="K676" s="13"/>
      <c r="L676" s="16" t="s">
        <v>54</v>
      </c>
      <c r="M676" s="16" t="s">
        <v>2746</v>
      </c>
      <c r="N676" s="16" t="s">
        <v>376</v>
      </c>
      <c r="O676" s="16" t="s">
        <v>2665</v>
      </c>
      <c r="P676" s="18"/>
      <c r="Q676" s="16" t="s">
        <v>52</v>
      </c>
      <c r="R676" s="16" t="s">
        <v>183</v>
      </c>
      <c r="S676" s="16" t="s">
        <v>1895</v>
      </c>
      <c r="T676" s="16"/>
    </row>
    <row r="677">
      <c r="A677" s="54">
        <v>46199.31475791667</v>
      </c>
      <c r="B677" s="16" t="s">
        <v>34</v>
      </c>
      <c r="C677" s="16" t="s">
        <v>1200</v>
      </c>
      <c r="D677" s="17"/>
      <c r="E677" s="31"/>
      <c r="F677" s="39">
        <v>1.0</v>
      </c>
      <c r="G677" s="16" t="s">
        <v>181</v>
      </c>
      <c r="H677" s="52">
        <v>46199.0</v>
      </c>
      <c r="I677" s="16" t="s">
        <v>195</v>
      </c>
      <c r="J677" s="17"/>
      <c r="K677" s="13"/>
      <c r="L677" s="16" t="s">
        <v>54</v>
      </c>
      <c r="M677" s="16" t="s">
        <v>2746</v>
      </c>
      <c r="N677" s="16" t="s">
        <v>376</v>
      </c>
      <c r="O677" s="16" t="s">
        <v>2571</v>
      </c>
      <c r="P677" s="18"/>
      <c r="Q677" s="16" t="s">
        <v>52</v>
      </c>
      <c r="R677" s="16" t="s">
        <v>183</v>
      </c>
      <c r="S677" s="16" t="s">
        <v>1895</v>
      </c>
      <c r="T677" s="16"/>
    </row>
    <row r="678">
      <c r="A678" s="54">
        <v>46199.31528097222</v>
      </c>
      <c r="B678" s="16" t="s">
        <v>34</v>
      </c>
      <c r="C678" s="16" t="s">
        <v>666</v>
      </c>
      <c r="D678" s="17"/>
      <c r="E678" s="31"/>
      <c r="F678" s="39">
        <v>2.0</v>
      </c>
      <c r="G678" s="16" t="s">
        <v>181</v>
      </c>
      <c r="H678" s="52">
        <v>46199.0</v>
      </c>
      <c r="I678" s="16" t="s">
        <v>195</v>
      </c>
      <c r="J678" s="17"/>
      <c r="K678" s="13"/>
      <c r="L678" s="16" t="s">
        <v>54</v>
      </c>
      <c r="M678" s="16" t="s">
        <v>2746</v>
      </c>
      <c r="N678" s="16" t="s">
        <v>376</v>
      </c>
      <c r="O678" s="16" t="s">
        <v>2465</v>
      </c>
      <c r="P678" s="18"/>
      <c r="Q678" s="16" t="s">
        <v>52</v>
      </c>
      <c r="R678" s="16" t="s">
        <v>183</v>
      </c>
      <c r="S678" s="16" t="s">
        <v>1895</v>
      </c>
      <c r="T678" s="16"/>
    </row>
    <row r="679">
      <c r="A679" s="54">
        <v>46199.45300605324</v>
      </c>
      <c r="B679" s="16" t="s">
        <v>118</v>
      </c>
      <c r="C679" s="16" t="s">
        <v>1378</v>
      </c>
      <c r="D679" s="17"/>
      <c r="E679" s="31"/>
      <c r="F679" s="39">
        <v>2.0</v>
      </c>
      <c r="G679" s="16" t="s">
        <v>181</v>
      </c>
      <c r="H679" s="51">
        <v>46199.0</v>
      </c>
      <c r="I679" s="17"/>
      <c r="J679" s="16" t="s">
        <v>35</v>
      </c>
      <c r="K679" s="12" t="s">
        <v>2760</v>
      </c>
      <c r="L679" s="16" t="s">
        <v>54</v>
      </c>
      <c r="M679" s="16" t="s">
        <v>2350</v>
      </c>
      <c r="N679" s="16" t="s">
        <v>376</v>
      </c>
      <c r="O679" s="16" t="s">
        <v>2761</v>
      </c>
      <c r="P679" s="18"/>
      <c r="Q679" s="16" t="s">
        <v>52</v>
      </c>
      <c r="R679" s="16" t="s">
        <v>304</v>
      </c>
      <c r="S679" s="16" t="s">
        <v>1493</v>
      </c>
      <c r="T679" s="16"/>
    </row>
    <row r="680">
      <c r="A680" s="54">
        <v>46202.37212385416</v>
      </c>
      <c r="B680" s="16" t="s">
        <v>49</v>
      </c>
      <c r="C680" s="16" t="s">
        <v>817</v>
      </c>
      <c r="D680" s="16" t="s">
        <v>2182</v>
      </c>
      <c r="E680" s="42" t="s">
        <v>2728</v>
      </c>
      <c r="F680" s="39">
        <v>1.0</v>
      </c>
      <c r="G680" s="16" t="s">
        <v>181</v>
      </c>
      <c r="H680" s="51">
        <v>46199.0</v>
      </c>
      <c r="I680" s="17"/>
      <c r="J680" s="16" t="s">
        <v>35</v>
      </c>
      <c r="K680" s="12" t="s">
        <v>2762</v>
      </c>
      <c r="L680" s="16" t="s">
        <v>54</v>
      </c>
      <c r="M680" s="16" t="s">
        <v>2350</v>
      </c>
      <c r="N680" s="16" t="s">
        <v>1337</v>
      </c>
      <c r="O680" s="16" t="s">
        <v>2731</v>
      </c>
      <c r="P680" s="18"/>
      <c r="Q680" s="16" t="s">
        <v>52</v>
      </c>
      <c r="R680" s="16" t="s">
        <v>161</v>
      </c>
      <c r="S680" s="16" t="s">
        <v>1493</v>
      </c>
      <c r="T680" s="16"/>
    </row>
    <row r="681">
      <c r="A681" s="54">
        <v>46202.38102929398</v>
      </c>
      <c r="B681" s="16" t="s">
        <v>34</v>
      </c>
      <c r="C681" s="16" t="s">
        <v>821</v>
      </c>
      <c r="D681" s="16" t="s">
        <v>1517</v>
      </c>
      <c r="E681" s="42" t="s">
        <v>2763</v>
      </c>
      <c r="F681" s="39">
        <v>1.0</v>
      </c>
      <c r="G681" s="16" t="s">
        <v>181</v>
      </c>
      <c r="H681" s="51">
        <v>46199.0</v>
      </c>
      <c r="I681" s="17"/>
      <c r="J681" s="16" t="s">
        <v>35</v>
      </c>
      <c r="K681" s="12" t="s">
        <v>2764</v>
      </c>
      <c r="L681" s="16" t="s">
        <v>54</v>
      </c>
      <c r="M681" s="16" t="s">
        <v>2350</v>
      </c>
      <c r="N681" s="16" t="s">
        <v>1380</v>
      </c>
      <c r="O681" s="16" t="s">
        <v>2765</v>
      </c>
      <c r="P681" s="18"/>
      <c r="Q681" s="16" t="s">
        <v>52</v>
      </c>
      <c r="R681" s="16" t="s">
        <v>120</v>
      </c>
      <c r="S681" s="16" t="s">
        <v>1493</v>
      </c>
      <c r="T681" s="16"/>
    </row>
    <row r="682">
      <c r="A682" s="54">
        <v>46202.38102929398</v>
      </c>
      <c r="B682" s="16" t="s">
        <v>49</v>
      </c>
      <c r="C682" s="16" t="s">
        <v>1327</v>
      </c>
      <c r="D682" s="16" t="s">
        <v>1517</v>
      </c>
      <c r="E682" s="42" t="s">
        <v>2763</v>
      </c>
      <c r="F682" s="39">
        <v>1.0</v>
      </c>
      <c r="G682" s="16" t="s">
        <v>181</v>
      </c>
      <c r="H682" s="51">
        <v>46199.0</v>
      </c>
      <c r="I682" s="17"/>
      <c r="J682" s="16" t="s">
        <v>35</v>
      </c>
      <c r="K682" s="12" t="s">
        <v>2764</v>
      </c>
      <c r="L682" s="16" t="s">
        <v>54</v>
      </c>
      <c r="M682" s="16" t="s">
        <v>2350</v>
      </c>
      <c r="N682" s="16" t="s">
        <v>1380</v>
      </c>
      <c r="O682" s="16" t="s">
        <v>2766</v>
      </c>
      <c r="P682" s="18"/>
      <c r="Q682" s="16" t="s">
        <v>52</v>
      </c>
      <c r="R682" s="16" t="s">
        <v>212</v>
      </c>
      <c r="S682" s="16" t="s">
        <v>1493</v>
      </c>
      <c r="T682" s="16"/>
    </row>
    <row r="683">
      <c r="A683" s="54">
        <v>46202.39015670139</v>
      </c>
      <c r="B683" s="16" t="s">
        <v>34</v>
      </c>
      <c r="C683" s="16" t="s">
        <v>1382</v>
      </c>
      <c r="D683" s="16" t="s">
        <v>1517</v>
      </c>
      <c r="E683" s="42" t="s">
        <v>2767</v>
      </c>
      <c r="F683" s="39">
        <v>1.0</v>
      </c>
      <c r="G683" s="16" t="s">
        <v>181</v>
      </c>
      <c r="H683" s="51">
        <v>46199.0</v>
      </c>
      <c r="I683" s="17"/>
      <c r="J683" s="16" t="s">
        <v>35</v>
      </c>
      <c r="K683" s="12" t="s">
        <v>2768</v>
      </c>
      <c r="L683" s="16" t="s">
        <v>54</v>
      </c>
      <c r="M683" s="16" t="s">
        <v>2350</v>
      </c>
      <c r="N683" s="16" t="s">
        <v>555</v>
      </c>
      <c r="O683" s="16" t="s">
        <v>2769</v>
      </c>
      <c r="P683" s="18"/>
      <c r="Q683" s="16" t="s">
        <v>52</v>
      </c>
      <c r="R683" s="16" t="s">
        <v>206</v>
      </c>
      <c r="S683" s="16" t="s">
        <v>1493</v>
      </c>
      <c r="T683" s="16"/>
    </row>
    <row r="684">
      <c r="A684" s="54">
        <v>46202.39641537037</v>
      </c>
      <c r="B684" s="16" t="s">
        <v>49</v>
      </c>
      <c r="C684" s="16" t="s">
        <v>1384</v>
      </c>
      <c r="D684" s="16" t="s">
        <v>1517</v>
      </c>
      <c r="E684" s="42" t="s">
        <v>2770</v>
      </c>
      <c r="F684" s="39">
        <v>4.0</v>
      </c>
      <c r="G684" s="16" t="s">
        <v>181</v>
      </c>
      <c r="H684" s="51">
        <v>46199.0</v>
      </c>
      <c r="I684" s="17"/>
      <c r="J684" s="16" t="s">
        <v>35</v>
      </c>
      <c r="K684" s="12" t="s">
        <v>2771</v>
      </c>
      <c r="L684" s="16" t="s">
        <v>54</v>
      </c>
      <c r="M684" s="16" t="s">
        <v>2350</v>
      </c>
      <c r="N684" s="16" t="s">
        <v>1385</v>
      </c>
      <c r="O684" s="16" t="s">
        <v>2772</v>
      </c>
      <c r="P684" s="18"/>
      <c r="Q684" s="16" t="s">
        <v>52</v>
      </c>
      <c r="R684" s="16" t="s">
        <v>123</v>
      </c>
      <c r="S684" s="16" t="s">
        <v>1493</v>
      </c>
      <c r="T684" s="16"/>
    </row>
    <row r="685">
      <c r="A685" s="54">
        <v>46202.5634678125</v>
      </c>
      <c r="B685" s="16" t="s">
        <v>34</v>
      </c>
      <c r="C685" s="16" t="s">
        <v>1388</v>
      </c>
      <c r="D685" s="16" t="s">
        <v>1517</v>
      </c>
      <c r="E685" s="42" t="s">
        <v>2773</v>
      </c>
      <c r="F685" s="39">
        <v>2.0</v>
      </c>
      <c r="G685" s="16" t="s">
        <v>181</v>
      </c>
      <c r="H685" s="51">
        <v>46199.0</v>
      </c>
      <c r="I685" s="17"/>
      <c r="J685" s="16" t="s">
        <v>35</v>
      </c>
      <c r="K685" s="12" t="s">
        <v>2774</v>
      </c>
      <c r="L685" s="16" t="s">
        <v>54</v>
      </c>
      <c r="M685" s="16" t="s">
        <v>2350</v>
      </c>
      <c r="N685" s="16" t="s">
        <v>1389</v>
      </c>
      <c r="O685" s="16" t="s">
        <v>2775</v>
      </c>
      <c r="P685" s="18"/>
      <c r="Q685" s="16" t="s">
        <v>52</v>
      </c>
      <c r="R685" s="16" t="s">
        <v>183</v>
      </c>
      <c r="S685" s="16" t="s">
        <v>1493</v>
      </c>
      <c r="T685" s="16"/>
    </row>
    <row r="686">
      <c r="A686" s="54">
        <v>46202.56501892361</v>
      </c>
      <c r="B686" s="16" t="s">
        <v>34</v>
      </c>
      <c r="C686" s="16" t="s">
        <v>1391</v>
      </c>
      <c r="D686" s="17"/>
      <c r="E686" s="42" t="s">
        <v>2776</v>
      </c>
      <c r="F686" s="39">
        <v>10.0</v>
      </c>
      <c r="G686" s="16" t="s">
        <v>181</v>
      </c>
      <c r="H686" s="51">
        <v>46199.0</v>
      </c>
      <c r="I686" s="17"/>
      <c r="J686" s="16" t="s">
        <v>35</v>
      </c>
      <c r="K686" s="12" t="s">
        <v>2075</v>
      </c>
      <c r="L686" s="16" t="s">
        <v>54</v>
      </c>
      <c r="M686" s="16" t="s">
        <v>2350</v>
      </c>
      <c r="N686" s="16" t="s">
        <v>1391</v>
      </c>
      <c r="O686" s="16" t="s">
        <v>2777</v>
      </c>
      <c r="P686" s="18"/>
      <c r="Q686" s="16" t="s">
        <v>52</v>
      </c>
      <c r="R686" s="16" t="s">
        <v>88</v>
      </c>
      <c r="S686" s="16" t="s">
        <v>1493</v>
      </c>
      <c r="T686" s="16"/>
    </row>
    <row r="687">
      <c r="A687" s="54">
        <v>46202.56552665509</v>
      </c>
      <c r="B687" s="16" t="s">
        <v>49</v>
      </c>
      <c r="C687" s="16" t="s">
        <v>1391</v>
      </c>
      <c r="D687" s="17"/>
      <c r="E687" s="42" t="s">
        <v>2776</v>
      </c>
      <c r="F687" s="39">
        <v>1.0</v>
      </c>
      <c r="G687" s="16" t="s">
        <v>181</v>
      </c>
      <c r="H687" s="51">
        <v>46199.0</v>
      </c>
      <c r="I687" s="17"/>
      <c r="J687" s="16" t="s">
        <v>35</v>
      </c>
      <c r="K687" s="13"/>
      <c r="L687" s="16" t="s">
        <v>54</v>
      </c>
      <c r="M687" s="16" t="s">
        <v>2350</v>
      </c>
      <c r="N687" s="16" t="s">
        <v>1391</v>
      </c>
      <c r="O687" s="16" t="s">
        <v>2778</v>
      </c>
      <c r="P687" s="18"/>
      <c r="Q687" s="16" t="s">
        <v>52</v>
      </c>
      <c r="R687" s="16" t="s">
        <v>88</v>
      </c>
      <c r="S687" s="16" t="s">
        <v>1493</v>
      </c>
      <c r="T687" s="16"/>
    </row>
    <row r="688">
      <c r="A688" s="54">
        <v>46202.569782199076</v>
      </c>
      <c r="B688" s="16" t="s">
        <v>34</v>
      </c>
      <c r="C688" s="16" t="s">
        <v>1394</v>
      </c>
      <c r="D688" s="16" t="s">
        <v>2779</v>
      </c>
      <c r="E688" s="42" t="s">
        <v>2780</v>
      </c>
      <c r="F688" s="39">
        <v>41.0</v>
      </c>
      <c r="G688" s="16" t="s">
        <v>181</v>
      </c>
      <c r="H688" s="51">
        <v>46199.0</v>
      </c>
      <c r="I688" s="17"/>
      <c r="J688" s="16" t="s">
        <v>35</v>
      </c>
      <c r="K688" s="12" t="s">
        <v>1809</v>
      </c>
      <c r="L688" s="16" t="s">
        <v>54</v>
      </c>
      <c r="M688" s="16" t="s">
        <v>2350</v>
      </c>
      <c r="N688" s="16" t="s">
        <v>1395</v>
      </c>
      <c r="O688" s="16" t="s">
        <v>2781</v>
      </c>
      <c r="P688" s="18"/>
      <c r="Q688" s="16" t="s">
        <v>52</v>
      </c>
      <c r="R688" s="16" t="s">
        <v>164</v>
      </c>
      <c r="S688" s="16" t="s">
        <v>1493</v>
      </c>
      <c r="T688" s="16"/>
    </row>
    <row r="689">
      <c r="A689" s="54">
        <v>46202.569782199076</v>
      </c>
      <c r="B689" s="16" t="s">
        <v>34</v>
      </c>
      <c r="C689" s="16" t="s">
        <v>1394</v>
      </c>
      <c r="D689" s="16" t="s">
        <v>2779</v>
      </c>
      <c r="E689" s="42" t="s">
        <v>2780</v>
      </c>
      <c r="F689" s="39">
        <v>10.0</v>
      </c>
      <c r="G689" s="16" t="s">
        <v>181</v>
      </c>
      <c r="H689" s="51">
        <v>46199.0</v>
      </c>
      <c r="I689" s="17"/>
      <c r="J689" s="16" t="s">
        <v>35</v>
      </c>
      <c r="K689" s="12" t="s">
        <v>1809</v>
      </c>
      <c r="L689" s="16" t="s">
        <v>54</v>
      </c>
      <c r="M689" s="16" t="s">
        <v>2350</v>
      </c>
      <c r="N689" s="16" t="s">
        <v>1395</v>
      </c>
      <c r="O689" s="16" t="s">
        <v>2781</v>
      </c>
      <c r="P689" s="18"/>
      <c r="Q689" s="16" t="s">
        <v>52</v>
      </c>
      <c r="R689" s="16" t="s">
        <v>164</v>
      </c>
      <c r="S689" s="16" t="s">
        <v>1493</v>
      </c>
      <c r="T689" s="16"/>
    </row>
    <row r="690">
      <c r="A690" s="54">
        <v>46202.569782199076</v>
      </c>
      <c r="B690" s="16" t="s">
        <v>49</v>
      </c>
      <c r="C690" s="16" t="s">
        <v>1394</v>
      </c>
      <c r="D690" s="16" t="s">
        <v>2779</v>
      </c>
      <c r="E690" s="42" t="s">
        <v>2780</v>
      </c>
      <c r="F690" s="39">
        <v>29.0</v>
      </c>
      <c r="G690" s="16" t="s">
        <v>181</v>
      </c>
      <c r="H690" s="51">
        <v>46199.0</v>
      </c>
      <c r="I690" s="17"/>
      <c r="J690" s="16" t="s">
        <v>35</v>
      </c>
      <c r="K690" s="12" t="s">
        <v>1809</v>
      </c>
      <c r="L690" s="16" t="s">
        <v>54</v>
      </c>
      <c r="M690" s="16" t="s">
        <v>2350</v>
      </c>
      <c r="N690" s="16" t="s">
        <v>1395</v>
      </c>
      <c r="O690" s="16" t="s">
        <v>2782</v>
      </c>
      <c r="P690" s="18"/>
      <c r="Q690" s="16" t="s">
        <v>52</v>
      </c>
      <c r="R690" s="16" t="s">
        <v>123</v>
      </c>
      <c r="S690" s="16" t="s">
        <v>1493</v>
      </c>
      <c r="T690" s="16"/>
    </row>
    <row r="691">
      <c r="A691" s="54">
        <v>46202.58780627315</v>
      </c>
      <c r="B691" s="16" t="s">
        <v>34</v>
      </c>
      <c r="C691" s="16" t="s">
        <v>283</v>
      </c>
      <c r="D691" s="16" t="s">
        <v>2779</v>
      </c>
      <c r="E691" s="42" t="s">
        <v>2783</v>
      </c>
      <c r="F691" s="39">
        <v>48.0</v>
      </c>
      <c r="G691" s="16" t="s">
        <v>181</v>
      </c>
      <c r="H691" s="51">
        <v>46199.0</v>
      </c>
      <c r="I691" s="17"/>
      <c r="J691" s="16" t="s">
        <v>35</v>
      </c>
      <c r="K691" s="12" t="s">
        <v>2075</v>
      </c>
      <c r="L691" s="16" t="s">
        <v>54</v>
      </c>
      <c r="M691" s="16" t="s">
        <v>2350</v>
      </c>
      <c r="N691" s="16" t="s">
        <v>1398</v>
      </c>
      <c r="O691" s="16" t="s">
        <v>281</v>
      </c>
      <c r="P691" s="18"/>
      <c r="Q691" s="16" t="s">
        <v>52</v>
      </c>
      <c r="R691" s="16" t="s">
        <v>136</v>
      </c>
      <c r="S691" s="16" t="s">
        <v>1493</v>
      </c>
      <c r="T691" s="16"/>
    </row>
    <row r="692">
      <c r="A692" s="54">
        <v>46202.58780627315</v>
      </c>
      <c r="B692" s="16" t="s">
        <v>49</v>
      </c>
      <c r="C692" s="16" t="s">
        <v>283</v>
      </c>
      <c r="D692" s="16" t="s">
        <v>2779</v>
      </c>
      <c r="E692" s="42" t="s">
        <v>2783</v>
      </c>
      <c r="F692" s="39">
        <v>23.0</v>
      </c>
      <c r="G692" s="16" t="s">
        <v>181</v>
      </c>
      <c r="H692" s="51">
        <v>46199.0</v>
      </c>
      <c r="I692" s="17"/>
      <c r="J692" s="16" t="s">
        <v>35</v>
      </c>
      <c r="K692" s="12" t="s">
        <v>2075</v>
      </c>
      <c r="L692" s="16" t="s">
        <v>54</v>
      </c>
      <c r="M692" s="16" t="s">
        <v>2350</v>
      </c>
      <c r="N692" s="16" t="s">
        <v>1398</v>
      </c>
      <c r="O692" s="16" t="s">
        <v>2784</v>
      </c>
      <c r="P692" s="18"/>
      <c r="Q692" s="16" t="s">
        <v>52</v>
      </c>
      <c r="R692" s="16" t="s">
        <v>123</v>
      </c>
      <c r="S692" s="16" t="s">
        <v>1493</v>
      </c>
      <c r="T692" s="16"/>
    </row>
    <row r="693">
      <c r="A693" s="54">
        <v>46202.595844571755</v>
      </c>
      <c r="B693" s="16" t="s">
        <v>34</v>
      </c>
      <c r="C693" s="16" t="s">
        <v>823</v>
      </c>
      <c r="D693" s="16" t="s">
        <v>2785</v>
      </c>
      <c r="E693" s="42" t="s">
        <v>2786</v>
      </c>
      <c r="F693" s="39">
        <v>20.0</v>
      </c>
      <c r="G693" s="16" t="s">
        <v>181</v>
      </c>
      <c r="H693" s="51">
        <v>46199.0</v>
      </c>
      <c r="I693" s="17"/>
      <c r="J693" s="16" t="s">
        <v>35</v>
      </c>
      <c r="K693" s="12" t="s">
        <v>2075</v>
      </c>
      <c r="L693" s="16" t="s">
        <v>54</v>
      </c>
      <c r="M693" s="16" t="s">
        <v>2350</v>
      </c>
      <c r="N693" s="16" t="s">
        <v>1402</v>
      </c>
      <c r="O693" s="16" t="s">
        <v>2787</v>
      </c>
      <c r="P693" s="18"/>
      <c r="Q693" s="16" t="s">
        <v>52</v>
      </c>
      <c r="R693" s="16" t="s">
        <v>199</v>
      </c>
      <c r="S693" s="16" t="s">
        <v>1493</v>
      </c>
      <c r="T693" s="16"/>
    </row>
    <row r="694">
      <c r="A694" s="54">
        <v>46202.595844571755</v>
      </c>
      <c r="B694" s="16" t="s">
        <v>34</v>
      </c>
      <c r="C694" s="16" t="s">
        <v>823</v>
      </c>
      <c r="D694" s="16" t="s">
        <v>2785</v>
      </c>
      <c r="E694" s="42" t="s">
        <v>2786</v>
      </c>
      <c r="F694" s="39">
        <v>29.0</v>
      </c>
      <c r="G694" s="16" t="s">
        <v>181</v>
      </c>
      <c r="H694" s="51">
        <v>46199.0</v>
      </c>
      <c r="I694" s="17"/>
      <c r="J694" s="16" t="s">
        <v>35</v>
      </c>
      <c r="K694" s="12" t="s">
        <v>2075</v>
      </c>
      <c r="L694" s="16" t="s">
        <v>54</v>
      </c>
      <c r="M694" s="16" t="s">
        <v>2350</v>
      </c>
      <c r="N694" s="16" t="s">
        <v>1402</v>
      </c>
      <c r="O694" s="16" t="s">
        <v>2787</v>
      </c>
      <c r="P694" s="18"/>
      <c r="Q694" s="16" t="s">
        <v>52</v>
      </c>
      <c r="R694" s="16" t="s">
        <v>174</v>
      </c>
      <c r="S694" s="16" t="s">
        <v>1493</v>
      </c>
      <c r="T694" s="16"/>
    </row>
    <row r="695">
      <c r="A695" s="54">
        <v>46202.595844571755</v>
      </c>
      <c r="B695" s="16" t="s">
        <v>49</v>
      </c>
      <c r="C695" s="16" t="s">
        <v>823</v>
      </c>
      <c r="D695" s="16" t="s">
        <v>2785</v>
      </c>
      <c r="E695" s="42" t="s">
        <v>2786</v>
      </c>
      <c r="F695" s="39">
        <v>39.0</v>
      </c>
      <c r="G695" s="16" t="s">
        <v>181</v>
      </c>
      <c r="H695" s="51">
        <v>46199.0</v>
      </c>
      <c r="I695" s="17"/>
      <c r="J695" s="16" t="s">
        <v>35</v>
      </c>
      <c r="K695" s="12" t="s">
        <v>2075</v>
      </c>
      <c r="L695" s="16" t="s">
        <v>54</v>
      </c>
      <c r="M695" s="16" t="s">
        <v>2350</v>
      </c>
      <c r="N695" s="16" t="s">
        <v>1402</v>
      </c>
      <c r="O695" s="16" t="s">
        <v>2788</v>
      </c>
      <c r="P695" s="18"/>
      <c r="Q695" s="16" t="s">
        <v>52</v>
      </c>
      <c r="R695" s="16" t="s">
        <v>123</v>
      </c>
      <c r="S695" s="16" t="s">
        <v>1493</v>
      </c>
      <c r="T695" s="16"/>
    </row>
    <row r="696">
      <c r="A696" s="54">
        <v>46202.59896563657</v>
      </c>
      <c r="B696" s="16" t="s">
        <v>34</v>
      </c>
      <c r="C696" s="16" t="s">
        <v>826</v>
      </c>
      <c r="D696" s="16" t="s">
        <v>2789</v>
      </c>
      <c r="E696" s="42" t="s">
        <v>2790</v>
      </c>
      <c r="F696" s="39">
        <v>31.0</v>
      </c>
      <c r="G696" s="16" t="s">
        <v>181</v>
      </c>
      <c r="H696" s="51">
        <v>46199.0</v>
      </c>
      <c r="I696" s="17"/>
      <c r="J696" s="16" t="s">
        <v>35</v>
      </c>
      <c r="K696" s="13"/>
      <c r="L696" s="16" t="s">
        <v>54</v>
      </c>
      <c r="M696" s="16" t="s">
        <v>2350</v>
      </c>
      <c r="N696" s="16" t="s">
        <v>1405</v>
      </c>
      <c r="O696" s="16" t="s">
        <v>2791</v>
      </c>
      <c r="P696" s="18"/>
      <c r="Q696" s="16" t="s">
        <v>52</v>
      </c>
      <c r="R696" s="16" t="s">
        <v>106</v>
      </c>
      <c r="S696" s="16" t="s">
        <v>1493</v>
      </c>
      <c r="T696" s="16"/>
    </row>
    <row r="697">
      <c r="A697" s="54">
        <v>46202.59896563657</v>
      </c>
      <c r="B697" s="16" t="s">
        <v>49</v>
      </c>
      <c r="C697" s="16" t="s">
        <v>826</v>
      </c>
      <c r="D697" s="16" t="s">
        <v>2789</v>
      </c>
      <c r="E697" s="42" t="s">
        <v>2790</v>
      </c>
      <c r="F697" s="39">
        <v>18.0</v>
      </c>
      <c r="G697" s="16" t="s">
        <v>181</v>
      </c>
      <c r="H697" s="51">
        <v>46199.0</v>
      </c>
      <c r="I697" s="17"/>
      <c r="J697" s="16" t="s">
        <v>35</v>
      </c>
      <c r="K697" s="13"/>
      <c r="L697" s="16" t="s">
        <v>54</v>
      </c>
      <c r="M697" s="16" t="s">
        <v>2350</v>
      </c>
      <c r="N697" s="16" t="s">
        <v>1405</v>
      </c>
      <c r="O697" s="16" t="s">
        <v>2792</v>
      </c>
      <c r="P697" s="18"/>
      <c r="Q697" s="16" t="s">
        <v>52</v>
      </c>
      <c r="R697" s="16" t="s">
        <v>123</v>
      </c>
      <c r="S697" s="16" t="s">
        <v>1493</v>
      </c>
      <c r="T697" s="16"/>
    </row>
    <row r="698">
      <c r="A698" s="54">
        <v>46202.64777797453</v>
      </c>
      <c r="B698" s="16" t="s">
        <v>34</v>
      </c>
      <c r="C698" s="16" t="s">
        <v>1409</v>
      </c>
      <c r="D698" s="16" t="s">
        <v>1517</v>
      </c>
      <c r="E698" s="42" t="s">
        <v>2793</v>
      </c>
      <c r="F698" s="39">
        <v>15.0</v>
      </c>
      <c r="G698" s="16" t="s">
        <v>181</v>
      </c>
      <c r="H698" s="51">
        <v>46199.0</v>
      </c>
      <c r="I698" s="17"/>
      <c r="J698" s="16" t="s">
        <v>35</v>
      </c>
      <c r="K698" s="13"/>
      <c r="L698" s="16" t="s">
        <v>54</v>
      </c>
      <c r="M698" s="16" t="s">
        <v>2350</v>
      </c>
      <c r="N698" s="16" t="s">
        <v>1410</v>
      </c>
      <c r="O698" s="16" t="s">
        <v>2794</v>
      </c>
      <c r="P698" s="18"/>
      <c r="Q698" s="16" t="s">
        <v>52</v>
      </c>
      <c r="R698" s="16" t="s">
        <v>164</v>
      </c>
      <c r="S698" s="16" t="s">
        <v>1493</v>
      </c>
      <c r="T698" s="16"/>
    </row>
    <row r="699">
      <c r="A699" s="54">
        <v>46202.64777797453</v>
      </c>
      <c r="B699" s="16" t="s">
        <v>34</v>
      </c>
      <c r="C699" s="16" t="s">
        <v>1409</v>
      </c>
      <c r="D699" s="16" t="s">
        <v>1517</v>
      </c>
      <c r="E699" s="42" t="s">
        <v>2793</v>
      </c>
      <c r="F699" s="39">
        <v>12.0</v>
      </c>
      <c r="G699" s="16" t="s">
        <v>181</v>
      </c>
      <c r="H699" s="51">
        <v>46199.0</v>
      </c>
      <c r="I699" s="17"/>
      <c r="J699" s="16" t="s">
        <v>35</v>
      </c>
      <c r="K699" s="13"/>
      <c r="L699" s="16" t="s">
        <v>54</v>
      </c>
      <c r="M699" s="16" t="s">
        <v>2350</v>
      </c>
      <c r="N699" s="16" t="s">
        <v>1410</v>
      </c>
      <c r="O699" s="16" t="s">
        <v>2794</v>
      </c>
      <c r="P699" s="18"/>
      <c r="Q699" s="16" t="s">
        <v>52</v>
      </c>
      <c r="R699" s="16" t="s">
        <v>191</v>
      </c>
      <c r="S699" s="16" t="s">
        <v>1493</v>
      </c>
      <c r="T699" s="16"/>
    </row>
    <row r="700">
      <c r="A700" s="54">
        <v>46202.650803819444</v>
      </c>
      <c r="B700" s="16" t="s">
        <v>49</v>
      </c>
      <c r="C700" s="16" t="s">
        <v>1409</v>
      </c>
      <c r="D700" s="16" t="s">
        <v>1517</v>
      </c>
      <c r="E700" s="42" t="s">
        <v>2793</v>
      </c>
      <c r="F700" s="39">
        <v>9.0</v>
      </c>
      <c r="G700" s="16" t="s">
        <v>181</v>
      </c>
      <c r="H700" s="51">
        <v>46199.0</v>
      </c>
      <c r="I700" s="17"/>
      <c r="J700" s="16" t="s">
        <v>35</v>
      </c>
      <c r="K700" s="12" t="s">
        <v>2795</v>
      </c>
      <c r="L700" s="16" t="s">
        <v>54</v>
      </c>
      <c r="M700" s="16" t="s">
        <v>2350</v>
      </c>
      <c r="N700" s="16" t="s">
        <v>1409</v>
      </c>
      <c r="O700" s="16" t="s">
        <v>2796</v>
      </c>
      <c r="P700" s="18"/>
      <c r="Q700" s="16" t="s">
        <v>52</v>
      </c>
      <c r="R700" s="16" t="s">
        <v>123</v>
      </c>
      <c r="S700" s="16" t="s">
        <v>1493</v>
      </c>
      <c r="T700" s="16"/>
    </row>
    <row r="701">
      <c r="A701" s="54">
        <v>46202.66091908565</v>
      </c>
      <c r="B701" s="16" t="s">
        <v>75</v>
      </c>
      <c r="C701" s="16" t="s">
        <v>1306</v>
      </c>
      <c r="D701" s="17"/>
      <c r="E701" s="31"/>
      <c r="F701" s="39">
        <v>15.0</v>
      </c>
      <c r="G701" s="16" t="s">
        <v>181</v>
      </c>
      <c r="H701" s="51">
        <v>46199.0</v>
      </c>
      <c r="I701" s="17"/>
      <c r="J701" s="16" t="s">
        <v>35</v>
      </c>
      <c r="K701" s="13"/>
      <c r="L701" s="16" t="s">
        <v>54</v>
      </c>
      <c r="M701" s="16" t="s">
        <v>2350</v>
      </c>
      <c r="N701" s="16" t="s">
        <v>376</v>
      </c>
      <c r="O701" s="16" t="s">
        <v>2797</v>
      </c>
      <c r="P701" s="18"/>
      <c r="Q701" s="16" t="s">
        <v>52</v>
      </c>
      <c r="R701" s="16" t="s">
        <v>17</v>
      </c>
      <c r="S701" s="16" t="s">
        <v>1493</v>
      </c>
      <c r="T701" s="16"/>
    </row>
    <row r="702">
      <c r="A702" s="54">
        <v>46202.66091908565</v>
      </c>
      <c r="B702" s="16" t="s">
        <v>68</v>
      </c>
      <c r="C702" s="16" t="s">
        <v>1309</v>
      </c>
      <c r="D702" s="17"/>
      <c r="E702" s="31"/>
      <c r="F702" s="39">
        <v>10.0</v>
      </c>
      <c r="G702" s="16" t="s">
        <v>181</v>
      </c>
      <c r="H702" s="51">
        <v>46199.0</v>
      </c>
      <c r="I702" s="17"/>
      <c r="J702" s="16" t="s">
        <v>35</v>
      </c>
      <c r="K702" s="13"/>
      <c r="L702" s="16" t="s">
        <v>54</v>
      </c>
      <c r="M702" s="16" t="s">
        <v>2350</v>
      </c>
      <c r="N702" s="16" t="s">
        <v>376</v>
      </c>
      <c r="O702" s="16" t="s">
        <v>2798</v>
      </c>
      <c r="P702" s="18"/>
      <c r="Q702" s="16" t="s">
        <v>52</v>
      </c>
      <c r="R702" s="16" t="s">
        <v>17</v>
      </c>
      <c r="S702" s="16" t="s">
        <v>1493</v>
      </c>
      <c r="T702" s="16"/>
    </row>
    <row r="703">
      <c r="A703" s="60">
        <v>46202.66091908565</v>
      </c>
      <c r="B703" s="61" t="s">
        <v>68</v>
      </c>
      <c r="C703" s="61" t="s">
        <v>1418</v>
      </c>
      <c r="D703" s="62"/>
      <c r="E703" s="63"/>
      <c r="F703" s="64">
        <v>3.0</v>
      </c>
      <c r="G703" s="61" t="s">
        <v>181</v>
      </c>
      <c r="H703" s="65">
        <v>46199.0</v>
      </c>
      <c r="I703" s="62"/>
      <c r="J703" s="61" t="s">
        <v>35</v>
      </c>
      <c r="K703" s="64" t="s">
        <v>2799</v>
      </c>
      <c r="L703" s="61" t="s">
        <v>54</v>
      </c>
      <c r="M703" s="61" t="s">
        <v>2350</v>
      </c>
      <c r="N703" s="61" t="s">
        <v>376</v>
      </c>
      <c r="O703" s="61" t="s">
        <v>2800</v>
      </c>
      <c r="P703" s="62"/>
      <c r="Q703" s="61" t="s">
        <v>52</v>
      </c>
      <c r="R703" s="61" t="s">
        <v>17</v>
      </c>
      <c r="S703" s="61" t="s">
        <v>1493</v>
      </c>
      <c r="T703" s="66"/>
      <c r="U703" s="67"/>
      <c r="V703" s="67"/>
      <c r="W703" s="67"/>
      <c r="X703" s="67"/>
      <c r="Y703" s="67"/>
    </row>
    <row r="704">
      <c r="A704" s="60">
        <v>46202.66091908565</v>
      </c>
      <c r="B704" s="61" t="s">
        <v>68</v>
      </c>
      <c r="C704" s="61" t="s">
        <v>1418</v>
      </c>
      <c r="D704" s="62"/>
      <c r="E704" s="63"/>
      <c r="F704" s="68">
        <v>4.0</v>
      </c>
      <c r="G704" s="61" t="s">
        <v>181</v>
      </c>
      <c r="H704" s="65">
        <v>46199.0</v>
      </c>
      <c r="I704" s="62"/>
      <c r="J704" s="61" t="s">
        <v>35</v>
      </c>
      <c r="K704" s="64" t="s">
        <v>2801</v>
      </c>
      <c r="L704" s="61" t="s">
        <v>54</v>
      </c>
      <c r="M704" s="61" t="s">
        <v>2350</v>
      </c>
      <c r="N704" s="61" t="s">
        <v>376</v>
      </c>
      <c r="O704" s="61" t="s">
        <v>2800</v>
      </c>
      <c r="P704" s="62"/>
      <c r="Q704" s="61" t="s">
        <v>52</v>
      </c>
      <c r="R704" s="61" t="s">
        <v>17</v>
      </c>
      <c r="S704" s="61" t="s">
        <v>1493</v>
      </c>
      <c r="T704" s="66"/>
      <c r="U704" s="67"/>
      <c r="V704" s="67"/>
      <c r="W704" s="67"/>
      <c r="X704" s="67"/>
      <c r="Y704" s="67"/>
    </row>
    <row r="705">
      <c r="A705" s="54">
        <v>46202.66091908565</v>
      </c>
      <c r="B705" s="16" t="s">
        <v>68</v>
      </c>
      <c r="C705" s="16" t="s">
        <v>1418</v>
      </c>
      <c r="D705" s="17"/>
      <c r="E705" s="31"/>
      <c r="F705" s="39">
        <v>4.0</v>
      </c>
      <c r="G705" s="16" t="s">
        <v>181</v>
      </c>
      <c r="H705" s="51">
        <v>46199.0</v>
      </c>
      <c r="I705" s="17"/>
      <c r="J705" s="16" t="s">
        <v>35</v>
      </c>
      <c r="K705" s="12" t="s">
        <v>2802</v>
      </c>
      <c r="L705" s="16" t="s">
        <v>54</v>
      </c>
      <c r="M705" s="16" t="s">
        <v>2350</v>
      </c>
      <c r="N705" s="16" t="s">
        <v>376</v>
      </c>
      <c r="O705" s="16" t="s">
        <v>2800</v>
      </c>
      <c r="P705" s="18"/>
      <c r="Q705" s="16" t="s">
        <v>52</v>
      </c>
      <c r="R705" s="16" t="s">
        <v>17</v>
      </c>
      <c r="S705" s="16" t="s">
        <v>1493</v>
      </c>
      <c r="T705" s="16"/>
    </row>
    <row r="706">
      <c r="A706" s="54">
        <v>46202.66091908565</v>
      </c>
      <c r="B706" s="16" t="s">
        <v>68</v>
      </c>
      <c r="C706" s="16" t="s">
        <v>1418</v>
      </c>
      <c r="D706" s="17"/>
      <c r="E706" s="31"/>
      <c r="F706" s="16">
        <v>5.0</v>
      </c>
      <c r="G706" s="16" t="s">
        <v>181</v>
      </c>
      <c r="H706" s="51">
        <v>46199.0</v>
      </c>
      <c r="I706" s="17"/>
      <c r="J706" s="16" t="s">
        <v>35</v>
      </c>
      <c r="K706" s="12" t="s">
        <v>2803</v>
      </c>
      <c r="L706" s="16" t="s">
        <v>54</v>
      </c>
      <c r="M706" s="16" t="s">
        <v>2350</v>
      </c>
      <c r="N706" s="16" t="s">
        <v>376</v>
      </c>
      <c r="O706" s="16" t="s">
        <v>2800</v>
      </c>
      <c r="P706" s="18"/>
      <c r="Q706" s="16" t="s">
        <v>52</v>
      </c>
      <c r="R706" s="16" t="s">
        <v>17</v>
      </c>
      <c r="S706" s="16" t="s">
        <v>1493</v>
      </c>
      <c r="T706" s="16"/>
    </row>
    <row r="707">
      <c r="A707" s="54">
        <v>46202.66091908565</v>
      </c>
      <c r="B707" s="16" t="s">
        <v>68</v>
      </c>
      <c r="C707" s="16" t="s">
        <v>1418</v>
      </c>
      <c r="D707" s="17"/>
      <c r="E707" s="31"/>
      <c r="F707" s="39">
        <v>4.0</v>
      </c>
      <c r="G707" s="16" t="s">
        <v>181</v>
      </c>
      <c r="H707" s="51">
        <v>46199.0</v>
      </c>
      <c r="I707" s="17"/>
      <c r="J707" s="16" t="s">
        <v>35</v>
      </c>
      <c r="K707" s="12" t="s">
        <v>2804</v>
      </c>
      <c r="L707" s="16" t="s">
        <v>54</v>
      </c>
      <c r="M707" s="16" t="s">
        <v>2350</v>
      </c>
      <c r="N707" s="16" t="s">
        <v>376</v>
      </c>
      <c r="O707" s="16" t="s">
        <v>2800</v>
      </c>
      <c r="P707" s="18"/>
      <c r="Q707" s="16" t="s">
        <v>52</v>
      </c>
      <c r="R707" s="16" t="s">
        <v>17</v>
      </c>
      <c r="S707" s="16" t="s">
        <v>1493</v>
      </c>
      <c r="T707" s="16"/>
    </row>
    <row r="708">
      <c r="A708" s="54">
        <v>46203.353592326384</v>
      </c>
      <c r="B708" s="16" t="s">
        <v>34</v>
      </c>
      <c r="C708" s="16" t="s">
        <v>817</v>
      </c>
      <c r="D708" s="17"/>
      <c r="E708" s="31"/>
      <c r="F708" s="39">
        <v>21.0</v>
      </c>
      <c r="G708" s="16" t="s">
        <v>181</v>
      </c>
      <c r="H708" s="51">
        <v>46202.0</v>
      </c>
      <c r="I708" s="16" t="s">
        <v>158</v>
      </c>
      <c r="J708" s="17"/>
      <c r="K708" s="13"/>
      <c r="L708" s="16" t="s">
        <v>2507</v>
      </c>
      <c r="M708" s="16" t="s">
        <v>52</v>
      </c>
      <c r="N708" s="17"/>
      <c r="O708" s="16" t="s">
        <v>2730</v>
      </c>
      <c r="P708" s="18"/>
      <c r="Q708" s="16" t="s">
        <v>52</v>
      </c>
      <c r="R708" s="16" t="s">
        <v>1337</v>
      </c>
      <c r="S708" s="16" t="s">
        <v>1607</v>
      </c>
      <c r="T708" s="16"/>
    </row>
    <row r="709">
      <c r="A709" s="54">
        <v>46203.354097627314</v>
      </c>
      <c r="B709" s="16" t="s">
        <v>34</v>
      </c>
      <c r="C709" s="16" t="s">
        <v>815</v>
      </c>
      <c r="D709" s="17"/>
      <c r="E709" s="31"/>
      <c r="F709" s="39">
        <v>21.0</v>
      </c>
      <c r="G709" s="16" t="s">
        <v>181</v>
      </c>
      <c r="H709" s="51">
        <v>46202.0</v>
      </c>
      <c r="I709" s="16" t="s">
        <v>187</v>
      </c>
      <c r="J709" s="17"/>
      <c r="K709" s="13"/>
      <c r="L709" s="16" t="s">
        <v>2507</v>
      </c>
      <c r="M709" s="16" t="s">
        <v>52</v>
      </c>
      <c r="N709" s="17"/>
      <c r="O709" s="16" t="s">
        <v>2727</v>
      </c>
      <c r="P709" s="18"/>
      <c r="Q709" s="16" t="s">
        <v>52</v>
      </c>
      <c r="R709" s="16" t="s">
        <v>1341</v>
      </c>
      <c r="S709" s="16" t="s">
        <v>1607</v>
      </c>
      <c r="T709" s="16"/>
    </row>
    <row r="710">
      <c r="A710" s="54">
        <v>46203.357799618054</v>
      </c>
      <c r="B710" s="16" t="s">
        <v>34</v>
      </c>
      <c r="C710" s="16" t="s">
        <v>1293</v>
      </c>
      <c r="D710" s="17"/>
      <c r="E710" s="31"/>
      <c r="F710" s="39">
        <v>1.0</v>
      </c>
      <c r="G710" s="16" t="s">
        <v>181</v>
      </c>
      <c r="H710" s="52">
        <v>46199.0</v>
      </c>
      <c r="I710" s="16" t="s">
        <v>158</v>
      </c>
      <c r="J710" s="17"/>
      <c r="K710" s="13"/>
      <c r="L710" s="16" t="s">
        <v>54</v>
      </c>
      <c r="M710" s="16" t="s">
        <v>2350</v>
      </c>
      <c r="N710" s="16" t="s">
        <v>376</v>
      </c>
      <c r="O710" s="16" t="s">
        <v>2677</v>
      </c>
      <c r="P710" s="18"/>
      <c r="Q710" s="16" t="s">
        <v>52</v>
      </c>
      <c r="R710" s="16" t="s">
        <v>183</v>
      </c>
      <c r="S710" s="16" t="s">
        <v>1895</v>
      </c>
      <c r="T710" s="16"/>
    </row>
    <row r="711">
      <c r="A711" s="54">
        <v>46204.34268148148</v>
      </c>
      <c r="B711" s="16" t="s">
        <v>49</v>
      </c>
      <c r="C711" s="16" t="s">
        <v>1409</v>
      </c>
      <c r="D711" s="16" t="s">
        <v>1517</v>
      </c>
      <c r="E711" s="42" t="s">
        <v>2793</v>
      </c>
      <c r="F711" s="39">
        <v>9.0</v>
      </c>
      <c r="G711" s="16" t="s">
        <v>181</v>
      </c>
      <c r="H711" s="51">
        <v>46199.0</v>
      </c>
      <c r="I711" s="17"/>
      <c r="J711" s="16" t="s">
        <v>35</v>
      </c>
      <c r="K711" s="13"/>
      <c r="L711" s="16" t="s">
        <v>54</v>
      </c>
      <c r="M711" s="16" t="s">
        <v>2350</v>
      </c>
      <c r="N711" s="16" t="s">
        <v>1409</v>
      </c>
      <c r="O711" s="16" t="s">
        <v>2796</v>
      </c>
      <c r="P711" s="18"/>
      <c r="Q711" s="16" t="s">
        <v>52</v>
      </c>
      <c r="R711" s="16" t="s">
        <v>123</v>
      </c>
      <c r="S711" s="16" t="s">
        <v>1493</v>
      </c>
      <c r="T711" s="16"/>
    </row>
    <row r="712">
      <c r="A712" s="54">
        <v>46204.35336520833</v>
      </c>
      <c r="B712" s="16" t="s">
        <v>49</v>
      </c>
      <c r="C712" s="16" t="s">
        <v>1394</v>
      </c>
      <c r="D712" s="16" t="s">
        <v>2779</v>
      </c>
      <c r="E712" s="42" t="s">
        <v>2780</v>
      </c>
      <c r="F712" s="39">
        <v>1.0</v>
      </c>
      <c r="G712" s="16" t="s">
        <v>181</v>
      </c>
      <c r="H712" s="51">
        <v>46199.0</v>
      </c>
      <c r="I712" s="17"/>
      <c r="J712" s="16" t="s">
        <v>35</v>
      </c>
      <c r="K712" s="12" t="s">
        <v>2354</v>
      </c>
      <c r="L712" s="16" t="s">
        <v>54</v>
      </c>
      <c r="M712" s="16" t="s">
        <v>2350</v>
      </c>
      <c r="N712" s="16" t="s">
        <v>1395</v>
      </c>
      <c r="O712" s="16" t="s">
        <v>2782</v>
      </c>
      <c r="P712" s="18"/>
      <c r="Q712" s="16" t="s">
        <v>52</v>
      </c>
      <c r="R712" s="16" t="s">
        <v>212</v>
      </c>
      <c r="S712" s="16" t="s">
        <v>1493</v>
      </c>
      <c r="T712" s="16"/>
    </row>
    <row r="713">
      <c r="A713" s="54">
        <v>46204.3691305324</v>
      </c>
      <c r="B713" s="16" t="s">
        <v>49</v>
      </c>
      <c r="C713" s="16" t="s">
        <v>826</v>
      </c>
      <c r="D713" s="16" t="s">
        <v>2789</v>
      </c>
      <c r="E713" s="42" t="s">
        <v>2790</v>
      </c>
      <c r="F713" s="39">
        <v>2.0</v>
      </c>
      <c r="G713" s="16" t="s">
        <v>181</v>
      </c>
      <c r="H713" s="51">
        <v>46199.0</v>
      </c>
      <c r="I713" s="17"/>
      <c r="J713" s="16" t="s">
        <v>35</v>
      </c>
      <c r="K713" s="12" t="s">
        <v>2358</v>
      </c>
      <c r="L713" s="16" t="s">
        <v>54</v>
      </c>
      <c r="M713" s="16" t="s">
        <v>2350</v>
      </c>
      <c r="N713" s="16" t="s">
        <v>1405</v>
      </c>
      <c r="O713" s="16" t="s">
        <v>2792</v>
      </c>
      <c r="P713" s="18"/>
      <c r="Q713" s="16" t="s">
        <v>52</v>
      </c>
      <c r="R713" s="16" t="s">
        <v>212</v>
      </c>
      <c r="S713" s="16" t="s">
        <v>1493</v>
      </c>
      <c r="T713" s="16"/>
    </row>
    <row r="714">
      <c r="A714" s="54">
        <v>46204.372001157404</v>
      </c>
      <c r="B714" s="16" t="s">
        <v>49</v>
      </c>
      <c r="C714" s="16" t="s">
        <v>823</v>
      </c>
      <c r="D714" s="16" t="s">
        <v>2785</v>
      </c>
      <c r="E714" s="42" t="s">
        <v>2786</v>
      </c>
      <c r="F714" s="39">
        <v>4.0</v>
      </c>
      <c r="G714" s="16" t="s">
        <v>181</v>
      </c>
      <c r="H714" s="51">
        <v>46199.0</v>
      </c>
      <c r="I714" s="17"/>
      <c r="J714" s="16" t="s">
        <v>35</v>
      </c>
      <c r="K714" s="12" t="s">
        <v>2805</v>
      </c>
      <c r="L714" s="16" t="s">
        <v>54</v>
      </c>
      <c r="M714" s="16" t="s">
        <v>2350</v>
      </c>
      <c r="N714" s="16" t="s">
        <v>1402</v>
      </c>
      <c r="O714" s="16" t="s">
        <v>2788</v>
      </c>
      <c r="P714" s="18"/>
      <c r="Q714" s="16" t="s">
        <v>52</v>
      </c>
      <c r="R714" s="16" t="s">
        <v>212</v>
      </c>
      <c r="S714" s="16" t="s">
        <v>1493</v>
      </c>
      <c r="T714" s="16"/>
    </row>
    <row r="715">
      <c r="A715" s="54">
        <v>46204.377172858796</v>
      </c>
      <c r="B715" s="16" t="s">
        <v>49</v>
      </c>
      <c r="C715" s="16" t="s">
        <v>283</v>
      </c>
      <c r="D715" s="16" t="s">
        <v>2779</v>
      </c>
      <c r="E715" s="42" t="s">
        <v>2783</v>
      </c>
      <c r="F715" s="39">
        <v>1.0</v>
      </c>
      <c r="G715" s="16" t="s">
        <v>181</v>
      </c>
      <c r="H715" s="51">
        <v>46199.0</v>
      </c>
      <c r="I715" s="17"/>
      <c r="J715" s="16" t="s">
        <v>35</v>
      </c>
      <c r="K715" s="12" t="s">
        <v>2354</v>
      </c>
      <c r="L715" s="16" t="s">
        <v>54</v>
      </c>
      <c r="M715" s="16" t="s">
        <v>2350</v>
      </c>
      <c r="N715" s="16" t="s">
        <v>1398</v>
      </c>
      <c r="O715" s="16" t="s">
        <v>2784</v>
      </c>
      <c r="P715" s="18"/>
      <c r="Q715" s="16" t="s">
        <v>52</v>
      </c>
      <c r="R715" s="16" t="s">
        <v>212</v>
      </c>
      <c r="S715" s="16" t="s">
        <v>1493</v>
      </c>
      <c r="T715" s="16"/>
    </row>
    <row r="716">
      <c r="A716" s="54">
        <v>46204.406590115745</v>
      </c>
      <c r="B716" s="16" t="s">
        <v>49</v>
      </c>
      <c r="C716" s="16" t="s">
        <v>828</v>
      </c>
      <c r="D716" s="16" t="s">
        <v>1061</v>
      </c>
      <c r="E716" s="42" t="s">
        <v>2806</v>
      </c>
      <c r="F716" s="39">
        <v>5.0</v>
      </c>
      <c r="G716" s="16" t="s">
        <v>181</v>
      </c>
      <c r="H716" s="51">
        <v>46199.0</v>
      </c>
      <c r="I716" s="17"/>
      <c r="J716" s="16" t="s">
        <v>51</v>
      </c>
      <c r="K716" s="13"/>
      <c r="L716" s="16" t="s">
        <v>54</v>
      </c>
      <c r="M716" s="16" t="s">
        <v>2350</v>
      </c>
      <c r="N716" s="16" t="s">
        <v>1422</v>
      </c>
      <c r="O716" s="16" t="s">
        <v>2807</v>
      </c>
      <c r="P716" s="18"/>
      <c r="Q716" s="16" t="s">
        <v>52</v>
      </c>
      <c r="R716" s="16" t="s">
        <v>123</v>
      </c>
      <c r="S716" s="16" t="s">
        <v>1493</v>
      </c>
      <c r="T716" s="16"/>
    </row>
    <row r="717">
      <c r="A717" s="54">
        <v>46204.406590115745</v>
      </c>
      <c r="B717" s="16" t="s">
        <v>34</v>
      </c>
      <c r="C717" s="16" t="s">
        <v>828</v>
      </c>
      <c r="D717" s="16" t="s">
        <v>1061</v>
      </c>
      <c r="E717" s="42" t="s">
        <v>2806</v>
      </c>
      <c r="F717" s="39">
        <v>10.0</v>
      </c>
      <c r="G717" s="16" t="s">
        <v>181</v>
      </c>
      <c r="H717" s="51">
        <v>46199.0</v>
      </c>
      <c r="I717" s="17"/>
      <c r="J717" s="16" t="s">
        <v>51</v>
      </c>
      <c r="K717" s="13"/>
      <c r="L717" s="16" t="s">
        <v>54</v>
      </c>
      <c r="M717" s="16" t="s">
        <v>2350</v>
      </c>
      <c r="N717" s="16" t="s">
        <v>1422</v>
      </c>
      <c r="O717" s="16" t="s">
        <v>2808</v>
      </c>
      <c r="P717" s="18"/>
      <c r="Q717" s="16" t="s">
        <v>52</v>
      </c>
      <c r="R717" s="16" t="s">
        <v>174</v>
      </c>
      <c r="S717" s="16" t="s">
        <v>1493</v>
      </c>
      <c r="T717" s="16" t="s">
        <v>625</v>
      </c>
    </row>
    <row r="718">
      <c r="A718" s="54">
        <v>46204.40874304398</v>
      </c>
      <c r="B718" s="16" t="s">
        <v>49</v>
      </c>
      <c r="C718" s="16" t="s">
        <v>1426</v>
      </c>
      <c r="D718" s="16" t="s">
        <v>1061</v>
      </c>
      <c r="E718" s="42" t="s">
        <v>2809</v>
      </c>
      <c r="F718" s="39">
        <v>3.0</v>
      </c>
      <c r="G718" s="16" t="s">
        <v>181</v>
      </c>
      <c r="H718" s="51">
        <v>46199.0</v>
      </c>
      <c r="I718" s="17"/>
      <c r="J718" s="16" t="s">
        <v>51</v>
      </c>
      <c r="K718" s="13"/>
      <c r="L718" s="16" t="s">
        <v>54</v>
      </c>
      <c r="M718" s="16" t="s">
        <v>2350</v>
      </c>
      <c r="N718" s="16" t="s">
        <v>1427</v>
      </c>
      <c r="O718" s="16" t="s">
        <v>2810</v>
      </c>
      <c r="P718" s="18"/>
      <c r="Q718" s="16" t="s">
        <v>52</v>
      </c>
      <c r="R718" s="16" t="s">
        <v>123</v>
      </c>
      <c r="S718" s="16" t="s">
        <v>1493</v>
      </c>
      <c r="T718" s="16"/>
    </row>
    <row r="719">
      <c r="A719" s="54">
        <v>46204.40874304398</v>
      </c>
      <c r="B719" s="16" t="s">
        <v>34</v>
      </c>
      <c r="C719" s="16" t="s">
        <v>1426</v>
      </c>
      <c r="D719" s="16" t="s">
        <v>1061</v>
      </c>
      <c r="E719" s="42" t="s">
        <v>2809</v>
      </c>
      <c r="F719" s="39">
        <v>6.0</v>
      </c>
      <c r="G719" s="16" t="s">
        <v>181</v>
      </c>
      <c r="H719" s="51">
        <v>46199.0</v>
      </c>
      <c r="I719" s="17"/>
      <c r="J719" s="16" t="s">
        <v>51</v>
      </c>
      <c r="K719" s="13"/>
      <c r="L719" s="16" t="s">
        <v>54</v>
      </c>
      <c r="M719" s="16" t="s">
        <v>2350</v>
      </c>
      <c r="N719" s="16" t="s">
        <v>1427</v>
      </c>
      <c r="O719" s="16" t="s">
        <v>2811</v>
      </c>
      <c r="P719" s="18"/>
      <c r="Q719" s="16" t="s">
        <v>52</v>
      </c>
      <c r="R719" s="16" t="s">
        <v>128</v>
      </c>
      <c r="S719" s="16" t="s">
        <v>1493</v>
      </c>
      <c r="T719" s="16"/>
    </row>
    <row r="720">
      <c r="A720" s="54">
        <v>46204.41368412037</v>
      </c>
      <c r="B720" s="16" t="s">
        <v>49</v>
      </c>
      <c r="C720" s="16" t="s">
        <v>1432</v>
      </c>
      <c r="D720" s="16" t="s">
        <v>1061</v>
      </c>
      <c r="E720" s="42" t="s">
        <v>2812</v>
      </c>
      <c r="F720" s="39">
        <v>3.0</v>
      </c>
      <c r="G720" s="16" t="s">
        <v>181</v>
      </c>
      <c r="H720" s="51">
        <v>46199.0</v>
      </c>
      <c r="I720" s="17"/>
      <c r="J720" s="16" t="s">
        <v>51</v>
      </c>
      <c r="K720" s="13"/>
      <c r="L720" s="16" t="s">
        <v>54</v>
      </c>
      <c r="M720" s="16" t="s">
        <v>2350</v>
      </c>
      <c r="N720" s="16" t="s">
        <v>1433</v>
      </c>
      <c r="O720" s="16" t="s">
        <v>2813</v>
      </c>
      <c r="P720" s="18"/>
      <c r="Q720" s="16" t="s">
        <v>52</v>
      </c>
      <c r="R720" s="16" t="s">
        <v>123</v>
      </c>
      <c r="S720" s="16" t="s">
        <v>1493</v>
      </c>
      <c r="T720" s="16"/>
    </row>
    <row r="721">
      <c r="A721" s="54">
        <v>46204.41368412037</v>
      </c>
      <c r="B721" s="16" t="s">
        <v>34</v>
      </c>
      <c r="C721" s="16" t="s">
        <v>1432</v>
      </c>
      <c r="D721" s="16" t="s">
        <v>1061</v>
      </c>
      <c r="E721" s="42" t="s">
        <v>2812</v>
      </c>
      <c r="F721" s="39">
        <v>6.0</v>
      </c>
      <c r="G721" s="16" t="s">
        <v>181</v>
      </c>
      <c r="H721" s="51">
        <v>46199.0</v>
      </c>
      <c r="I721" s="17"/>
      <c r="J721" s="16" t="s">
        <v>51</v>
      </c>
      <c r="K721" s="13"/>
      <c r="L721" s="16" t="s">
        <v>54</v>
      </c>
      <c r="M721" s="16" t="s">
        <v>2350</v>
      </c>
      <c r="N721" s="16" t="s">
        <v>1433</v>
      </c>
      <c r="O721" s="16" t="s">
        <v>2814</v>
      </c>
      <c r="P721" s="18"/>
      <c r="Q721" s="16" t="s">
        <v>52</v>
      </c>
      <c r="R721" s="16" t="s">
        <v>187</v>
      </c>
      <c r="S721" s="16" t="s">
        <v>1493</v>
      </c>
      <c r="T721" s="16"/>
    </row>
    <row r="722">
      <c r="A722" s="54">
        <v>46204.41827476852</v>
      </c>
      <c r="B722" s="16" t="s">
        <v>49</v>
      </c>
      <c r="C722" s="16" t="s">
        <v>830</v>
      </c>
      <c r="D722" s="16" t="s">
        <v>1517</v>
      </c>
      <c r="E722" s="42" t="s">
        <v>2815</v>
      </c>
      <c r="F722" s="39">
        <v>10.0</v>
      </c>
      <c r="G722" s="16" t="s">
        <v>181</v>
      </c>
      <c r="H722" s="51">
        <v>46199.0</v>
      </c>
      <c r="I722" s="17"/>
      <c r="J722" s="16" t="s">
        <v>51</v>
      </c>
      <c r="K722" s="13"/>
      <c r="L722" s="16" t="s">
        <v>54</v>
      </c>
      <c r="M722" s="16" t="s">
        <v>2350</v>
      </c>
      <c r="N722" s="16" t="s">
        <v>1380</v>
      </c>
      <c r="O722" s="16" t="s">
        <v>2816</v>
      </c>
      <c r="P722" s="18"/>
      <c r="Q722" s="16" t="s">
        <v>52</v>
      </c>
      <c r="R722" s="16" t="s">
        <v>123</v>
      </c>
      <c r="S722" s="16" t="s">
        <v>1493</v>
      </c>
      <c r="T722" s="16"/>
    </row>
    <row r="723">
      <c r="A723" s="54">
        <v>46204.41827476852</v>
      </c>
      <c r="B723" s="16" t="s">
        <v>34</v>
      </c>
      <c r="C723" s="16" t="s">
        <v>830</v>
      </c>
      <c r="D723" s="16" t="s">
        <v>1517</v>
      </c>
      <c r="E723" s="42" t="s">
        <v>2815</v>
      </c>
      <c r="F723" s="39">
        <v>20.0</v>
      </c>
      <c r="G723" s="16" t="s">
        <v>181</v>
      </c>
      <c r="H723" s="51">
        <v>46199.0</v>
      </c>
      <c r="I723" s="17"/>
      <c r="J723" s="16" t="s">
        <v>51</v>
      </c>
      <c r="K723" s="13"/>
      <c r="L723" s="16" t="s">
        <v>54</v>
      </c>
      <c r="M723" s="16" t="s">
        <v>2350</v>
      </c>
      <c r="N723" s="16" t="s">
        <v>1380</v>
      </c>
      <c r="O723" s="16" t="s">
        <v>2817</v>
      </c>
      <c r="P723" s="18"/>
      <c r="Q723" s="16" t="s">
        <v>52</v>
      </c>
      <c r="R723" s="16" t="s">
        <v>128</v>
      </c>
      <c r="S723" s="16" t="s">
        <v>1493</v>
      </c>
      <c r="T723" s="16"/>
    </row>
    <row r="724">
      <c r="A724" s="54">
        <v>46204.42094074074</v>
      </c>
      <c r="B724" s="16" t="s">
        <v>49</v>
      </c>
      <c r="C724" s="16" t="s">
        <v>1438</v>
      </c>
      <c r="D724" s="16" t="s">
        <v>1061</v>
      </c>
      <c r="E724" s="42" t="s">
        <v>2818</v>
      </c>
      <c r="F724" s="39">
        <v>4.0</v>
      </c>
      <c r="G724" s="16" t="s">
        <v>181</v>
      </c>
      <c r="H724" s="51">
        <v>46199.0</v>
      </c>
      <c r="I724" s="17"/>
      <c r="J724" s="16" t="s">
        <v>51</v>
      </c>
      <c r="K724" s="13"/>
      <c r="L724" s="16" t="s">
        <v>54</v>
      </c>
      <c r="M724" s="16" t="s">
        <v>2350</v>
      </c>
      <c r="N724" s="16" t="s">
        <v>1439</v>
      </c>
      <c r="O724" s="16" t="s">
        <v>2819</v>
      </c>
      <c r="P724" s="18"/>
      <c r="Q724" s="16" t="s">
        <v>52</v>
      </c>
      <c r="R724" s="16" t="s">
        <v>123</v>
      </c>
      <c r="S724" s="16" t="s">
        <v>1493</v>
      </c>
      <c r="T724" s="16"/>
    </row>
    <row r="725">
      <c r="A725" s="54">
        <v>46204.42094074074</v>
      </c>
      <c r="B725" s="16" t="s">
        <v>34</v>
      </c>
      <c r="C725" s="16" t="s">
        <v>1438</v>
      </c>
      <c r="D725" s="16" t="s">
        <v>1061</v>
      </c>
      <c r="E725" s="42" t="s">
        <v>2818</v>
      </c>
      <c r="F725" s="39">
        <v>10.0</v>
      </c>
      <c r="G725" s="16" t="s">
        <v>181</v>
      </c>
      <c r="H725" s="51">
        <v>46199.0</v>
      </c>
      <c r="I725" s="17"/>
      <c r="J725" s="16" t="s">
        <v>51</v>
      </c>
      <c r="K725" s="13"/>
      <c r="L725" s="16" t="s">
        <v>54</v>
      </c>
      <c r="M725" s="16" t="s">
        <v>2350</v>
      </c>
      <c r="N725" s="16" t="s">
        <v>1439</v>
      </c>
      <c r="O725" s="16" t="s">
        <v>2820</v>
      </c>
      <c r="P725" s="18"/>
      <c r="Q725" s="16" t="s">
        <v>52</v>
      </c>
      <c r="R725" s="16" t="s">
        <v>158</v>
      </c>
      <c r="S725" s="16" t="s">
        <v>1493</v>
      </c>
      <c r="T725" s="16"/>
    </row>
    <row r="726">
      <c r="A726" s="54">
        <v>46204.422685983795</v>
      </c>
      <c r="B726" s="16" t="s">
        <v>49</v>
      </c>
      <c r="C726" s="16" t="s">
        <v>833</v>
      </c>
      <c r="D726" s="16" t="s">
        <v>1061</v>
      </c>
      <c r="E726" s="42" t="s">
        <v>2821</v>
      </c>
      <c r="F726" s="39">
        <v>8.0</v>
      </c>
      <c r="G726" s="16" t="s">
        <v>181</v>
      </c>
      <c r="H726" s="51">
        <v>46199.0</v>
      </c>
      <c r="I726" s="17"/>
      <c r="J726" s="16" t="s">
        <v>51</v>
      </c>
      <c r="K726" s="13"/>
      <c r="L726" s="16" t="s">
        <v>54</v>
      </c>
      <c r="M726" s="16" t="s">
        <v>2350</v>
      </c>
      <c r="N726" s="16" t="s">
        <v>1442</v>
      </c>
      <c r="O726" s="16" t="s">
        <v>2822</v>
      </c>
      <c r="P726" s="18"/>
      <c r="Q726" s="16" t="s">
        <v>52</v>
      </c>
      <c r="R726" s="16" t="s">
        <v>123</v>
      </c>
      <c r="S726" s="16" t="s">
        <v>1493</v>
      </c>
      <c r="T726" s="16"/>
    </row>
    <row r="727">
      <c r="A727" s="54">
        <v>46204.422685983795</v>
      </c>
      <c r="B727" s="16" t="s">
        <v>34</v>
      </c>
      <c r="C727" s="16" t="s">
        <v>833</v>
      </c>
      <c r="D727" s="16" t="s">
        <v>1061</v>
      </c>
      <c r="E727" s="42" t="s">
        <v>2821</v>
      </c>
      <c r="F727" s="39">
        <v>16.0</v>
      </c>
      <c r="G727" s="16" t="s">
        <v>181</v>
      </c>
      <c r="H727" s="51">
        <v>46199.0</v>
      </c>
      <c r="I727" s="17"/>
      <c r="J727" s="16" t="s">
        <v>51</v>
      </c>
      <c r="K727" s="13"/>
      <c r="L727" s="16" t="s">
        <v>54</v>
      </c>
      <c r="M727" s="16" t="s">
        <v>2350</v>
      </c>
      <c r="N727" s="16" t="s">
        <v>1442</v>
      </c>
      <c r="O727" s="16" t="s">
        <v>2823</v>
      </c>
      <c r="P727" s="18"/>
      <c r="Q727" s="16" t="s">
        <v>52</v>
      </c>
      <c r="R727" s="16" t="s">
        <v>177</v>
      </c>
      <c r="S727" s="16" t="s">
        <v>1493</v>
      </c>
      <c r="T727" s="16"/>
    </row>
    <row r="728">
      <c r="A728" s="54">
        <v>46204.42700415509</v>
      </c>
      <c r="B728" s="16" t="s">
        <v>49</v>
      </c>
      <c r="C728" s="16" t="s">
        <v>834</v>
      </c>
      <c r="D728" s="16" t="s">
        <v>1061</v>
      </c>
      <c r="E728" s="42" t="s">
        <v>2824</v>
      </c>
      <c r="F728" s="39">
        <v>4.0</v>
      </c>
      <c r="G728" s="16" t="s">
        <v>181</v>
      </c>
      <c r="H728" s="51">
        <v>46199.0</v>
      </c>
      <c r="I728" s="17"/>
      <c r="J728" s="16" t="s">
        <v>51</v>
      </c>
      <c r="K728" s="13"/>
      <c r="L728" s="16" t="s">
        <v>54</v>
      </c>
      <c r="M728" s="16" t="s">
        <v>2350</v>
      </c>
      <c r="N728" s="16" t="s">
        <v>1449</v>
      </c>
      <c r="O728" s="16" t="s">
        <v>2825</v>
      </c>
      <c r="P728" s="18"/>
      <c r="Q728" s="16" t="s">
        <v>52</v>
      </c>
      <c r="R728" s="16" t="s">
        <v>123</v>
      </c>
      <c r="S728" s="16" t="s">
        <v>1493</v>
      </c>
      <c r="T728" s="16"/>
    </row>
    <row r="729">
      <c r="A729" s="54">
        <v>46204.42700415509</v>
      </c>
      <c r="B729" s="16" t="s">
        <v>34</v>
      </c>
      <c r="C729" s="16" t="s">
        <v>834</v>
      </c>
      <c r="D729" s="16" t="s">
        <v>1061</v>
      </c>
      <c r="E729" s="42" t="s">
        <v>2824</v>
      </c>
      <c r="F729" s="39">
        <v>6.0</v>
      </c>
      <c r="G729" s="16" t="s">
        <v>181</v>
      </c>
      <c r="H729" s="51">
        <v>46199.0</v>
      </c>
      <c r="I729" s="17"/>
      <c r="J729" s="16" t="s">
        <v>51</v>
      </c>
      <c r="K729" s="13"/>
      <c r="L729" s="16" t="s">
        <v>54</v>
      </c>
      <c r="M729" s="16" t="s">
        <v>2350</v>
      </c>
      <c r="N729" s="16" t="s">
        <v>1449</v>
      </c>
      <c r="O729" s="16" t="s">
        <v>2826</v>
      </c>
      <c r="P729" s="18"/>
      <c r="Q729" s="16" t="s">
        <v>52</v>
      </c>
      <c r="R729" s="16" t="s">
        <v>128</v>
      </c>
      <c r="S729" s="16" t="s">
        <v>1493</v>
      </c>
      <c r="T729" s="16"/>
    </row>
    <row r="730">
      <c r="A730" s="54">
        <v>46205.43337856482</v>
      </c>
      <c r="B730" s="16" t="s">
        <v>49</v>
      </c>
      <c r="C730" s="16" t="s">
        <v>375</v>
      </c>
      <c r="D730" s="17"/>
      <c r="E730" s="31"/>
      <c r="F730" s="39">
        <v>15.0</v>
      </c>
      <c r="G730" s="16" t="s">
        <v>181</v>
      </c>
      <c r="H730" s="52">
        <v>46205.0</v>
      </c>
      <c r="I730" s="16" t="s">
        <v>165</v>
      </c>
      <c r="J730" s="17"/>
      <c r="K730" s="13"/>
      <c r="L730" s="16" t="s">
        <v>54</v>
      </c>
      <c r="M730" s="16" t="s">
        <v>388</v>
      </c>
      <c r="N730" s="16" t="s">
        <v>376</v>
      </c>
      <c r="O730" s="16" t="s">
        <v>1703</v>
      </c>
      <c r="P730" s="18"/>
      <c r="Q730" s="16" t="s">
        <v>52</v>
      </c>
      <c r="R730" s="16" t="s">
        <v>428</v>
      </c>
      <c r="S730" s="16" t="s">
        <v>1895</v>
      </c>
      <c r="T730" s="16"/>
    </row>
    <row r="731">
      <c r="A731" s="54">
        <v>46206.29004950231</v>
      </c>
      <c r="B731" s="16" t="s">
        <v>34</v>
      </c>
      <c r="C731" s="16" t="s">
        <v>837</v>
      </c>
      <c r="D731" s="16" t="s">
        <v>2827</v>
      </c>
      <c r="E731" s="42" t="s">
        <v>2828</v>
      </c>
      <c r="F731" s="39">
        <v>21.0</v>
      </c>
      <c r="G731" s="16" t="s">
        <v>181</v>
      </c>
      <c r="H731" s="51">
        <v>46205.0</v>
      </c>
      <c r="I731" s="17"/>
      <c r="J731" s="16" t="s">
        <v>35</v>
      </c>
      <c r="K731" s="12" t="s">
        <v>2829</v>
      </c>
      <c r="L731" s="16" t="s">
        <v>54</v>
      </c>
      <c r="M731" s="16" t="s">
        <v>2350</v>
      </c>
      <c r="N731" s="16" t="s">
        <v>837</v>
      </c>
      <c r="O731" s="16" t="s">
        <v>2830</v>
      </c>
      <c r="P731" s="18"/>
      <c r="Q731" s="16" t="s">
        <v>52</v>
      </c>
      <c r="R731" s="16" t="s">
        <v>177</v>
      </c>
      <c r="S731" s="16" t="s">
        <v>1493</v>
      </c>
      <c r="T731" s="16"/>
    </row>
    <row r="732">
      <c r="A732" s="54">
        <v>46206.29004950231</v>
      </c>
      <c r="B732" s="16" t="s">
        <v>34</v>
      </c>
      <c r="C732" s="16" t="s">
        <v>837</v>
      </c>
      <c r="D732" s="16" t="s">
        <v>2827</v>
      </c>
      <c r="E732" s="42" t="s">
        <v>2828</v>
      </c>
      <c r="F732" s="39">
        <v>4.0</v>
      </c>
      <c r="G732" s="16" t="s">
        <v>181</v>
      </c>
      <c r="H732" s="51">
        <v>46205.0</v>
      </c>
      <c r="I732" s="17"/>
      <c r="J732" s="16" t="s">
        <v>35</v>
      </c>
      <c r="K732" s="12" t="s">
        <v>2829</v>
      </c>
      <c r="L732" s="16" t="s">
        <v>54</v>
      </c>
      <c r="M732" s="16" t="s">
        <v>2350</v>
      </c>
      <c r="N732" s="16" t="s">
        <v>837</v>
      </c>
      <c r="O732" s="16" t="s">
        <v>2830</v>
      </c>
      <c r="P732" s="18"/>
      <c r="Q732" s="16" t="s">
        <v>52</v>
      </c>
      <c r="R732" s="16" t="s">
        <v>195</v>
      </c>
      <c r="S732" s="16" t="s">
        <v>1493</v>
      </c>
      <c r="T732" s="16"/>
    </row>
    <row r="733">
      <c r="A733" s="54">
        <v>46206.29004950231</v>
      </c>
      <c r="B733" s="16" t="s">
        <v>49</v>
      </c>
      <c r="C733" s="16" t="s">
        <v>837</v>
      </c>
      <c r="D733" s="16" t="s">
        <v>2827</v>
      </c>
      <c r="E733" s="42" t="s">
        <v>2828</v>
      </c>
      <c r="F733" s="39">
        <v>20.0</v>
      </c>
      <c r="G733" s="16" t="s">
        <v>181</v>
      </c>
      <c r="H733" s="51">
        <v>46205.0</v>
      </c>
      <c r="I733" s="17"/>
      <c r="J733" s="16" t="s">
        <v>35</v>
      </c>
      <c r="K733" s="12" t="s">
        <v>2829</v>
      </c>
      <c r="L733" s="16" t="s">
        <v>54</v>
      </c>
      <c r="M733" s="16" t="s">
        <v>2350</v>
      </c>
      <c r="N733" s="16" t="s">
        <v>837</v>
      </c>
      <c r="O733" s="16" t="s">
        <v>2831</v>
      </c>
      <c r="P733" s="18"/>
      <c r="Q733" s="16" t="s">
        <v>52</v>
      </c>
      <c r="R733" s="16" t="s">
        <v>165</v>
      </c>
      <c r="S733" s="16" t="s">
        <v>1493</v>
      </c>
      <c r="T733" s="16"/>
    </row>
    <row r="734">
      <c r="A734" s="54">
        <v>46206.29088734953</v>
      </c>
      <c r="B734" s="16" t="s">
        <v>49</v>
      </c>
      <c r="C734" s="16" t="s">
        <v>837</v>
      </c>
      <c r="D734" s="16" t="s">
        <v>2827</v>
      </c>
      <c r="E734" s="42" t="s">
        <v>2828</v>
      </c>
      <c r="F734" s="39">
        <v>1.0</v>
      </c>
      <c r="G734" s="16" t="s">
        <v>181</v>
      </c>
      <c r="H734" s="51">
        <v>46205.0</v>
      </c>
      <c r="I734" s="17"/>
      <c r="J734" s="16" t="s">
        <v>35</v>
      </c>
      <c r="K734" s="12" t="s">
        <v>2646</v>
      </c>
      <c r="L734" s="16" t="s">
        <v>54</v>
      </c>
      <c r="M734" s="16" t="s">
        <v>2350</v>
      </c>
      <c r="N734" s="16" t="s">
        <v>837</v>
      </c>
      <c r="O734" s="16" t="s">
        <v>2831</v>
      </c>
      <c r="P734" s="18"/>
      <c r="Q734" s="16" t="s">
        <v>52</v>
      </c>
      <c r="R734" s="16" t="s">
        <v>212</v>
      </c>
      <c r="S734" s="16" t="s">
        <v>1493</v>
      </c>
      <c r="T734" s="16"/>
    </row>
    <row r="735">
      <c r="A735" s="54">
        <v>46206.294967395836</v>
      </c>
      <c r="B735" s="16" t="s">
        <v>49</v>
      </c>
      <c r="C735" s="16" t="s">
        <v>828</v>
      </c>
      <c r="D735" s="16" t="s">
        <v>1061</v>
      </c>
      <c r="E735" s="42" t="s">
        <v>2806</v>
      </c>
      <c r="F735" s="39">
        <v>1.0</v>
      </c>
      <c r="G735" s="16" t="s">
        <v>181</v>
      </c>
      <c r="H735" s="51">
        <v>46199.0</v>
      </c>
      <c r="I735" s="17"/>
      <c r="J735" s="16" t="s">
        <v>51</v>
      </c>
      <c r="K735" s="12" t="s">
        <v>2358</v>
      </c>
      <c r="L735" s="16" t="s">
        <v>54</v>
      </c>
      <c r="M735" s="16" t="s">
        <v>2350</v>
      </c>
      <c r="N735" s="16" t="s">
        <v>1422</v>
      </c>
      <c r="O735" s="16" t="s">
        <v>2807</v>
      </c>
      <c r="P735" s="18"/>
      <c r="Q735" s="16" t="s">
        <v>52</v>
      </c>
      <c r="R735" s="16" t="s">
        <v>212</v>
      </c>
      <c r="S735" s="16" t="s">
        <v>1493</v>
      </c>
      <c r="T735" s="16"/>
    </row>
    <row r="736">
      <c r="A736" s="54">
        <v>46206.29615327546</v>
      </c>
      <c r="B736" s="16" t="s">
        <v>49</v>
      </c>
      <c r="C736" s="16" t="s">
        <v>1426</v>
      </c>
      <c r="D736" s="16" t="s">
        <v>1061</v>
      </c>
      <c r="E736" s="42" t="s">
        <v>2809</v>
      </c>
      <c r="F736" s="39">
        <v>1.0</v>
      </c>
      <c r="G736" s="16" t="s">
        <v>181</v>
      </c>
      <c r="H736" s="51">
        <v>46199.0</v>
      </c>
      <c r="I736" s="17"/>
      <c r="J736" s="16" t="s">
        <v>51</v>
      </c>
      <c r="K736" s="12" t="s">
        <v>2354</v>
      </c>
      <c r="L736" s="16" t="s">
        <v>54</v>
      </c>
      <c r="M736" s="16" t="s">
        <v>2350</v>
      </c>
      <c r="N736" s="16" t="s">
        <v>1427</v>
      </c>
      <c r="O736" s="16" t="s">
        <v>2810</v>
      </c>
      <c r="P736" s="18"/>
      <c r="Q736" s="16" t="s">
        <v>52</v>
      </c>
      <c r="R736" s="16" t="s">
        <v>212</v>
      </c>
      <c r="S736" s="16" t="s">
        <v>1493</v>
      </c>
      <c r="T736" s="16"/>
    </row>
    <row r="737">
      <c r="A737" s="54">
        <v>46206.29717489584</v>
      </c>
      <c r="B737" s="16" t="s">
        <v>49</v>
      </c>
      <c r="C737" s="16" t="s">
        <v>834</v>
      </c>
      <c r="D737" s="16" t="s">
        <v>1061</v>
      </c>
      <c r="E737" s="42" t="s">
        <v>2824</v>
      </c>
      <c r="F737" s="39">
        <v>1.0</v>
      </c>
      <c r="G737" s="16" t="s">
        <v>181</v>
      </c>
      <c r="H737" s="51">
        <v>46199.0</v>
      </c>
      <c r="I737" s="17"/>
      <c r="J737" s="16" t="s">
        <v>51</v>
      </c>
      <c r="K737" s="12" t="s">
        <v>2354</v>
      </c>
      <c r="L737" s="16" t="s">
        <v>54</v>
      </c>
      <c r="M737" s="16" t="s">
        <v>2350</v>
      </c>
      <c r="N737" s="16" t="s">
        <v>1449</v>
      </c>
      <c r="O737" s="16" t="s">
        <v>2825</v>
      </c>
      <c r="P737" s="18"/>
      <c r="Q737" s="16" t="s">
        <v>52</v>
      </c>
      <c r="R737" s="16" t="s">
        <v>212</v>
      </c>
      <c r="S737" s="16" t="s">
        <v>1493</v>
      </c>
      <c r="T737" s="16"/>
    </row>
    <row r="738">
      <c r="A738" s="54">
        <v>46206.298409675925</v>
      </c>
      <c r="B738" s="16" t="s">
        <v>49</v>
      </c>
      <c r="C738" s="16" t="s">
        <v>1438</v>
      </c>
      <c r="D738" s="16" t="s">
        <v>1061</v>
      </c>
      <c r="E738" s="42" t="s">
        <v>2818</v>
      </c>
      <c r="F738" s="39">
        <v>1.0</v>
      </c>
      <c r="G738" s="16" t="s">
        <v>181</v>
      </c>
      <c r="H738" s="51">
        <v>46199.0</v>
      </c>
      <c r="I738" s="17"/>
      <c r="J738" s="16" t="s">
        <v>51</v>
      </c>
      <c r="K738" s="12" t="s">
        <v>2354</v>
      </c>
      <c r="L738" s="16" t="s">
        <v>54</v>
      </c>
      <c r="M738" s="16" t="s">
        <v>2350</v>
      </c>
      <c r="N738" s="16" t="s">
        <v>1439</v>
      </c>
      <c r="O738" s="16" t="s">
        <v>2819</v>
      </c>
      <c r="P738" s="18"/>
      <c r="Q738" s="16" t="s">
        <v>52</v>
      </c>
      <c r="R738" s="16" t="s">
        <v>212</v>
      </c>
      <c r="S738" s="16" t="s">
        <v>1493</v>
      </c>
      <c r="T738" s="16"/>
    </row>
    <row r="739">
      <c r="A739" s="54">
        <v>46206.300312314816</v>
      </c>
      <c r="B739" s="16" t="s">
        <v>49</v>
      </c>
      <c r="C739" s="16" t="s">
        <v>1432</v>
      </c>
      <c r="D739" s="16" t="s">
        <v>1061</v>
      </c>
      <c r="E739" s="42" t="s">
        <v>2812</v>
      </c>
      <c r="F739" s="39">
        <v>1.0</v>
      </c>
      <c r="G739" s="16" t="s">
        <v>181</v>
      </c>
      <c r="H739" s="51">
        <v>46199.0</v>
      </c>
      <c r="I739" s="17"/>
      <c r="J739" s="16" t="s">
        <v>51</v>
      </c>
      <c r="K739" s="12" t="s">
        <v>2358</v>
      </c>
      <c r="L739" s="16" t="s">
        <v>54</v>
      </c>
      <c r="M739" s="16" t="s">
        <v>2350</v>
      </c>
      <c r="N739" s="16" t="s">
        <v>1433</v>
      </c>
      <c r="O739" s="16" t="s">
        <v>2813</v>
      </c>
      <c r="P739" s="18"/>
      <c r="Q739" s="16" t="s">
        <v>52</v>
      </c>
      <c r="R739" s="16" t="s">
        <v>212</v>
      </c>
      <c r="S739" s="16" t="s">
        <v>1493</v>
      </c>
      <c r="T739" s="16"/>
    </row>
    <row r="740">
      <c r="A740" s="54">
        <v>46206.30132153935</v>
      </c>
      <c r="B740" s="16" t="s">
        <v>49</v>
      </c>
      <c r="C740" s="16" t="s">
        <v>833</v>
      </c>
      <c r="D740" s="16" t="s">
        <v>1061</v>
      </c>
      <c r="E740" s="42" t="s">
        <v>2821</v>
      </c>
      <c r="F740" s="39">
        <v>2.0</v>
      </c>
      <c r="G740" s="16" t="s">
        <v>181</v>
      </c>
      <c r="H740" s="51">
        <v>46199.0</v>
      </c>
      <c r="I740" s="17"/>
      <c r="J740" s="16" t="s">
        <v>51</v>
      </c>
      <c r="K740" s="12" t="s">
        <v>2354</v>
      </c>
      <c r="L740" s="16" t="s">
        <v>54</v>
      </c>
      <c r="M740" s="16" t="s">
        <v>2350</v>
      </c>
      <c r="N740" s="16" t="s">
        <v>1442</v>
      </c>
      <c r="O740" s="16" t="s">
        <v>2822</v>
      </c>
      <c r="P740" s="18"/>
      <c r="Q740" s="16" t="s">
        <v>52</v>
      </c>
      <c r="R740" s="16" t="s">
        <v>212</v>
      </c>
      <c r="S740" s="16" t="s">
        <v>1493</v>
      </c>
      <c r="T740" s="16"/>
    </row>
    <row r="741">
      <c r="A741" s="54">
        <v>46206.303870625</v>
      </c>
      <c r="B741" s="16" t="s">
        <v>34</v>
      </c>
      <c r="C741" s="16" t="s">
        <v>1457</v>
      </c>
      <c r="D741" s="16" t="s">
        <v>1517</v>
      </c>
      <c r="E741" s="42" t="s">
        <v>2832</v>
      </c>
      <c r="F741" s="39">
        <v>30.0</v>
      </c>
      <c r="G741" s="16" t="s">
        <v>181</v>
      </c>
      <c r="H741" s="51">
        <v>46205.0</v>
      </c>
      <c r="I741" s="17"/>
      <c r="J741" s="16" t="s">
        <v>35</v>
      </c>
      <c r="K741" s="12" t="s">
        <v>2328</v>
      </c>
      <c r="L741" s="16" t="s">
        <v>54</v>
      </c>
      <c r="M741" s="16" t="s">
        <v>2350</v>
      </c>
      <c r="N741" s="16" t="s">
        <v>1459</v>
      </c>
      <c r="O741" s="16" t="s">
        <v>2833</v>
      </c>
      <c r="P741" s="18"/>
      <c r="Q741" s="16" t="s">
        <v>52</v>
      </c>
      <c r="R741" s="16" t="s">
        <v>158</v>
      </c>
      <c r="S741" s="16" t="s">
        <v>1493</v>
      </c>
      <c r="T741" s="16"/>
    </row>
    <row r="742">
      <c r="A742" s="54">
        <v>46206.30716703704</v>
      </c>
      <c r="B742" s="16" t="s">
        <v>68</v>
      </c>
      <c r="C742" s="16" t="s">
        <v>1467</v>
      </c>
      <c r="D742" s="17"/>
      <c r="E742" s="31"/>
      <c r="F742" s="39">
        <v>2.0</v>
      </c>
      <c r="G742" s="16" t="s">
        <v>181</v>
      </c>
      <c r="H742" s="51">
        <v>46205.0</v>
      </c>
      <c r="I742" s="17"/>
      <c r="J742" s="16" t="s">
        <v>92</v>
      </c>
      <c r="K742" s="12" t="s">
        <v>2834</v>
      </c>
      <c r="L742" s="16" t="s">
        <v>54</v>
      </c>
      <c r="M742" s="16" t="s">
        <v>2350</v>
      </c>
      <c r="N742" s="16" t="s">
        <v>1468</v>
      </c>
      <c r="O742" s="16" t="s">
        <v>2835</v>
      </c>
      <c r="P742" s="18"/>
      <c r="Q742" s="16" t="s">
        <v>52</v>
      </c>
      <c r="R742" s="16" t="s">
        <v>17</v>
      </c>
      <c r="S742" s="16" t="s">
        <v>1493</v>
      </c>
      <c r="T742" s="16"/>
    </row>
    <row r="743">
      <c r="A743" s="54">
        <v>46206.30802115741</v>
      </c>
      <c r="B743" s="16" t="s">
        <v>104</v>
      </c>
      <c r="C743" s="16" t="s">
        <v>1471</v>
      </c>
      <c r="D743" s="17"/>
      <c r="E743" s="31"/>
      <c r="F743" s="39">
        <v>2.0</v>
      </c>
      <c r="G743" s="16" t="s">
        <v>181</v>
      </c>
      <c r="H743" s="51">
        <v>46205.0</v>
      </c>
      <c r="I743" s="17"/>
      <c r="J743" s="16" t="s">
        <v>92</v>
      </c>
      <c r="K743" s="13"/>
      <c r="L743" s="16" t="s">
        <v>54</v>
      </c>
      <c r="M743" s="16" t="s">
        <v>2350</v>
      </c>
      <c r="N743" s="16" t="s">
        <v>1471</v>
      </c>
      <c r="O743" s="16" t="s">
        <v>2836</v>
      </c>
      <c r="P743" s="18"/>
      <c r="Q743" s="16" t="s">
        <v>52</v>
      </c>
      <c r="R743" s="16" t="s">
        <v>1473</v>
      </c>
      <c r="S743" s="16" t="s">
        <v>1493</v>
      </c>
      <c r="T743" s="16"/>
    </row>
    <row r="744">
      <c r="A744" s="54">
        <v>46206.309372881944</v>
      </c>
      <c r="B744" s="16" t="s">
        <v>109</v>
      </c>
      <c r="C744" s="16" t="s">
        <v>1476</v>
      </c>
      <c r="D744" s="17"/>
      <c r="E744" s="31"/>
      <c r="F744" s="39">
        <v>8.0</v>
      </c>
      <c r="G744" s="16" t="s">
        <v>181</v>
      </c>
      <c r="H744" s="51">
        <v>46205.0</v>
      </c>
      <c r="I744" s="17"/>
      <c r="J744" s="16" t="s">
        <v>92</v>
      </c>
      <c r="K744" s="12" t="s">
        <v>2837</v>
      </c>
      <c r="L744" s="16" t="s">
        <v>54</v>
      </c>
      <c r="M744" s="16" t="s">
        <v>2350</v>
      </c>
      <c r="N744" s="16" t="s">
        <v>1476</v>
      </c>
      <c r="O744" s="16" t="s">
        <v>2838</v>
      </c>
      <c r="P744" s="18"/>
      <c r="Q744" s="16" t="s">
        <v>52</v>
      </c>
      <c r="R744" s="16" t="s">
        <v>17</v>
      </c>
      <c r="S744" s="16" t="s">
        <v>1493</v>
      </c>
      <c r="T744" s="16"/>
    </row>
    <row r="745">
      <c r="A745" s="54">
        <v>46206.312314270835</v>
      </c>
      <c r="B745" s="16" t="s">
        <v>68</v>
      </c>
      <c r="C745" s="16" t="s">
        <v>1480</v>
      </c>
      <c r="D745" s="17"/>
      <c r="E745" s="31"/>
      <c r="F745" s="39">
        <v>1.0</v>
      </c>
      <c r="G745" s="16" t="s">
        <v>181</v>
      </c>
      <c r="H745" s="51">
        <v>46204.0</v>
      </c>
      <c r="I745" s="17"/>
      <c r="J745" s="16" t="s">
        <v>92</v>
      </c>
      <c r="K745" s="13"/>
      <c r="L745" s="16" t="s">
        <v>54</v>
      </c>
      <c r="M745" s="16" t="s">
        <v>2350</v>
      </c>
      <c r="N745" s="16" t="s">
        <v>1480</v>
      </c>
      <c r="O745" s="16" t="s">
        <v>2839</v>
      </c>
      <c r="P745" s="18"/>
      <c r="Q745" s="16" t="s">
        <v>52</v>
      </c>
      <c r="R745" s="16" t="s">
        <v>17</v>
      </c>
      <c r="S745" s="16" t="s">
        <v>1493</v>
      </c>
      <c r="T745" s="16"/>
    </row>
    <row r="746">
      <c r="A746" s="54">
        <v>46206.31346392361</v>
      </c>
      <c r="B746" s="16" t="s">
        <v>104</v>
      </c>
      <c r="C746" s="16" t="s">
        <v>1483</v>
      </c>
      <c r="D746" s="17"/>
      <c r="E746" s="31"/>
      <c r="F746" s="39">
        <v>2.0</v>
      </c>
      <c r="G746" s="16" t="s">
        <v>181</v>
      </c>
      <c r="H746" s="51">
        <v>46204.0</v>
      </c>
      <c r="I746" s="17"/>
      <c r="J746" s="16" t="s">
        <v>92</v>
      </c>
      <c r="K746" s="13"/>
      <c r="L746" s="16" t="s">
        <v>54</v>
      </c>
      <c r="M746" s="16" t="s">
        <v>2350</v>
      </c>
      <c r="N746" s="16" t="s">
        <v>1483</v>
      </c>
      <c r="O746" s="16" t="s">
        <v>2840</v>
      </c>
      <c r="P746" s="18"/>
      <c r="Q746" s="16" t="s">
        <v>52</v>
      </c>
      <c r="R746" s="16" t="s">
        <v>17</v>
      </c>
      <c r="S746" s="16" t="s">
        <v>1493</v>
      </c>
      <c r="T746" s="16"/>
    </row>
    <row r="747">
      <c r="A747" s="54">
        <v>46206.31460283565</v>
      </c>
      <c r="B747" s="16" t="s">
        <v>68</v>
      </c>
      <c r="C747" s="16" t="s">
        <v>1486</v>
      </c>
      <c r="D747" s="17"/>
      <c r="E747" s="31"/>
      <c r="F747" s="39">
        <v>1.0</v>
      </c>
      <c r="G747" s="16" t="s">
        <v>181</v>
      </c>
      <c r="H747" s="51">
        <v>46204.0</v>
      </c>
      <c r="I747" s="17"/>
      <c r="J747" s="16" t="s">
        <v>92</v>
      </c>
      <c r="K747" s="13"/>
      <c r="L747" s="16" t="s">
        <v>54</v>
      </c>
      <c r="M747" s="16" t="s">
        <v>2350</v>
      </c>
      <c r="N747" s="16" t="s">
        <v>1486</v>
      </c>
      <c r="O747" s="16" t="s">
        <v>2841</v>
      </c>
      <c r="P747" s="18"/>
      <c r="Q747" s="16" t="s">
        <v>52</v>
      </c>
      <c r="R747" s="16" t="s">
        <v>17</v>
      </c>
      <c r="S747" s="16" t="s">
        <v>1493</v>
      </c>
      <c r="T747" s="16"/>
    </row>
    <row r="748">
      <c r="A748" s="54">
        <v>46206.31551163194</v>
      </c>
      <c r="B748" s="16" t="s">
        <v>68</v>
      </c>
      <c r="C748" s="16" t="s">
        <v>1490</v>
      </c>
      <c r="D748" s="17"/>
      <c r="E748" s="31"/>
      <c r="F748" s="39">
        <v>3.0</v>
      </c>
      <c r="G748" s="16" t="s">
        <v>181</v>
      </c>
      <c r="H748" s="51">
        <v>46204.0</v>
      </c>
      <c r="I748" s="17"/>
      <c r="J748" s="16" t="s">
        <v>92</v>
      </c>
      <c r="K748" s="13"/>
      <c r="L748" s="16" t="s">
        <v>54</v>
      </c>
      <c r="M748" s="16" t="s">
        <v>2350</v>
      </c>
      <c r="N748" s="16" t="s">
        <v>1490</v>
      </c>
      <c r="O748" s="16" t="s">
        <v>2842</v>
      </c>
      <c r="P748" s="18"/>
      <c r="Q748" s="16" t="s">
        <v>52</v>
      </c>
      <c r="R748" s="16" t="s">
        <v>17</v>
      </c>
      <c r="S748" s="16" t="s">
        <v>1493</v>
      </c>
      <c r="T748" s="16"/>
    </row>
    <row r="749">
      <c r="A749" s="54">
        <v>46206.31698013889</v>
      </c>
      <c r="B749" s="16" t="s">
        <v>75</v>
      </c>
      <c r="C749" s="16" t="s">
        <v>1495</v>
      </c>
      <c r="D749" s="17"/>
      <c r="E749" s="31"/>
      <c r="F749" s="39">
        <v>1.0</v>
      </c>
      <c r="G749" s="16" t="s">
        <v>181</v>
      </c>
      <c r="H749" s="51">
        <v>46204.0</v>
      </c>
      <c r="I749" s="17"/>
      <c r="J749" s="16" t="s">
        <v>2843</v>
      </c>
      <c r="K749" s="12" t="s">
        <v>2844</v>
      </c>
      <c r="L749" s="16" t="s">
        <v>54</v>
      </c>
      <c r="M749" s="16" t="s">
        <v>52</v>
      </c>
      <c r="N749" s="16" t="s">
        <v>1495</v>
      </c>
      <c r="O749" s="16" t="s">
        <v>2845</v>
      </c>
      <c r="P749" s="18"/>
      <c r="Q749" s="16" t="s">
        <v>52</v>
      </c>
      <c r="R749" s="16" t="s">
        <v>17</v>
      </c>
      <c r="S749" s="16" t="s">
        <v>1493</v>
      </c>
      <c r="T749" s="16"/>
    </row>
    <row r="750">
      <c r="A750" s="54">
        <v>46206.31791657407</v>
      </c>
      <c r="B750" s="16" t="s">
        <v>75</v>
      </c>
      <c r="C750" s="16" t="s">
        <v>1497</v>
      </c>
      <c r="D750" s="17"/>
      <c r="E750" s="31"/>
      <c r="F750" s="39">
        <v>8.0</v>
      </c>
      <c r="G750" s="16" t="s">
        <v>181</v>
      </c>
      <c r="H750" s="51">
        <v>46203.0</v>
      </c>
      <c r="I750" s="17"/>
      <c r="J750" s="16" t="s">
        <v>92</v>
      </c>
      <c r="K750" s="13"/>
      <c r="L750" s="16" t="s">
        <v>54</v>
      </c>
      <c r="M750" s="16" t="s">
        <v>2111</v>
      </c>
      <c r="N750" s="16" t="s">
        <v>1497</v>
      </c>
      <c r="O750" s="16" t="s">
        <v>2846</v>
      </c>
      <c r="P750" s="18"/>
      <c r="Q750" s="16" t="s">
        <v>52</v>
      </c>
      <c r="R750" s="16" t="s">
        <v>17</v>
      </c>
      <c r="S750" s="16" t="s">
        <v>1493</v>
      </c>
      <c r="T750" s="16"/>
    </row>
    <row r="751">
      <c r="A751" s="54">
        <v>46206.31866769676</v>
      </c>
      <c r="B751" s="16" t="s">
        <v>75</v>
      </c>
      <c r="C751" s="16" t="s">
        <v>1501</v>
      </c>
      <c r="D751" s="17"/>
      <c r="E751" s="31"/>
      <c r="F751" s="39">
        <v>3.0</v>
      </c>
      <c r="G751" s="16" t="s">
        <v>181</v>
      </c>
      <c r="H751" s="51">
        <v>46203.0</v>
      </c>
      <c r="I751" s="17"/>
      <c r="J751" s="16" t="s">
        <v>92</v>
      </c>
      <c r="K751" s="13"/>
      <c r="L751" s="16" t="s">
        <v>54</v>
      </c>
      <c r="M751" s="16" t="s">
        <v>2111</v>
      </c>
      <c r="N751" s="16" t="s">
        <v>1501</v>
      </c>
      <c r="O751" s="16" t="s">
        <v>2847</v>
      </c>
      <c r="P751" s="18"/>
      <c r="Q751" s="16" t="s">
        <v>52</v>
      </c>
      <c r="R751" s="16" t="s">
        <v>17</v>
      </c>
      <c r="S751" s="16" t="s">
        <v>1493</v>
      </c>
      <c r="T751" s="16"/>
    </row>
    <row r="752">
      <c r="A752" s="54">
        <v>46209.43034248843</v>
      </c>
      <c r="B752" s="16" t="s">
        <v>34</v>
      </c>
      <c r="C752" s="16" t="s">
        <v>823</v>
      </c>
      <c r="D752" s="17"/>
      <c r="E752" s="31"/>
      <c r="F752" s="39">
        <v>29.0</v>
      </c>
      <c r="G752" s="16" t="s">
        <v>181</v>
      </c>
      <c r="H752" s="51">
        <v>46209.0</v>
      </c>
      <c r="I752" s="16" t="s">
        <v>174</v>
      </c>
      <c r="J752" s="17"/>
      <c r="K752" s="13"/>
      <c r="L752" s="16" t="s">
        <v>2507</v>
      </c>
      <c r="M752" s="16" t="s">
        <v>2848</v>
      </c>
      <c r="N752" s="17"/>
      <c r="O752" s="16" t="s">
        <v>2787</v>
      </c>
      <c r="P752" s="18"/>
      <c r="Q752" s="16" t="s">
        <v>52</v>
      </c>
      <c r="R752" s="16" t="s">
        <v>1402</v>
      </c>
      <c r="S752" s="16" t="s">
        <v>1607</v>
      </c>
      <c r="T752" s="16"/>
    </row>
    <row r="753">
      <c r="A753" s="54">
        <v>46209.43034248843</v>
      </c>
      <c r="B753" s="16" t="s">
        <v>34</v>
      </c>
      <c r="C753" s="16" t="s">
        <v>823</v>
      </c>
      <c r="D753" s="17"/>
      <c r="E753" s="31"/>
      <c r="F753" s="39">
        <v>20.0</v>
      </c>
      <c r="G753" s="16" t="s">
        <v>181</v>
      </c>
      <c r="H753" s="51">
        <v>46209.0</v>
      </c>
      <c r="I753" s="16" t="s">
        <v>199</v>
      </c>
      <c r="J753" s="17"/>
      <c r="K753" s="13"/>
      <c r="L753" s="16" t="s">
        <v>2507</v>
      </c>
      <c r="M753" s="16" t="s">
        <v>2848</v>
      </c>
      <c r="N753" s="17"/>
      <c r="O753" s="16" t="s">
        <v>2787</v>
      </c>
      <c r="P753" s="18"/>
      <c r="Q753" s="16" t="s">
        <v>52</v>
      </c>
      <c r="R753" s="16" t="s">
        <v>1402</v>
      </c>
      <c r="S753" s="16" t="s">
        <v>1607</v>
      </c>
      <c r="T753" s="16"/>
    </row>
    <row r="754">
      <c r="A754" s="54">
        <v>46209.43238766203</v>
      </c>
      <c r="B754" s="16" t="s">
        <v>34</v>
      </c>
      <c r="C754" s="16" t="s">
        <v>837</v>
      </c>
      <c r="D754" s="17"/>
      <c r="E754" s="31"/>
      <c r="F754" s="39">
        <v>21.0</v>
      </c>
      <c r="G754" s="16" t="s">
        <v>181</v>
      </c>
      <c r="H754" s="51">
        <v>46209.0</v>
      </c>
      <c r="I754" s="16" t="s">
        <v>177</v>
      </c>
      <c r="J754" s="17"/>
      <c r="K754" s="13"/>
      <c r="L754" s="16" t="s">
        <v>2507</v>
      </c>
      <c r="M754" s="16" t="s">
        <v>2848</v>
      </c>
      <c r="N754" s="17"/>
      <c r="O754" s="16" t="s">
        <v>2830</v>
      </c>
      <c r="P754" s="18"/>
      <c r="Q754" s="16" t="s">
        <v>52</v>
      </c>
      <c r="R754" s="16" t="s">
        <v>837</v>
      </c>
      <c r="S754" s="16" t="s">
        <v>1607</v>
      </c>
      <c r="T754" s="16"/>
    </row>
    <row r="755">
      <c r="A755" s="54">
        <v>46209.43238766203</v>
      </c>
      <c r="B755" s="16" t="s">
        <v>34</v>
      </c>
      <c r="C755" s="16" t="s">
        <v>837</v>
      </c>
      <c r="D755" s="17"/>
      <c r="E755" s="31"/>
      <c r="F755" s="39">
        <v>4.0</v>
      </c>
      <c r="G755" s="16" t="s">
        <v>181</v>
      </c>
      <c r="H755" s="51">
        <v>46209.0</v>
      </c>
      <c r="I755" s="16" t="s">
        <v>195</v>
      </c>
      <c r="J755" s="17"/>
      <c r="K755" s="13"/>
      <c r="L755" s="16" t="s">
        <v>2507</v>
      </c>
      <c r="M755" s="16" t="s">
        <v>2848</v>
      </c>
      <c r="N755" s="17"/>
      <c r="O755" s="16" t="s">
        <v>2830</v>
      </c>
      <c r="P755" s="18"/>
      <c r="Q755" s="16" t="s">
        <v>52</v>
      </c>
      <c r="R755" s="16" t="s">
        <v>837</v>
      </c>
      <c r="S755" s="16" t="s">
        <v>1607</v>
      </c>
      <c r="T755" s="16"/>
    </row>
    <row r="756">
      <c r="A756" s="54">
        <v>46209.43768427083</v>
      </c>
      <c r="B756" s="16" t="s">
        <v>34</v>
      </c>
      <c r="C756" s="16" t="s">
        <v>800</v>
      </c>
      <c r="D756" s="17"/>
      <c r="E756" s="31"/>
      <c r="F756" s="39">
        <v>13.0</v>
      </c>
      <c r="G756" s="16" t="s">
        <v>181</v>
      </c>
      <c r="H756" s="52">
        <v>46209.0</v>
      </c>
      <c r="I756" s="16" t="s">
        <v>170</v>
      </c>
      <c r="J756" s="17"/>
      <c r="K756" s="13"/>
      <c r="L756" s="16" t="s">
        <v>54</v>
      </c>
      <c r="M756" s="16" t="s">
        <v>2350</v>
      </c>
      <c r="N756" s="16" t="s">
        <v>376</v>
      </c>
      <c r="O756" s="16" t="s">
        <v>2665</v>
      </c>
      <c r="P756" s="18"/>
      <c r="Q756" s="16" t="s">
        <v>52</v>
      </c>
      <c r="R756" s="16" t="s">
        <v>150</v>
      </c>
      <c r="S756" s="16" t="s">
        <v>1895</v>
      </c>
      <c r="T756" s="16"/>
    </row>
    <row r="757">
      <c r="A757" s="54">
        <v>46209.451145810184</v>
      </c>
      <c r="B757" s="16" t="s">
        <v>34</v>
      </c>
      <c r="C757" s="16" t="s">
        <v>1504</v>
      </c>
      <c r="D757" s="16" t="s">
        <v>1517</v>
      </c>
      <c r="E757" s="42" t="s">
        <v>2849</v>
      </c>
      <c r="F757" s="39">
        <v>9.0</v>
      </c>
      <c r="G757" s="16" t="s">
        <v>181</v>
      </c>
      <c r="H757" s="51">
        <v>46209.0</v>
      </c>
      <c r="I757" s="17"/>
      <c r="J757" s="16" t="s">
        <v>51</v>
      </c>
      <c r="K757" s="13"/>
      <c r="L757" s="16" t="s">
        <v>54</v>
      </c>
      <c r="M757" s="16" t="s">
        <v>2350</v>
      </c>
      <c r="N757" s="16" t="s">
        <v>1505</v>
      </c>
      <c r="O757" s="16" t="s">
        <v>2850</v>
      </c>
      <c r="P757" s="18"/>
      <c r="Q757" s="16" t="s">
        <v>52</v>
      </c>
      <c r="R757" s="16" t="s">
        <v>142</v>
      </c>
      <c r="S757" s="16" t="s">
        <v>1493</v>
      </c>
      <c r="T757" s="16" t="s">
        <v>625</v>
      </c>
    </row>
    <row r="758">
      <c r="A758" s="54">
        <v>46209.588091620375</v>
      </c>
      <c r="B758" s="16" t="s">
        <v>49</v>
      </c>
      <c r="C758" s="16" t="s">
        <v>1504</v>
      </c>
      <c r="D758" s="16" t="s">
        <v>1517</v>
      </c>
      <c r="E758" s="42" t="s">
        <v>2849</v>
      </c>
      <c r="F758" s="39">
        <v>5.0</v>
      </c>
      <c r="G758" s="16" t="s">
        <v>181</v>
      </c>
      <c r="H758" s="51">
        <v>46209.0</v>
      </c>
      <c r="I758" s="17"/>
      <c r="J758" s="16" t="s">
        <v>51</v>
      </c>
      <c r="K758" s="13"/>
      <c r="L758" s="16" t="s">
        <v>54</v>
      </c>
      <c r="M758" s="16" t="s">
        <v>2350</v>
      </c>
      <c r="N758" s="16" t="s">
        <v>1505</v>
      </c>
      <c r="O758" s="16" t="s">
        <v>2851</v>
      </c>
      <c r="P758" s="18"/>
      <c r="Q758" s="16" t="s">
        <v>52</v>
      </c>
      <c r="R758" s="16" t="s">
        <v>123</v>
      </c>
      <c r="S758" s="16" t="s">
        <v>1493</v>
      </c>
      <c r="T758" s="16"/>
    </row>
    <row r="759">
      <c r="A759" s="54">
        <v>46209.58985430555</v>
      </c>
      <c r="B759" s="16" t="s">
        <v>34</v>
      </c>
      <c r="C759" s="16" t="s">
        <v>828</v>
      </c>
      <c r="D759" s="16" t="s">
        <v>1061</v>
      </c>
      <c r="E759" s="42" t="s">
        <v>2806</v>
      </c>
      <c r="F759" s="39">
        <v>1.0</v>
      </c>
      <c r="G759" s="16" t="s">
        <v>181</v>
      </c>
      <c r="H759" s="51">
        <v>46209.0</v>
      </c>
      <c r="I759" s="17"/>
      <c r="J759" s="16" t="s">
        <v>51</v>
      </c>
      <c r="K759" s="13"/>
      <c r="L759" s="16" t="s">
        <v>54</v>
      </c>
      <c r="M759" s="16" t="s">
        <v>2350</v>
      </c>
      <c r="N759" s="16" t="s">
        <v>1422</v>
      </c>
      <c r="O759" s="16" t="s">
        <v>2808</v>
      </c>
      <c r="P759" s="18"/>
      <c r="Q759" s="16" t="s">
        <v>52</v>
      </c>
      <c r="R759" s="16" t="s">
        <v>174</v>
      </c>
      <c r="S759" s="16" t="s">
        <v>1493</v>
      </c>
      <c r="T759" s="16"/>
    </row>
    <row r="760">
      <c r="A760" s="54">
        <v>46209.595880671295</v>
      </c>
      <c r="B760" s="16" t="s">
        <v>34</v>
      </c>
      <c r="C760" s="16" t="s">
        <v>1510</v>
      </c>
      <c r="D760" s="16" t="s">
        <v>1061</v>
      </c>
      <c r="E760" s="42" t="s">
        <v>2852</v>
      </c>
      <c r="F760" s="39">
        <v>8.0</v>
      </c>
      <c r="G760" s="16" t="s">
        <v>181</v>
      </c>
      <c r="H760" s="51">
        <v>46209.0</v>
      </c>
      <c r="I760" s="17"/>
      <c r="J760" s="16" t="s">
        <v>51</v>
      </c>
      <c r="K760" s="13"/>
      <c r="L760" s="16" t="s">
        <v>54</v>
      </c>
      <c r="M760" s="16" t="s">
        <v>2350</v>
      </c>
      <c r="N760" s="16" t="s">
        <v>1511</v>
      </c>
      <c r="O760" s="16" t="s">
        <v>2853</v>
      </c>
      <c r="P760" s="18"/>
      <c r="Q760" s="16" t="s">
        <v>52</v>
      </c>
      <c r="R760" s="16" t="s">
        <v>199</v>
      </c>
      <c r="S760" s="16" t="s">
        <v>1493</v>
      </c>
      <c r="T760" s="16"/>
    </row>
    <row r="761">
      <c r="A761" s="54">
        <v>46209.595880671295</v>
      </c>
      <c r="B761" s="16" t="s">
        <v>49</v>
      </c>
      <c r="C761" s="16" t="s">
        <v>1510</v>
      </c>
      <c r="D761" s="16" t="s">
        <v>1061</v>
      </c>
      <c r="E761" s="42" t="s">
        <v>2852</v>
      </c>
      <c r="F761" s="39">
        <v>4.0</v>
      </c>
      <c r="G761" s="16" t="s">
        <v>181</v>
      </c>
      <c r="H761" s="51">
        <v>46209.0</v>
      </c>
      <c r="I761" s="17"/>
      <c r="J761" s="16" t="s">
        <v>51</v>
      </c>
      <c r="K761" s="13"/>
      <c r="L761" s="16" t="s">
        <v>54</v>
      </c>
      <c r="M761" s="16" t="s">
        <v>2350</v>
      </c>
      <c r="N761" s="16" t="s">
        <v>1511</v>
      </c>
      <c r="O761" s="16" t="s">
        <v>2854</v>
      </c>
      <c r="P761" s="18"/>
      <c r="Q761" s="16" t="s">
        <v>52</v>
      </c>
      <c r="R761" s="16" t="s">
        <v>123</v>
      </c>
      <c r="S761" s="16" t="s">
        <v>1493</v>
      </c>
      <c r="T761" s="16"/>
    </row>
    <row r="762">
      <c r="A762" s="54">
        <v>46209.595880671295</v>
      </c>
      <c r="B762" s="16" t="s">
        <v>49</v>
      </c>
      <c r="C762" s="16" t="s">
        <v>1510</v>
      </c>
      <c r="D762" s="16" t="s">
        <v>1061</v>
      </c>
      <c r="E762" s="42" t="s">
        <v>2852</v>
      </c>
      <c r="F762" s="39">
        <v>1.0</v>
      </c>
      <c r="G762" s="16" t="s">
        <v>181</v>
      </c>
      <c r="H762" s="51">
        <v>46209.0</v>
      </c>
      <c r="I762" s="17"/>
      <c r="J762" s="16" t="s">
        <v>51</v>
      </c>
      <c r="K762" s="13"/>
      <c r="L762" s="16" t="s">
        <v>54</v>
      </c>
      <c r="M762" s="16" t="s">
        <v>2350</v>
      </c>
      <c r="N762" s="16" t="s">
        <v>1511</v>
      </c>
      <c r="O762" s="16" t="s">
        <v>2854</v>
      </c>
      <c r="P762" s="18"/>
      <c r="Q762" s="16" t="s">
        <v>52</v>
      </c>
      <c r="R762" s="16" t="s">
        <v>212</v>
      </c>
      <c r="S762" s="16" t="s">
        <v>1493</v>
      </c>
      <c r="T762" s="16"/>
    </row>
    <row r="763">
      <c r="A763" s="54">
        <v>46209.59968295139</v>
      </c>
      <c r="B763" s="16" t="s">
        <v>34</v>
      </c>
      <c r="C763" s="16" t="s">
        <v>1519</v>
      </c>
      <c r="D763" s="16" t="s">
        <v>1061</v>
      </c>
      <c r="E763" s="42" t="s">
        <v>2855</v>
      </c>
      <c r="F763" s="39">
        <v>11.0</v>
      </c>
      <c r="G763" s="16" t="s">
        <v>181</v>
      </c>
      <c r="H763" s="51">
        <v>46209.0</v>
      </c>
      <c r="I763" s="17"/>
      <c r="J763" s="16" t="s">
        <v>51</v>
      </c>
      <c r="K763" s="13"/>
      <c r="L763" s="16" t="s">
        <v>54</v>
      </c>
      <c r="M763" s="16" t="s">
        <v>2350</v>
      </c>
      <c r="N763" s="16" t="s">
        <v>1519</v>
      </c>
      <c r="O763" s="16" t="s">
        <v>2856</v>
      </c>
      <c r="P763" s="18"/>
      <c r="Q763" s="16" t="s">
        <v>52</v>
      </c>
      <c r="R763" s="16" t="s">
        <v>174</v>
      </c>
      <c r="S763" s="16" t="s">
        <v>1493</v>
      </c>
      <c r="T763" s="16"/>
    </row>
    <row r="764">
      <c r="A764" s="54">
        <v>46209.59968295139</v>
      </c>
      <c r="B764" s="16" t="s">
        <v>49</v>
      </c>
      <c r="C764" s="16" t="s">
        <v>1519</v>
      </c>
      <c r="D764" s="16" t="s">
        <v>1061</v>
      </c>
      <c r="E764" s="42" t="s">
        <v>2855</v>
      </c>
      <c r="F764" s="39">
        <v>3.0</v>
      </c>
      <c r="G764" s="16" t="s">
        <v>181</v>
      </c>
      <c r="H764" s="51">
        <v>46209.0</v>
      </c>
      <c r="I764" s="17"/>
      <c r="J764" s="16" t="s">
        <v>51</v>
      </c>
      <c r="K764" s="13"/>
      <c r="L764" s="16" t="s">
        <v>54</v>
      </c>
      <c r="M764" s="16" t="s">
        <v>2350</v>
      </c>
      <c r="N764" s="16" t="s">
        <v>1519</v>
      </c>
      <c r="O764" s="16" t="s">
        <v>2857</v>
      </c>
      <c r="P764" s="18"/>
      <c r="Q764" s="16" t="s">
        <v>52</v>
      </c>
      <c r="R764" s="16" t="s">
        <v>123</v>
      </c>
      <c r="S764" s="16" t="s">
        <v>1493</v>
      </c>
      <c r="T764" s="16"/>
    </row>
    <row r="765">
      <c r="A765" s="54">
        <v>46209.59968295139</v>
      </c>
      <c r="B765" s="16" t="s">
        <v>49</v>
      </c>
      <c r="C765" s="16" t="s">
        <v>1519</v>
      </c>
      <c r="D765" s="16" t="s">
        <v>1061</v>
      </c>
      <c r="E765" s="42" t="s">
        <v>2855</v>
      </c>
      <c r="F765" s="39">
        <v>1.0</v>
      </c>
      <c r="G765" s="16" t="s">
        <v>181</v>
      </c>
      <c r="H765" s="51">
        <v>46209.0</v>
      </c>
      <c r="I765" s="17"/>
      <c r="J765" s="16" t="s">
        <v>51</v>
      </c>
      <c r="K765" s="13"/>
      <c r="L765" s="16" t="s">
        <v>54</v>
      </c>
      <c r="M765" s="16" t="s">
        <v>2350</v>
      </c>
      <c r="N765" s="16" t="s">
        <v>1519</v>
      </c>
      <c r="O765" s="16" t="s">
        <v>2857</v>
      </c>
      <c r="P765" s="18"/>
      <c r="Q765" s="16" t="s">
        <v>52</v>
      </c>
      <c r="R765" s="16" t="s">
        <v>212</v>
      </c>
      <c r="S765" s="16" t="s">
        <v>1493</v>
      </c>
      <c r="T765" s="16"/>
    </row>
    <row r="766">
      <c r="A766" s="54">
        <v>46209.60159089121</v>
      </c>
      <c r="B766" s="16" t="s">
        <v>34</v>
      </c>
      <c r="C766" s="16" t="s">
        <v>1527</v>
      </c>
      <c r="D766" s="16" t="s">
        <v>1061</v>
      </c>
      <c r="E766" s="42" t="s">
        <v>2858</v>
      </c>
      <c r="F766" s="39">
        <v>10.0</v>
      </c>
      <c r="G766" s="16" t="s">
        <v>181</v>
      </c>
      <c r="H766" s="51">
        <v>46209.0</v>
      </c>
      <c r="I766" s="17"/>
      <c r="J766" s="16" t="s">
        <v>51</v>
      </c>
      <c r="K766" s="13"/>
      <c r="L766" s="16" t="s">
        <v>54</v>
      </c>
      <c r="M766" s="16" t="s">
        <v>2350</v>
      </c>
      <c r="N766" s="16" t="s">
        <v>1528</v>
      </c>
      <c r="O766" s="16" t="s">
        <v>2859</v>
      </c>
      <c r="P766" s="18"/>
      <c r="Q766" s="16" t="s">
        <v>52</v>
      </c>
      <c r="R766" s="16" t="s">
        <v>199</v>
      </c>
      <c r="S766" s="16" t="s">
        <v>1493</v>
      </c>
      <c r="T766" s="16"/>
    </row>
    <row r="767">
      <c r="A767" s="54">
        <v>46209.60159089121</v>
      </c>
      <c r="B767" s="16" t="s">
        <v>49</v>
      </c>
      <c r="C767" s="16" t="s">
        <v>1527</v>
      </c>
      <c r="D767" s="16" t="s">
        <v>1061</v>
      </c>
      <c r="E767" s="42" t="s">
        <v>2858</v>
      </c>
      <c r="F767" s="39">
        <v>4.0</v>
      </c>
      <c r="G767" s="16" t="s">
        <v>181</v>
      </c>
      <c r="H767" s="51">
        <v>46209.0</v>
      </c>
      <c r="I767" s="17"/>
      <c r="J767" s="16" t="s">
        <v>51</v>
      </c>
      <c r="K767" s="13"/>
      <c r="L767" s="16" t="s">
        <v>54</v>
      </c>
      <c r="M767" s="16" t="s">
        <v>2350</v>
      </c>
      <c r="N767" s="16" t="s">
        <v>1528</v>
      </c>
      <c r="O767" s="16" t="s">
        <v>2860</v>
      </c>
      <c r="P767" s="18"/>
      <c r="Q767" s="16" t="s">
        <v>52</v>
      </c>
      <c r="R767" s="16" t="s">
        <v>123</v>
      </c>
      <c r="S767" s="16" t="s">
        <v>1493</v>
      </c>
      <c r="T767" s="16"/>
    </row>
    <row r="768">
      <c r="A768" s="54">
        <v>46209.60159089121</v>
      </c>
      <c r="B768" s="16" t="s">
        <v>49</v>
      </c>
      <c r="C768" s="16" t="s">
        <v>1527</v>
      </c>
      <c r="D768" s="16" t="s">
        <v>1061</v>
      </c>
      <c r="E768" s="42" t="s">
        <v>2858</v>
      </c>
      <c r="F768" s="39">
        <v>1.0</v>
      </c>
      <c r="G768" s="16" t="s">
        <v>181</v>
      </c>
      <c r="H768" s="51">
        <v>46209.0</v>
      </c>
      <c r="I768" s="17"/>
      <c r="J768" s="16" t="s">
        <v>51</v>
      </c>
      <c r="K768" s="13"/>
      <c r="L768" s="16" t="s">
        <v>54</v>
      </c>
      <c r="M768" s="16" t="s">
        <v>2350</v>
      </c>
      <c r="N768" s="16" t="s">
        <v>1528</v>
      </c>
      <c r="O768" s="16" t="s">
        <v>2860</v>
      </c>
      <c r="P768" s="18"/>
      <c r="Q768" s="16" t="s">
        <v>52</v>
      </c>
      <c r="R768" s="16" t="s">
        <v>212</v>
      </c>
      <c r="S768" s="16" t="s">
        <v>1493</v>
      </c>
      <c r="T768" s="16"/>
    </row>
    <row r="769">
      <c r="A769" s="54">
        <v>46209.611339780095</v>
      </c>
      <c r="B769" s="16" t="s">
        <v>34</v>
      </c>
      <c r="C769" s="16" t="s">
        <v>275</v>
      </c>
      <c r="D769" s="17"/>
      <c r="E769" s="31"/>
      <c r="F769" s="39">
        <v>39.0</v>
      </c>
      <c r="G769" s="16" t="s">
        <v>181</v>
      </c>
      <c r="H769" s="52">
        <v>46203.0</v>
      </c>
      <c r="I769" s="16" t="s">
        <v>275</v>
      </c>
      <c r="J769" s="17"/>
      <c r="K769" s="13"/>
      <c r="L769" s="16" t="s">
        <v>54</v>
      </c>
      <c r="M769" s="16" t="s">
        <v>2317</v>
      </c>
      <c r="N769" s="16" t="s">
        <v>376</v>
      </c>
      <c r="O769" s="16" t="s">
        <v>271</v>
      </c>
      <c r="P769" s="18"/>
      <c r="Q769" s="16" t="s">
        <v>52</v>
      </c>
      <c r="R769" s="16" t="s">
        <v>93</v>
      </c>
      <c r="S769" s="16" t="s">
        <v>2861</v>
      </c>
      <c r="T769" s="16"/>
    </row>
    <row r="770">
      <c r="A770" s="54">
        <v>46210.38851586806</v>
      </c>
      <c r="B770" s="16" t="s">
        <v>104</v>
      </c>
      <c r="C770" s="16" t="s">
        <v>1539</v>
      </c>
      <c r="D770" s="17"/>
      <c r="E770" s="31"/>
      <c r="F770" s="39">
        <v>12.0</v>
      </c>
      <c r="G770" s="16" t="s">
        <v>181</v>
      </c>
      <c r="H770" s="51">
        <v>46209.0</v>
      </c>
      <c r="I770" s="17"/>
      <c r="J770" s="16" t="s">
        <v>92</v>
      </c>
      <c r="K770" s="12" t="s">
        <v>2862</v>
      </c>
      <c r="L770" s="16" t="s">
        <v>54</v>
      </c>
      <c r="M770" s="16" t="s">
        <v>2350</v>
      </c>
      <c r="N770" s="16" t="s">
        <v>1539</v>
      </c>
      <c r="O770" s="16" t="s">
        <v>2863</v>
      </c>
      <c r="P770" s="18"/>
      <c r="Q770" s="16" t="s">
        <v>52</v>
      </c>
      <c r="R770" s="16" t="s">
        <v>17</v>
      </c>
      <c r="S770" s="16" t="s">
        <v>1493</v>
      </c>
      <c r="T770" s="16"/>
    </row>
    <row r="771">
      <c r="A771" s="54">
        <v>46210.39164188657</v>
      </c>
      <c r="B771" s="16" t="s">
        <v>68</v>
      </c>
      <c r="C771" s="16" t="s">
        <v>1542</v>
      </c>
      <c r="D771" s="17"/>
      <c r="E771" s="31"/>
      <c r="F771" s="39">
        <v>13.0</v>
      </c>
      <c r="G771" s="16" t="s">
        <v>181</v>
      </c>
      <c r="H771" s="51">
        <v>46210.0</v>
      </c>
      <c r="I771" s="17"/>
      <c r="J771" s="16" t="s">
        <v>92</v>
      </c>
      <c r="K771" s="12" t="s">
        <v>2864</v>
      </c>
      <c r="L771" s="16" t="s">
        <v>54</v>
      </c>
      <c r="M771" s="16" t="s">
        <v>2350</v>
      </c>
      <c r="N771" s="16" t="s">
        <v>1358</v>
      </c>
      <c r="O771" s="16" t="s">
        <v>2865</v>
      </c>
      <c r="P771" s="18"/>
      <c r="Q771" s="16" t="s">
        <v>52</v>
      </c>
      <c r="R771" s="16" t="s">
        <v>17</v>
      </c>
      <c r="S771" s="16" t="s">
        <v>1493</v>
      </c>
      <c r="T771" s="16" t="s">
        <v>2866</v>
      </c>
    </row>
    <row r="772">
      <c r="A772" s="54">
        <v>46210.39164188657</v>
      </c>
      <c r="B772" s="16" t="s">
        <v>104</v>
      </c>
      <c r="C772" s="16" t="s">
        <v>1358</v>
      </c>
      <c r="D772" s="17"/>
      <c r="E772" s="31"/>
      <c r="F772" s="39">
        <v>1.0</v>
      </c>
      <c r="G772" s="16" t="s">
        <v>181</v>
      </c>
      <c r="H772" s="51">
        <v>46210.0</v>
      </c>
      <c r="I772" s="17"/>
      <c r="J772" s="16" t="s">
        <v>92</v>
      </c>
      <c r="K772" s="12" t="s">
        <v>2864</v>
      </c>
      <c r="L772" s="16" t="s">
        <v>54</v>
      </c>
      <c r="M772" s="16" t="s">
        <v>2350</v>
      </c>
      <c r="N772" s="16" t="s">
        <v>1358</v>
      </c>
      <c r="O772" s="16" t="s">
        <v>2742</v>
      </c>
      <c r="P772" s="18"/>
      <c r="Q772" s="16" t="s">
        <v>52</v>
      </c>
      <c r="R772" s="16" t="s">
        <v>17</v>
      </c>
      <c r="S772" s="16" t="s">
        <v>1493</v>
      </c>
      <c r="T772" s="16" t="s">
        <v>393</v>
      </c>
    </row>
    <row r="773">
      <c r="A773" s="54">
        <v>46210.553794363426</v>
      </c>
      <c r="B773" s="16" t="s">
        <v>34</v>
      </c>
      <c r="C773" s="16" t="s">
        <v>1426</v>
      </c>
      <c r="D773" s="16" t="s">
        <v>1061</v>
      </c>
      <c r="E773" s="31"/>
      <c r="F773" s="39">
        <v>6.0</v>
      </c>
      <c r="G773" s="16" t="s">
        <v>181</v>
      </c>
      <c r="H773" s="51">
        <v>46210.0</v>
      </c>
      <c r="I773" s="16" t="s">
        <v>128</v>
      </c>
      <c r="J773" s="16" t="s">
        <v>51</v>
      </c>
      <c r="K773" s="13"/>
      <c r="L773" s="16" t="s">
        <v>54</v>
      </c>
      <c r="M773" s="16" t="s">
        <v>2350</v>
      </c>
      <c r="N773" s="16" t="s">
        <v>1427</v>
      </c>
      <c r="O773" s="16" t="s">
        <v>2811</v>
      </c>
      <c r="P773" s="18"/>
      <c r="Q773" s="16" t="s">
        <v>52</v>
      </c>
      <c r="R773" s="16" t="s">
        <v>206</v>
      </c>
      <c r="S773" s="16" t="s">
        <v>1895</v>
      </c>
      <c r="T773" s="16"/>
    </row>
    <row r="774">
      <c r="A774" s="54">
        <v>46210.596966956015</v>
      </c>
      <c r="B774" s="16" t="s">
        <v>34</v>
      </c>
      <c r="C774" s="16" t="s">
        <v>821</v>
      </c>
      <c r="D774" s="17"/>
      <c r="E774" s="31"/>
      <c r="F774" s="39">
        <v>1.0</v>
      </c>
      <c r="G774" s="16" t="s">
        <v>181</v>
      </c>
      <c r="H774" s="51">
        <v>46210.0</v>
      </c>
      <c r="I774" s="16" t="s">
        <v>120</v>
      </c>
      <c r="J774" s="17"/>
      <c r="K774" s="12" t="s">
        <v>2867</v>
      </c>
      <c r="L774" s="16" t="s">
        <v>54</v>
      </c>
      <c r="M774" s="16" t="s">
        <v>2350</v>
      </c>
      <c r="N774" s="16" t="s">
        <v>376</v>
      </c>
      <c r="O774" s="16" t="s">
        <v>2765</v>
      </c>
      <c r="P774" s="18"/>
      <c r="Q774" s="16" t="s">
        <v>52</v>
      </c>
      <c r="R774" s="16" t="s">
        <v>206</v>
      </c>
      <c r="S774" s="16" t="s">
        <v>1895</v>
      </c>
      <c r="T774" s="16"/>
    </row>
    <row r="775">
      <c r="A775" s="54">
        <v>46210.65318770833</v>
      </c>
      <c r="B775" s="16" t="s">
        <v>34</v>
      </c>
      <c r="C775" s="16" t="s">
        <v>826</v>
      </c>
      <c r="D775" s="17"/>
      <c r="E775" s="31"/>
      <c r="F775" s="39">
        <v>31.0</v>
      </c>
      <c r="G775" s="16" t="s">
        <v>181</v>
      </c>
      <c r="H775" s="51">
        <v>46210.0</v>
      </c>
      <c r="I775" s="16" t="s">
        <v>106</v>
      </c>
      <c r="J775" s="17"/>
      <c r="K775" s="13"/>
      <c r="L775" s="16" t="s">
        <v>54</v>
      </c>
      <c r="M775" s="16" t="s">
        <v>2350</v>
      </c>
      <c r="N775" s="16" t="s">
        <v>1405</v>
      </c>
      <c r="O775" s="16" t="s">
        <v>2791</v>
      </c>
      <c r="P775" s="18"/>
      <c r="Q775" s="16" t="s">
        <v>52</v>
      </c>
      <c r="R775" s="16" t="s">
        <v>191</v>
      </c>
      <c r="S775" s="16" t="s">
        <v>1895</v>
      </c>
      <c r="T775" s="16"/>
    </row>
    <row r="776">
      <c r="A776" s="54">
        <v>46210.653816273145</v>
      </c>
      <c r="B776" s="16" t="s">
        <v>34</v>
      </c>
      <c r="C776" s="16" t="s">
        <v>1457</v>
      </c>
      <c r="D776" s="17"/>
      <c r="E776" s="31"/>
      <c r="F776" s="39">
        <v>15.0</v>
      </c>
      <c r="G776" s="16" t="s">
        <v>181</v>
      </c>
      <c r="H776" s="51">
        <v>46210.0</v>
      </c>
      <c r="I776" s="16" t="s">
        <v>158</v>
      </c>
      <c r="J776" s="17"/>
      <c r="K776" s="13"/>
      <c r="L776" s="16" t="s">
        <v>54</v>
      </c>
      <c r="M776" s="16" t="s">
        <v>2350</v>
      </c>
      <c r="N776" s="16" t="s">
        <v>376</v>
      </c>
      <c r="O776" s="16" t="s">
        <v>2833</v>
      </c>
      <c r="P776" s="18"/>
      <c r="Q776" s="16" t="s">
        <v>52</v>
      </c>
      <c r="R776" s="16" t="s">
        <v>187</v>
      </c>
      <c r="S776" s="16" t="s">
        <v>1895</v>
      </c>
      <c r="T776" s="16"/>
    </row>
    <row r="777">
      <c r="A777" s="54">
        <v>46211.34517457176</v>
      </c>
      <c r="B777" s="16" t="s">
        <v>49</v>
      </c>
      <c r="C777" s="16" t="s">
        <v>127</v>
      </c>
      <c r="D777" s="17"/>
      <c r="E777" s="31"/>
      <c r="F777" s="39">
        <v>12.0</v>
      </c>
      <c r="G777" s="16" t="s">
        <v>181</v>
      </c>
      <c r="H777" s="51">
        <v>46211.0</v>
      </c>
      <c r="I777" s="16" t="s">
        <v>161</v>
      </c>
      <c r="J777" s="17"/>
      <c r="K777" s="12" t="s">
        <v>2868</v>
      </c>
      <c r="L777" s="16" t="s">
        <v>2507</v>
      </c>
      <c r="M777" s="16" t="s">
        <v>625</v>
      </c>
      <c r="N777" s="17"/>
      <c r="O777" s="16" t="s">
        <v>2090</v>
      </c>
      <c r="P777" s="18"/>
      <c r="Q777" s="16" t="s">
        <v>52</v>
      </c>
      <c r="R777" s="16" t="s">
        <v>2182</v>
      </c>
      <c r="S777" s="16" t="s">
        <v>1607</v>
      </c>
      <c r="T777" s="16"/>
    </row>
    <row r="778">
      <c r="A778" s="54">
        <v>46211.34517457176</v>
      </c>
      <c r="B778" s="16" t="s">
        <v>49</v>
      </c>
      <c r="C778" s="16" t="s">
        <v>127</v>
      </c>
      <c r="D778" s="17"/>
      <c r="E778" s="31"/>
      <c r="F778" s="39">
        <v>1.0</v>
      </c>
      <c r="G778" s="16" t="s">
        <v>181</v>
      </c>
      <c r="H778" s="51">
        <v>46211.0</v>
      </c>
      <c r="I778" s="16" t="s">
        <v>212</v>
      </c>
      <c r="J778" s="17"/>
      <c r="K778" s="12" t="s">
        <v>2868</v>
      </c>
      <c r="L778" s="16" t="s">
        <v>2507</v>
      </c>
      <c r="M778" s="16" t="s">
        <v>625</v>
      </c>
      <c r="N778" s="17"/>
      <c r="O778" s="16" t="s">
        <v>2090</v>
      </c>
      <c r="P778" s="18"/>
      <c r="Q778" s="16" t="s">
        <v>52</v>
      </c>
      <c r="R778" s="16" t="s">
        <v>2182</v>
      </c>
      <c r="S778" s="16" t="s">
        <v>1607</v>
      </c>
      <c r="T778" s="16"/>
    </row>
    <row r="779">
      <c r="A779" s="54">
        <v>46211.34517457176</v>
      </c>
      <c r="B779" s="16" t="s">
        <v>49</v>
      </c>
      <c r="C779" s="16" t="s">
        <v>523</v>
      </c>
      <c r="D779" s="17"/>
      <c r="E779" s="31"/>
      <c r="F779" s="39">
        <v>11.0</v>
      </c>
      <c r="G779" s="16" t="s">
        <v>181</v>
      </c>
      <c r="H779" s="51">
        <v>46211.0</v>
      </c>
      <c r="I779" s="16" t="s">
        <v>165</v>
      </c>
      <c r="J779" s="17"/>
      <c r="K779" s="12" t="s">
        <v>2868</v>
      </c>
      <c r="L779" s="16" t="s">
        <v>2507</v>
      </c>
      <c r="M779" s="16" t="s">
        <v>625</v>
      </c>
      <c r="N779" s="17"/>
      <c r="O779" s="16" t="s">
        <v>2443</v>
      </c>
      <c r="P779" s="18"/>
      <c r="Q779" s="16" t="s">
        <v>52</v>
      </c>
      <c r="R779" s="16" t="s">
        <v>2182</v>
      </c>
      <c r="S779" s="16" t="s">
        <v>1607</v>
      </c>
      <c r="T779" s="16"/>
    </row>
    <row r="780">
      <c r="A780" s="54">
        <v>46211.34517457176</v>
      </c>
      <c r="B780" s="16" t="s">
        <v>49</v>
      </c>
      <c r="C780" s="16" t="s">
        <v>523</v>
      </c>
      <c r="D780" s="17"/>
      <c r="E780" s="31"/>
      <c r="F780" s="39">
        <v>1.0</v>
      </c>
      <c r="G780" s="16" t="s">
        <v>181</v>
      </c>
      <c r="H780" s="51">
        <v>46211.0</v>
      </c>
      <c r="I780" s="16" t="s">
        <v>212</v>
      </c>
      <c r="J780" s="17"/>
      <c r="K780" s="12" t="s">
        <v>2868</v>
      </c>
      <c r="L780" s="16" t="s">
        <v>2507</v>
      </c>
      <c r="M780" s="16" t="s">
        <v>625</v>
      </c>
      <c r="N780" s="17"/>
      <c r="O780" s="16" t="s">
        <v>2443</v>
      </c>
      <c r="P780" s="18"/>
      <c r="Q780" s="16" t="s">
        <v>52</v>
      </c>
      <c r="R780" s="16" t="s">
        <v>2182</v>
      </c>
      <c r="S780" s="16" t="s">
        <v>1607</v>
      </c>
      <c r="T780" s="16"/>
    </row>
    <row r="781">
      <c r="A781" s="54">
        <v>46211.34517457176</v>
      </c>
      <c r="B781" s="16" t="s">
        <v>49</v>
      </c>
      <c r="C781" s="16" t="s">
        <v>619</v>
      </c>
      <c r="D781" s="17"/>
      <c r="E781" s="31"/>
      <c r="F781" s="39">
        <v>12.0</v>
      </c>
      <c r="G781" s="16" t="s">
        <v>181</v>
      </c>
      <c r="H781" s="51">
        <v>46211.0</v>
      </c>
      <c r="I781" s="16" t="s">
        <v>165</v>
      </c>
      <c r="J781" s="17"/>
      <c r="K781" s="12" t="s">
        <v>2868</v>
      </c>
      <c r="L781" s="16" t="s">
        <v>2507</v>
      </c>
      <c r="M781" s="16" t="s">
        <v>625</v>
      </c>
      <c r="N781" s="17"/>
      <c r="O781" s="16" t="s">
        <v>2440</v>
      </c>
      <c r="P781" s="18"/>
      <c r="Q781" s="16" t="s">
        <v>52</v>
      </c>
      <c r="R781" s="16" t="s">
        <v>2182</v>
      </c>
      <c r="S781" s="16" t="s">
        <v>1607</v>
      </c>
      <c r="T781" s="16"/>
    </row>
    <row r="782">
      <c r="A782" s="54">
        <v>46211.34517457176</v>
      </c>
      <c r="B782" s="16" t="s">
        <v>49</v>
      </c>
      <c r="C782" s="16" t="s">
        <v>131</v>
      </c>
      <c r="D782" s="17"/>
      <c r="E782" s="31"/>
      <c r="F782" s="39">
        <v>12.0</v>
      </c>
      <c r="G782" s="16" t="s">
        <v>181</v>
      </c>
      <c r="H782" s="51">
        <v>46211.0</v>
      </c>
      <c r="I782" s="16" t="s">
        <v>161</v>
      </c>
      <c r="J782" s="17"/>
      <c r="K782" s="12" t="s">
        <v>2868</v>
      </c>
      <c r="L782" s="16" t="s">
        <v>2507</v>
      </c>
      <c r="M782" s="16" t="s">
        <v>625</v>
      </c>
      <c r="N782" s="17"/>
      <c r="O782" s="16" t="s">
        <v>2089</v>
      </c>
      <c r="P782" s="18"/>
      <c r="Q782" s="16" t="s">
        <v>52</v>
      </c>
      <c r="R782" s="16" t="s">
        <v>2182</v>
      </c>
      <c r="S782" s="16" t="s">
        <v>1607</v>
      </c>
      <c r="T782" s="16"/>
    </row>
    <row r="783">
      <c r="A783" s="54">
        <v>46211.34517457176</v>
      </c>
      <c r="B783" s="16" t="s">
        <v>49</v>
      </c>
      <c r="C783" s="16" t="s">
        <v>131</v>
      </c>
      <c r="D783" s="17"/>
      <c r="E783" s="31"/>
      <c r="F783" s="39">
        <v>1.0</v>
      </c>
      <c r="G783" s="16" t="s">
        <v>181</v>
      </c>
      <c r="H783" s="51">
        <v>46211.0</v>
      </c>
      <c r="I783" s="16" t="s">
        <v>212</v>
      </c>
      <c r="J783" s="17"/>
      <c r="K783" s="12" t="s">
        <v>2868</v>
      </c>
      <c r="L783" s="16" t="s">
        <v>2507</v>
      </c>
      <c r="M783" s="16" t="s">
        <v>625</v>
      </c>
      <c r="N783" s="17"/>
      <c r="O783" s="16" t="s">
        <v>2089</v>
      </c>
      <c r="P783" s="18"/>
      <c r="Q783" s="16" t="s">
        <v>52</v>
      </c>
      <c r="R783" s="16" t="s">
        <v>2182</v>
      </c>
      <c r="S783" s="16" t="s">
        <v>1607</v>
      </c>
      <c r="T783" s="16"/>
    </row>
    <row r="784">
      <c r="A784" s="54">
        <v>46211.34630038195</v>
      </c>
      <c r="B784" s="16" t="s">
        <v>49</v>
      </c>
      <c r="C784" s="16" t="s">
        <v>619</v>
      </c>
      <c r="D784" s="17"/>
      <c r="E784" s="42" t="s">
        <v>2439</v>
      </c>
      <c r="F784" s="39">
        <v>1.0</v>
      </c>
      <c r="G784" s="16" t="s">
        <v>181</v>
      </c>
      <c r="H784" s="51">
        <v>46157.0</v>
      </c>
      <c r="I784" s="17"/>
      <c r="J784" s="16" t="s">
        <v>35</v>
      </c>
      <c r="K784" s="13"/>
      <c r="L784" s="16" t="s">
        <v>54</v>
      </c>
      <c r="M784" s="16" t="s">
        <v>2350</v>
      </c>
      <c r="N784" s="16" t="s">
        <v>619</v>
      </c>
      <c r="O784" s="16" t="s">
        <v>2440</v>
      </c>
      <c r="P784" s="18"/>
      <c r="Q784" s="16" t="s">
        <v>52</v>
      </c>
      <c r="R784" s="16" t="s">
        <v>212</v>
      </c>
      <c r="S784" s="16" t="s">
        <v>1493</v>
      </c>
      <c r="T784" s="16" t="s">
        <v>625</v>
      </c>
    </row>
    <row r="785">
      <c r="A785" s="54">
        <v>46211.348507546296</v>
      </c>
      <c r="B785" s="16" t="s">
        <v>49</v>
      </c>
      <c r="C785" s="16" t="s">
        <v>619</v>
      </c>
      <c r="D785" s="17"/>
      <c r="E785" s="31"/>
      <c r="F785" s="39">
        <v>1.0</v>
      </c>
      <c r="G785" s="16" t="s">
        <v>181</v>
      </c>
      <c r="H785" s="51">
        <v>46211.0</v>
      </c>
      <c r="I785" s="16" t="s">
        <v>212</v>
      </c>
      <c r="J785" s="17"/>
      <c r="K785" s="13"/>
      <c r="L785" s="16" t="s">
        <v>2507</v>
      </c>
      <c r="M785" s="16" t="s">
        <v>625</v>
      </c>
      <c r="N785" s="17"/>
      <c r="O785" s="16" t="s">
        <v>2440</v>
      </c>
      <c r="P785" s="18"/>
      <c r="Q785" s="16" t="s">
        <v>52</v>
      </c>
      <c r="R785" s="16" t="s">
        <v>619</v>
      </c>
      <c r="S785" s="16" t="s">
        <v>1607</v>
      </c>
      <c r="T785" s="16"/>
    </row>
    <row r="786">
      <c r="A786" s="54">
        <v>46211.36058078703</v>
      </c>
      <c r="B786" s="16" t="s">
        <v>96</v>
      </c>
      <c r="C786" s="16" t="s">
        <v>337</v>
      </c>
      <c r="D786" s="17"/>
      <c r="E786" s="31"/>
      <c r="F786" s="39">
        <v>216.0</v>
      </c>
      <c r="G786" s="16" t="s">
        <v>181</v>
      </c>
      <c r="H786" s="51">
        <v>46210.0</v>
      </c>
      <c r="I786" s="17"/>
      <c r="J786" s="16" t="s">
        <v>69</v>
      </c>
      <c r="K786" s="12" t="s">
        <v>2869</v>
      </c>
      <c r="L786" s="16" t="s">
        <v>54</v>
      </c>
      <c r="M786" s="16" t="s">
        <v>2350</v>
      </c>
      <c r="N786" s="16" t="s">
        <v>376</v>
      </c>
      <c r="O786" s="16" t="s">
        <v>2870</v>
      </c>
      <c r="P786" s="34" t="s">
        <v>2871</v>
      </c>
      <c r="Q786" s="16" t="s">
        <v>52</v>
      </c>
      <c r="R786" s="16" t="s">
        <v>240</v>
      </c>
      <c r="S786" s="16" t="s">
        <v>1493</v>
      </c>
      <c r="T786" s="16"/>
    </row>
    <row r="787">
      <c r="A787" s="54">
        <v>46211.44931913195</v>
      </c>
      <c r="B787" s="16" t="s">
        <v>68</v>
      </c>
      <c r="C787" s="16" t="s">
        <v>1542</v>
      </c>
      <c r="D787" s="17"/>
      <c r="E787" s="31"/>
      <c r="F787" s="39">
        <v>3.0</v>
      </c>
      <c r="G787" s="16" t="s">
        <v>181</v>
      </c>
      <c r="H787" s="51">
        <v>46211.0</v>
      </c>
      <c r="I787" s="17"/>
      <c r="J787" s="16" t="s">
        <v>92</v>
      </c>
      <c r="K787" s="13"/>
      <c r="L787" s="16" t="s">
        <v>54</v>
      </c>
      <c r="M787" s="16" t="s">
        <v>2350</v>
      </c>
      <c r="N787" s="16" t="s">
        <v>1542</v>
      </c>
      <c r="O787" s="16" t="s">
        <v>2865</v>
      </c>
      <c r="P787" s="18"/>
      <c r="Q787" s="16" t="s">
        <v>52</v>
      </c>
      <c r="R787" s="16" t="s">
        <v>17</v>
      </c>
      <c r="S787" s="16" t="s">
        <v>1493</v>
      </c>
      <c r="T787" s="16" t="s">
        <v>2866</v>
      </c>
    </row>
    <row r="788">
      <c r="A788" s="54">
        <v>46212.42870311343</v>
      </c>
      <c r="B788" s="16" t="s">
        <v>34</v>
      </c>
      <c r="C788" s="16" t="s">
        <v>839</v>
      </c>
      <c r="D788" s="16" t="s">
        <v>1485</v>
      </c>
      <c r="E788" s="31"/>
      <c r="F788" s="39">
        <v>26.0</v>
      </c>
      <c r="G788" s="16" t="s">
        <v>181</v>
      </c>
      <c r="H788" s="51">
        <v>46212.0</v>
      </c>
      <c r="I788" s="17"/>
      <c r="J788" s="16" t="s">
        <v>82</v>
      </c>
      <c r="K788" s="13"/>
      <c r="L788" s="16" t="s">
        <v>54</v>
      </c>
      <c r="M788" s="16" t="s">
        <v>2350</v>
      </c>
      <c r="N788" s="16" t="s">
        <v>1551</v>
      </c>
      <c r="O788" s="16" t="s">
        <v>2872</v>
      </c>
      <c r="P788" s="34" t="s">
        <v>2873</v>
      </c>
      <c r="Q788" s="16" t="s">
        <v>52</v>
      </c>
      <c r="R788" s="16" t="s">
        <v>174</v>
      </c>
      <c r="S788" s="16" t="s">
        <v>1493</v>
      </c>
      <c r="T788" s="16" t="s">
        <v>398</v>
      </c>
    </row>
    <row r="789">
      <c r="A789" s="54">
        <v>46212.42870311343</v>
      </c>
      <c r="B789" s="16" t="s">
        <v>49</v>
      </c>
      <c r="C789" s="16" t="s">
        <v>839</v>
      </c>
      <c r="D789" s="16" t="s">
        <v>1485</v>
      </c>
      <c r="E789" s="31"/>
      <c r="F789" s="39">
        <v>24.0</v>
      </c>
      <c r="G789" s="16" t="s">
        <v>181</v>
      </c>
      <c r="H789" s="51">
        <v>46212.0</v>
      </c>
      <c r="I789" s="17"/>
      <c r="J789" s="16" t="s">
        <v>82</v>
      </c>
      <c r="K789" s="13"/>
      <c r="L789" s="16" t="s">
        <v>54</v>
      </c>
      <c r="M789" s="16" t="s">
        <v>2350</v>
      </c>
      <c r="N789" s="16" t="s">
        <v>1551</v>
      </c>
      <c r="O789" s="16" t="s">
        <v>2874</v>
      </c>
      <c r="P789" s="18"/>
      <c r="Q789" s="16" t="s">
        <v>52</v>
      </c>
      <c r="R789" s="16" t="s">
        <v>189</v>
      </c>
      <c r="S789" s="16" t="s">
        <v>1493</v>
      </c>
      <c r="T789" s="16" t="s">
        <v>398</v>
      </c>
    </row>
    <row r="790">
      <c r="A790" s="54">
        <v>46212.4543365625</v>
      </c>
      <c r="B790" s="16" t="s">
        <v>49</v>
      </c>
      <c r="C790" s="16" t="s">
        <v>1553</v>
      </c>
      <c r="D790" s="17"/>
      <c r="E790" s="42" t="s">
        <v>2875</v>
      </c>
      <c r="F790" s="39">
        <v>2.0</v>
      </c>
      <c r="G790" s="16" t="s">
        <v>181</v>
      </c>
      <c r="H790" s="51">
        <v>46212.0</v>
      </c>
      <c r="I790" s="17"/>
      <c r="J790" s="16" t="s">
        <v>51</v>
      </c>
      <c r="K790" s="13"/>
      <c r="L790" s="16" t="s">
        <v>54</v>
      </c>
      <c r="M790" s="16" t="s">
        <v>2350</v>
      </c>
      <c r="N790" s="16" t="s">
        <v>1553</v>
      </c>
      <c r="O790" s="16" t="s">
        <v>2876</v>
      </c>
      <c r="P790" s="18"/>
      <c r="Q790" s="16" t="s">
        <v>52</v>
      </c>
      <c r="R790" s="16" t="s">
        <v>192</v>
      </c>
      <c r="S790" s="16" t="s">
        <v>1493</v>
      </c>
      <c r="T790" s="16"/>
    </row>
    <row r="791">
      <c r="A791" s="54">
        <v>46212.4569696875</v>
      </c>
      <c r="B791" s="16" t="s">
        <v>104</v>
      </c>
      <c r="C791" s="16" t="s">
        <v>1558</v>
      </c>
      <c r="D791" s="17"/>
      <c r="E791" s="42" t="s">
        <v>2877</v>
      </c>
      <c r="F791" s="39">
        <v>1.0</v>
      </c>
      <c r="G791" s="16" t="s">
        <v>181</v>
      </c>
      <c r="H791" s="51">
        <v>46212.0</v>
      </c>
      <c r="I791" s="17"/>
      <c r="J791" s="16" t="s">
        <v>51</v>
      </c>
      <c r="K791" s="13"/>
      <c r="L791" s="16" t="s">
        <v>54</v>
      </c>
      <c r="M791" s="16" t="s">
        <v>2350</v>
      </c>
      <c r="N791" s="16" t="s">
        <v>1558</v>
      </c>
      <c r="O791" s="16" t="s">
        <v>2878</v>
      </c>
      <c r="P791" s="34" t="s">
        <v>2879</v>
      </c>
      <c r="Q791" s="16" t="s">
        <v>52</v>
      </c>
      <c r="R791" s="16" t="s">
        <v>267</v>
      </c>
      <c r="S791" s="16" t="s">
        <v>1493</v>
      </c>
      <c r="T791" s="16"/>
    </row>
    <row r="792">
      <c r="A792" s="54">
        <v>46212.458445509255</v>
      </c>
      <c r="B792" s="16" t="s">
        <v>49</v>
      </c>
      <c r="C792" s="16" t="s">
        <v>1561</v>
      </c>
      <c r="D792" s="17"/>
      <c r="E792" s="42" t="s">
        <v>2880</v>
      </c>
      <c r="F792" s="39">
        <v>7.0</v>
      </c>
      <c r="G792" s="16" t="s">
        <v>181</v>
      </c>
      <c r="H792" s="51">
        <v>46212.0</v>
      </c>
      <c r="I792" s="17"/>
      <c r="J792" s="16" t="s">
        <v>51</v>
      </c>
      <c r="K792" s="13"/>
      <c r="L792" s="16" t="s">
        <v>54</v>
      </c>
      <c r="M792" s="16" t="s">
        <v>2350</v>
      </c>
      <c r="N792" s="16" t="s">
        <v>1561</v>
      </c>
      <c r="O792" s="16" t="s">
        <v>2881</v>
      </c>
      <c r="P792" s="34" t="s">
        <v>2882</v>
      </c>
      <c r="Q792" s="16" t="s">
        <v>52</v>
      </c>
      <c r="R792" s="16" t="s">
        <v>133</v>
      </c>
      <c r="S792" s="16" t="s">
        <v>1493</v>
      </c>
      <c r="T792" s="16"/>
    </row>
    <row r="793">
      <c r="A793" s="54">
        <v>46212.46783851852</v>
      </c>
      <c r="B793" s="16" t="s">
        <v>75</v>
      </c>
      <c r="C793" s="16" t="s">
        <v>1565</v>
      </c>
      <c r="D793" s="17"/>
      <c r="E793" s="31"/>
      <c r="F793" s="39">
        <v>9.0</v>
      </c>
      <c r="G793" s="16" t="s">
        <v>181</v>
      </c>
      <c r="H793" s="51">
        <v>46212.0</v>
      </c>
      <c r="I793" s="17"/>
      <c r="J793" s="16" t="s">
        <v>92</v>
      </c>
      <c r="K793" s="12" t="s">
        <v>2883</v>
      </c>
      <c r="L793" s="16" t="s">
        <v>54</v>
      </c>
      <c r="M793" s="16" t="s">
        <v>2350</v>
      </c>
      <c r="N793" s="16" t="s">
        <v>1565</v>
      </c>
      <c r="O793" s="16" t="s">
        <v>2884</v>
      </c>
      <c r="P793" s="34" t="s">
        <v>2885</v>
      </c>
      <c r="Q793" s="16" t="s">
        <v>52</v>
      </c>
      <c r="R793" s="16" t="s">
        <v>17</v>
      </c>
      <c r="S793" s="16" t="s">
        <v>1493</v>
      </c>
      <c r="T793" s="16"/>
    </row>
    <row r="794">
      <c r="A794" s="54">
        <v>46213.43398263889</v>
      </c>
      <c r="B794" s="16" t="s">
        <v>34</v>
      </c>
      <c r="C794" s="16" t="s">
        <v>841</v>
      </c>
      <c r="D794" s="17"/>
      <c r="E794" s="42" t="s">
        <v>2886</v>
      </c>
      <c r="F794" s="39">
        <v>40.0</v>
      </c>
      <c r="G794" s="16" t="s">
        <v>181</v>
      </c>
      <c r="H794" s="51">
        <v>46213.0</v>
      </c>
      <c r="I794" s="17"/>
      <c r="J794" s="16" t="s">
        <v>35</v>
      </c>
      <c r="K794" s="13"/>
      <c r="L794" s="16" t="s">
        <v>54</v>
      </c>
      <c r="M794" s="16" t="s">
        <v>2350</v>
      </c>
      <c r="N794" s="16" t="s">
        <v>1569</v>
      </c>
      <c r="O794" s="16" t="s">
        <v>2887</v>
      </c>
      <c r="P794" s="18"/>
      <c r="Q794" s="16" t="s">
        <v>52</v>
      </c>
      <c r="R794" s="16" t="s">
        <v>120</v>
      </c>
      <c r="S794" s="16" t="s">
        <v>1493</v>
      </c>
      <c r="T794" s="16"/>
    </row>
    <row r="795">
      <c r="A795" s="54">
        <v>46213.43398263889</v>
      </c>
      <c r="B795" s="16" t="s">
        <v>49</v>
      </c>
      <c r="C795" s="16" t="s">
        <v>841</v>
      </c>
      <c r="D795" s="17"/>
      <c r="E795" s="42" t="s">
        <v>2886</v>
      </c>
      <c r="F795" s="39">
        <v>29.0</v>
      </c>
      <c r="G795" s="16" t="s">
        <v>181</v>
      </c>
      <c r="H795" s="51">
        <v>46213.0</v>
      </c>
      <c r="I795" s="17"/>
      <c r="J795" s="16" t="s">
        <v>35</v>
      </c>
      <c r="K795" s="13"/>
      <c r="L795" s="16" t="s">
        <v>54</v>
      </c>
      <c r="M795" s="16" t="s">
        <v>2350</v>
      </c>
      <c r="N795" s="16" t="s">
        <v>1569</v>
      </c>
      <c r="O795" s="16" t="s">
        <v>2888</v>
      </c>
      <c r="P795" s="18"/>
      <c r="Q795" s="16" t="s">
        <v>52</v>
      </c>
      <c r="R795" s="16" t="s">
        <v>123</v>
      </c>
      <c r="S795" s="16" t="s">
        <v>1493</v>
      </c>
      <c r="T795" s="16"/>
    </row>
    <row r="796">
      <c r="A796" s="54">
        <v>46213.43398263889</v>
      </c>
      <c r="B796" s="16" t="s">
        <v>49</v>
      </c>
      <c r="C796" s="16" t="s">
        <v>841</v>
      </c>
      <c r="D796" s="17"/>
      <c r="E796" s="42" t="s">
        <v>2886</v>
      </c>
      <c r="F796" s="39">
        <v>1.0</v>
      </c>
      <c r="G796" s="16" t="s">
        <v>181</v>
      </c>
      <c r="H796" s="51">
        <v>46213.0</v>
      </c>
      <c r="I796" s="17"/>
      <c r="J796" s="16" t="s">
        <v>35</v>
      </c>
      <c r="K796" s="13"/>
      <c r="L796" s="16" t="s">
        <v>54</v>
      </c>
      <c r="M796" s="16" t="s">
        <v>2350</v>
      </c>
      <c r="N796" s="16" t="s">
        <v>1569</v>
      </c>
      <c r="O796" s="16" t="s">
        <v>2888</v>
      </c>
      <c r="P796" s="18"/>
      <c r="Q796" s="16" t="s">
        <v>52</v>
      </c>
      <c r="R796" s="16" t="s">
        <v>224</v>
      </c>
      <c r="S796" s="16" t="s">
        <v>1493</v>
      </c>
      <c r="T796" s="16"/>
    </row>
    <row r="797">
      <c r="A797" s="54">
        <v>46213.44005636574</v>
      </c>
      <c r="B797" s="16" t="s">
        <v>34</v>
      </c>
      <c r="C797" s="16" t="s">
        <v>1574</v>
      </c>
      <c r="D797" s="17"/>
      <c r="E797" s="42" t="s">
        <v>2889</v>
      </c>
      <c r="F797" s="39">
        <v>49.0</v>
      </c>
      <c r="G797" s="16" t="s">
        <v>181</v>
      </c>
      <c r="H797" s="51">
        <v>46213.0</v>
      </c>
      <c r="I797" s="17"/>
      <c r="J797" s="16" t="s">
        <v>35</v>
      </c>
      <c r="K797" s="13"/>
      <c r="L797" s="16" t="s">
        <v>54</v>
      </c>
      <c r="M797" s="16" t="s">
        <v>2350</v>
      </c>
      <c r="N797" s="16" t="s">
        <v>1574</v>
      </c>
      <c r="O797" s="16" t="s">
        <v>2890</v>
      </c>
      <c r="P797" s="18"/>
      <c r="Q797" s="16" t="s">
        <v>52</v>
      </c>
      <c r="R797" s="16" t="s">
        <v>170</v>
      </c>
      <c r="S797" s="16" t="s">
        <v>1493</v>
      </c>
      <c r="T797" s="16"/>
    </row>
    <row r="798">
      <c r="A798" s="54">
        <v>46213.44005636574</v>
      </c>
      <c r="B798" s="16" t="s">
        <v>49</v>
      </c>
      <c r="C798" s="16" t="s">
        <v>1574</v>
      </c>
      <c r="D798" s="17"/>
      <c r="E798" s="42" t="s">
        <v>2889</v>
      </c>
      <c r="F798" s="39">
        <v>1.0</v>
      </c>
      <c r="G798" s="16" t="s">
        <v>181</v>
      </c>
      <c r="H798" s="51">
        <v>46213.0</v>
      </c>
      <c r="I798" s="17"/>
      <c r="J798" s="16" t="s">
        <v>35</v>
      </c>
      <c r="K798" s="13"/>
      <c r="L798" s="16" t="s">
        <v>54</v>
      </c>
      <c r="M798" s="16" t="s">
        <v>2350</v>
      </c>
      <c r="N798" s="16" t="s">
        <v>1574</v>
      </c>
      <c r="O798" s="16" t="s">
        <v>2891</v>
      </c>
      <c r="P798" s="18"/>
      <c r="Q798" s="16" t="s">
        <v>52</v>
      </c>
      <c r="R798" s="16" t="s">
        <v>224</v>
      </c>
      <c r="S798" s="16" t="s">
        <v>1493</v>
      </c>
      <c r="T798" s="16"/>
    </row>
    <row r="799">
      <c r="A799" s="54">
        <v>46213.44005636574</v>
      </c>
      <c r="B799" s="16" t="s">
        <v>49</v>
      </c>
      <c r="C799" s="16" t="s">
        <v>1574</v>
      </c>
      <c r="D799" s="17"/>
      <c r="E799" s="42" t="s">
        <v>2889</v>
      </c>
      <c r="F799" s="39">
        <v>29.0</v>
      </c>
      <c r="G799" s="16" t="s">
        <v>181</v>
      </c>
      <c r="H799" s="51">
        <v>46213.0</v>
      </c>
      <c r="I799" s="17"/>
      <c r="J799" s="16" t="s">
        <v>35</v>
      </c>
      <c r="K799" s="13"/>
      <c r="L799" s="16" t="s">
        <v>54</v>
      </c>
      <c r="M799" s="16" t="s">
        <v>2350</v>
      </c>
      <c r="N799" s="16" t="s">
        <v>1574</v>
      </c>
      <c r="O799" s="16" t="s">
        <v>2891</v>
      </c>
      <c r="P799" s="18"/>
      <c r="Q799" s="16" t="s">
        <v>52</v>
      </c>
      <c r="R799" s="16" t="s">
        <v>165</v>
      </c>
      <c r="S799" s="16" t="s">
        <v>1493</v>
      </c>
      <c r="T799" s="16"/>
    </row>
    <row r="800">
      <c r="A800" s="54">
        <v>46213.4828059375</v>
      </c>
      <c r="B800" s="16" t="s">
        <v>34</v>
      </c>
      <c r="C800" s="16" t="s">
        <v>844</v>
      </c>
      <c r="D800" s="17"/>
      <c r="E800" s="42" t="s">
        <v>2892</v>
      </c>
      <c r="F800" s="39">
        <v>46.0</v>
      </c>
      <c r="G800" s="16" t="s">
        <v>181</v>
      </c>
      <c r="H800" s="51">
        <v>46213.0</v>
      </c>
      <c r="I800" s="17"/>
      <c r="J800" s="16" t="s">
        <v>35</v>
      </c>
      <c r="K800" s="13"/>
      <c r="L800" s="16" t="s">
        <v>54</v>
      </c>
      <c r="M800" s="16" t="s">
        <v>2350</v>
      </c>
      <c r="N800" s="16" t="s">
        <v>844</v>
      </c>
      <c r="O800" s="16" t="s">
        <v>2893</v>
      </c>
      <c r="P800" s="18"/>
      <c r="Q800" s="16" t="s">
        <v>52</v>
      </c>
      <c r="R800" s="16" t="s">
        <v>195</v>
      </c>
      <c r="S800" s="16" t="s">
        <v>1493</v>
      </c>
      <c r="T800" s="16"/>
    </row>
    <row r="801">
      <c r="A801" s="54">
        <v>46213.4828059375</v>
      </c>
      <c r="B801" s="16" t="s">
        <v>49</v>
      </c>
      <c r="C801" s="16" t="s">
        <v>844</v>
      </c>
      <c r="D801" s="17"/>
      <c r="E801" s="42" t="s">
        <v>2892</v>
      </c>
      <c r="F801" s="39">
        <v>1.0</v>
      </c>
      <c r="G801" s="16" t="s">
        <v>181</v>
      </c>
      <c r="H801" s="51">
        <v>46213.0</v>
      </c>
      <c r="I801" s="17"/>
      <c r="J801" s="16" t="s">
        <v>35</v>
      </c>
      <c r="K801" s="13"/>
      <c r="L801" s="16" t="s">
        <v>54</v>
      </c>
      <c r="M801" s="16" t="s">
        <v>2350</v>
      </c>
      <c r="N801" s="16" t="s">
        <v>844</v>
      </c>
      <c r="O801" s="16" t="s">
        <v>2894</v>
      </c>
      <c r="P801" s="18"/>
      <c r="Q801" s="16" t="s">
        <v>52</v>
      </c>
      <c r="R801" s="16" t="s">
        <v>224</v>
      </c>
      <c r="S801" s="16" t="s">
        <v>1493</v>
      </c>
      <c r="T801" s="16"/>
    </row>
    <row r="802">
      <c r="A802" s="54">
        <v>46213.4828059375</v>
      </c>
      <c r="B802" s="16" t="s">
        <v>49</v>
      </c>
      <c r="C802" s="16" t="s">
        <v>844</v>
      </c>
      <c r="D802" s="17"/>
      <c r="E802" s="42" t="s">
        <v>2892</v>
      </c>
      <c r="F802" s="39">
        <v>23.0</v>
      </c>
      <c r="G802" s="16" t="s">
        <v>181</v>
      </c>
      <c r="H802" s="51">
        <v>46213.0</v>
      </c>
      <c r="I802" s="17"/>
      <c r="J802" s="16" t="s">
        <v>35</v>
      </c>
      <c r="K802" s="13"/>
      <c r="L802" s="16" t="s">
        <v>54</v>
      </c>
      <c r="M802" s="16" t="s">
        <v>2350</v>
      </c>
      <c r="N802" s="16" t="s">
        <v>844</v>
      </c>
      <c r="O802" s="16" t="s">
        <v>2894</v>
      </c>
      <c r="P802" s="18"/>
      <c r="Q802" s="16" t="s">
        <v>52</v>
      </c>
      <c r="R802" s="16" t="s">
        <v>133</v>
      </c>
      <c r="S802" s="16" t="s">
        <v>1493</v>
      </c>
      <c r="T802" s="16"/>
    </row>
    <row r="803">
      <c r="A803" s="54">
        <v>46213.4828059375</v>
      </c>
      <c r="B803" s="16" t="s">
        <v>34</v>
      </c>
      <c r="C803" s="16" t="s">
        <v>844</v>
      </c>
      <c r="D803" s="17"/>
      <c r="E803" s="42" t="s">
        <v>2892</v>
      </c>
      <c r="F803" s="39">
        <v>1.0</v>
      </c>
      <c r="G803" s="16" t="s">
        <v>181</v>
      </c>
      <c r="H803" s="51">
        <v>46213.0</v>
      </c>
      <c r="I803" s="17"/>
      <c r="J803" s="16" t="s">
        <v>35</v>
      </c>
      <c r="K803" s="13"/>
      <c r="L803" s="16" t="s">
        <v>54</v>
      </c>
      <c r="M803" s="16" t="s">
        <v>2350</v>
      </c>
      <c r="N803" s="16" t="s">
        <v>844</v>
      </c>
      <c r="O803" s="16" t="s">
        <v>2893</v>
      </c>
      <c r="P803" s="34" t="s">
        <v>2895</v>
      </c>
      <c r="Q803" s="16" t="s">
        <v>52</v>
      </c>
      <c r="R803" s="16" t="s">
        <v>106</v>
      </c>
      <c r="S803" s="16" t="s">
        <v>1493</v>
      </c>
      <c r="T803" s="16"/>
    </row>
    <row r="804">
      <c r="A804" s="54">
        <v>46213.48357225694</v>
      </c>
      <c r="B804" s="16" t="s">
        <v>34</v>
      </c>
      <c r="C804" s="16" t="s">
        <v>1574</v>
      </c>
      <c r="D804" s="17"/>
      <c r="E804" s="42" t="s">
        <v>2889</v>
      </c>
      <c r="F804" s="39">
        <v>1.0</v>
      </c>
      <c r="G804" s="16" t="s">
        <v>181</v>
      </c>
      <c r="H804" s="51">
        <v>46213.0</v>
      </c>
      <c r="I804" s="17"/>
      <c r="J804" s="16" t="s">
        <v>35</v>
      </c>
      <c r="K804" s="12" t="s">
        <v>2896</v>
      </c>
      <c r="L804" s="16" t="s">
        <v>54</v>
      </c>
      <c r="M804" s="16" t="s">
        <v>2350</v>
      </c>
      <c r="N804" s="16" t="s">
        <v>1574</v>
      </c>
      <c r="O804" s="16" t="s">
        <v>2890</v>
      </c>
      <c r="P804" s="34" t="s">
        <v>2897</v>
      </c>
      <c r="Q804" s="16" t="s">
        <v>52</v>
      </c>
      <c r="R804" s="16" t="s">
        <v>106</v>
      </c>
      <c r="S804" s="16" t="s">
        <v>1493</v>
      </c>
      <c r="T804" s="16"/>
    </row>
    <row r="805">
      <c r="A805" s="54">
        <v>46213.48421685185</v>
      </c>
      <c r="B805" s="16" t="s">
        <v>34</v>
      </c>
      <c r="C805" s="16" t="s">
        <v>841</v>
      </c>
      <c r="D805" s="17"/>
      <c r="E805" s="42" t="s">
        <v>2886</v>
      </c>
      <c r="F805" s="39">
        <v>1.0</v>
      </c>
      <c r="G805" s="16" t="s">
        <v>181</v>
      </c>
      <c r="H805" s="51">
        <v>46213.0</v>
      </c>
      <c r="I805" s="17"/>
      <c r="J805" s="16" t="s">
        <v>35</v>
      </c>
      <c r="K805" s="12" t="s">
        <v>2896</v>
      </c>
      <c r="L805" s="16" t="s">
        <v>54</v>
      </c>
      <c r="M805" s="16" t="s">
        <v>2350</v>
      </c>
      <c r="N805" s="16" t="s">
        <v>1569</v>
      </c>
      <c r="O805" s="16" t="s">
        <v>2887</v>
      </c>
      <c r="P805" s="34" t="s">
        <v>2898</v>
      </c>
      <c r="Q805" s="16" t="s">
        <v>52</v>
      </c>
      <c r="R805" s="16" t="s">
        <v>106</v>
      </c>
      <c r="S805" s="16" t="s">
        <v>1493</v>
      </c>
      <c r="T805" s="16"/>
    </row>
    <row r="806">
      <c r="A806" s="54">
        <v>46213.49540783565</v>
      </c>
      <c r="B806" s="16" t="s">
        <v>34</v>
      </c>
      <c r="C806" s="16" t="s">
        <v>1591</v>
      </c>
      <c r="D806" s="16" t="s">
        <v>1517</v>
      </c>
      <c r="E806" s="42" t="s">
        <v>2899</v>
      </c>
      <c r="F806" s="39">
        <v>1.0</v>
      </c>
      <c r="G806" s="16" t="s">
        <v>181</v>
      </c>
      <c r="H806" s="51">
        <v>46213.0</v>
      </c>
      <c r="I806" s="17"/>
      <c r="J806" s="16" t="s">
        <v>35</v>
      </c>
      <c r="K806" s="13"/>
      <c r="L806" s="16" t="s">
        <v>54</v>
      </c>
      <c r="M806" s="16" t="s">
        <v>2350</v>
      </c>
      <c r="N806" s="16" t="s">
        <v>1592</v>
      </c>
      <c r="O806" s="16" t="s">
        <v>2900</v>
      </c>
      <c r="P806" s="34" t="s">
        <v>2901</v>
      </c>
      <c r="Q806" s="16" t="s">
        <v>52</v>
      </c>
      <c r="R806" s="16" t="s">
        <v>187</v>
      </c>
      <c r="S806" s="16" t="s">
        <v>1493</v>
      </c>
      <c r="T806" s="16"/>
    </row>
    <row r="807">
      <c r="A807" s="54">
        <v>46213.502176828704</v>
      </c>
      <c r="B807" s="16" t="s">
        <v>34</v>
      </c>
      <c r="C807" s="16" t="s">
        <v>1594</v>
      </c>
      <c r="D807" s="17"/>
      <c r="E807" s="42" t="s">
        <v>2902</v>
      </c>
      <c r="F807" s="39">
        <v>3.0</v>
      </c>
      <c r="G807" s="16" t="s">
        <v>181</v>
      </c>
      <c r="H807" s="51">
        <v>46213.0</v>
      </c>
      <c r="I807" s="17"/>
      <c r="J807" s="16" t="s">
        <v>35</v>
      </c>
      <c r="K807" s="13"/>
      <c r="L807" s="16" t="s">
        <v>54</v>
      </c>
      <c r="M807" s="16" t="s">
        <v>2350</v>
      </c>
      <c r="N807" s="16" t="s">
        <v>1596</v>
      </c>
      <c r="O807" s="16" t="s">
        <v>2903</v>
      </c>
      <c r="P807" s="34" t="s">
        <v>2904</v>
      </c>
      <c r="Q807" s="16" t="s">
        <v>52</v>
      </c>
      <c r="R807" s="16" t="s">
        <v>88</v>
      </c>
      <c r="S807" s="16" t="s">
        <v>1493</v>
      </c>
      <c r="T807" s="16"/>
    </row>
    <row r="808">
      <c r="A808" s="54">
        <v>46213.502176828704</v>
      </c>
      <c r="B808" s="16" t="s">
        <v>49</v>
      </c>
      <c r="C808" s="16" t="s">
        <v>1594</v>
      </c>
      <c r="D808" s="17"/>
      <c r="E808" s="42" t="s">
        <v>2902</v>
      </c>
      <c r="F808" s="39">
        <v>1.0</v>
      </c>
      <c r="G808" s="16" t="s">
        <v>181</v>
      </c>
      <c r="H808" s="51">
        <v>46213.0</v>
      </c>
      <c r="I808" s="17"/>
      <c r="J808" s="16" t="s">
        <v>35</v>
      </c>
      <c r="K808" s="13"/>
      <c r="L808" s="16" t="s">
        <v>54</v>
      </c>
      <c r="M808" s="16" t="s">
        <v>2350</v>
      </c>
      <c r="N808" s="16" t="s">
        <v>1596</v>
      </c>
      <c r="O808" s="16" t="s">
        <v>2905</v>
      </c>
      <c r="P808" s="18"/>
      <c r="Q808" s="16" t="s">
        <v>52</v>
      </c>
      <c r="R808" s="16" t="s">
        <v>88</v>
      </c>
      <c r="S808" s="16" t="s">
        <v>1493</v>
      </c>
      <c r="T808" s="16"/>
    </row>
    <row r="809">
      <c r="A809" s="54">
        <v>46213.50411684028</v>
      </c>
      <c r="B809" s="16" t="s">
        <v>34</v>
      </c>
      <c r="C809" s="16" t="s">
        <v>845</v>
      </c>
      <c r="D809" s="16" t="s">
        <v>1834</v>
      </c>
      <c r="E809" s="42" t="s">
        <v>2906</v>
      </c>
      <c r="F809" s="39">
        <v>2.0</v>
      </c>
      <c r="G809" s="16" t="s">
        <v>181</v>
      </c>
      <c r="H809" s="51">
        <v>46213.0</v>
      </c>
      <c r="I809" s="17"/>
      <c r="J809" s="16" t="s">
        <v>35</v>
      </c>
      <c r="K809" s="13"/>
      <c r="L809" s="16" t="s">
        <v>54</v>
      </c>
      <c r="M809" s="16" t="s">
        <v>2350</v>
      </c>
      <c r="N809" s="16" t="s">
        <v>1603</v>
      </c>
      <c r="O809" s="16" t="s">
        <v>2907</v>
      </c>
      <c r="P809" s="34" t="s">
        <v>2908</v>
      </c>
      <c r="Q809" s="16" t="s">
        <v>52</v>
      </c>
      <c r="R809" s="16" t="s">
        <v>206</v>
      </c>
      <c r="S809" s="16" t="s">
        <v>1493</v>
      </c>
      <c r="T809" s="16"/>
    </row>
    <row r="810">
      <c r="A810" s="54">
        <v>46213.50411684028</v>
      </c>
      <c r="B810" s="16" t="s">
        <v>49</v>
      </c>
      <c r="C810" s="16" t="s">
        <v>845</v>
      </c>
      <c r="D810" s="16" t="s">
        <v>1834</v>
      </c>
      <c r="E810" s="42" t="s">
        <v>2906</v>
      </c>
      <c r="F810" s="39">
        <v>2.0</v>
      </c>
      <c r="G810" s="16" t="s">
        <v>181</v>
      </c>
      <c r="H810" s="51">
        <v>46213.0</v>
      </c>
      <c r="I810" s="17"/>
      <c r="J810" s="16" t="s">
        <v>35</v>
      </c>
      <c r="K810" s="13"/>
      <c r="L810" s="16" t="s">
        <v>54</v>
      </c>
      <c r="M810" s="16" t="s">
        <v>2350</v>
      </c>
      <c r="N810" s="16" t="s">
        <v>1603</v>
      </c>
      <c r="O810" s="16" t="s">
        <v>2909</v>
      </c>
      <c r="P810" s="18"/>
      <c r="Q810" s="16" t="s">
        <v>52</v>
      </c>
      <c r="R810" s="16" t="s">
        <v>189</v>
      </c>
      <c r="S810" s="16" t="s">
        <v>1493</v>
      </c>
      <c r="T810" s="16"/>
    </row>
    <row r="811">
      <c r="A811" s="54">
        <v>46213.507213958335</v>
      </c>
      <c r="B811" s="16" t="s">
        <v>34</v>
      </c>
      <c r="C811" s="16" t="s">
        <v>1605</v>
      </c>
      <c r="D811" s="17"/>
      <c r="E811" s="42" t="s">
        <v>2910</v>
      </c>
      <c r="F811" s="39">
        <v>1.0</v>
      </c>
      <c r="G811" s="16" t="s">
        <v>181</v>
      </c>
      <c r="H811" s="51">
        <v>46213.0</v>
      </c>
      <c r="I811" s="17"/>
      <c r="J811" s="16" t="s">
        <v>35</v>
      </c>
      <c r="K811" s="13"/>
      <c r="L811" s="16" t="s">
        <v>54</v>
      </c>
      <c r="M811" s="16" t="s">
        <v>2350</v>
      </c>
      <c r="N811" s="16" t="s">
        <v>1605</v>
      </c>
      <c r="O811" s="16" t="s">
        <v>2911</v>
      </c>
      <c r="P811" s="34" t="s">
        <v>2912</v>
      </c>
      <c r="Q811" s="16" t="s">
        <v>52</v>
      </c>
      <c r="R811" s="16" t="s">
        <v>206</v>
      </c>
      <c r="S811" s="16" t="s">
        <v>1493</v>
      </c>
      <c r="T811" s="16"/>
    </row>
    <row r="812">
      <c r="A812" s="54">
        <v>46213.51114796296</v>
      </c>
      <c r="B812" s="16" t="s">
        <v>34</v>
      </c>
      <c r="C812" s="16" t="s">
        <v>845</v>
      </c>
      <c r="D812" s="17"/>
      <c r="E812" s="31"/>
      <c r="F812" s="39">
        <v>2.0</v>
      </c>
      <c r="G812" s="16" t="s">
        <v>181</v>
      </c>
      <c r="H812" s="51">
        <v>46213.0</v>
      </c>
      <c r="I812" s="16" t="s">
        <v>206</v>
      </c>
      <c r="J812" s="17"/>
      <c r="K812" s="13"/>
      <c r="L812" s="16" t="s">
        <v>2507</v>
      </c>
      <c r="M812" s="16" t="s">
        <v>2192</v>
      </c>
      <c r="N812" s="17"/>
      <c r="O812" s="16" t="s">
        <v>2907</v>
      </c>
      <c r="P812" s="18"/>
      <c r="Q812" s="16" t="s">
        <v>52</v>
      </c>
      <c r="R812" s="16" t="s">
        <v>845</v>
      </c>
      <c r="S812" s="16" t="s">
        <v>1607</v>
      </c>
      <c r="T812" s="16"/>
    </row>
    <row r="813">
      <c r="A813" s="54">
        <v>46216.60123623842</v>
      </c>
      <c r="B813" s="16" t="s">
        <v>34</v>
      </c>
      <c r="C813" s="16" t="s">
        <v>1610</v>
      </c>
      <c r="D813" s="16" t="s">
        <v>2913</v>
      </c>
      <c r="E813" s="42" t="s">
        <v>2914</v>
      </c>
      <c r="F813" s="39">
        <v>29.0</v>
      </c>
      <c r="G813" s="16" t="s">
        <v>181</v>
      </c>
      <c r="H813" s="51">
        <v>46216.0</v>
      </c>
      <c r="I813" s="17"/>
      <c r="J813" s="16" t="s">
        <v>2915</v>
      </c>
      <c r="K813" s="12" t="s">
        <v>2916</v>
      </c>
      <c r="L813" s="16" t="s">
        <v>54</v>
      </c>
      <c r="M813" s="16" t="s">
        <v>2350</v>
      </c>
      <c r="N813" s="16" t="s">
        <v>1610</v>
      </c>
      <c r="O813" s="16" t="s">
        <v>2917</v>
      </c>
      <c r="P813" s="18"/>
      <c r="Q813" s="16" t="s">
        <v>52</v>
      </c>
      <c r="R813" s="16" t="s">
        <v>106</v>
      </c>
      <c r="S813" s="16" t="s">
        <v>1493</v>
      </c>
      <c r="T813" s="16"/>
    </row>
    <row r="814">
      <c r="A814" s="54">
        <v>46216.60123623842</v>
      </c>
      <c r="B814" s="16" t="s">
        <v>34</v>
      </c>
      <c r="C814" s="16" t="s">
        <v>1610</v>
      </c>
      <c r="D814" s="16" t="s">
        <v>2913</v>
      </c>
      <c r="E814" s="42" t="s">
        <v>2914</v>
      </c>
      <c r="F814" s="39">
        <v>14.0</v>
      </c>
      <c r="G814" s="16" t="s">
        <v>181</v>
      </c>
      <c r="H814" s="51">
        <v>46216.0</v>
      </c>
      <c r="I814" s="17"/>
      <c r="J814" s="16" t="s">
        <v>2915</v>
      </c>
      <c r="K814" s="12" t="s">
        <v>2916</v>
      </c>
      <c r="L814" s="16" t="s">
        <v>54</v>
      </c>
      <c r="M814" s="16" t="s">
        <v>2350</v>
      </c>
      <c r="N814" s="16" t="s">
        <v>1610</v>
      </c>
      <c r="O814" s="16" t="s">
        <v>2917</v>
      </c>
      <c r="P814" s="56" t="s">
        <v>2918</v>
      </c>
      <c r="Q814" s="16" t="s">
        <v>52</v>
      </c>
      <c r="R814" s="16" t="s">
        <v>120</v>
      </c>
      <c r="S814" s="16" t="s">
        <v>1493</v>
      </c>
      <c r="T814" s="16" t="s">
        <v>393</v>
      </c>
    </row>
    <row r="815">
      <c r="A815" s="54">
        <v>46216.621521747686</v>
      </c>
      <c r="B815" s="16" t="s">
        <v>61</v>
      </c>
      <c r="C815" s="16" t="s">
        <v>1616</v>
      </c>
      <c r="D815" s="17"/>
      <c r="E815" s="42" t="s">
        <v>2919</v>
      </c>
      <c r="F815" s="39">
        <v>1.0</v>
      </c>
      <c r="G815" s="16" t="s">
        <v>181</v>
      </c>
      <c r="H815" s="51">
        <v>46216.0</v>
      </c>
      <c r="I815" s="17"/>
      <c r="J815" s="16" t="s">
        <v>51</v>
      </c>
      <c r="K815" s="12" t="s">
        <v>2920</v>
      </c>
      <c r="L815" s="16" t="s">
        <v>54</v>
      </c>
      <c r="M815" s="16" t="s">
        <v>2350</v>
      </c>
      <c r="N815" s="16" t="s">
        <v>1617</v>
      </c>
      <c r="O815" s="16" t="s">
        <v>2921</v>
      </c>
      <c r="P815" s="34" t="s">
        <v>2922</v>
      </c>
      <c r="Q815" s="16" t="s">
        <v>52</v>
      </c>
      <c r="R815" s="16" t="s">
        <v>53</v>
      </c>
      <c r="S815" s="16" t="s">
        <v>1493</v>
      </c>
      <c r="T815" s="16"/>
    </row>
    <row r="816">
      <c r="A816" s="54">
        <v>46216.64403952546</v>
      </c>
      <c r="B816" s="16" t="s">
        <v>34</v>
      </c>
      <c r="C816" s="16" t="s">
        <v>849</v>
      </c>
      <c r="D816" s="16" t="s">
        <v>1517</v>
      </c>
      <c r="E816" s="31"/>
      <c r="F816" s="39">
        <v>1.0</v>
      </c>
      <c r="G816" s="16" t="s">
        <v>181</v>
      </c>
      <c r="H816" s="51">
        <v>46216.0</v>
      </c>
      <c r="I816" s="17"/>
      <c r="J816" s="16" t="s">
        <v>115</v>
      </c>
      <c r="K816" s="12" t="s">
        <v>2923</v>
      </c>
      <c r="L816" s="16" t="s">
        <v>54</v>
      </c>
      <c r="M816" s="16" t="s">
        <v>2350</v>
      </c>
      <c r="N816" s="16" t="s">
        <v>2924</v>
      </c>
      <c r="O816" s="16" t="s">
        <v>2925</v>
      </c>
      <c r="P816" s="34" t="s">
        <v>2926</v>
      </c>
      <c r="Q816" s="16" t="s">
        <v>52</v>
      </c>
      <c r="R816" s="16" t="s">
        <v>98</v>
      </c>
      <c r="S816" s="16" t="s">
        <v>1493</v>
      </c>
      <c r="T816" s="16" t="s">
        <v>388</v>
      </c>
    </row>
    <row r="817">
      <c r="A817" s="54">
        <v>46216.648439375</v>
      </c>
      <c r="B817" s="16" t="s">
        <v>34</v>
      </c>
      <c r="C817" s="16" t="s">
        <v>1621</v>
      </c>
      <c r="D817" s="16" t="s">
        <v>1517</v>
      </c>
      <c r="E817" s="42" t="s">
        <v>2927</v>
      </c>
      <c r="F817" s="39">
        <v>12.0</v>
      </c>
      <c r="G817" s="16" t="s">
        <v>181</v>
      </c>
      <c r="H817" s="51">
        <v>46216.0</v>
      </c>
      <c r="I817" s="17"/>
      <c r="J817" s="16" t="s">
        <v>51</v>
      </c>
      <c r="K817" s="13"/>
      <c r="L817" s="16" t="s">
        <v>54</v>
      </c>
      <c r="M817" s="16" t="s">
        <v>2350</v>
      </c>
      <c r="N817" s="16" t="s">
        <v>1622</v>
      </c>
      <c r="O817" s="16" t="s">
        <v>2928</v>
      </c>
      <c r="P817" s="34" t="s">
        <v>2929</v>
      </c>
      <c r="Q817" s="16" t="s">
        <v>52</v>
      </c>
      <c r="R817" s="16" t="s">
        <v>120</v>
      </c>
      <c r="S817" s="16" t="s">
        <v>1493</v>
      </c>
      <c r="T817" s="16"/>
    </row>
    <row r="818">
      <c r="A818" s="54">
        <v>46216.648439375</v>
      </c>
      <c r="B818" s="16" t="s">
        <v>49</v>
      </c>
      <c r="C818" s="16" t="s">
        <v>1621</v>
      </c>
      <c r="D818" s="16" t="s">
        <v>1517</v>
      </c>
      <c r="E818" s="42" t="s">
        <v>2927</v>
      </c>
      <c r="F818" s="39">
        <v>12.0</v>
      </c>
      <c r="G818" s="16" t="s">
        <v>181</v>
      </c>
      <c r="H818" s="51">
        <v>46216.0</v>
      </c>
      <c r="I818" s="17"/>
      <c r="J818" s="16" t="s">
        <v>51</v>
      </c>
      <c r="K818" s="13"/>
      <c r="L818" s="16" t="s">
        <v>54</v>
      </c>
      <c r="M818" s="16" t="s">
        <v>2350</v>
      </c>
      <c r="N818" s="16" t="s">
        <v>1622</v>
      </c>
      <c r="O818" s="16" t="s">
        <v>2930</v>
      </c>
      <c r="P818" s="34" t="s">
        <v>2931</v>
      </c>
      <c r="Q818" s="16" t="s">
        <v>52</v>
      </c>
      <c r="R818" s="16" t="s">
        <v>133</v>
      </c>
      <c r="S818" s="16" t="s">
        <v>1493</v>
      </c>
      <c r="T818" s="16"/>
    </row>
    <row r="819">
      <c r="A819" s="54">
        <v>46216.65183724537</v>
      </c>
      <c r="B819" s="16" t="s">
        <v>68</v>
      </c>
      <c r="C819" s="16" t="s">
        <v>1627</v>
      </c>
      <c r="D819" s="17"/>
      <c r="E819" s="31"/>
      <c r="F819" s="39">
        <v>8.0</v>
      </c>
      <c r="G819" s="16" t="s">
        <v>181</v>
      </c>
      <c r="H819" s="51">
        <v>46216.0</v>
      </c>
      <c r="I819" s="17"/>
      <c r="J819" s="16" t="s">
        <v>92</v>
      </c>
      <c r="K819" s="13"/>
      <c r="L819" s="16" t="s">
        <v>54</v>
      </c>
      <c r="M819" s="16" t="s">
        <v>2350</v>
      </c>
      <c r="N819" s="16" t="s">
        <v>1628</v>
      </c>
      <c r="O819" s="16" t="s">
        <v>2932</v>
      </c>
      <c r="P819" s="34" t="s">
        <v>2933</v>
      </c>
      <c r="Q819" s="16" t="s">
        <v>52</v>
      </c>
      <c r="R819" s="16" t="s">
        <v>272</v>
      </c>
      <c r="S819" s="16" t="s">
        <v>1493</v>
      </c>
      <c r="T819" s="16" t="s">
        <v>388</v>
      </c>
    </row>
    <row r="820">
      <c r="A820" s="54">
        <v>46216.653213171296</v>
      </c>
      <c r="B820" s="16" t="s">
        <v>68</v>
      </c>
      <c r="C820" s="16" t="s">
        <v>1631</v>
      </c>
      <c r="D820" s="17"/>
      <c r="E820" s="31"/>
      <c r="F820" s="39">
        <v>1.0</v>
      </c>
      <c r="G820" s="16" t="s">
        <v>181</v>
      </c>
      <c r="H820" s="51">
        <v>46216.0</v>
      </c>
      <c r="I820" s="17"/>
      <c r="J820" s="16" t="s">
        <v>92</v>
      </c>
      <c r="K820" s="13"/>
      <c r="L820" s="16" t="s">
        <v>54</v>
      </c>
      <c r="M820" s="16" t="s">
        <v>2350</v>
      </c>
      <c r="N820" s="16" t="s">
        <v>1631</v>
      </c>
      <c r="O820" s="16" t="s">
        <v>2934</v>
      </c>
      <c r="P820" s="34" t="s">
        <v>2935</v>
      </c>
      <c r="Q820" s="16" t="s">
        <v>52</v>
      </c>
      <c r="R820" s="16" t="s">
        <v>297</v>
      </c>
      <c r="S820" s="16" t="s">
        <v>1493</v>
      </c>
      <c r="T820" s="16" t="s">
        <v>393</v>
      </c>
    </row>
    <row r="821">
      <c r="A821" s="54">
        <v>46216.653213171296</v>
      </c>
      <c r="B821" s="16" t="s">
        <v>34</v>
      </c>
      <c r="C821" s="16" t="s">
        <v>1634</v>
      </c>
      <c r="D821" s="17"/>
      <c r="E821" s="31"/>
      <c r="F821" s="39">
        <v>2.0</v>
      </c>
      <c r="G821" s="16" t="s">
        <v>181</v>
      </c>
      <c r="H821" s="51">
        <v>46216.0</v>
      </c>
      <c r="I821" s="17"/>
      <c r="J821" s="16" t="s">
        <v>92</v>
      </c>
      <c r="K821" s="13"/>
      <c r="L821" s="16" t="s">
        <v>54</v>
      </c>
      <c r="M821" s="16" t="s">
        <v>2350</v>
      </c>
      <c r="N821" s="16" t="s">
        <v>1634</v>
      </c>
      <c r="O821" s="16" t="s">
        <v>2936</v>
      </c>
      <c r="P821" s="34" t="s">
        <v>2937</v>
      </c>
      <c r="Q821" s="16" t="s">
        <v>52</v>
      </c>
      <c r="R821" s="16" t="s">
        <v>297</v>
      </c>
      <c r="S821" s="16" t="s">
        <v>1493</v>
      </c>
      <c r="T821" s="16" t="s">
        <v>393</v>
      </c>
    </row>
    <row r="822">
      <c r="A822" s="54">
        <v>46217.38242350695</v>
      </c>
      <c r="B822" s="16" t="s">
        <v>49</v>
      </c>
      <c r="C822" s="16" t="s">
        <v>392</v>
      </c>
      <c r="D822" s="17"/>
      <c r="E822" s="31"/>
      <c r="F822" s="39">
        <v>4.0</v>
      </c>
      <c r="G822" s="16" t="s">
        <v>181</v>
      </c>
      <c r="H822" s="51">
        <v>46217.0</v>
      </c>
      <c r="I822" s="16" t="s">
        <v>196</v>
      </c>
      <c r="J822" s="17"/>
      <c r="K822" s="13"/>
      <c r="L822" s="16" t="s">
        <v>2507</v>
      </c>
      <c r="M822" s="16" t="s">
        <v>393</v>
      </c>
      <c r="N822" s="17"/>
      <c r="O822" s="16" t="s">
        <v>1846</v>
      </c>
      <c r="P822" s="18"/>
      <c r="Q822" s="16" t="s">
        <v>52</v>
      </c>
      <c r="R822" s="16" t="s">
        <v>392</v>
      </c>
      <c r="S822" s="16" t="s">
        <v>1607</v>
      </c>
      <c r="T822" s="16"/>
    </row>
    <row r="823">
      <c r="A823" s="54">
        <v>46217.39636479167</v>
      </c>
      <c r="B823" s="16" t="s">
        <v>34</v>
      </c>
      <c r="C823" s="16" t="s">
        <v>841</v>
      </c>
      <c r="D823" s="17"/>
      <c r="E823" s="31"/>
      <c r="F823" s="39">
        <v>40.0</v>
      </c>
      <c r="G823" s="16" t="s">
        <v>181</v>
      </c>
      <c r="H823" s="51">
        <v>46216.0</v>
      </c>
      <c r="I823" s="16" t="s">
        <v>120</v>
      </c>
      <c r="J823" s="17"/>
      <c r="K823" s="13"/>
      <c r="L823" s="16" t="s">
        <v>2507</v>
      </c>
      <c r="M823" s="16" t="s">
        <v>2315</v>
      </c>
      <c r="N823" s="17"/>
      <c r="O823" s="16" t="s">
        <v>2887</v>
      </c>
      <c r="P823" s="18"/>
      <c r="Q823" s="16" t="s">
        <v>52</v>
      </c>
      <c r="R823" s="16" t="s">
        <v>841</v>
      </c>
      <c r="S823" s="16" t="s">
        <v>1607</v>
      </c>
      <c r="T823" s="16"/>
    </row>
    <row r="824">
      <c r="A824" s="54">
        <v>46217.39636479167</v>
      </c>
      <c r="B824" s="16" t="s">
        <v>34</v>
      </c>
      <c r="C824" s="16" t="s">
        <v>841</v>
      </c>
      <c r="D824" s="17"/>
      <c r="E824" s="31"/>
      <c r="F824" s="39">
        <v>1.0</v>
      </c>
      <c r="G824" s="16" t="s">
        <v>181</v>
      </c>
      <c r="H824" s="51">
        <v>46216.0</v>
      </c>
      <c r="I824" s="16" t="s">
        <v>106</v>
      </c>
      <c r="J824" s="17"/>
      <c r="K824" s="13"/>
      <c r="L824" s="16" t="s">
        <v>2507</v>
      </c>
      <c r="M824" s="16" t="s">
        <v>2315</v>
      </c>
      <c r="N824" s="17"/>
      <c r="O824" s="16" t="s">
        <v>2887</v>
      </c>
      <c r="P824" s="18"/>
      <c r="Q824" s="16" t="s">
        <v>52</v>
      </c>
      <c r="R824" s="16" t="s">
        <v>841</v>
      </c>
      <c r="S824" s="16" t="s">
        <v>1607</v>
      </c>
      <c r="T824" s="16"/>
    </row>
    <row r="825">
      <c r="A825" s="54">
        <v>46217.39753769676</v>
      </c>
      <c r="B825" s="16" t="s">
        <v>34</v>
      </c>
      <c r="C825" s="16" t="s">
        <v>844</v>
      </c>
      <c r="D825" s="17"/>
      <c r="E825" s="31"/>
      <c r="F825" s="39">
        <v>1.0</v>
      </c>
      <c r="G825" s="16" t="s">
        <v>181</v>
      </c>
      <c r="H825" s="51">
        <v>46216.0</v>
      </c>
      <c r="I825" s="16" t="s">
        <v>106</v>
      </c>
      <c r="J825" s="17"/>
      <c r="K825" s="13"/>
      <c r="L825" s="16" t="s">
        <v>54</v>
      </c>
      <c r="M825" s="16" t="s">
        <v>2350</v>
      </c>
      <c r="N825" s="16" t="s">
        <v>376</v>
      </c>
      <c r="O825" s="16" t="s">
        <v>2893</v>
      </c>
      <c r="P825" s="18"/>
      <c r="Q825" s="16" t="s">
        <v>52</v>
      </c>
      <c r="R825" s="16" t="s">
        <v>187</v>
      </c>
      <c r="S825" s="16" t="s">
        <v>1895</v>
      </c>
      <c r="T825" s="16"/>
    </row>
    <row r="826">
      <c r="A826" s="54">
        <v>46217.39990275463</v>
      </c>
      <c r="B826" s="16" t="s">
        <v>34</v>
      </c>
      <c r="C826" s="16" t="s">
        <v>1574</v>
      </c>
      <c r="D826" s="17"/>
      <c r="E826" s="31"/>
      <c r="F826" s="39">
        <v>1.0</v>
      </c>
      <c r="G826" s="16" t="s">
        <v>181</v>
      </c>
      <c r="H826" s="51">
        <v>46217.0</v>
      </c>
      <c r="I826" s="16" t="s">
        <v>106</v>
      </c>
      <c r="J826" s="17"/>
      <c r="K826" s="13"/>
      <c r="L826" s="16" t="s">
        <v>54</v>
      </c>
      <c r="M826" s="16" t="s">
        <v>2350</v>
      </c>
      <c r="N826" s="16" t="s">
        <v>376</v>
      </c>
      <c r="O826" s="16" t="s">
        <v>2890</v>
      </c>
      <c r="P826" s="18"/>
      <c r="Q826" s="16" t="s">
        <v>52</v>
      </c>
      <c r="R826" s="16" t="s">
        <v>187</v>
      </c>
      <c r="S826" s="16" t="s">
        <v>1895</v>
      </c>
      <c r="T826" s="16"/>
    </row>
    <row r="827">
      <c r="A827" s="54">
        <v>46217.412910706014</v>
      </c>
      <c r="B827" s="16" t="s">
        <v>34</v>
      </c>
      <c r="C827" s="16" t="s">
        <v>839</v>
      </c>
      <c r="D827" s="17"/>
      <c r="E827" s="31"/>
      <c r="F827" s="39">
        <v>26.0</v>
      </c>
      <c r="G827" s="16" t="s">
        <v>181</v>
      </c>
      <c r="H827" s="51">
        <v>46213.0</v>
      </c>
      <c r="I827" s="16" t="s">
        <v>174</v>
      </c>
      <c r="J827" s="17"/>
      <c r="K827" s="13"/>
      <c r="L827" s="16" t="s">
        <v>2507</v>
      </c>
      <c r="M827" s="16" t="s">
        <v>52</v>
      </c>
      <c r="N827" s="17"/>
      <c r="O827" s="16" t="s">
        <v>2872</v>
      </c>
      <c r="P827" s="18"/>
      <c r="Q827" s="16" t="s">
        <v>52</v>
      </c>
      <c r="R827" s="16" t="s">
        <v>839</v>
      </c>
      <c r="S827" s="16" t="s">
        <v>1607</v>
      </c>
      <c r="T827" s="16"/>
    </row>
    <row r="828">
      <c r="A828" s="54">
        <v>46217.413745972226</v>
      </c>
      <c r="B828" s="16" t="s">
        <v>34</v>
      </c>
      <c r="C828" s="16" t="s">
        <v>828</v>
      </c>
      <c r="D828" s="17"/>
      <c r="E828" s="31"/>
      <c r="F828" s="39">
        <v>11.0</v>
      </c>
      <c r="G828" s="16" t="s">
        <v>181</v>
      </c>
      <c r="H828" s="51">
        <v>46212.0</v>
      </c>
      <c r="I828" s="16" t="s">
        <v>174</v>
      </c>
      <c r="J828" s="17"/>
      <c r="K828" s="13"/>
      <c r="L828" s="16" t="s">
        <v>2507</v>
      </c>
      <c r="M828" s="16" t="s">
        <v>52</v>
      </c>
      <c r="N828" s="17"/>
      <c r="O828" s="16" t="s">
        <v>2808</v>
      </c>
      <c r="P828" s="18"/>
      <c r="Q828" s="16" t="s">
        <v>52</v>
      </c>
      <c r="R828" s="16" t="s">
        <v>828</v>
      </c>
      <c r="S828" s="16" t="s">
        <v>1607</v>
      </c>
      <c r="T828" s="16"/>
    </row>
    <row r="829">
      <c r="A829" s="54">
        <v>46217.42555097222</v>
      </c>
      <c r="B829" s="16" t="s">
        <v>34</v>
      </c>
      <c r="C829" s="16" t="s">
        <v>768</v>
      </c>
      <c r="D829" s="16" t="s">
        <v>1061</v>
      </c>
      <c r="E829" s="31"/>
      <c r="F829" s="39">
        <v>19.0</v>
      </c>
      <c r="G829" s="16" t="s">
        <v>181</v>
      </c>
      <c r="H829" s="51">
        <v>46195.0</v>
      </c>
      <c r="I829" s="16" t="s">
        <v>120</v>
      </c>
      <c r="J829" s="17"/>
      <c r="K829" s="13"/>
      <c r="L829" s="16" t="s">
        <v>54</v>
      </c>
      <c r="M829" s="16" t="s">
        <v>2222</v>
      </c>
      <c r="N829" s="16" t="s">
        <v>376</v>
      </c>
      <c r="O829" s="16" t="s">
        <v>2567</v>
      </c>
      <c r="P829" s="18"/>
      <c r="Q829" s="16" t="s">
        <v>52</v>
      </c>
      <c r="R829" s="16" t="s">
        <v>768</v>
      </c>
      <c r="S829" s="16" t="s">
        <v>1607</v>
      </c>
      <c r="T829" s="16"/>
    </row>
    <row r="830">
      <c r="A830" s="54">
        <v>46217.430763993056</v>
      </c>
      <c r="B830" s="16" t="s">
        <v>34</v>
      </c>
      <c r="C830" s="16" t="s">
        <v>819</v>
      </c>
      <c r="D830" s="17"/>
      <c r="E830" s="31"/>
      <c r="F830" s="39">
        <v>6.0</v>
      </c>
      <c r="G830" s="16" t="s">
        <v>181</v>
      </c>
      <c r="H830" s="51">
        <v>46204.0</v>
      </c>
      <c r="I830" s="16" t="s">
        <v>142</v>
      </c>
      <c r="J830" s="17"/>
      <c r="K830" s="13"/>
      <c r="L830" s="16" t="s">
        <v>2507</v>
      </c>
      <c r="M830" s="16" t="s">
        <v>2446</v>
      </c>
      <c r="N830" s="17"/>
      <c r="O830" s="16" t="s">
        <v>2741</v>
      </c>
      <c r="P830" s="18"/>
      <c r="Q830" s="16" t="s">
        <v>52</v>
      </c>
      <c r="R830" s="16" t="s">
        <v>819</v>
      </c>
      <c r="S830" s="16" t="s">
        <v>1607</v>
      </c>
      <c r="T830" s="16"/>
    </row>
    <row r="831">
      <c r="A831" s="54">
        <v>46217.48489287037</v>
      </c>
      <c r="B831" s="16" t="s">
        <v>34</v>
      </c>
      <c r="C831" s="16" t="s">
        <v>800</v>
      </c>
      <c r="D831" s="17"/>
      <c r="E831" s="31"/>
      <c r="F831" s="39">
        <v>13.0</v>
      </c>
      <c r="G831" s="16" t="s">
        <v>181</v>
      </c>
      <c r="H831" s="51">
        <v>46210.0</v>
      </c>
      <c r="I831" s="16" t="s">
        <v>150</v>
      </c>
      <c r="J831" s="17"/>
      <c r="K831" s="13"/>
      <c r="L831" s="16" t="s">
        <v>2507</v>
      </c>
      <c r="M831" s="16" t="s">
        <v>52</v>
      </c>
      <c r="N831" s="17"/>
      <c r="O831" s="16" t="s">
        <v>2665</v>
      </c>
      <c r="P831" s="18"/>
      <c r="Q831" s="16" t="s">
        <v>52</v>
      </c>
      <c r="R831" s="16" t="s">
        <v>800</v>
      </c>
      <c r="S831" s="16" t="s">
        <v>1607</v>
      </c>
      <c r="T831" s="16"/>
    </row>
    <row r="832">
      <c r="A832" s="54">
        <v>46217.48489287037</v>
      </c>
      <c r="B832" s="16" t="s">
        <v>34</v>
      </c>
      <c r="C832" s="16" t="s">
        <v>800</v>
      </c>
      <c r="D832" s="17"/>
      <c r="E832" s="31"/>
      <c r="F832" s="39">
        <v>2.0</v>
      </c>
      <c r="G832" s="16" t="s">
        <v>181</v>
      </c>
      <c r="H832" s="51">
        <v>46210.0</v>
      </c>
      <c r="I832" s="16" t="s">
        <v>183</v>
      </c>
      <c r="J832" s="17"/>
      <c r="K832" s="13"/>
      <c r="L832" s="16" t="s">
        <v>2507</v>
      </c>
      <c r="M832" s="16" t="s">
        <v>52</v>
      </c>
      <c r="N832" s="17"/>
      <c r="O832" s="16" t="s">
        <v>2665</v>
      </c>
      <c r="P832" s="18"/>
      <c r="Q832" s="16" t="s">
        <v>52</v>
      </c>
      <c r="R832" s="16" t="s">
        <v>800</v>
      </c>
      <c r="S832" s="16" t="s">
        <v>1607</v>
      </c>
      <c r="T832" s="16"/>
    </row>
    <row r="833">
      <c r="A833" s="54">
        <v>46217.48579465278</v>
      </c>
      <c r="B833" s="16" t="s">
        <v>34</v>
      </c>
      <c r="C833" s="16" t="s">
        <v>1409</v>
      </c>
      <c r="D833" s="17"/>
      <c r="E833" s="31"/>
      <c r="F833" s="39">
        <v>15.0</v>
      </c>
      <c r="G833" s="16" t="s">
        <v>181</v>
      </c>
      <c r="H833" s="51">
        <v>46217.0</v>
      </c>
      <c r="I833" s="16" t="s">
        <v>164</v>
      </c>
      <c r="J833" s="17"/>
      <c r="K833" s="13"/>
      <c r="L833" s="16" t="s">
        <v>54</v>
      </c>
      <c r="M833" s="16" t="s">
        <v>2746</v>
      </c>
      <c r="N833" s="16" t="s">
        <v>376</v>
      </c>
      <c r="O833" s="16" t="s">
        <v>2794</v>
      </c>
      <c r="P833" s="18"/>
      <c r="Q833" s="16" t="s">
        <v>52</v>
      </c>
      <c r="R833" s="16" t="s">
        <v>150</v>
      </c>
      <c r="S833" s="16" t="s">
        <v>1895</v>
      </c>
      <c r="T833" s="16"/>
    </row>
    <row r="834">
      <c r="A834" s="54">
        <v>46217.48579465278</v>
      </c>
      <c r="B834" s="16" t="s">
        <v>34</v>
      </c>
      <c r="C834" s="16" t="s">
        <v>1409</v>
      </c>
      <c r="D834" s="17"/>
      <c r="E834" s="31"/>
      <c r="F834" s="39">
        <v>12.0</v>
      </c>
      <c r="G834" s="16" t="s">
        <v>181</v>
      </c>
      <c r="H834" s="51">
        <v>46217.0</v>
      </c>
      <c r="I834" s="16" t="s">
        <v>191</v>
      </c>
      <c r="J834" s="17"/>
      <c r="K834" s="13"/>
      <c r="L834" s="16" t="s">
        <v>54</v>
      </c>
      <c r="M834" s="16" t="s">
        <v>2746</v>
      </c>
      <c r="N834" s="16" t="s">
        <v>376</v>
      </c>
      <c r="O834" s="16" t="s">
        <v>2794</v>
      </c>
      <c r="P834" s="18"/>
      <c r="Q834" s="16" t="s">
        <v>52</v>
      </c>
      <c r="R834" s="16" t="s">
        <v>150</v>
      </c>
      <c r="S834" s="16" t="s">
        <v>1895</v>
      </c>
      <c r="T834" s="16"/>
    </row>
    <row r="835">
      <c r="A835" s="54">
        <v>46218.372232002315</v>
      </c>
      <c r="B835" s="16" t="s">
        <v>34</v>
      </c>
      <c r="C835" s="16" t="s">
        <v>844</v>
      </c>
      <c r="D835" s="17"/>
      <c r="E835" s="31"/>
      <c r="F835" s="39">
        <v>46.0</v>
      </c>
      <c r="G835" s="16" t="s">
        <v>181</v>
      </c>
      <c r="H835" s="51">
        <v>46218.0</v>
      </c>
      <c r="I835" s="16" t="s">
        <v>195</v>
      </c>
      <c r="J835" s="17"/>
      <c r="K835" s="13"/>
      <c r="L835" s="16" t="s">
        <v>2507</v>
      </c>
      <c r="M835" s="16" t="s">
        <v>2938</v>
      </c>
      <c r="N835" s="17"/>
      <c r="O835" s="16" t="s">
        <v>2893</v>
      </c>
      <c r="P835" s="18"/>
      <c r="Q835" s="16" t="s">
        <v>52</v>
      </c>
      <c r="R835" s="16" t="s">
        <v>1398</v>
      </c>
      <c r="S835" s="16" t="s">
        <v>1607</v>
      </c>
      <c r="T835" s="16"/>
    </row>
    <row r="836">
      <c r="A836" s="54">
        <v>46218.372232002315</v>
      </c>
      <c r="B836" s="16" t="s">
        <v>34</v>
      </c>
      <c r="C836" s="16" t="s">
        <v>844</v>
      </c>
      <c r="D836" s="17"/>
      <c r="E836" s="31"/>
      <c r="F836" s="39">
        <v>1.0</v>
      </c>
      <c r="G836" s="16" t="s">
        <v>181</v>
      </c>
      <c r="H836" s="51">
        <v>46218.0</v>
      </c>
      <c r="I836" s="16" t="s">
        <v>187</v>
      </c>
      <c r="J836" s="17"/>
      <c r="K836" s="13"/>
      <c r="L836" s="16" t="s">
        <v>2507</v>
      </c>
      <c r="M836" s="16" t="s">
        <v>2938</v>
      </c>
      <c r="N836" s="17"/>
      <c r="O836" s="16" t="s">
        <v>2893</v>
      </c>
      <c r="P836" s="18"/>
      <c r="Q836" s="16" t="s">
        <v>52</v>
      </c>
      <c r="R836" s="16" t="s">
        <v>1398</v>
      </c>
      <c r="S836" s="16" t="s">
        <v>1607</v>
      </c>
      <c r="T836" s="16"/>
    </row>
    <row r="837">
      <c r="A837" s="54">
        <v>46218.408946550924</v>
      </c>
      <c r="B837" s="16" t="s">
        <v>34</v>
      </c>
      <c r="C837" s="16" t="s">
        <v>849</v>
      </c>
      <c r="D837" s="17"/>
      <c r="E837" s="31"/>
      <c r="F837" s="39">
        <v>1.0</v>
      </c>
      <c r="G837" s="16" t="s">
        <v>181</v>
      </c>
      <c r="H837" s="51">
        <v>46218.0</v>
      </c>
      <c r="I837" s="16" t="s">
        <v>98</v>
      </c>
      <c r="J837" s="17"/>
      <c r="K837" s="12" t="s">
        <v>2939</v>
      </c>
      <c r="L837" s="16" t="s">
        <v>2507</v>
      </c>
      <c r="M837" s="16" t="s">
        <v>2192</v>
      </c>
      <c r="N837" s="17"/>
      <c r="O837" s="16" t="s">
        <v>2925</v>
      </c>
      <c r="P837" s="18"/>
      <c r="Q837" s="16" t="s">
        <v>52</v>
      </c>
      <c r="R837" s="16" t="s">
        <v>2924</v>
      </c>
      <c r="S837" s="16" t="s">
        <v>1607</v>
      </c>
      <c r="T837" s="16"/>
    </row>
    <row r="838">
      <c r="A838" s="54">
        <v>46218.620693969904</v>
      </c>
      <c r="B838" s="16" t="s">
        <v>75</v>
      </c>
      <c r="C838" s="16" t="s">
        <v>121</v>
      </c>
      <c r="D838" s="17"/>
      <c r="E838" s="31"/>
      <c r="F838" s="39">
        <v>100.0</v>
      </c>
      <c r="G838" s="16" t="s">
        <v>181</v>
      </c>
      <c r="H838" s="52">
        <v>46218.0</v>
      </c>
      <c r="I838" s="16" t="s">
        <v>17</v>
      </c>
      <c r="J838" s="17"/>
      <c r="K838" s="12" t="s">
        <v>2940</v>
      </c>
      <c r="L838" s="16" t="s">
        <v>2941</v>
      </c>
      <c r="M838" s="16" t="s">
        <v>2350</v>
      </c>
      <c r="N838" s="16" t="s">
        <v>376</v>
      </c>
      <c r="O838" s="16" t="s">
        <v>2191</v>
      </c>
      <c r="P838" s="18"/>
      <c r="Q838" s="16" t="s">
        <v>52</v>
      </c>
      <c r="R838" s="17"/>
      <c r="S838" s="16" t="s">
        <v>2453</v>
      </c>
      <c r="T838" s="16"/>
    </row>
    <row r="839" ht="26.25" customHeight="1">
      <c r="A839" s="54">
        <v>46219.56825153936</v>
      </c>
      <c r="B839" s="16" t="s">
        <v>34</v>
      </c>
      <c r="C839" s="16" t="s">
        <v>834</v>
      </c>
      <c r="D839" s="17"/>
      <c r="E839" s="31"/>
      <c r="F839" s="39">
        <v>6.0</v>
      </c>
      <c r="G839" s="16" t="s">
        <v>181</v>
      </c>
      <c r="H839" s="51">
        <v>46219.0</v>
      </c>
      <c r="I839" s="16" t="s">
        <v>128</v>
      </c>
      <c r="J839" s="17"/>
      <c r="K839" s="13"/>
      <c r="L839" s="16" t="s">
        <v>2507</v>
      </c>
      <c r="M839" s="16" t="s">
        <v>2942</v>
      </c>
      <c r="N839" s="17"/>
      <c r="O839" s="16" t="s">
        <v>2826</v>
      </c>
      <c r="P839" s="18"/>
      <c r="Q839" s="16" t="s">
        <v>52</v>
      </c>
      <c r="R839" s="16" t="s">
        <v>1449</v>
      </c>
      <c r="S839" s="16" t="s">
        <v>1607</v>
      </c>
      <c r="T839" s="16"/>
    </row>
    <row r="840">
      <c r="A840" s="54">
        <v>46219.569730393516</v>
      </c>
      <c r="B840" s="16" t="s">
        <v>34</v>
      </c>
      <c r="C840" s="16" t="s">
        <v>833</v>
      </c>
      <c r="D840" s="17"/>
      <c r="E840" s="31"/>
      <c r="F840" s="39">
        <v>16.0</v>
      </c>
      <c r="G840" s="16" t="s">
        <v>181</v>
      </c>
      <c r="H840" s="51">
        <v>46219.0</v>
      </c>
      <c r="I840" s="16" t="s">
        <v>177</v>
      </c>
      <c r="J840" s="17"/>
      <c r="K840" s="13"/>
      <c r="L840" s="16" t="s">
        <v>2507</v>
      </c>
      <c r="M840" s="16" t="s">
        <v>2943</v>
      </c>
      <c r="N840" s="17"/>
      <c r="O840" s="16" t="s">
        <v>2823</v>
      </c>
      <c r="P840" s="18"/>
      <c r="Q840" s="16" t="s">
        <v>52</v>
      </c>
      <c r="R840" s="16" t="s">
        <v>2944</v>
      </c>
      <c r="S840" s="16" t="s">
        <v>1607</v>
      </c>
      <c r="T840" s="16"/>
    </row>
    <row r="841">
      <c r="A841" s="54">
        <v>46219.58091805555</v>
      </c>
      <c r="B841" s="16" t="s">
        <v>34</v>
      </c>
      <c r="C841" s="16" t="s">
        <v>1519</v>
      </c>
      <c r="D841" s="17"/>
      <c r="E841" s="31"/>
      <c r="F841" s="39">
        <v>11.0</v>
      </c>
      <c r="G841" s="16" t="s">
        <v>181</v>
      </c>
      <c r="H841" s="51">
        <v>46219.0</v>
      </c>
      <c r="I841" s="16" t="s">
        <v>174</v>
      </c>
      <c r="J841" s="17"/>
      <c r="K841" s="13"/>
      <c r="L841" s="16" t="s">
        <v>54</v>
      </c>
      <c r="M841" s="16" t="s">
        <v>2746</v>
      </c>
      <c r="N841" s="16" t="s">
        <v>376</v>
      </c>
      <c r="O841" s="16" t="s">
        <v>2856</v>
      </c>
      <c r="P841" s="18"/>
      <c r="Q841" s="16" t="s">
        <v>52</v>
      </c>
      <c r="R841" s="16" t="s">
        <v>206</v>
      </c>
      <c r="S841" s="16" t="s">
        <v>1895</v>
      </c>
      <c r="T841" s="16"/>
    </row>
    <row r="842">
      <c r="A842" s="54">
        <v>46219.58202508102</v>
      </c>
      <c r="B842" s="16" t="s">
        <v>34</v>
      </c>
      <c r="C842" s="16" t="s">
        <v>1527</v>
      </c>
      <c r="D842" s="17"/>
      <c r="E842" s="31"/>
      <c r="F842" s="39">
        <v>10.0</v>
      </c>
      <c r="G842" s="16" t="s">
        <v>181</v>
      </c>
      <c r="H842" s="51">
        <v>46219.0</v>
      </c>
      <c r="I842" s="16" t="s">
        <v>199</v>
      </c>
      <c r="J842" s="17"/>
      <c r="K842" s="13"/>
      <c r="L842" s="16" t="s">
        <v>54</v>
      </c>
      <c r="M842" s="16" t="s">
        <v>2746</v>
      </c>
      <c r="N842" s="16" t="s">
        <v>376</v>
      </c>
      <c r="O842" s="16" t="s">
        <v>2859</v>
      </c>
      <c r="P842" s="18"/>
      <c r="Q842" s="16" t="s">
        <v>52</v>
      </c>
      <c r="R842" s="16" t="s">
        <v>206</v>
      </c>
      <c r="S842" s="16" t="s">
        <v>1895</v>
      </c>
      <c r="T842" s="16"/>
    </row>
    <row r="843">
      <c r="A843" s="54">
        <v>46219.58233805555</v>
      </c>
      <c r="B843" s="16" t="s">
        <v>34</v>
      </c>
      <c r="C843" s="16" t="s">
        <v>1510</v>
      </c>
      <c r="D843" s="17"/>
      <c r="E843" s="31"/>
      <c r="F843" s="39">
        <v>8.0</v>
      </c>
      <c r="G843" s="16" t="s">
        <v>181</v>
      </c>
      <c r="H843" s="51">
        <v>46219.0</v>
      </c>
      <c r="I843" s="16" t="s">
        <v>199</v>
      </c>
      <c r="J843" s="17"/>
      <c r="K843" s="13"/>
      <c r="L843" s="16" t="s">
        <v>54</v>
      </c>
      <c r="M843" s="16" t="s">
        <v>2746</v>
      </c>
      <c r="N843" s="16" t="s">
        <v>376</v>
      </c>
      <c r="O843" s="16" t="s">
        <v>2853</v>
      </c>
      <c r="P843" s="18"/>
      <c r="Q843" s="16" t="s">
        <v>52</v>
      </c>
      <c r="R843" s="16" t="s">
        <v>206</v>
      </c>
      <c r="S843" s="16" t="s">
        <v>1895</v>
      </c>
      <c r="T843" s="16"/>
    </row>
    <row r="844">
      <c r="A844" s="54">
        <v>46219.656835625</v>
      </c>
      <c r="B844" s="16" t="s">
        <v>75</v>
      </c>
      <c r="C844" s="16" t="s">
        <v>1638</v>
      </c>
      <c r="D844" s="17"/>
      <c r="E844" s="31"/>
      <c r="F844" s="39">
        <v>5.0</v>
      </c>
      <c r="G844" s="16" t="s">
        <v>181</v>
      </c>
      <c r="H844" s="51">
        <v>46218.0</v>
      </c>
      <c r="I844" s="17"/>
      <c r="J844" s="16" t="s">
        <v>92</v>
      </c>
      <c r="K844" s="13"/>
      <c r="L844" s="16" t="s">
        <v>54</v>
      </c>
      <c r="M844" s="16" t="s">
        <v>2350</v>
      </c>
      <c r="N844" s="16" t="s">
        <v>1639</v>
      </c>
      <c r="O844" s="16" t="s">
        <v>2945</v>
      </c>
      <c r="P844" s="18"/>
      <c r="Q844" s="16" t="s">
        <v>52</v>
      </c>
      <c r="R844" s="16" t="s">
        <v>17</v>
      </c>
      <c r="S844" s="16" t="s">
        <v>1493</v>
      </c>
      <c r="T844" s="16"/>
    </row>
    <row r="845">
      <c r="A845" s="54">
        <v>46219.65765046296</v>
      </c>
      <c r="B845" s="16" t="s">
        <v>68</v>
      </c>
      <c r="C845" s="16" t="s">
        <v>1641</v>
      </c>
      <c r="D845" s="17"/>
      <c r="E845" s="31"/>
      <c r="F845" s="39">
        <v>1.0</v>
      </c>
      <c r="G845" s="16" t="s">
        <v>181</v>
      </c>
      <c r="H845" s="51">
        <v>46218.0</v>
      </c>
      <c r="I845" s="17"/>
      <c r="J845" s="16" t="s">
        <v>92</v>
      </c>
      <c r="K845" s="13"/>
      <c r="L845" s="16" t="s">
        <v>54</v>
      </c>
      <c r="M845" s="16" t="s">
        <v>2350</v>
      </c>
      <c r="N845" s="16" t="s">
        <v>1228</v>
      </c>
      <c r="O845" s="16" t="s">
        <v>2946</v>
      </c>
      <c r="P845" s="18"/>
      <c r="Q845" s="16" t="s">
        <v>52</v>
      </c>
      <c r="R845" s="16" t="s">
        <v>17</v>
      </c>
      <c r="S845" s="16" t="s">
        <v>1493</v>
      </c>
      <c r="T845" s="16"/>
    </row>
    <row r="846">
      <c r="A846" s="54">
        <v>46219.65990814815</v>
      </c>
      <c r="B846" s="16" t="s">
        <v>75</v>
      </c>
      <c r="C846" s="16" t="s">
        <v>1643</v>
      </c>
      <c r="D846" s="17"/>
      <c r="E846" s="31"/>
      <c r="F846" s="39">
        <v>32.0</v>
      </c>
      <c r="G846" s="16" t="s">
        <v>181</v>
      </c>
      <c r="H846" s="51">
        <v>46218.0</v>
      </c>
      <c r="I846" s="17"/>
      <c r="J846" s="16" t="s">
        <v>92</v>
      </c>
      <c r="K846" s="13"/>
      <c r="L846" s="16" t="s">
        <v>54</v>
      </c>
      <c r="M846" s="16" t="s">
        <v>2350</v>
      </c>
      <c r="N846" s="16" t="s">
        <v>1644</v>
      </c>
      <c r="O846" s="16" t="s">
        <v>2947</v>
      </c>
      <c r="P846" s="18"/>
      <c r="Q846" s="16" t="s">
        <v>52</v>
      </c>
      <c r="R846" s="16" t="s">
        <v>17</v>
      </c>
      <c r="S846" s="16" t="s">
        <v>1493</v>
      </c>
      <c r="T846" s="16"/>
    </row>
    <row r="847">
      <c r="A847" s="54">
        <v>46219.66097159722</v>
      </c>
      <c r="B847" s="16" t="s">
        <v>104</v>
      </c>
      <c r="C847" s="16" t="s">
        <v>951</v>
      </c>
      <c r="D847" s="17"/>
      <c r="E847" s="31"/>
      <c r="F847" s="39">
        <v>63.0</v>
      </c>
      <c r="G847" s="16" t="s">
        <v>181</v>
      </c>
      <c r="H847" s="51">
        <v>46218.0</v>
      </c>
      <c r="I847" s="17"/>
      <c r="J847" s="16" t="s">
        <v>92</v>
      </c>
      <c r="K847" s="13"/>
      <c r="L847" s="16" t="s">
        <v>54</v>
      </c>
      <c r="M847" s="16" t="s">
        <v>2350</v>
      </c>
      <c r="N847" s="16" t="s">
        <v>951</v>
      </c>
      <c r="O847" s="16" t="s">
        <v>2181</v>
      </c>
      <c r="P847" s="18"/>
      <c r="Q847" s="16" t="s">
        <v>52</v>
      </c>
      <c r="R847" s="16" t="s">
        <v>17</v>
      </c>
      <c r="S847" s="16" t="s">
        <v>1493</v>
      </c>
      <c r="T847" s="16"/>
    </row>
    <row r="848">
      <c r="A848" s="54">
        <v>46219.66724054398</v>
      </c>
      <c r="B848" s="16" t="s">
        <v>34</v>
      </c>
      <c r="C848" s="16" t="s">
        <v>1646</v>
      </c>
      <c r="D848" s="16" t="s">
        <v>1485</v>
      </c>
      <c r="E848" s="31"/>
      <c r="F848" s="39">
        <v>79.0</v>
      </c>
      <c r="G848" s="16" t="s">
        <v>181</v>
      </c>
      <c r="H848" s="51">
        <v>46219.0</v>
      </c>
      <c r="I848" s="17"/>
      <c r="J848" s="16" t="s">
        <v>82</v>
      </c>
      <c r="K848" s="12" t="s">
        <v>2948</v>
      </c>
      <c r="L848" s="16" t="s">
        <v>54</v>
      </c>
      <c r="M848" s="16" t="s">
        <v>2350</v>
      </c>
      <c r="N848" s="16" t="s">
        <v>1648</v>
      </c>
      <c r="O848" s="16" t="s">
        <v>2949</v>
      </c>
      <c r="P848" s="18"/>
      <c r="Q848" s="16" t="s">
        <v>52</v>
      </c>
      <c r="R848" s="16" t="s">
        <v>53</v>
      </c>
      <c r="S848" s="16" t="s">
        <v>1493</v>
      </c>
      <c r="T848" s="16"/>
    </row>
    <row r="849">
      <c r="A849" s="54">
        <v>46219.66947476852</v>
      </c>
      <c r="B849" s="16" t="s">
        <v>34</v>
      </c>
      <c r="C849" s="16" t="s">
        <v>853</v>
      </c>
      <c r="D849" s="16" t="s">
        <v>2785</v>
      </c>
      <c r="E849" s="31"/>
      <c r="F849" s="39">
        <v>68.0</v>
      </c>
      <c r="G849" s="16" t="s">
        <v>181</v>
      </c>
      <c r="H849" s="51">
        <v>46219.0</v>
      </c>
      <c r="I849" s="17"/>
      <c r="J849" s="16" t="s">
        <v>82</v>
      </c>
      <c r="K849" s="12" t="s">
        <v>2950</v>
      </c>
      <c r="L849" s="16" t="s">
        <v>54</v>
      </c>
      <c r="M849" s="16" t="s">
        <v>2350</v>
      </c>
      <c r="N849" s="16" t="s">
        <v>1651</v>
      </c>
      <c r="O849" s="16" t="s">
        <v>2951</v>
      </c>
      <c r="P849" s="18"/>
      <c r="Q849" s="16" t="s">
        <v>52</v>
      </c>
      <c r="R849" s="16" t="s">
        <v>195</v>
      </c>
      <c r="S849" s="16" t="s">
        <v>1493</v>
      </c>
      <c r="T849" s="16"/>
    </row>
    <row r="850">
      <c r="A850" s="54">
        <v>46219.67088958333</v>
      </c>
      <c r="B850" s="16" t="s">
        <v>104</v>
      </c>
      <c r="C850" s="16" t="s">
        <v>1211</v>
      </c>
      <c r="D850" s="17"/>
      <c r="E850" s="31"/>
      <c r="F850" s="39">
        <v>1.0</v>
      </c>
      <c r="G850" s="16" t="s">
        <v>181</v>
      </c>
      <c r="H850" s="51">
        <v>46217.0</v>
      </c>
      <c r="I850" s="17"/>
      <c r="J850" s="16" t="s">
        <v>92</v>
      </c>
      <c r="K850" s="12" t="s">
        <v>2952</v>
      </c>
      <c r="L850" s="16" t="s">
        <v>54</v>
      </c>
      <c r="M850" s="16" t="s">
        <v>2953</v>
      </c>
      <c r="N850" s="16" t="s">
        <v>376</v>
      </c>
      <c r="O850" s="16" t="s">
        <v>2576</v>
      </c>
      <c r="P850" s="18"/>
      <c r="Q850" s="16" t="s">
        <v>52</v>
      </c>
      <c r="R850" s="16" t="s">
        <v>267</v>
      </c>
      <c r="S850" s="16" t="s">
        <v>1493</v>
      </c>
      <c r="T850" s="16"/>
    </row>
    <row r="851">
      <c r="A851" s="54">
        <v>46219.67088958333</v>
      </c>
      <c r="B851" s="16" t="s">
        <v>104</v>
      </c>
      <c r="C851" s="16" t="s">
        <v>1654</v>
      </c>
      <c r="D851" s="17"/>
      <c r="E851" s="31"/>
      <c r="F851" s="39">
        <v>2.0</v>
      </c>
      <c r="G851" s="16" t="s">
        <v>181</v>
      </c>
      <c r="H851" s="51">
        <v>46217.0</v>
      </c>
      <c r="I851" s="17"/>
      <c r="J851" s="16" t="s">
        <v>92</v>
      </c>
      <c r="K851" s="12" t="s">
        <v>2952</v>
      </c>
      <c r="L851" s="16" t="s">
        <v>54</v>
      </c>
      <c r="M851" s="16" t="s">
        <v>2953</v>
      </c>
      <c r="N851" s="16" t="s">
        <v>376</v>
      </c>
      <c r="O851" s="16" t="s">
        <v>2954</v>
      </c>
      <c r="P851" s="18"/>
      <c r="Q851" s="16" t="s">
        <v>52</v>
      </c>
      <c r="R851" s="16" t="s">
        <v>267</v>
      </c>
      <c r="S851" s="16" t="s">
        <v>1493</v>
      </c>
      <c r="T851" s="16"/>
    </row>
    <row r="852">
      <c r="A852" s="54">
        <v>46220.56632643519</v>
      </c>
      <c r="B852" s="16" t="s">
        <v>96</v>
      </c>
      <c r="C852" s="16" t="s">
        <v>854</v>
      </c>
      <c r="D852" s="17"/>
      <c r="E852" s="31"/>
      <c r="F852" s="39">
        <v>16.0</v>
      </c>
      <c r="G852" s="16" t="s">
        <v>181</v>
      </c>
      <c r="H852" s="51">
        <v>46220.0</v>
      </c>
      <c r="I852" s="17"/>
      <c r="J852" s="16" t="s">
        <v>1461</v>
      </c>
      <c r="K852" s="12" t="s">
        <v>2955</v>
      </c>
      <c r="L852" s="16" t="s">
        <v>54</v>
      </c>
      <c r="M852" s="16" t="s">
        <v>2350</v>
      </c>
      <c r="N852" s="16" t="s">
        <v>376</v>
      </c>
      <c r="O852" s="16" t="s">
        <v>2956</v>
      </c>
      <c r="P852" s="18"/>
      <c r="Q852" s="16" t="s">
        <v>52</v>
      </c>
      <c r="R852" s="16" t="s">
        <v>228</v>
      </c>
      <c r="S852" s="16" t="s">
        <v>1493</v>
      </c>
      <c r="T852" s="16"/>
    </row>
    <row r="853">
      <c r="A853" s="54">
        <v>46220.56817131944</v>
      </c>
      <c r="B853" s="16" t="s">
        <v>68</v>
      </c>
      <c r="C853" s="16" t="s">
        <v>857</v>
      </c>
      <c r="D853" s="17"/>
      <c r="E853" s="31"/>
      <c r="F853" s="39">
        <v>4.0</v>
      </c>
      <c r="G853" s="16" t="s">
        <v>181</v>
      </c>
      <c r="H853" s="51">
        <v>46220.0</v>
      </c>
      <c r="I853" s="17"/>
      <c r="J853" s="16" t="s">
        <v>92</v>
      </c>
      <c r="K853" s="13"/>
      <c r="L853" s="16" t="s">
        <v>54</v>
      </c>
      <c r="M853" s="16" t="s">
        <v>52</v>
      </c>
      <c r="N853" s="16" t="s">
        <v>2957</v>
      </c>
      <c r="O853" s="16" t="s">
        <v>2958</v>
      </c>
      <c r="P853" s="18"/>
      <c r="Q853" s="16" t="s">
        <v>52</v>
      </c>
      <c r="R853" s="16" t="s">
        <v>17</v>
      </c>
      <c r="S853" s="16" t="s">
        <v>1493</v>
      </c>
      <c r="T853" s="16"/>
    </row>
    <row r="854">
      <c r="A854" s="54">
        <v>46220.56875252315</v>
      </c>
      <c r="B854" s="16" t="s">
        <v>68</v>
      </c>
      <c r="C854" s="16" t="s">
        <v>857</v>
      </c>
      <c r="D854" s="17"/>
      <c r="E854" s="31"/>
      <c r="F854" s="39">
        <v>4.0</v>
      </c>
      <c r="G854" s="16" t="s">
        <v>181</v>
      </c>
      <c r="H854" s="51">
        <v>46220.0</v>
      </c>
      <c r="I854" s="16" t="s">
        <v>17</v>
      </c>
      <c r="J854" s="17"/>
      <c r="K854" s="13"/>
      <c r="L854" s="16" t="s">
        <v>2507</v>
      </c>
      <c r="M854" s="16" t="s">
        <v>2959</v>
      </c>
      <c r="N854" s="17"/>
      <c r="O854" s="16" t="s">
        <v>2958</v>
      </c>
      <c r="P854" s="18"/>
      <c r="Q854" s="16" t="s">
        <v>52</v>
      </c>
      <c r="R854" s="16" t="s">
        <v>857</v>
      </c>
      <c r="S854" s="16" t="s">
        <v>1607</v>
      </c>
      <c r="T854" s="16"/>
    </row>
    <row r="855">
      <c r="A855" s="54">
        <v>46220.57272644676</v>
      </c>
      <c r="B855" s="16" t="s">
        <v>68</v>
      </c>
      <c r="C855" s="16" t="s">
        <v>1658</v>
      </c>
      <c r="D855" s="17"/>
      <c r="E855" s="31"/>
      <c r="F855" s="39">
        <v>1.0</v>
      </c>
      <c r="G855" s="16" t="s">
        <v>181</v>
      </c>
      <c r="H855" s="51">
        <v>46220.0</v>
      </c>
      <c r="I855" s="17"/>
      <c r="J855" s="16" t="s">
        <v>92</v>
      </c>
      <c r="K855" s="13"/>
      <c r="L855" s="16" t="s">
        <v>54</v>
      </c>
      <c r="M855" s="16" t="s">
        <v>52</v>
      </c>
      <c r="N855" s="16" t="s">
        <v>1658</v>
      </c>
      <c r="O855" s="16" t="s">
        <v>2960</v>
      </c>
      <c r="P855" s="18"/>
      <c r="Q855" s="16" t="s">
        <v>52</v>
      </c>
      <c r="R855" s="16" t="s">
        <v>17</v>
      </c>
      <c r="S855" s="16" t="s">
        <v>1493</v>
      </c>
      <c r="T855" s="16"/>
    </row>
    <row r="856">
      <c r="A856" s="54">
        <v>46220.57354228009</v>
      </c>
      <c r="B856" s="16" t="s">
        <v>104</v>
      </c>
      <c r="C856" s="16" t="s">
        <v>951</v>
      </c>
      <c r="D856" s="17"/>
      <c r="E856" s="31"/>
      <c r="F856" s="39">
        <v>6.0</v>
      </c>
      <c r="G856" s="16" t="s">
        <v>181</v>
      </c>
      <c r="H856" s="51">
        <v>46220.0</v>
      </c>
      <c r="I856" s="17"/>
      <c r="J856" s="16" t="s">
        <v>92</v>
      </c>
      <c r="K856" s="13"/>
      <c r="L856" s="16" t="s">
        <v>54</v>
      </c>
      <c r="M856" s="16" t="s">
        <v>52</v>
      </c>
      <c r="N856" s="16" t="s">
        <v>951</v>
      </c>
      <c r="O856" s="16" t="s">
        <v>2181</v>
      </c>
      <c r="P856" s="18"/>
      <c r="Q856" s="16" t="s">
        <v>52</v>
      </c>
      <c r="R856" s="16" t="s">
        <v>267</v>
      </c>
      <c r="S856" s="16" t="s">
        <v>1493</v>
      </c>
      <c r="T856" s="16"/>
    </row>
    <row r="857">
      <c r="A857" s="54">
        <v>46220.57434900463</v>
      </c>
      <c r="B857" s="16" t="s">
        <v>75</v>
      </c>
      <c r="C857" s="16" t="s">
        <v>1661</v>
      </c>
      <c r="D857" s="17"/>
      <c r="E857" s="31"/>
      <c r="F857" s="39">
        <v>3.0</v>
      </c>
      <c r="G857" s="16" t="s">
        <v>181</v>
      </c>
      <c r="H857" s="51">
        <v>46220.0</v>
      </c>
      <c r="I857" s="17"/>
      <c r="J857" s="16" t="s">
        <v>92</v>
      </c>
      <c r="K857" s="13"/>
      <c r="L857" s="16" t="s">
        <v>54</v>
      </c>
      <c r="M857" s="16" t="s">
        <v>52</v>
      </c>
      <c r="N857" s="16" t="s">
        <v>1662</v>
      </c>
      <c r="O857" s="16" t="s">
        <v>2961</v>
      </c>
      <c r="P857" s="18"/>
      <c r="Q857" s="16" t="s">
        <v>52</v>
      </c>
      <c r="R857" s="16" t="s">
        <v>17</v>
      </c>
      <c r="S857" s="16" t="s">
        <v>1493</v>
      </c>
      <c r="T857" s="16"/>
    </row>
    <row r="858">
      <c r="A858" s="54">
        <v>46220.57753520833</v>
      </c>
      <c r="B858" s="16" t="s">
        <v>34</v>
      </c>
      <c r="C858" s="16" t="s">
        <v>1666</v>
      </c>
      <c r="D858" s="17"/>
      <c r="E858" s="31"/>
      <c r="F858" s="39">
        <v>1.0</v>
      </c>
      <c r="G858" s="16" t="s">
        <v>181</v>
      </c>
      <c r="H858" s="51">
        <v>46218.0</v>
      </c>
      <c r="I858" s="17"/>
      <c r="J858" s="16" t="s">
        <v>51</v>
      </c>
      <c r="K858" s="13"/>
      <c r="L858" s="16" t="s">
        <v>54</v>
      </c>
      <c r="M858" s="16" t="s">
        <v>2350</v>
      </c>
      <c r="N858" s="16" t="s">
        <v>1667</v>
      </c>
      <c r="O858" s="16" t="s">
        <v>2962</v>
      </c>
      <c r="P858" s="18"/>
      <c r="Q858" s="16" t="s">
        <v>52</v>
      </c>
      <c r="R858" s="16" t="s">
        <v>183</v>
      </c>
      <c r="S858" s="16" t="s">
        <v>1493</v>
      </c>
      <c r="T858" s="16"/>
    </row>
    <row r="859">
      <c r="A859" s="54">
        <v>46220.57861039352</v>
      </c>
      <c r="B859" s="16" t="s">
        <v>34</v>
      </c>
      <c r="C859" s="16" t="s">
        <v>1669</v>
      </c>
      <c r="D859" s="17"/>
      <c r="E859" s="31"/>
      <c r="F859" s="39">
        <v>1.0</v>
      </c>
      <c r="G859" s="16" t="s">
        <v>181</v>
      </c>
      <c r="H859" s="51">
        <v>46218.0</v>
      </c>
      <c r="I859" s="17"/>
      <c r="J859" s="16" t="s">
        <v>51</v>
      </c>
      <c r="K859" s="13"/>
      <c r="L859" s="16" t="s">
        <v>54</v>
      </c>
      <c r="M859" s="16" t="s">
        <v>52</v>
      </c>
      <c r="N859" s="16" t="s">
        <v>1669</v>
      </c>
      <c r="O859" s="16" t="s">
        <v>2963</v>
      </c>
      <c r="P859" s="18"/>
      <c r="Q859" s="16" t="s">
        <v>52</v>
      </c>
      <c r="R859" s="16" t="s">
        <v>183</v>
      </c>
      <c r="S859" s="16" t="s">
        <v>1493</v>
      </c>
      <c r="T859" s="16"/>
    </row>
    <row r="860">
      <c r="A860" s="54">
        <v>46220.57861039352</v>
      </c>
      <c r="B860" s="16" t="s">
        <v>34</v>
      </c>
      <c r="C860" s="16" t="s">
        <v>1672</v>
      </c>
      <c r="D860" s="17"/>
      <c r="E860" s="31"/>
      <c r="F860" s="39">
        <v>1.0</v>
      </c>
      <c r="G860" s="16" t="s">
        <v>181</v>
      </c>
      <c r="H860" s="51">
        <v>46218.0</v>
      </c>
      <c r="I860" s="17"/>
      <c r="J860" s="16" t="s">
        <v>51</v>
      </c>
      <c r="K860" s="13"/>
      <c r="L860" s="16" t="s">
        <v>54</v>
      </c>
      <c r="M860" s="16" t="s">
        <v>52</v>
      </c>
      <c r="N860" s="16" t="s">
        <v>1669</v>
      </c>
      <c r="O860" s="16" t="s">
        <v>2964</v>
      </c>
      <c r="P860" s="18"/>
      <c r="Q860" s="16" t="s">
        <v>52</v>
      </c>
      <c r="R860" s="16" t="s">
        <v>183</v>
      </c>
      <c r="S860" s="16" t="s">
        <v>1493</v>
      </c>
      <c r="T860" s="16"/>
    </row>
    <row r="861">
      <c r="A861" s="54">
        <v>46220.58324762731</v>
      </c>
      <c r="B861" s="16" t="s">
        <v>49</v>
      </c>
      <c r="C861" s="16" t="s">
        <v>859</v>
      </c>
      <c r="D861" s="17"/>
      <c r="E861" s="31"/>
      <c r="F861" s="39">
        <v>1.0</v>
      </c>
      <c r="G861" s="16" t="s">
        <v>181</v>
      </c>
      <c r="H861" s="51">
        <v>46218.0</v>
      </c>
      <c r="I861" s="17"/>
      <c r="J861" s="16" t="s">
        <v>51</v>
      </c>
      <c r="K861" s="12" t="s">
        <v>2965</v>
      </c>
      <c r="L861" s="16" t="s">
        <v>54</v>
      </c>
      <c r="M861" s="16" t="s">
        <v>52</v>
      </c>
      <c r="N861" s="16" t="s">
        <v>376</v>
      </c>
      <c r="O861" s="16" t="s">
        <v>2966</v>
      </c>
      <c r="P861" s="18"/>
      <c r="Q861" s="16" t="s">
        <v>52</v>
      </c>
      <c r="R861" s="16" t="s">
        <v>428</v>
      </c>
      <c r="S861" s="16" t="s">
        <v>1493</v>
      </c>
      <c r="T861" s="16"/>
    </row>
    <row r="862">
      <c r="A862" s="54">
        <v>46220.58324762731</v>
      </c>
      <c r="B862" s="16" t="s">
        <v>34</v>
      </c>
      <c r="C862" s="16" t="s">
        <v>860</v>
      </c>
      <c r="D862" s="17"/>
      <c r="E862" s="31"/>
      <c r="F862" s="39">
        <v>1.0</v>
      </c>
      <c r="G862" s="16" t="s">
        <v>181</v>
      </c>
      <c r="H862" s="51">
        <v>46218.0</v>
      </c>
      <c r="I862" s="17"/>
      <c r="J862" s="16" t="s">
        <v>51</v>
      </c>
      <c r="K862" s="12" t="s">
        <v>2965</v>
      </c>
      <c r="L862" s="16" t="s">
        <v>54</v>
      </c>
      <c r="M862" s="16" t="s">
        <v>52</v>
      </c>
      <c r="N862" s="16" t="s">
        <v>376</v>
      </c>
      <c r="O862" s="16" t="s">
        <v>2967</v>
      </c>
      <c r="P862" s="18"/>
      <c r="Q862" s="16" t="s">
        <v>52</v>
      </c>
      <c r="R862" s="16" t="s">
        <v>428</v>
      </c>
      <c r="S862" s="16" t="s">
        <v>1493</v>
      </c>
      <c r="T862" s="16"/>
    </row>
    <row r="863">
      <c r="A863" s="54">
        <v>46220.584444629625</v>
      </c>
      <c r="B863" s="16" t="s">
        <v>49</v>
      </c>
      <c r="C863" s="16" t="s">
        <v>862</v>
      </c>
      <c r="D863" s="17"/>
      <c r="E863" s="42" t="s">
        <v>2968</v>
      </c>
      <c r="F863" s="39">
        <v>1.0</v>
      </c>
      <c r="G863" s="16" t="s">
        <v>181</v>
      </c>
      <c r="H863" s="51">
        <v>46218.0</v>
      </c>
      <c r="I863" s="17"/>
      <c r="J863" s="16" t="s">
        <v>51</v>
      </c>
      <c r="K863" s="13"/>
      <c r="L863" s="16" t="s">
        <v>54</v>
      </c>
      <c r="M863" s="16" t="s">
        <v>52</v>
      </c>
      <c r="N863" s="16" t="s">
        <v>862</v>
      </c>
      <c r="O863" s="16" t="s">
        <v>2969</v>
      </c>
      <c r="P863" s="18"/>
      <c r="Q863" s="16" t="s">
        <v>52</v>
      </c>
      <c r="R863" s="16" t="s">
        <v>53</v>
      </c>
      <c r="S863" s="16" t="s">
        <v>1493</v>
      </c>
      <c r="T863" s="16"/>
    </row>
    <row r="864">
      <c r="A864" s="54">
        <v>46220.585036874996</v>
      </c>
      <c r="B864" s="16" t="s">
        <v>49</v>
      </c>
      <c r="C864" s="16" t="s">
        <v>862</v>
      </c>
      <c r="D864" s="17"/>
      <c r="E864" s="31"/>
      <c r="F864" s="39">
        <v>1.0</v>
      </c>
      <c r="G864" s="16" t="s">
        <v>181</v>
      </c>
      <c r="H864" s="51">
        <v>46220.0</v>
      </c>
      <c r="I864" s="16" t="s">
        <v>53</v>
      </c>
      <c r="J864" s="17"/>
      <c r="K864" s="13"/>
      <c r="L864" s="16" t="s">
        <v>2507</v>
      </c>
      <c r="M864" s="16" t="s">
        <v>2970</v>
      </c>
      <c r="N864" s="17"/>
      <c r="O864" s="16" t="s">
        <v>2969</v>
      </c>
      <c r="P864" s="18"/>
      <c r="Q864" s="16" t="s">
        <v>52</v>
      </c>
      <c r="R864" s="16" t="s">
        <v>857</v>
      </c>
      <c r="S864" s="16" t="s">
        <v>1607</v>
      </c>
      <c r="T864" s="16"/>
    </row>
    <row r="865">
      <c r="A865" s="54">
        <v>46220.58566134259</v>
      </c>
      <c r="B865" s="16" t="s">
        <v>49</v>
      </c>
      <c r="C865" s="16" t="s">
        <v>859</v>
      </c>
      <c r="D865" s="17"/>
      <c r="E865" s="31"/>
      <c r="F865" s="39">
        <v>1.0</v>
      </c>
      <c r="G865" s="16" t="s">
        <v>181</v>
      </c>
      <c r="H865" s="51">
        <v>46218.0</v>
      </c>
      <c r="I865" s="16" t="s">
        <v>428</v>
      </c>
      <c r="J865" s="17"/>
      <c r="K865" s="13"/>
      <c r="L865" s="16" t="s">
        <v>2507</v>
      </c>
      <c r="M865" s="16" t="s">
        <v>393</v>
      </c>
      <c r="N865" s="17"/>
      <c r="O865" s="16" t="s">
        <v>2966</v>
      </c>
      <c r="P865" s="18"/>
      <c r="Q865" s="16" t="s">
        <v>52</v>
      </c>
      <c r="R865" s="16" t="s">
        <v>600</v>
      </c>
      <c r="S865" s="16" t="s">
        <v>1607</v>
      </c>
      <c r="T865" s="16"/>
    </row>
    <row r="866">
      <c r="A866" s="54">
        <v>46220.58664728009</v>
      </c>
      <c r="B866" s="16" t="s">
        <v>34</v>
      </c>
      <c r="C866" s="16" t="s">
        <v>860</v>
      </c>
      <c r="D866" s="17"/>
      <c r="E866" s="31"/>
      <c r="F866" s="39">
        <v>1.0</v>
      </c>
      <c r="G866" s="16" t="s">
        <v>181</v>
      </c>
      <c r="H866" s="51">
        <v>46218.0</v>
      </c>
      <c r="I866" s="16" t="s">
        <v>428</v>
      </c>
      <c r="J866" s="17"/>
      <c r="K866" s="13"/>
      <c r="L866" s="16" t="s">
        <v>2507</v>
      </c>
      <c r="M866" s="16" t="s">
        <v>393</v>
      </c>
      <c r="N866" s="17"/>
      <c r="O866" s="16" t="s">
        <v>2967</v>
      </c>
      <c r="P866" s="18"/>
      <c r="Q866" s="16" t="s">
        <v>52</v>
      </c>
      <c r="R866" s="16" t="s">
        <v>600</v>
      </c>
      <c r="S866" s="16" t="s">
        <v>1607</v>
      </c>
      <c r="T866" s="16"/>
    </row>
    <row r="867">
      <c r="A867" s="54">
        <v>46220.59189497685</v>
      </c>
      <c r="B867" s="16" t="s">
        <v>34</v>
      </c>
      <c r="C867" s="16" t="s">
        <v>1675</v>
      </c>
      <c r="D867" s="16" t="s">
        <v>2971</v>
      </c>
      <c r="E867" s="42" t="s">
        <v>2972</v>
      </c>
      <c r="F867" s="39">
        <v>15.0</v>
      </c>
      <c r="G867" s="16" t="s">
        <v>181</v>
      </c>
      <c r="H867" s="51">
        <v>46220.0</v>
      </c>
      <c r="I867" s="17"/>
      <c r="J867" s="16" t="s">
        <v>35</v>
      </c>
      <c r="K867" s="12" t="s">
        <v>2973</v>
      </c>
      <c r="L867" s="16" t="s">
        <v>54</v>
      </c>
      <c r="M867" s="16" t="s">
        <v>2350</v>
      </c>
      <c r="N867" s="16" t="s">
        <v>1676</v>
      </c>
      <c r="O867" s="16" t="s">
        <v>2974</v>
      </c>
      <c r="P867" s="18"/>
      <c r="Q867" s="16" t="s">
        <v>52</v>
      </c>
      <c r="R867" s="16" t="s">
        <v>174</v>
      </c>
      <c r="S867" s="16" t="s">
        <v>1493</v>
      </c>
      <c r="T867" s="16"/>
    </row>
    <row r="868">
      <c r="A868" s="54">
        <v>46220.593946203706</v>
      </c>
      <c r="B868" s="16" t="s">
        <v>34</v>
      </c>
      <c r="C868" s="16" t="s">
        <v>1679</v>
      </c>
      <c r="D868" s="17"/>
      <c r="E868" s="42" t="s">
        <v>2975</v>
      </c>
      <c r="F868" s="39">
        <v>2.0</v>
      </c>
      <c r="G868" s="16" t="s">
        <v>181</v>
      </c>
      <c r="H868" s="51">
        <v>46220.0</v>
      </c>
      <c r="I868" s="17"/>
      <c r="J868" s="16" t="s">
        <v>35</v>
      </c>
      <c r="K868" s="12" t="s">
        <v>2976</v>
      </c>
      <c r="L868" s="16" t="s">
        <v>54</v>
      </c>
      <c r="M868" s="16" t="s">
        <v>2350</v>
      </c>
      <c r="N868" s="16" t="s">
        <v>1679</v>
      </c>
      <c r="O868" s="16" t="s">
        <v>2977</v>
      </c>
      <c r="P868" s="18"/>
      <c r="Q868" s="16" t="s">
        <v>52</v>
      </c>
      <c r="R868" s="16" t="s">
        <v>53</v>
      </c>
      <c r="S868" s="16" t="s">
        <v>1493</v>
      </c>
      <c r="T868" s="16"/>
    </row>
    <row r="869">
      <c r="A869" s="54">
        <v>46220.5951684375</v>
      </c>
      <c r="B869" s="16" t="s">
        <v>34</v>
      </c>
      <c r="C869" s="16" t="s">
        <v>1683</v>
      </c>
      <c r="D869" s="16" t="s">
        <v>1834</v>
      </c>
      <c r="E869" s="42" t="s">
        <v>2978</v>
      </c>
      <c r="F869" s="39">
        <v>32.0</v>
      </c>
      <c r="G869" s="16" t="s">
        <v>181</v>
      </c>
      <c r="H869" s="51">
        <v>46220.0</v>
      </c>
      <c r="I869" s="17"/>
      <c r="J869" s="16" t="s">
        <v>35</v>
      </c>
      <c r="K869" s="13"/>
      <c r="L869" s="16" t="s">
        <v>54</v>
      </c>
      <c r="M869" s="16" t="s">
        <v>2350</v>
      </c>
      <c r="N869" s="16" t="s">
        <v>1685</v>
      </c>
      <c r="O869" s="16" t="s">
        <v>2979</v>
      </c>
      <c r="P869" s="18"/>
      <c r="Q869" s="16" t="s">
        <v>52</v>
      </c>
      <c r="R869" s="16" t="s">
        <v>177</v>
      </c>
      <c r="S869" s="16" t="s">
        <v>1493</v>
      </c>
      <c r="T869" s="16"/>
    </row>
    <row r="870">
      <c r="A870" s="54">
        <v>46220.59585116898</v>
      </c>
      <c r="B870" s="16" t="s">
        <v>104</v>
      </c>
      <c r="C870" s="16" t="s">
        <v>1687</v>
      </c>
      <c r="D870" s="17"/>
      <c r="E870" s="42" t="s">
        <v>2980</v>
      </c>
      <c r="F870" s="39">
        <v>1.0</v>
      </c>
      <c r="G870" s="16" t="s">
        <v>181</v>
      </c>
      <c r="H870" s="51">
        <v>46220.0</v>
      </c>
      <c r="I870" s="17"/>
      <c r="J870" s="16" t="s">
        <v>35</v>
      </c>
      <c r="K870" s="13"/>
      <c r="L870" s="16" t="s">
        <v>54</v>
      </c>
      <c r="M870" s="16" t="s">
        <v>2350</v>
      </c>
      <c r="N870" s="16" t="s">
        <v>426</v>
      </c>
      <c r="O870" s="16" t="s">
        <v>2981</v>
      </c>
      <c r="P870" s="18"/>
      <c r="Q870" s="16" t="s">
        <v>52</v>
      </c>
      <c r="R870" s="16" t="s">
        <v>183</v>
      </c>
      <c r="S870" s="16" t="s">
        <v>1493</v>
      </c>
      <c r="T870" s="16"/>
    </row>
    <row r="871">
      <c r="A871" s="54">
        <v>46220.59666789352</v>
      </c>
      <c r="B871" s="16" t="s">
        <v>34</v>
      </c>
      <c r="C871" s="16" t="s">
        <v>863</v>
      </c>
      <c r="D871" s="16" t="s">
        <v>1834</v>
      </c>
      <c r="E871" s="42" t="s">
        <v>2982</v>
      </c>
      <c r="F871" s="39">
        <v>17.0</v>
      </c>
      <c r="G871" s="16" t="s">
        <v>181</v>
      </c>
      <c r="H871" s="51">
        <v>46220.0</v>
      </c>
      <c r="I871" s="17"/>
      <c r="J871" s="16" t="s">
        <v>35</v>
      </c>
      <c r="K871" s="13"/>
      <c r="L871" s="16" t="s">
        <v>54</v>
      </c>
      <c r="M871" s="16" t="s">
        <v>2350</v>
      </c>
      <c r="N871" s="16" t="s">
        <v>2983</v>
      </c>
      <c r="O871" s="16" t="s">
        <v>2984</v>
      </c>
      <c r="P871" s="18"/>
      <c r="Q871" s="16" t="s">
        <v>52</v>
      </c>
      <c r="R871" s="16" t="s">
        <v>93</v>
      </c>
      <c r="S871" s="16" t="s">
        <v>1493</v>
      </c>
      <c r="T871" s="16"/>
    </row>
    <row r="872">
      <c r="A872" s="54">
        <v>46220.59666789352</v>
      </c>
      <c r="B872" s="16" t="s">
        <v>34</v>
      </c>
      <c r="C872" s="16" t="s">
        <v>863</v>
      </c>
      <c r="D872" s="16" t="s">
        <v>1834</v>
      </c>
      <c r="E872" s="42" t="s">
        <v>2982</v>
      </c>
      <c r="F872" s="39">
        <v>10.0</v>
      </c>
      <c r="G872" s="16" t="s">
        <v>181</v>
      </c>
      <c r="H872" s="51">
        <v>46220.0</v>
      </c>
      <c r="I872" s="17"/>
      <c r="J872" s="16" t="s">
        <v>35</v>
      </c>
      <c r="K872" s="13"/>
      <c r="L872" s="16" t="s">
        <v>54</v>
      </c>
      <c r="M872" s="16" t="s">
        <v>2350</v>
      </c>
      <c r="N872" s="16" t="s">
        <v>2983</v>
      </c>
      <c r="O872" s="16" t="s">
        <v>2984</v>
      </c>
      <c r="P872" s="18"/>
      <c r="Q872" s="16" t="s">
        <v>52</v>
      </c>
      <c r="R872" s="16" t="s">
        <v>98</v>
      </c>
      <c r="S872" s="16" t="s">
        <v>1493</v>
      </c>
      <c r="T872" s="16"/>
    </row>
    <row r="873">
      <c r="A873" s="54">
        <v>46220.59792917824</v>
      </c>
      <c r="B873" s="16" t="s">
        <v>34</v>
      </c>
      <c r="C873" s="16" t="s">
        <v>1689</v>
      </c>
      <c r="D873" s="16" t="s">
        <v>2182</v>
      </c>
      <c r="E873" s="42" t="s">
        <v>2985</v>
      </c>
      <c r="F873" s="39">
        <v>14.0</v>
      </c>
      <c r="G873" s="16" t="s">
        <v>181</v>
      </c>
      <c r="H873" s="51">
        <v>46220.0</v>
      </c>
      <c r="I873" s="17"/>
      <c r="J873" s="16" t="s">
        <v>35</v>
      </c>
      <c r="K873" s="13"/>
      <c r="L873" s="16" t="s">
        <v>54</v>
      </c>
      <c r="M873" s="16" t="s">
        <v>2350</v>
      </c>
      <c r="N873" s="16" t="s">
        <v>1690</v>
      </c>
      <c r="O873" s="16" t="s">
        <v>2986</v>
      </c>
      <c r="P873" s="18"/>
      <c r="Q873" s="16" t="s">
        <v>52</v>
      </c>
      <c r="R873" s="16" t="s">
        <v>199</v>
      </c>
      <c r="S873" s="16" t="s">
        <v>1493</v>
      </c>
      <c r="T873" s="16"/>
    </row>
    <row r="874">
      <c r="A874" s="54">
        <v>46220.598873993054</v>
      </c>
      <c r="B874" s="16" t="s">
        <v>34</v>
      </c>
      <c r="C874" s="16" t="s">
        <v>1693</v>
      </c>
      <c r="D874" s="16" t="s">
        <v>2182</v>
      </c>
      <c r="E874" s="42" t="s">
        <v>2987</v>
      </c>
      <c r="F874" s="39">
        <v>12.0</v>
      </c>
      <c r="G874" s="16" t="s">
        <v>181</v>
      </c>
      <c r="H874" s="51">
        <v>46220.0</v>
      </c>
      <c r="I874" s="17"/>
      <c r="J874" s="16" t="s">
        <v>35</v>
      </c>
      <c r="K874" s="13"/>
      <c r="L874" s="16" t="s">
        <v>54</v>
      </c>
      <c r="M874" s="16" t="s">
        <v>2350</v>
      </c>
      <c r="N874" s="16" t="s">
        <v>1694</v>
      </c>
      <c r="O874" s="16" t="s">
        <v>2988</v>
      </c>
      <c r="P874" s="18"/>
      <c r="Q874" s="16" t="s">
        <v>52</v>
      </c>
      <c r="R874" s="16" t="s">
        <v>174</v>
      </c>
      <c r="S874" s="16" t="s">
        <v>1493</v>
      </c>
      <c r="T874" s="16"/>
    </row>
    <row r="875">
      <c r="A875" s="54">
        <v>46220.59976753472</v>
      </c>
      <c r="B875" s="16" t="s">
        <v>34</v>
      </c>
      <c r="C875" s="16" t="s">
        <v>1697</v>
      </c>
      <c r="D875" s="16" t="s">
        <v>2182</v>
      </c>
      <c r="E875" s="42" t="s">
        <v>2989</v>
      </c>
      <c r="F875" s="39">
        <v>9.0</v>
      </c>
      <c r="G875" s="16" t="s">
        <v>181</v>
      </c>
      <c r="H875" s="51">
        <v>46220.0</v>
      </c>
      <c r="I875" s="17"/>
      <c r="J875" s="16" t="s">
        <v>35</v>
      </c>
      <c r="K875" s="13"/>
      <c r="L875" s="16" t="s">
        <v>54</v>
      </c>
      <c r="M875" s="16" t="s">
        <v>2350</v>
      </c>
      <c r="N875" s="16" t="s">
        <v>1698</v>
      </c>
      <c r="O875" s="16" t="s">
        <v>2990</v>
      </c>
      <c r="P875" s="18"/>
      <c r="Q875" s="16" t="s">
        <v>52</v>
      </c>
      <c r="R875" s="16" t="s">
        <v>199</v>
      </c>
      <c r="S875" s="16" t="s">
        <v>1493</v>
      </c>
      <c r="T875" s="16"/>
    </row>
    <row r="876">
      <c r="A876" s="54">
        <v>46223.364769374995</v>
      </c>
      <c r="B876" s="16" t="s">
        <v>49</v>
      </c>
      <c r="C876" s="16" t="s">
        <v>585</v>
      </c>
      <c r="D876" s="17"/>
      <c r="E876" s="31"/>
      <c r="F876" s="39">
        <v>4.0</v>
      </c>
      <c r="G876" s="16" t="s">
        <v>181</v>
      </c>
      <c r="H876" s="51">
        <v>46223.0</v>
      </c>
      <c r="I876" s="16" t="s">
        <v>123</v>
      </c>
      <c r="J876" s="17"/>
      <c r="K876" s="13"/>
      <c r="L876" s="16" t="s">
        <v>2507</v>
      </c>
      <c r="M876" s="16" t="s">
        <v>625</v>
      </c>
      <c r="N876" s="16" t="s">
        <v>585</v>
      </c>
      <c r="O876" s="16" t="s">
        <v>2361</v>
      </c>
      <c r="P876" s="18"/>
      <c r="Q876" s="16" t="s">
        <v>52</v>
      </c>
      <c r="R876" s="16" t="s">
        <v>585</v>
      </c>
      <c r="S876" s="16" t="s">
        <v>1607</v>
      </c>
      <c r="T876" s="16"/>
    </row>
    <row r="877">
      <c r="A877" s="54">
        <v>46223.364769374995</v>
      </c>
      <c r="B877" s="16" t="s">
        <v>49</v>
      </c>
      <c r="C877" s="16" t="s">
        <v>585</v>
      </c>
      <c r="D877" s="17"/>
      <c r="E877" s="31"/>
      <c r="F877" s="39">
        <v>1.0</v>
      </c>
      <c r="G877" s="16" t="s">
        <v>181</v>
      </c>
      <c r="H877" s="51">
        <v>46223.0</v>
      </c>
      <c r="I877" s="16" t="s">
        <v>219</v>
      </c>
      <c r="J877" s="17"/>
      <c r="K877" s="13"/>
      <c r="L877" s="16" t="s">
        <v>2507</v>
      </c>
      <c r="M877" s="16" t="s">
        <v>625</v>
      </c>
      <c r="N877" s="16" t="s">
        <v>585</v>
      </c>
      <c r="O877" s="16" t="s">
        <v>2361</v>
      </c>
      <c r="P877" s="18"/>
      <c r="Q877" s="16" t="s">
        <v>52</v>
      </c>
      <c r="R877" s="16" t="s">
        <v>585</v>
      </c>
      <c r="S877" s="16" t="s">
        <v>1607</v>
      </c>
      <c r="T877" s="16"/>
    </row>
    <row r="878">
      <c r="A878" s="54">
        <v>46223.364769374995</v>
      </c>
      <c r="B878" s="16" t="s">
        <v>49</v>
      </c>
      <c r="C878" s="16" t="s">
        <v>581</v>
      </c>
      <c r="D878" s="17"/>
      <c r="E878" s="31"/>
      <c r="F878" s="39">
        <v>4.0</v>
      </c>
      <c r="G878" s="16" t="s">
        <v>181</v>
      </c>
      <c r="H878" s="51">
        <v>46223.0</v>
      </c>
      <c r="I878" s="16" t="s">
        <v>123</v>
      </c>
      <c r="J878" s="17"/>
      <c r="K878" s="13"/>
      <c r="L878" s="16" t="s">
        <v>2507</v>
      </c>
      <c r="M878" s="16" t="s">
        <v>625</v>
      </c>
      <c r="N878" s="16" t="s">
        <v>581</v>
      </c>
      <c r="O878" s="16" t="s">
        <v>2359</v>
      </c>
      <c r="P878" s="18"/>
      <c r="Q878" s="16" t="s">
        <v>52</v>
      </c>
      <c r="R878" s="16" t="s">
        <v>581</v>
      </c>
      <c r="S878" s="16" t="s">
        <v>1607</v>
      </c>
      <c r="T878" s="16"/>
    </row>
    <row r="879">
      <c r="A879" s="54">
        <v>46223.364769374995</v>
      </c>
      <c r="B879" s="16" t="s">
        <v>49</v>
      </c>
      <c r="C879" s="16" t="s">
        <v>581</v>
      </c>
      <c r="D879" s="17"/>
      <c r="E879" s="31"/>
      <c r="F879" s="39">
        <v>1.0</v>
      </c>
      <c r="G879" s="16" t="s">
        <v>181</v>
      </c>
      <c r="H879" s="51">
        <v>46223.0</v>
      </c>
      <c r="I879" s="16" t="s">
        <v>219</v>
      </c>
      <c r="J879" s="17"/>
      <c r="K879" s="13"/>
      <c r="L879" s="16" t="s">
        <v>2507</v>
      </c>
      <c r="M879" s="16" t="s">
        <v>625</v>
      </c>
      <c r="N879" s="16" t="s">
        <v>581</v>
      </c>
      <c r="O879" s="16" t="s">
        <v>2359</v>
      </c>
      <c r="P879" s="18"/>
      <c r="Q879" s="16" t="s">
        <v>52</v>
      </c>
      <c r="R879" s="16" t="s">
        <v>581</v>
      </c>
      <c r="S879" s="16" t="s">
        <v>1607</v>
      </c>
      <c r="T879" s="16"/>
    </row>
    <row r="880">
      <c r="A880" s="54">
        <v>46223.364769374995</v>
      </c>
      <c r="B880" s="16" t="s">
        <v>49</v>
      </c>
      <c r="C880" s="16" t="s">
        <v>587</v>
      </c>
      <c r="D880" s="17"/>
      <c r="E880" s="31"/>
      <c r="F880" s="39">
        <v>4.0</v>
      </c>
      <c r="G880" s="16" t="s">
        <v>181</v>
      </c>
      <c r="H880" s="51">
        <v>46223.0</v>
      </c>
      <c r="I880" s="16" t="s">
        <v>123</v>
      </c>
      <c r="J880" s="17"/>
      <c r="K880" s="13"/>
      <c r="L880" s="16" t="s">
        <v>2507</v>
      </c>
      <c r="M880" s="16" t="s">
        <v>625</v>
      </c>
      <c r="N880" s="16" t="s">
        <v>587</v>
      </c>
      <c r="O880" s="16" t="s">
        <v>2364</v>
      </c>
      <c r="P880" s="18"/>
      <c r="Q880" s="16" t="s">
        <v>52</v>
      </c>
      <c r="R880" s="16" t="s">
        <v>587</v>
      </c>
      <c r="S880" s="16" t="s">
        <v>1607</v>
      </c>
      <c r="T880" s="16"/>
    </row>
    <row r="881">
      <c r="A881" s="54">
        <v>46223.364769374995</v>
      </c>
      <c r="B881" s="16" t="s">
        <v>49</v>
      </c>
      <c r="C881" s="16" t="s">
        <v>587</v>
      </c>
      <c r="D881" s="17"/>
      <c r="E881" s="31"/>
      <c r="F881" s="39">
        <v>1.0</v>
      </c>
      <c r="G881" s="16" t="s">
        <v>181</v>
      </c>
      <c r="H881" s="51">
        <v>46223.0</v>
      </c>
      <c r="I881" s="16" t="s">
        <v>219</v>
      </c>
      <c r="J881" s="17"/>
      <c r="K881" s="13"/>
      <c r="L881" s="16" t="s">
        <v>2507</v>
      </c>
      <c r="M881" s="16" t="s">
        <v>625</v>
      </c>
      <c r="N881" s="16" t="s">
        <v>587</v>
      </c>
      <c r="O881" s="16" t="s">
        <v>2364</v>
      </c>
      <c r="P881" s="18"/>
      <c r="Q881" s="16" t="s">
        <v>52</v>
      </c>
      <c r="R881" s="16" t="s">
        <v>587</v>
      </c>
      <c r="S881" s="16" t="s">
        <v>1607</v>
      </c>
      <c r="T881" s="16"/>
    </row>
    <row r="882">
      <c r="A882" s="54">
        <v>46223.37231122685</v>
      </c>
      <c r="B882" s="16" t="s">
        <v>34</v>
      </c>
      <c r="C882" s="16" t="s">
        <v>1700</v>
      </c>
      <c r="D882" s="16" t="s">
        <v>1517</v>
      </c>
      <c r="E882" s="31"/>
      <c r="F882" s="39">
        <v>1.0</v>
      </c>
      <c r="G882" s="16" t="s">
        <v>181</v>
      </c>
      <c r="H882" s="51">
        <v>46223.0</v>
      </c>
      <c r="I882" s="17"/>
      <c r="J882" s="16" t="s">
        <v>51</v>
      </c>
      <c r="K882" s="12" t="s">
        <v>2991</v>
      </c>
      <c r="L882" s="16" t="s">
        <v>54</v>
      </c>
      <c r="M882" s="16" t="s">
        <v>2350</v>
      </c>
      <c r="N882" s="16" t="s">
        <v>1702</v>
      </c>
      <c r="O882" s="16" t="s">
        <v>2992</v>
      </c>
      <c r="P882" s="18"/>
      <c r="Q882" s="16" t="s">
        <v>52</v>
      </c>
      <c r="R882" s="16" t="s">
        <v>428</v>
      </c>
      <c r="S882" s="16" t="s">
        <v>1493</v>
      </c>
      <c r="T882" s="16" t="s">
        <v>625</v>
      </c>
    </row>
    <row r="883">
      <c r="A883" s="54">
        <v>46223.37231122685</v>
      </c>
      <c r="B883" s="16" t="s">
        <v>49</v>
      </c>
      <c r="C883" s="16" t="s">
        <v>1700</v>
      </c>
      <c r="D883" s="16" t="s">
        <v>1517</v>
      </c>
      <c r="E883" s="31"/>
      <c r="F883" s="39">
        <v>2.0</v>
      </c>
      <c r="G883" s="16" t="s">
        <v>181</v>
      </c>
      <c r="H883" s="51">
        <v>46223.0</v>
      </c>
      <c r="I883" s="17"/>
      <c r="J883" s="16" t="s">
        <v>51</v>
      </c>
      <c r="K883" s="12" t="s">
        <v>2991</v>
      </c>
      <c r="L883" s="16" t="s">
        <v>54</v>
      </c>
      <c r="M883" s="16" t="s">
        <v>2350</v>
      </c>
      <c r="N883" s="16" t="s">
        <v>1702</v>
      </c>
      <c r="O883" s="16" t="s">
        <v>2993</v>
      </c>
      <c r="P883" s="18"/>
      <c r="Q883" s="16" t="s">
        <v>52</v>
      </c>
      <c r="R883" s="16" t="s">
        <v>133</v>
      </c>
      <c r="S883" s="16" t="s">
        <v>1493</v>
      </c>
      <c r="T883" s="16" t="s">
        <v>625</v>
      </c>
    </row>
    <row r="884">
      <c r="A884" s="54">
        <v>46223.399814687495</v>
      </c>
      <c r="B884" s="16" t="s">
        <v>34</v>
      </c>
      <c r="C884" s="16" t="s">
        <v>863</v>
      </c>
      <c r="D884" s="17"/>
      <c r="E884" s="31"/>
      <c r="F884" s="39">
        <v>17.0</v>
      </c>
      <c r="G884" s="16" t="s">
        <v>181</v>
      </c>
      <c r="H884" s="51">
        <v>46223.0</v>
      </c>
      <c r="I884" s="16" t="s">
        <v>93</v>
      </c>
      <c r="J884" s="17"/>
      <c r="K884" s="13"/>
      <c r="L884" s="16" t="s">
        <v>2507</v>
      </c>
      <c r="M884" s="16" t="s">
        <v>52</v>
      </c>
      <c r="N884" s="17"/>
      <c r="O884" s="16" t="s">
        <v>2984</v>
      </c>
      <c r="P884" s="18"/>
      <c r="Q884" s="16" t="s">
        <v>52</v>
      </c>
      <c r="R884" s="16" t="s">
        <v>2983</v>
      </c>
      <c r="S884" s="16" t="s">
        <v>1607</v>
      </c>
      <c r="T884" s="16"/>
    </row>
    <row r="885">
      <c r="A885" s="54">
        <v>46223.399814687495</v>
      </c>
      <c r="B885" s="16" t="s">
        <v>34</v>
      </c>
      <c r="C885" s="16" t="s">
        <v>863</v>
      </c>
      <c r="D885" s="17"/>
      <c r="E885" s="31"/>
      <c r="F885" s="39">
        <v>10.0</v>
      </c>
      <c r="G885" s="16" t="s">
        <v>181</v>
      </c>
      <c r="H885" s="51">
        <v>46223.0</v>
      </c>
      <c r="I885" s="16" t="s">
        <v>98</v>
      </c>
      <c r="J885" s="17"/>
      <c r="K885" s="13"/>
      <c r="L885" s="16" t="s">
        <v>2507</v>
      </c>
      <c r="M885" s="16" t="s">
        <v>52</v>
      </c>
      <c r="N885" s="17"/>
      <c r="O885" s="16" t="s">
        <v>2984</v>
      </c>
      <c r="P885" s="18"/>
      <c r="Q885" s="16" t="s">
        <v>52</v>
      </c>
      <c r="R885" s="16" t="s">
        <v>2983</v>
      </c>
      <c r="S885" s="16" t="s">
        <v>1607</v>
      </c>
      <c r="T885" s="16"/>
    </row>
    <row r="886">
      <c r="A886" s="54">
        <v>46223.400379722225</v>
      </c>
      <c r="B886" s="16" t="s">
        <v>34</v>
      </c>
      <c r="C886" s="16" t="s">
        <v>826</v>
      </c>
      <c r="D886" s="17"/>
      <c r="E886" s="31"/>
      <c r="F886" s="39">
        <v>31.0</v>
      </c>
      <c r="G886" s="16" t="s">
        <v>181</v>
      </c>
      <c r="H886" s="51">
        <v>46223.0</v>
      </c>
      <c r="I886" s="16" t="s">
        <v>191</v>
      </c>
      <c r="J886" s="17"/>
      <c r="K886" s="13"/>
      <c r="L886" s="16" t="s">
        <v>2507</v>
      </c>
      <c r="M886" s="16" t="s">
        <v>2994</v>
      </c>
      <c r="N886" s="17"/>
      <c r="O886" s="16" t="s">
        <v>2791</v>
      </c>
      <c r="P886" s="18"/>
      <c r="Q886" s="16" t="s">
        <v>52</v>
      </c>
      <c r="R886" s="16" t="s">
        <v>1405</v>
      </c>
      <c r="S886" s="16" t="s">
        <v>1607</v>
      </c>
      <c r="T886" s="16"/>
    </row>
    <row r="887">
      <c r="A887" s="54">
        <v>46223.43763126158</v>
      </c>
      <c r="B887" s="16" t="s">
        <v>96</v>
      </c>
      <c r="C887" s="16" t="s">
        <v>316</v>
      </c>
      <c r="D887" s="17"/>
      <c r="E887" s="31"/>
      <c r="F887" s="39">
        <v>1.0</v>
      </c>
      <c r="G887" s="16" t="s">
        <v>181</v>
      </c>
      <c r="H887" s="51">
        <v>46223.0</v>
      </c>
      <c r="I887" s="16" t="s">
        <v>237</v>
      </c>
      <c r="J887" s="17"/>
      <c r="K887" s="13"/>
      <c r="L887" s="16" t="s">
        <v>2507</v>
      </c>
      <c r="M887" s="16" t="s">
        <v>2315</v>
      </c>
      <c r="N887" s="17"/>
      <c r="O887" s="16" t="s">
        <v>1852</v>
      </c>
      <c r="P887" s="18"/>
      <c r="Q887" s="16" t="s">
        <v>52</v>
      </c>
      <c r="R887" s="16" t="s">
        <v>1405</v>
      </c>
      <c r="S887" s="16" t="s">
        <v>1607</v>
      </c>
      <c r="T887" s="16"/>
    </row>
    <row r="888">
      <c r="A888" s="54">
        <v>46223.43763126158</v>
      </c>
      <c r="B888" s="16" t="s">
        <v>96</v>
      </c>
      <c r="C888" s="16" t="s">
        <v>326</v>
      </c>
      <c r="D888" s="17"/>
      <c r="E888" s="31"/>
      <c r="F888" s="39">
        <v>2.0</v>
      </c>
      <c r="G888" s="16" t="s">
        <v>181</v>
      </c>
      <c r="H888" s="51">
        <v>46223.0</v>
      </c>
      <c r="I888" s="16" t="s">
        <v>228</v>
      </c>
      <c r="J888" s="17"/>
      <c r="K888" s="13"/>
      <c r="L888" s="16" t="s">
        <v>2507</v>
      </c>
      <c r="M888" s="16" t="s">
        <v>2315</v>
      </c>
      <c r="N888" s="17"/>
      <c r="O888" s="16" t="s">
        <v>1453</v>
      </c>
      <c r="P888" s="18"/>
      <c r="Q888" s="16" t="s">
        <v>52</v>
      </c>
      <c r="R888" s="16" t="s">
        <v>1405</v>
      </c>
      <c r="S888" s="16" t="s">
        <v>1607</v>
      </c>
      <c r="T888" s="16"/>
    </row>
    <row r="889">
      <c r="A889" s="54">
        <v>46223.43763126158</v>
      </c>
      <c r="B889" s="16" t="s">
        <v>96</v>
      </c>
      <c r="C889" s="16" t="s">
        <v>314</v>
      </c>
      <c r="D889" s="17"/>
      <c r="E889" s="31"/>
      <c r="F889" s="39">
        <v>1.0</v>
      </c>
      <c r="G889" s="16" t="s">
        <v>181</v>
      </c>
      <c r="H889" s="51">
        <v>46223.0</v>
      </c>
      <c r="I889" s="16" t="s">
        <v>240</v>
      </c>
      <c r="J889" s="17"/>
      <c r="K889" s="13"/>
      <c r="L889" s="16" t="s">
        <v>2507</v>
      </c>
      <c r="M889" s="16" t="s">
        <v>2315</v>
      </c>
      <c r="N889" s="17"/>
      <c r="O889" s="16" t="s">
        <v>1850</v>
      </c>
      <c r="P889" s="18"/>
      <c r="Q889" s="16" t="s">
        <v>52</v>
      </c>
      <c r="R889" s="16" t="s">
        <v>1405</v>
      </c>
      <c r="S889" s="16" t="s">
        <v>1607</v>
      </c>
      <c r="T889" s="16"/>
    </row>
    <row r="890">
      <c r="A890" s="54">
        <v>46223.43763126158</v>
      </c>
      <c r="B890" s="16" t="s">
        <v>96</v>
      </c>
      <c r="C890" s="16" t="s">
        <v>340</v>
      </c>
      <c r="D890" s="17"/>
      <c r="E890" s="31"/>
      <c r="F890" s="39">
        <v>1.0</v>
      </c>
      <c r="G890" s="16" t="s">
        <v>181</v>
      </c>
      <c r="H890" s="51">
        <v>46223.0</v>
      </c>
      <c r="I890" s="16" t="s">
        <v>233</v>
      </c>
      <c r="J890" s="17"/>
      <c r="K890" s="13"/>
      <c r="L890" s="16" t="s">
        <v>2507</v>
      </c>
      <c r="M890" s="16" t="s">
        <v>2315</v>
      </c>
      <c r="N890" s="17"/>
      <c r="O890" s="16" t="s">
        <v>1848</v>
      </c>
      <c r="P890" s="18"/>
      <c r="Q890" s="16" t="s">
        <v>52</v>
      </c>
      <c r="R890" s="16" t="s">
        <v>1405</v>
      </c>
      <c r="S890" s="16" t="s">
        <v>1607</v>
      </c>
      <c r="T890" s="16"/>
    </row>
    <row r="891">
      <c r="A891" s="54">
        <v>46223.43763126158</v>
      </c>
      <c r="B891" s="16" t="s">
        <v>96</v>
      </c>
      <c r="C891" s="16" t="s">
        <v>854</v>
      </c>
      <c r="D891" s="17"/>
      <c r="E891" s="31"/>
      <c r="F891" s="39">
        <v>1.0</v>
      </c>
      <c r="G891" s="16" t="s">
        <v>181</v>
      </c>
      <c r="H891" s="51">
        <v>46223.0</v>
      </c>
      <c r="I891" s="16" t="s">
        <v>228</v>
      </c>
      <c r="J891" s="17"/>
      <c r="K891" s="13"/>
      <c r="L891" s="16" t="s">
        <v>2507</v>
      </c>
      <c r="M891" s="16" t="s">
        <v>2315</v>
      </c>
      <c r="N891" s="17"/>
      <c r="O891" s="16" t="s">
        <v>2956</v>
      </c>
      <c r="P891" s="18"/>
      <c r="Q891" s="16" t="s">
        <v>52</v>
      </c>
      <c r="R891" s="16" t="s">
        <v>1405</v>
      </c>
      <c r="S891" s="16" t="s">
        <v>1607</v>
      </c>
      <c r="T891" s="16"/>
    </row>
    <row r="892">
      <c r="A892" s="54">
        <v>46223.4418853588</v>
      </c>
      <c r="B892" s="16" t="s">
        <v>49</v>
      </c>
      <c r="C892" s="16" t="s">
        <v>1693</v>
      </c>
      <c r="D892" s="16" t="s">
        <v>2182</v>
      </c>
      <c r="E892" s="42" t="s">
        <v>2987</v>
      </c>
      <c r="F892" s="39">
        <v>9.0</v>
      </c>
      <c r="G892" s="16" t="s">
        <v>181</v>
      </c>
      <c r="H892" s="51">
        <v>46220.0</v>
      </c>
      <c r="I892" s="17"/>
      <c r="J892" s="16" t="s">
        <v>35</v>
      </c>
      <c r="K892" s="13"/>
      <c r="L892" s="16" t="s">
        <v>54</v>
      </c>
      <c r="M892" s="16" t="s">
        <v>2350</v>
      </c>
      <c r="N892" s="16" t="s">
        <v>1694</v>
      </c>
      <c r="O892" s="16" t="s">
        <v>2995</v>
      </c>
      <c r="P892" s="18"/>
      <c r="Q892" s="16" t="s">
        <v>52</v>
      </c>
      <c r="R892" s="16" t="s">
        <v>133</v>
      </c>
      <c r="S892" s="16" t="s">
        <v>1493</v>
      </c>
      <c r="T892" s="16"/>
    </row>
    <row r="893">
      <c r="A893" s="54">
        <v>46223.444031736115</v>
      </c>
      <c r="B893" s="16" t="s">
        <v>49</v>
      </c>
      <c r="C893" s="16" t="s">
        <v>1697</v>
      </c>
      <c r="D893" s="16" t="s">
        <v>2182</v>
      </c>
      <c r="E893" s="42" t="s">
        <v>2989</v>
      </c>
      <c r="F893" s="39">
        <v>6.0</v>
      </c>
      <c r="G893" s="16" t="s">
        <v>181</v>
      </c>
      <c r="H893" s="51">
        <v>46220.0</v>
      </c>
      <c r="I893" s="17"/>
      <c r="J893" s="16" t="s">
        <v>35</v>
      </c>
      <c r="K893" s="13"/>
      <c r="L893" s="16" t="s">
        <v>54</v>
      </c>
      <c r="M893" s="16" t="s">
        <v>2350</v>
      </c>
      <c r="N893" s="16" t="s">
        <v>1698</v>
      </c>
      <c r="O893" s="16" t="s">
        <v>2996</v>
      </c>
      <c r="P893" s="18"/>
      <c r="Q893" s="16" t="s">
        <v>52</v>
      </c>
      <c r="R893" s="16" t="s">
        <v>133</v>
      </c>
      <c r="S893" s="16" t="s">
        <v>1493</v>
      </c>
      <c r="T893" s="16"/>
    </row>
    <row r="894">
      <c r="A894" s="54">
        <v>46223.44801961805</v>
      </c>
      <c r="B894" s="16" t="s">
        <v>49</v>
      </c>
      <c r="C894" s="16" t="s">
        <v>1679</v>
      </c>
      <c r="D894" s="16" t="s">
        <v>2997</v>
      </c>
      <c r="E894" s="42" t="s">
        <v>2975</v>
      </c>
      <c r="F894" s="39">
        <v>3.0</v>
      </c>
      <c r="G894" s="16" t="s">
        <v>181</v>
      </c>
      <c r="H894" s="51">
        <v>46220.0</v>
      </c>
      <c r="I894" s="17"/>
      <c r="J894" s="16" t="s">
        <v>35</v>
      </c>
      <c r="K894" s="13"/>
      <c r="L894" s="16" t="s">
        <v>54</v>
      </c>
      <c r="M894" s="16" t="s">
        <v>2350</v>
      </c>
      <c r="N894" s="16" t="s">
        <v>1679</v>
      </c>
      <c r="O894" s="16" t="s">
        <v>2998</v>
      </c>
      <c r="P894" s="18"/>
      <c r="Q894" s="16" t="s">
        <v>52</v>
      </c>
      <c r="R894" s="16" t="s">
        <v>133</v>
      </c>
      <c r="S894" s="16" t="s">
        <v>1493</v>
      </c>
      <c r="T894" s="16"/>
    </row>
    <row r="895">
      <c r="A895" s="54">
        <v>46223.45002270833</v>
      </c>
      <c r="B895" s="16" t="s">
        <v>49</v>
      </c>
      <c r="C895" s="16" t="s">
        <v>1675</v>
      </c>
      <c r="D895" s="16" t="s">
        <v>2971</v>
      </c>
      <c r="E895" s="42" t="s">
        <v>2972</v>
      </c>
      <c r="F895" s="39">
        <v>16.0</v>
      </c>
      <c r="G895" s="16" t="s">
        <v>181</v>
      </c>
      <c r="H895" s="51">
        <v>46220.0</v>
      </c>
      <c r="I895" s="17"/>
      <c r="J895" s="16" t="s">
        <v>35</v>
      </c>
      <c r="K895" s="13"/>
      <c r="L895" s="16" t="s">
        <v>54</v>
      </c>
      <c r="M895" s="16" t="s">
        <v>2350</v>
      </c>
      <c r="N895" s="16" t="s">
        <v>1676</v>
      </c>
      <c r="O895" s="16" t="s">
        <v>2999</v>
      </c>
      <c r="P895" s="18"/>
      <c r="Q895" s="16" t="s">
        <v>52</v>
      </c>
      <c r="R895" s="16" t="s">
        <v>133</v>
      </c>
      <c r="S895" s="16" t="s">
        <v>1493</v>
      </c>
      <c r="T895" s="16"/>
    </row>
    <row r="896">
      <c r="A896" s="54">
        <v>46223.46023052083</v>
      </c>
      <c r="B896" s="16" t="s">
        <v>49</v>
      </c>
      <c r="C896" s="16" t="s">
        <v>1646</v>
      </c>
      <c r="D896" s="16" t="s">
        <v>1485</v>
      </c>
      <c r="E896" s="31"/>
      <c r="F896" s="39">
        <v>13.0</v>
      </c>
      <c r="G896" s="16" t="s">
        <v>181</v>
      </c>
      <c r="H896" s="51">
        <v>46220.0</v>
      </c>
      <c r="I896" s="17"/>
      <c r="J896" s="16" t="s">
        <v>82</v>
      </c>
      <c r="K896" s="13"/>
      <c r="L896" s="16" t="s">
        <v>54</v>
      </c>
      <c r="M896" s="16" t="s">
        <v>2350</v>
      </c>
      <c r="N896" s="16" t="s">
        <v>1648</v>
      </c>
      <c r="O896" s="16" t="s">
        <v>3000</v>
      </c>
      <c r="P896" s="18"/>
      <c r="Q896" s="16" t="s">
        <v>52</v>
      </c>
      <c r="R896" s="16" t="s">
        <v>138</v>
      </c>
      <c r="S896" s="16" t="s">
        <v>1493</v>
      </c>
      <c r="T896" s="16"/>
    </row>
    <row r="897">
      <c r="A897" s="54">
        <v>46223.463473842596</v>
      </c>
      <c r="B897" s="16" t="s">
        <v>49</v>
      </c>
      <c r="C897" s="16" t="s">
        <v>1646</v>
      </c>
      <c r="D897" s="16" t="s">
        <v>1485</v>
      </c>
      <c r="E897" s="31"/>
      <c r="F897" s="39">
        <v>23.0</v>
      </c>
      <c r="G897" s="16" t="s">
        <v>181</v>
      </c>
      <c r="H897" s="51">
        <v>46220.0</v>
      </c>
      <c r="I897" s="17"/>
      <c r="J897" s="16" t="s">
        <v>82</v>
      </c>
      <c r="K897" s="13"/>
      <c r="L897" s="16" t="s">
        <v>54</v>
      </c>
      <c r="M897" s="16" t="s">
        <v>2350</v>
      </c>
      <c r="N897" s="16" t="s">
        <v>1648</v>
      </c>
      <c r="O897" s="16" t="s">
        <v>3000</v>
      </c>
      <c r="P897" s="18"/>
      <c r="Q897" s="16" t="s">
        <v>52</v>
      </c>
      <c r="R897" s="16" t="s">
        <v>138</v>
      </c>
      <c r="S897" s="16" t="s">
        <v>1493</v>
      </c>
      <c r="T897" s="16"/>
    </row>
    <row r="898">
      <c r="A898" s="54">
        <v>46223.47073785879</v>
      </c>
      <c r="B898" s="16" t="s">
        <v>49</v>
      </c>
      <c r="C898" s="16" t="s">
        <v>1689</v>
      </c>
      <c r="D898" s="16" t="s">
        <v>2182</v>
      </c>
      <c r="E898" s="42" t="s">
        <v>2985</v>
      </c>
      <c r="F898" s="39">
        <v>10.0</v>
      </c>
      <c r="G898" s="16" t="s">
        <v>181</v>
      </c>
      <c r="H898" s="51">
        <v>46220.0</v>
      </c>
      <c r="I898" s="17"/>
      <c r="J898" s="16" t="s">
        <v>35</v>
      </c>
      <c r="K898" s="13"/>
      <c r="L898" s="16" t="s">
        <v>54</v>
      </c>
      <c r="M898" s="16" t="s">
        <v>2350</v>
      </c>
      <c r="N898" s="16" t="s">
        <v>1722</v>
      </c>
      <c r="O898" s="16" t="s">
        <v>3001</v>
      </c>
      <c r="P898" s="18"/>
      <c r="Q898" s="16" t="s">
        <v>52</v>
      </c>
      <c r="R898" s="16" t="s">
        <v>138</v>
      </c>
      <c r="S898" s="16" t="s">
        <v>1493</v>
      </c>
      <c r="T898" s="16"/>
    </row>
    <row r="899">
      <c r="A899" s="54">
        <v>46223.4741379051</v>
      </c>
      <c r="B899" s="16" t="s">
        <v>49</v>
      </c>
      <c r="C899" s="16" t="s">
        <v>1683</v>
      </c>
      <c r="D899" s="16" t="s">
        <v>1834</v>
      </c>
      <c r="E899" s="42" t="s">
        <v>2978</v>
      </c>
      <c r="F899" s="39">
        <v>28.0</v>
      </c>
      <c r="G899" s="16" t="s">
        <v>181</v>
      </c>
      <c r="H899" s="51">
        <v>46220.0</v>
      </c>
      <c r="I899" s="17"/>
      <c r="J899" s="16" t="s">
        <v>35</v>
      </c>
      <c r="K899" s="13"/>
      <c r="L899" s="16" t="s">
        <v>54</v>
      </c>
      <c r="M899" s="16" t="s">
        <v>2350</v>
      </c>
      <c r="N899" s="16" t="s">
        <v>1685</v>
      </c>
      <c r="O899" s="16" t="s">
        <v>3002</v>
      </c>
      <c r="P899" s="18"/>
      <c r="Q899" s="16" t="s">
        <v>52</v>
      </c>
      <c r="R899" s="16" t="s">
        <v>138</v>
      </c>
      <c r="S899" s="16" t="s">
        <v>1493</v>
      </c>
      <c r="T899" s="16"/>
    </row>
    <row r="900">
      <c r="A900" s="54">
        <v>46223.47687530093</v>
      </c>
      <c r="B900" s="16" t="s">
        <v>49</v>
      </c>
      <c r="C900" s="16" t="s">
        <v>863</v>
      </c>
      <c r="D900" s="17"/>
      <c r="E900" s="42" t="s">
        <v>2982</v>
      </c>
      <c r="F900" s="39">
        <v>17.0</v>
      </c>
      <c r="G900" s="16" t="s">
        <v>181</v>
      </c>
      <c r="H900" s="51">
        <v>46220.0</v>
      </c>
      <c r="I900" s="17"/>
      <c r="J900" s="16" t="s">
        <v>35</v>
      </c>
      <c r="K900" s="13"/>
      <c r="L900" s="16" t="s">
        <v>54</v>
      </c>
      <c r="M900" s="16" t="s">
        <v>52</v>
      </c>
      <c r="N900" s="16" t="s">
        <v>863</v>
      </c>
      <c r="O900" s="16" t="s">
        <v>3003</v>
      </c>
      <c r="P900" s="18"/>
      <c r="Q900" s="16" t="s">
        <v>52</v>
      </c>
      <c r="R900" s="16" t="s">
        <v>138</v>
      </c>
      <c r="S900" s="16" t="s">
        <v>1493</v>
      </c>
      <c r="T900" s="16"/>
    </row>
    <row r="901">
      <c r="A901" s="54">
        <v>46223.482611875</v>
      </c>
      <c r="B901" s="16" t="s">
        <v>49</v>
      </c>
      <c r="C901" s="16" t="s">
        <v>1731</v>
      </c>
      <c r="D901" s="16" t="s">
        <v>3004</v>
      </c>
      <c r="E901" s="42" t="s">
        <v>3005</v>
      </c>
      <c r="F901" s="39">
        <v>17.0</v>
      </c>
      <c r="G901" s="16" t="s">
        <v>181</v>
      </c>
      <c r="H901" s="51">
        <v>46220.0</v>
      </c>
      <c r="I901" s="17"/>
      <c r="J901" s="16" t="s">
        <v>35</v>
      </c>
      <c r="K901" s="13"/>
      <c r="L901" s="16" t="s">
        <v>54</v>
      </c>
      <c r="M901" s="16" t="s">
        <v>2350</v>
      </c>
      <c r="N901" s="16" t="s">
        <v>1732</v>
      </c>
      <c r="O901" s="16" t="s">
        <v>3006</v>
      </c>
      <c r="P901" s="18"/>
      <c r="Q901" s="16" t="s">
        <v>52</v>
      </c>
      <c r="R901" s="16" t="s">
        <v>138</v>
      </c>
      <c r="S901" s="16" t="s">
        <v>1493</v>
      </c>
      <c r="T901" s="16"/>
    </row>
    <row r="902">
      <c r="A902" s="54">
        <v>46223.482611875</v>
      </c>
      <c r="B902" s="16" t="s">
        <v>49</v>
      </c>
      <c r="C902" s="16" t="s">
        <v>1731</v>
      </c>
      <c r="D902" s="16" t="s">
        <v>3004</v>
      </c>
      <c r="E902" s="42" t="s">
        <v>3005</v>
      </c>
      <c r="F902" s="39">
        <v>18.0</v>
      </c>
      <c r="G902" s="16" t="s">
        <v>181</v>
      </c>
      <c r="H902" s="51">
        <v>46220.0</v>
      </c>
      <c r="I902" s="17"/>
      <c r="J902" s="16" t="s">
        <v>35</v>
      </c>
      <c r="K902" s="13"/>
      <c r="L902" s="16" t="s">
        <v>54</v>
      </c>
      <c r="M902" s="16" t="s">
        <v>2350</v>
      </c>
      <c r="N902" s="16" t="s">
        <v>1732</v>
      </c>
      <c r="O902" s="16" t="s">
        <v>3006</v>
      </c>
      <c r="P902" s="18"/>
      <c r="Q902" s="16" t="s">
        <v>52</v>
      </c>
      <c r="R902" s="16" t="s">
        <v>138</v>
      </c>
      <c r="S902" s="16" t="s">
        <v>1493</v>
      </c>
      <c r="T902" s="16"/>
    </row>
    <row r="903">
      <c r="A903" s="54">
        <v>46223.482611875</v>
      </c>
      <c r="B903" s="16" t="s">
        <v>49</v>
      </c>
      <c r="C903" s="16" t="s">
        <v>1731</v>
      </c>
      <c r="D903" s="16" t="s">
        <v>3004</v>
      </c>
      <c r="E903" s="42" t="s">
        <v>3005</v>
      </c>
      <c r="F903" s="39">
        <v>18.0</v>
      </c>
      <c r="G903" s="16" t="s">
        <v>181</v>
      </c>
      <c r="H903" s="51">
        <v>46220.0</v>
      </c>
      <c r="I903" s="17"/>
      <c r="J903" s="16" t="s">
        <v>35</v>
      </c>
      <c r="K903" s="13"/>
      <c r="L903" s="16" t="s">
        <v>54</v>
      </c>
      <c r="M903" s="16" t="s">
        <v>2350</v>
      </c>
      <c r="N903" s="16" t="s">
        <v>1732</v>
      </c>
      <c r="O903" s="16" t="s">
        <v>3006</v>
      </c>
      <c r="P903" s="18"/>
      <c r="Q903" s="16" t="s">
        <v>52</v>
      </c>
      <c r="R903" s="16" t="s">
        <v>138</v>
      </c>
      <c r="S903" s="16" t="s">
        <v>1493</v>
      </c>
      <c r="T903" s="16"/>
    </row>
    <row r="904">
      <c r="A904" s="54">
        <v>46223.491435185184</v>
      </c>
      <c r="B904" s="16" t="s">
        <v>49</v>
      </c>
      <c r="C904" s="16" t="s">
        <v>853</v>
      </c>
      <c r="D904" s="16" t="s">
        <v>2785</v>
      </c>
      <c r="E904" s="31"/>
      <c r="F904" s="39">
        <v>4.0</v>
      </c>
      <c r="G904" s="16" t="s">
        <v>181</v>
      </c>
      <c r="H904" s="51">
        <v>46220.0</v>
      </c>
      <c r="I904" s="17"/>
      <c r="J904" s="16" t="s">
        <v>82</v>
      </c>
      <c r="K904" s="13"/>
      <c r="L904" s="16" t="s">
        <v>54</v>
      </c>
      <c r="M904" s="16" t="s">
        <v>2350</v>
      </c>
      <c r="N904" s="16" t="s">
        <v>1651</v>
      </c>
      <c r="O904" s="16" t="s">
        <v>3007</v>
      </c>
      <c r="P904" s="18"/>
      <c r="Q904" s="16" t="s">
        <v>52</v>
      </c>
      <c r="R904" s="16" t="s">
        <v>138</v>
      </c>
      <c r="S904" s="16" t="s">
        <v>1493</v>
      </c>
      <c r="T904" s="16"/>
    </row>
    <row r="905">
      <c r="A905" s="54">
        <v>46223.49085648148</v>
      </c>
      <c r="B905" s="16" t="s">
        <v>49</v>
      </c>
      <c r="C905" s="16" t="s">
        <v>853</v>
      </c>
      <c r="D905" s="16" t="s">
        <v>2785</v>
      </c>
      <c r="E905" s="31"/>
      <c r="F905" s="39">
        <v>2.0</v>
      </c>
      <c r="G905" s="16" t="s">
        <v>181</v>
      </c>
      <c r="H905" s="51">
        <v>46220.0</v>
      </c>
      <c r="I905" s="17"/>
      <c r="J905" s="16" t="s">
        <v>82</v>
      </c>
      <c r="K905" s="13"/>
      <c r="L905" s="16" t="s">
        <v>54</v>
      </c>
      <c r="M905" s="16" t="s">
        <v>2350</v>
      </c>
      <c r="N905" s="16" t="s">
        <v>1651</v>
      </c>
      <c r="O905" s="16" t="s">
        <v>3007</v>
      </c>
      <c r="P905" s="18"/>
      <c r="Q905" s="16" t="s">
        <v>52</v>
      </c>
      <c r="R905" s="16" t="s">
        <v>138</v>
      </c>
      <c r="S905" s="16" t="s">
        <v>1493</v>
      </c>
      <c r="T905" s="16"/>
    </row>
    <row r="906">
      <c r="A906" s="54">
        <v>46223.49091435185</v>
      </c>
      <c r="B906" s="16" t="s">
        <v>49</v>
      </c>
      <c r="C906" s="16" t="s">
        <v>853</v>
      </c>
      <c r="D906" s="16" t="s">
        <v>2785</v>
      </c>
      <c r="E906" s="31"/>
      <c r="F906" s="39">
        <v>10.0</v>
      </c>
      <c r="G906" s="16" t="s">
        <v>181</v>
      </c>
      <c r="H906" s="51">
        <v>46220.0</v>
      </c>
      <c r="I906" s="17"/>
      <c r="J906" s="16" t="s">
        <v>82</v>
      </c>
      <c r="K906" s="13"/>
      <c r="L906" s="16" t="s">
        <v>54</v>
      </c>
      <c r="M906" s="16" t="s">
        <v>2350</v>
      </c>
      <c r="N906" s="16" t="s">
        <v>1651</v>
      </c>
      <c r="O906" s="16" t="s">
        <v>3007</v>
      </c>
      <c r="P906" s="18"/>
      <c r="Q906" s="16" t="s">
        <v>52</v>
      </c>
      <c r="R906" s="16" t="s">
        <v>138</v>
      </c>
      <c r="S906" s="16" t="s">
        <v>1493</v>
      </c>
      <c r="T906" s="16"/>
    </row>
    <row r="907">
      <c r="A907" s="54">
        <v>46223.49108796296</v>
      </c>
      <c r="B907" s="16" t="s">
        <v>49</v>
      </c>
      <c r="C907" s="16" t="s">
        <v>853</v>
      </c>
      <c r="D907" s="16" t="s">
        <v>2785</v>
      </c>
      <c r="E907" s="31"/>
      <c r="F907" s="39">
        <v>10.0</v>
      </c>
      <c r="G907" s="16" t="s">
        <v>181</v>
      </c>
      <c r="H907" s="51">
        <v>46220.0</v>
      </c>
      <c r="I907" s="17"/>
      <c r="J907" s="16" t="s">
        <v>82</v>
      </c>
      <c r="K907" s="13"/>
      <c r="L907" s="16" t="s">
        <v>54</v>
      </c>
      <c r="M907" s="16" t="s">
        <v>2350</v>
      </c>
      <c r="N907" s="16" t="s">
        <v>1651</v>
      </c>
      <c r="O907" s="16" t="s">
        <v>3007</v>
      </c>
      <c r="P907" s="18"/>
      <c r="Q907" s="16" t="s">
        <v>52</v>
      </c>
      <c r="R907" s="16" t="s">
        <v>138</v>
      </c>
      <c r="S907" s="16" t="s">
        <v>1493</v>
      </c>
      <c r="T907" s="16"/>
    </row>
    <row r="908">
      <c r="A908" s="54">
        <v>46223.49307571759</v>
      </c>
      <c r="B908" s="16" t="s">
        <v>49</v>
      </c>
      <c r="C908" s="16" t="s">
        <v>853</v>
      </c>
      <c r="D908" s="16" t="s">
        <v>2785</v>
      </c>
      <c r="E908" s="31"/>
      <c r="F908" s="39">
        <v>2.0</v>
      </c>
      <c r="G908" s="16" t="s">
        <v>181</v>
      </c>
      <c r="H908" s="51">
        <v>46220.0</v>
      </c>
      <c r="I908" s="17"/>
      <c r="J908" s="16" t="s">
        <v>82</v>
      </c>
      <c r="K908" s="13"/>
      <c r="L908" s="16" t="s">
        <v>54</v>
      </c>
      <c r="M908" s="16" t="s">
        <v>2350</v>
      </c>
      <c r="N908" s="16" t="s">
        <v>1651</v>
      </c>
      <c r="O908" s="16" t="s">
        <v>3007</v>
      </c>
      <c r="P908" s="18"/>
      <c r="Q908" s="16" t="s">
        <v>52</v>
      </c>
      <c r="R908" s="16" t="s">
        <v>224</v>
      </c>
      <c r="S908" s="16" t="s">
        <v>1493</v>
      </c>
      <c r="T908" s="16"/>
    </row>
    <row r="909">
      <c r="A909" s="54">
        <v>46223.49309027778</v>
      </c>
      <c r="B909" s="16" t="s">
        <v>49</v>
      </c>
      <c r="C909" s="16" t="s">
        <v>853</v>
      </c>
      <c r="D909" s="16" t="s">
        <v>2785</v>
      </c>
      <c r="E909" s="31"/>
      <c r="F909" s="39">
        <v>2.0</v>
      </c>
      <c r="G909" s="16" t="s">
        <v>181</v>
      </c>
      <c r="H909" s="51">
        <v>46220.0</v>
      </c>
      <c r="I909" s="17"/>
      <c r="J909" s="16" t="s">
        <v>82</v>
      </c>
      <c r="K909" s="13"/>
      <c r="L909" s="16" t="s">
        <v>54</v>
      </c>
      <c r="M909" s="16" t="s">
        <v>2350</v>
      </c>
      <c r="N909" s="16" t="s">
        <v>1651</v>
      </c>
      <c r="O909" s="16" t="s">
        <v>3007</v>
      </c>
      <c r="P909" s="18"/>
      <c r="Q909" s="16" t="s">
        <v>52</v>
      </c>
      <c r="R909" s="16" t="s">
        <v>224</v>
      </c>
      <c r="S909" s="16" t="s">
        <v>1493</v>
      </c>
      <c r="T909" s="16"/>
    </row>
    <row r="910">
      <c r="A910" s="54">
        <v>46223.56396746528</v>
      </c>
      <c r="B910" s="16" t="s">
        <v>49</v>
      </c>
      <c r="C910" s="16" t="s">
        <v>1697</v>
      </c>
      <c r="D910" s="16" t="s">
        <v>2182</v>
      </c>
      <c r="E910" s="42" t="s">
        <v>2989</v>
      </c>
      <c r="F910" s="39">
        <v>1.0</v>
      </c>
      <c r="G910" s="16" t="s">
        <v>181</v>
      </c>
      <c r="H910" s="51">
        <v>46220.0</v>
      </c>
      <c r="I910" s="17"/>
      <c r="J910" s="16" t="s">
        <v>35</v>
      </c>
      <c r="K910" s="13"/>
      <c r="L910" s="16" t="s">
        <v>54</v>
      </c>
      <c r="M910" s="16" t="s">
        <v>2350</v>
      </c>
      <c r="N910" s="16" t="s">
        <v>1698</v>
      </c>
      <c r="O910" s="16" t="s">
        <v>2996</v>
      </c>
      <c r="P910" s="18"/>
      <c r="Q910" s="16" t="s">
        <v>52</v>
      </c>
      <c r="R910" s="16" t="s">
        <v>219</v>
      </c>
      <c r="S910" s="16" t="s">
        <v>1493</v>
      </c>
      <c r="T910" s="16"/>
    </row>
    <row r="911">
      <c r="A911" s="54">
        <v>46223.56396746528</v>
      </c>
      <c r="B911" s="16" t="s">
        <v>49</v>
      </c>
      <c r="C911" s="16" t="s">
        <v>1693</v>
      </c>
      <c r="D911" s="16" t="s">
        <v>2182</v>
      </c>
      <c r="E911" s="42" t="s">
        <v>2987</v>
      </c>
      <c r="F911" s="39">
        <v>1.0</v>
      </c>
      <c r="G911" s="16" t="s">
        <v>181</v>
      </c>
      <c r="H911" s="51">
        <v>46220.0</v>
      </c>
      <c r="I911" s="17"/>
      <c r="J911" s="16" t="s">
        <v>35</v>
      </c>
      <c r="K911" s="13"/>
      <c r="L911" s="16" t="s">
        <v>54</v>
      </c>
      <c r="M911" s="16" t="s">
        <v>2350</v>
      </c>
      <c r="N911" s="16" t="s">
        <v>1694</v>
      </c>
      <c r="O911" s="16" t="s">
        <v>2995</v>
      </c>
      <c r="P911" s="18"/>
      <c r="Q911" s="16" t="s">
        <v>52</v>
      </c>
      <c r="R911" s="16" t="s">
        <v>219</v>
      </c>
      <c r="S911" s="16" t="s">
        <v>1493</v>
      </c>
      <c r="T911" s="16"/>
    </row>
    <row r="912">
      <c r="A912" s="54">
        <v>46224.41550894676</v>
      </c>
      <c r="B912" s="16" t="s">
        <v>34</v>
      </c>
      <c r="C912" s="16" t="s">
        <v>1738</v>
      </c>
      <c r="D912" s="17"/>
      <c r="E912" s="31"/>
      <c r="F912" s="39">
        <v>3.0</v>
      </c>
      <c r="G912" s="16" t="s">
        <v>181</v>
      </c>
      <c r="H912" s="51">
        <v>46224.0</v>
      </c>
      <c r="I912" s="17"/>
      <c r="J912" s="16" t="s">
        <v>87</v>
      </c>
      <c r="K912" s="13"/>
      <c r="L912" s="16" t="s">
        <v>54</v>
      </c>
      <c r="M912" s="16" t="s">
        <v>2350</v>
      </c>
      <c r="N912" s="16" t="s">
        <v>1738</v>
      </c>
      <c r="O912" s="16" t="s">
        <v>3008</v>
      </c>
      <c r="P912" s="18"/>
      <c r="Q912" s="16" t="s">
        <v>52</v>
      </c>
      <c r="R912" s="16" t="s">
        <v>53</v>
      </c>
      <c r="S912" s="16" t="s">
        <v>1493</v>
      </c>
      <c r="T912" s="16" t="s">
        <v>388</v>
      </c>
    </row>
    <row r="913">
      <c r="A913" s="54">
        <v>46224.41550894676</v>
      </c>
      <c r="B913" s="16" t="s">
        <v>61</v>
      </c>
      <c r="C913" s="16" t="s">
        <v>1738</v>
      </c>
      <c r="D913" s="17"/>
      <c r="E913" s="31"/>
      <c r="F913" s="39">
        <v>1.0</v>
      </c>
      <c r="G913" s="16" t="s">
        <v>181</v>
      </c>
      <c r="H913" s="51">
        <v>46224.0</v>
      </c>
      <c r="I913" s="17"/>
      <c r="J913" s="16" t="s">
        <v>87</v>
      </c>
      <c r="K913" s="13"/>
      <c r="L913" s="16" t="s">
        <v>54</v>
      </c>
      <c r="M913" s="16" t="s">
        <v>2350</v>
      </c>
      <c r="N913" s="16" t="s">
        <v>1738</v>
      </c>
      <c r="O913" s="16" t="s">
        <v>3009</v>
      </c>
      <c r="P913" s="18"/>
      <c r="Q913" s="16" t="s">
        <v>52</v>
      </c>
      <c r="R913" s="16" t="s">
        <v>53</v>
      </c>
      <c r="S913" s="16" t="s">
        <v>1493</v>
      </c>
      <c r="T913" s="16" t="s">
        <v>388</v>
      </c>
    </row>
    <row r="914">
      <c r="A914" s="54">
        <v>46224.423685127316</v>
      </c>
      <c r="B914" s="16" t="s">
        <v>34</v>
      </c>
      <c r="C914" s="16" t="s">
        <v>1731</v>
      </c>
      <c r="D914" s="16" t="s">
        <v>3004</v>
      </c>
      <c r="E914" s="42" t="s">
        <v>3005</v>
      </c>
      <c r="F914" s="39">
        <v>7.0</v>
      </c>
      <c r="G914" s="16" t="s">
        <v>181</v>
      </c>
      <c r="H914" s="51">
        <v>46220.0</v>
      </c>
      <c r="I914" s="17"/>
      <c r="J914" s="16" t="s">
        <v>35</v>
      </c>
      <c r="K914" s="13"/>
      <c r="L914" s="16" t="s">
        <v>54</v>
      </c>
      <c r="M914" s="16" t="s">
        <v>2350</v>
      </c>
      <c r="N914" s="16" t="s">
        <v>1745</v>
      </c>
      <c r="O914" s="16" t="s">
        <v>3010</v>
      </c>
      <c r="P914" s="18"/>
      <c r="Q914" s="16" t="s">
        <v>52</v>
      </c>
      <c r="R914" s="16" t="s">
        <v>224</v>
      </c>
      <c r="S914" s="16" t="s">
        <v>1493</v>
      </c>
      <c r="T914" s="16"/>
    </row>
    <row r="915">
      <c r="A915" s="54">
        <v>46224.42526853009</v>
      </c>
      <c r="B915" s="16" t="s">
        <v>49</v>
      </c>
      <c r="C915" s="16" t="s">
        <v>1689</v>
      </c>
      <c r="D915" s="16" t="s">
        <v>2182</v>
      </c>
      <c r="E915" s="42" t="s">
        <v>2985</v>
      </c>
      <c r="F915" s="39">
        <v>2.0</v>
      </c>
      <c r="G915" s="16" t="s">
        <v>181</v>
      </c>
      <c r="H915" s="51">
        <v>46220.0</v>
      </c>
      <c r="I915" s="17"/>
      <c r="J915" s="16" t="s">
        <v>35</v>
      </c>
      <c r="K915" s="13"/>
      <c r="L915" s="16" t="s">
        <v>54</v>
      </c>
      <c r="M915" s="16" t="s">
        <v>2350</v>
      </c>
      <c r="N915" s="16" t="s">
        <v>1722</v>
      </c>
      <c r="O915" s="16" t="s">
        <v>3001</v>
      </c>
      <c r="P915" s="18"/>
      <c r="Q915" s="16" t="s">
        <v>52</v>
      </c>
      <c r="R915" s="16" t="s">
        <v>224</v>
      </c>
      <c r="S915" s="16" t="s">
        <v>1493</v>
      </c>
      <c r="T915" s="16"/>
    </row>
    <row r="916">
      <c r="A916" s="54">
        <v>46224.50097498843</v>
      </c>
      <c r="B916" s="16" t="s">
        <v>104</v>
      </c>
      <c r="C916" s="16" t="s">
        <v>1747</v>
      </c>
      <c r="D916" s="17"/>
      <c r="E916" s="31"/>
      <c r="F916" s="39">
        <v>1.0</v>
      </c>
      <c r="G916" s="16" t="s">
        <v>181</v>
      </c>
      <c r="H916" s="51">
        <v>46224.0</v>
      </c>
      <c r="I916" s="17"/>
      <c r="J916" s="16" t="s">
        <v>92</v>
      </c>
      <c r="K916" s="12" t="s">
        <v>2480</v>
      </c>
      <c r="L916" s="16" t="s">
        <v>54</v>
      </c>
      <c r="M916" s="16" t="s">
        <v>2350</v>
      </c>
      <c r="N916" s="16" t="s">
        <v>376</v>
      </c>
      <c r="O916" s="16" t="s">
        <v>3012</v>
      </c>
      <c r="P916" s="18"/>
      <c r="Q916" s="16" t="s">
        <v>52</v>
      </c>
      <c r="R916" s="16" t="s">
        <v>17</v>
      </c>
      <c r="S916" s="16" t="s">
        <v>1493</v>
      </c>
      <c r="T916" s="16"/>
    </row>
    <row r="917">
      <c r="A917" s="54">
        <v>46224.50097498843</v>
      </c>
      <c r="B917" s="16" t="s">
        <v>68</v>
      </c>
      <c r="C917" s="16" t="s">
        <v>1542</v>
      </c>
      <c r="D917" s="17"/>
      <c r="E917" s="31"/>
      <c r="F917" s="39">
        <v>4.0</v>
      </c>
      <c r="G917" s="16" t="s">
        <v>181</v>
      </c>
      <c r="H917" s="51">
        <v>46224.0</v>
      </c>
      <c r="I917" s="17"/>
      <c r="J917" s="16" t="s">
        <v>92</v>
      </c>
      <c r="K917" s="12" t="s">
        <v>2480</v>
      </c>
      <c r="L917" s="16" t="s">
        <v>54</v>
      </c>
      <c r="M917" s="16" t="s">
        <v>2350</v>
      </c>
      <c r="N917" s="16" t="s">
        <v>376</v>
      </c>
      <c r="O917" s="16" t="s">
        <v>2865</v>
      </c>
      <c r="P917" s="18"/>
      <c r="Q917" s="16" t="s">
        <v>52</v>
      </c>
      <c r="R917" s="16" t="s">
        <v>17</v>
      </c>
      <c r="S917" s="16" t="s">
        <v>1493</v>
      </c>
      <c r="T917" s="16"/>
    </row>
    <row r="918">
      <c r="A918" s="54">
        <v>46224.50097498843</v>
      </c>
      <c r="B918" s="16" t="s">
        <v>104</v>
      </c>
      <c r="C918" s="16" t="s">
        <v>1749</v>
      </c>
      <c r="D918" s="17"/>
      <c r="E918" s="31"/>
      <c r="F918" s="39">
        <v>1.0</v>
      </c>
      <c r="G918" s="16" t="s">
        <v>181</v>
      </c>
      <c r="H918" s="51">
        <v>46224.0</v>
      </c>
      <c r="I918" s="17"/>
      <c r="J918" s="16" t="s">
        <v>92</v>
      </c>
      <c r="K918" s="12" t="s">
        <v>2480</v>
      </c>
      <c r="L918" s="16" t="s">
        <v>54</v>
      </c>
      <c r="M918" s="16" t="s">
        <v>2350</v>
      </c>
      <c r="N918" s="16" t="s">
        <v>376</v>
      </c>
      <c r="O918" s="16" t="s">
        <v>3015</v>
      </c>
      <c r="P918" s="18"/>
      <c r="Q918" s="16" t="s">
        <v>52</v>
      </c>
      <c r="R918" s="16" t="s">
        <v>17</v>
      </c>
      <c r="S918" s="16" t="s">
        <v>1493</v>
      </c>
      <c r="T918" s="16"/>
    </row>
    <row r="919">
      <c r="A919" s="54">
        <v>46224.50097498843</v>
      </c>
      <c r="B919" s="16" t="s">
        <v>104</v>
      </c>
      <c r="C919" s="16" t="s">
        <v>1750</v>
      </c>
      <c r="D919" s="17"/>
      <c r="E919" s="31"/>
      <c r="F919" s="39">
        <v>2.0</v>
      </c>
      <c r="G919" s="16" t="s">
        <v>181</v>
      </c>
      <c r="H919" s="51">
        <v>46224.0</v>
      </c>
      <c r="I919" s="17"/>
      <c r="J919" s="16" t="s">
        <v>92</v>
      </c>
      <c r="K919" s="12" t="s">
        <v>2480</v>
      </c>
      <c r="L919" s="16" t="s">
        <v>54</v>
      </c>
      <c r="M919" s="16" t="s">
        <v>2350</v>
      </c>
      <c r="N919" s="16" t="s">
        <v>376</v>
      </c>
      <c r="O919" s="16" t="s">
        <v>3016</v>
      </c>
      <c r="P919" s="18"/>
      <c r="Q919" s="16" t="s">
        <v>52</v>
      </c>
      <c r="R919" s="17"/>
      <c r="S919" s="16" t="s">
        <v>1493</v>
      </c>
      <c r="T919" s="16"/>
    </row>
    <row r="920">
      <c r="A920" s="54">
        <v>46224.55430386574</v>
      </c>
      <c r="B920" s="16" t="s">
        <v>104</v>
      </c>
      <c r="C920" s="16" t="s">
        <v>1751</v>
      </c>
      <c r="D920" s="17"/>
      <c r="E920" s="42" t="s">
        <v>3018</v>
      </c>
      <c r="F920" s="39">
        <v>1.0</v>
      </c>
      <c r="G920" s="16" t="s">
        <v>181</v>
      </c>
      <c r="H920" s="51">
        <v>46224.0</v>
      </c>
      <c r="I920" s="17"/>
      <c r="J920" s="16" t="s">
        <v>92</v>
      </c>
      <c r="K920" s="13"/>
      <c r="L920" s="16" t="s">
        <v>54</v>
      </c>
      <c r="M920" s="16" t="s">
        <v>2350</v>
      </c>
      <c r="N920" s="16" t="s">
        <v>1751</v>
      </c>
      <c r="O920" s="16" t="s">
        <v>3019</v>
      </c>
      <c r="P920" s="18"/>
      <c r="Q920" s="16" t="s">
        <v>52</v>
      </c>
      <c r="R920" s="16" t="s">
        <v>183</v>
      </c>
      <c r="S920" s="16" t="s">
        <v>1493</v>
      </c>
      <c r="T920" s="16"/>
    </row>
    <row r="921">
      <c r="A921" s="54">
        <v>46225.36442267361</v>
      </c>
      <c r="B921" s="16" t="s">
        <v>34</v>
      </c>
      <c r="C921" s="16" t="s">
        <v>853</v>
      </c>
      <c r="D921" s="17"/>
      <c r="E921" s="31"/>
      <c r="F921" s="39">
        <v>68.0</v>
      </c>
      <c r="G921" s="16" t="s">
        <v>181</v>
      </c>
      <c r="H921" s="51">
        <v>46225.0</v>
      </c>
      <c r="I921" s="16" t="s">
        <v>195</v>
      </c>
      <c r="J921" s="17"/>
      <c r="K921" s="13"/>
      <c r="L921" s="16" t="s">
        <v>2507</v>
      </c>
      <c r="M921" s="16" t="s">
        <v>3021</v>
      </c>
      <c r="N921" s="17"/>
      <c r="O921" s="16" t="s">
        <v>2951</v>
      </c>
      <c r="P921" s="18"/>
      <c r="Q921" s="16" t="s">
        <v>52</v>
      </c>
      <c r="R921" s="16" t="s">
        <v>1651</v>
      </c>
      <c r="S921" s="16" t="s">
        <v>1607</v>
      </c>
      <c r="T921" s="16"/>
    </row>
    <row r="922">
      <c r="A922" s="54">
        <v>46226.348499432876</v>
      </c>
      <c r="B922" s="16" t="s">
        <v>104</v>
      </c>
      <c r="C922" s="16" t="s">
        <v>726</v>
      </c>
      <c r="D922" s="17"/>
      <c r="E922" s="31"/>
      <c r="F922" s="39">
        <v>1.0</v>
      </c>
      <c r="G922" s="16" t="s">
        <v>181</v>
      </c>
      <c r="H922" s="51">
        <v>46225.0</v>
      </c>
      <c r="I922" s="17"/>
      <c r="J922" s="16" t="s">
        <v>672</v>
      </c>
      <c r="K922" s="12" t="s">
        <v>3023</v>
      </c>
      <c r="L922" s="16" t="s">
        <v>54</v>
      </c>
      <c r="M922" s="16" t="s">
        <v>2350</v>
      </c>
      <c r="N922" s="16" t="s">
        <v>30</v>
      </c>
      <c r="O922" s="16" t="s">
        <v>3024</v>
      </c>
      <c r="P922" s="18"/>
      <c r="Q922" s="16" t="s">
        <v>52</v>
      </c>
      <c r="R922" s="16" t="s">
        <v>292</v>
      </c>
      <c r="S922" s="16" t="s">
        <v>1493</v>
      </c>
      <c r="T922" s="16"/>
    </row>
    <row r="923">
      <c r="A923" s="54">
        <v>46226.35508145833</v>
      </c>
      <c r="B923" s="16" t="s">
        <v>104</v>
      </c>
      <c r="C923" s="16" t="s">
        <v>769</v>
      </c>
      <c r="D923" s="17"/>
      <c r="E923" s="31"/>
      <c r="F923" s="39">
        <v>8.0</v>
      </c>
      <c r="G923" s="16" t="s">
        <v>181</v>
      </c>
      <c r="H923" s="51">
        <v>46225.0</v>
      </c>
      <c r="I923" s="17"/>
      <c r="J923" s="16" t="s">
        <v>92</v>
      </c>
      <c r="K923" s="12" t="s">
        <v>442</v>
      </c>
      <c r="L923" s="16" t="s">
        <v>54</v>
      </c>
      <c r="M923" s="16" t="s">
        <v>2350</v>
      </c>
      <c r="N923" s="16" t="s">
        <v>30</v>
      </c>
      <c r="O923" s="16" t="s">
        <v>3025</v>
      </c>
      <c r="P923" s="18"/>
      <c r="Q923" s="16" t="s">
        <v>52</v>
      </c>
      <c r="R923" s="16" t="s">
        <v>284</v>
      </c>
      <c r="S923" s="16" t="s">
        <v>1493</v>
      </c>
      <c r="T923" s="16"/>
    </row>
    <row r="924">
      <c r="A924" s="54">
        <v>46226.490724166666</v>
      </c>
      <c r="B924" s="16" t="s">
        <v>34</v>
      </c>
      <c r="C924" s="16" t="s">
        <v>853</v>
      </c>
      <c r="D924" s="16" t="s">
        <v>2785</v>
      </c>
      <c r="E924" s="31"/>
      <c r="F924" s="39">
        <v>1.0</v>
      </c>
      <c r="G924" s="16" t="s">
        <v>181</v>
      </c>
      <c r="H924" s="51">
        <v>46226.0</v>
      </c>
      <c r="I924" s="17"/>
      <c r="J924" s="16" t="s">
        <v>82</v>
      </c>
      <c r="K924" s="12" t="s">
        <v>3026</v>
      </c>
      <c r="L924" s="16" t="s">
        <v>54</v>
      </c>
      <c r="M924" s="16" t="s">
        <v>2350</v>
      </c>
      <c r="N924" s="16" t="s">
        <v>1651</v>
      </c>
      <c r="O924" s="16" t="s">
        <v>2951</v>
      </c>
      <c r="P924" s="18"/>
      <c r="Q924" s="16" t="s">
        <v>52</v>
      </c>
      <c r="R924" s="16" t="s">
        <v>206</v>
      </c>
      <c r="S924" s="16" t="s">
        <v>1493</v>
      </c>
      <c r="T924" s="16"/>
    </row>
    <row r="925">
      <c r="A925" s="54">
        <v>46226.49327152778</v>
      </c>
      <c r="B925" s="16" t="s">
        <v>34</v>
      </c>
      <c r="C925" s="16" t="s">
        <v>1752</v>
      </c>
      <c r="D925" s="17"/>
      <c r="E925" s="31"/>
      <c r="F925" s="39">
        <v>1.0</v>
      </c>
      <c r="G925" s="16" t="s">
        <v>181</v>
      </c>
      <c r="H925" s="51">
        <v>46226.0</v>
      </c>
      <c r="I925" s="17"/>
      <c r="J925" s="16" t="s">
        <v>576</v>
      </c>
      <c r="K925" s="12" t="s">
        <v>3027</v>
      </c>
      <c r="L925" s="16" t="s">
        <v>54</v>
      </c>
      <c r="M925" s="16" t="s">
        <v>2350</v>
      </c>
      <c r="N925" s="16" t="s">
        <v>1752</v>
      </c>
      <c r="O925" s="16" t="s">
        <v>3028</v>
      </c>
      <c r="P925" s="18"/>
      <c r="Q925" s="16" t="s">
        <v>52</v>
      </c>
      <c r="R925" s="16" t="s">
        <v>206</v>
      </c>
      <c r="S925" s="16" t="s">
        <v>1493</v>
      </c>
      <c r="T925" s="16"/>
    </row>
    <row r="926">
      <c r="A926" s="54">
        <v>46226.49594851852</v>
      </c>
      <c r="B926" s="16" t="s">
        <v>34</v>
      </c>
      <c r="C926" s="16" t="s">
        <v>1675</v>
      </c>
      <c r="D926" s="16" t="s">
        <v>2971</v>
      </c>
      <c r="E926" s="42" t="s">
        <v>2972</v>
      </c>
      <c r="F926" s="39">
        <v>1.0</v>
      </c>
      <c r="G926" s="16" t="s">
        <v>181</v>
      </c>
      <c r="H926" s="51">
        <v>46226.0</v>
      </c>
      <c r="I926" s="17"/>
      <c r="J926" s="16" t="s">
        <v>35</v>
      </c>
      <c r="K926" s="12" t="s">
        <v>3029</v>
      </c>
      <c r="L926" s="16" t="s">
        <v>54</v>
      </c>
      <c r="M926" s="16" t="s">
        <v>2350</v>
      </c>
      <c r="N926" s="16" t="s">
        <v>1676</v>
      </c>
      <c r="O926" s="16" t="s">
        <v>2974</v>
      </c>
      <c r="P926" s="18"/>
      <c r="Q926" s="16" t="s">
        <v>52</v>
      </c>
      <c r="R926" s="16" t="s">
        <v>174</v>
      </c>
      <c r="S926" s="16" t="s">
        <v>1493</v>
      </c>
      <c r="T926" s="16"/>
    </row>
    <row r="927">
      <c r="A927" s="54">
        <v>46226.50193828704</v>
      </c>
      <c r="B927" s="16" t="s">
        <v>34</v>
      </c>
      <c r="C927" s="16" t="s">
        <v>866</v>
      </c>
      <c r="D927" s="16" t="s">
        <v>3004</v>
      </c>
      <c r="E927" s="42" t="s">
        <v>3005</v>
      </c>
      <c r="F927" s="39">
        <v>7.0</v>
      </c>
      <c r="G927" s="16" t="s">
        <v>181</v>
      </c>
      <c r="H927" s="51">
        <v>46226.0</v>
      </c>
      <c r="I927" s="17"/>
      <c r="J927" s="16" t="s">
        <v>35</v>
      </c>
      <c r="K927" s="12" t="s">
        <v>3030</v>
      </c>
      <c r="L927" s="16" t="s">
        <v>54</v>
      </c>
      <c r="M927" s="16" t="s">
        <v>2350</v>
      </c>
      <c r="N927" s="16" t="s">
        <v>1745</v>
      </c>
      <c r="O927" s="16" t="s">
        <v>3031</v>
      </c>
      <c r="P927" s="18"/>
      <c r="Q927" s="16" t="s">
        <v>52</v>
      </c>
      <c r="R927" s="16" t="s">
        <v>88</v>
      </c>
      <c r="S927" s="16" t="s">
        <v>1493</v>
      </c>
      <c r="T927" s="16"/>
    </row>
    <row r="928">
      <c r="A928" s="54">
        <v>46226.510588888894</v>
      </c>
      <c r="B928" s="16" t="s">
        <v>34</v>
      </c>
      <c r="C928" s="16" t="s">
        <v>868</v>
      </c>
      <c r="D928" s="17"/>
      <c r="E928" s="42" t="s">
        <v>3033</v>
      </c>
      <c r="F928" s="39">
        <v>2.0</v>
      </c>
      <c r="G928" s="16" t="s">
        <v>181</v>
      </c>
      <c r="H928" s="51">
        <v>46226.0</v>
      </c>
      <c r="I928" s="17"/>
      <c r="J928" s="16" t="s">
        <v>35</v>
      </c>
      <c r="K928" s="12" t="s">
        <v>3034</v>
      </c>
      <c r="L928" s="16" t="s">
        <v>54</v>
      </c>
      <c r="M928" s="16" t="s">
        <v>2350</v>
      </c>
      <c r="N928" s="16" t="s">
        <v>1237</v>
      </c>
      <c r="O928" s="16" t="s">
        <v>3036</v>
      </c>
      <c r="P928" s="18"/>
      <c r="Q928" s="16" t="s">
        <v>52</v>
      </c>
      <c r="R928" s="16" t="s">
        <v>207</v>
      </c>
      <c r="S928" s="16" t="s">
        <v>1493</v>
      </c>
      <c r="T928" s="16"/>
    </row>
    <row r="929">
      <c r="A929" s="54">
        <v>46226.51197115741</v>
      </c>
      <c r="B929" s="16" t="s">
        <v>34</v>
      </c>
      <c r="C929" s="16" t="s">
        <v>866</v>
      </c>
      <c r="D929" s="17"/>
      <c r="E929" s="31"/>
      <c r="F929" s="39">
        <v>7.0</v>
      </c>
      <c r="G929" s="16" t="s">
        <v>181</v>
      </c>
      <c r="H929" s="51">
        <v>46226.0</v>
      </c>
      <c r="I929" s="16" t="s">
        <v>88</v>
      </c>
      <c r="J929" s="17"/>
      <c r="K929" s="13"/>
      <c r="L929" s="16" t="s">
        <v>2507</v>
      </c>
      <c r="M929" s="16" t="s">
        <v>2848</v>
      </c>
      <c r="N929" s="17"/>
      <c r="O929" s="16" t="s">
        <v>3031</v>
      </c>
      <c r="P929" s="18"/>
      <c r="Q929" s="16" t="s">
        <v>52</v>
      </c>
      <c r="R929" s="16" t="s">
        <v>1745</v>
      </c>
      <c r="S929" s="16" t="s">
        <v>1607</v>
      </c>
      <c r="T929" s="16"/>
    </row>
    <row r="930">
      <c r="A930" s="54">
        <v>46226.51197115741</v>
      </c>
      <c r="B930" s="16" t="s">
        <v>34</v>
      </c>
      <c r="C930" s="16" t="s">
        <v>868</v>
      </c>
      <c r="D930" s="17"/>
      <c r="E930" s="31"/>
      <c r="F930" s="39">
        <v>2.0</v>
      </c>
      <c r="G930" s="16" t="s">
        <v>181</v>
      </c>
      <c r="H930" s="51">
        <v>46226.0</v>
      </c>
      <c r="I930" s="16" t="s">
        <v>207</v>
      </c>
      <c r="J930" s="17"/>
      <c r="K930" s="13"/>
      <c r="L930" s="16" t="s">
        <v>2507</v>
      </c>
      <c r="M930" s="16" t="s">
        <v>2848</v>
      </c>
      <c r="N930" s="17"/>
      <c r="O930" s="16" t="s">
        <v>3036</v>
      </c>
      <c r="P930" s="18"/>
      <c r="Q930" s="16" t="s">
        <v>52</v>
      </c>
      <c r="R930" s="16" t="s">
        <v>1237</v>
      </c>
      <c r="S930" s="16" t="s">
        <v>1607</v>
      </c>
      <c r="T930" s="16"/>
    </row>
    <row r="931">
      <c r="A931" s="54">
        <v>46226.58757560185</v>
      </c>
      <c r="B931" s="16" t="s">
        <v>34</v>
      </c>
      <c r="C931" s="16" t="s">
        <v>1738</v>
      </c>
      <c r="D931" s="17"/>
      <c r="E931" s="31"/>
      <c r="F931" s="39">
        <v>3.0</v>
      </c>
      <c r="G931" s="16" t="s">
        <v>181</v>
      </c>
      <c r="H931" s="51">
        <v>46226.0</v>
      </c>
      <c r="I931" s="16" t="s">
        <v>53</v>
      </c>
      <c r="J931" s="17"/>
      <c r="K931" s="13"/>
      <c r="L931" s="16" t="s">
        <v>54</v>
      </c>
      <c r="M931" s="16" t="s">
        <v>2350</v>
      </c>
      <c r="N931" s="16" t="s">
        <v>376</v>
      </c>
      <c r="O931" s="16" t="s">
        <v>3008</v>
      </c>
      <c r="P931" s="18"/>
      <c r="Q931" s="16" t="s">
        <v>52</v>
      </c>
      <c r="R931" s="16" t="s">
        <v>191</v>
      </c>
      <c r="S931" s="16" t="s">
        <v>1895</v>
      </c>
      <c r="T931" s="16"/>
    </row>
    <row r="932">
      <c r="A932" s="54">
        <v>46230.620161203704</v>
      </c>
      <c r="B932" s="16" t="s">
        <v>75</v>
      </c>
      <c r="C932" s="16" t="s">
        <v>121</v>
      </c>
      <c r="D932" s="17"/>
      <c r="E932" s="31"/>
      <c r="F932" s="39">
        <v>282.0</v>
      </c>
      <c r="G932" s="16" t="s">
        <v>181</v>
      </c>
      <c r="H932" s="51">
        <v>46230.0</v>
      </c>
      <c r="I932" s="16" t="s">
        <v>17</v>
      </c>
      <c r="J932" s="17"/>
      <c r="K932" s="12" t="s">
        <v>3037</v>
      </c>
      <c r="L932" s="16" t="s">
        <v>2507</v>
      </c>
      <c r="M932" s="16" t="s">
        <v>52</v>
      </c>
      <c r="N932" s="17"/>
      <c r="O932" s="16" t="s">
        <v>2191</v>
      </c>
      <c r="P932" s="18"/>
      <c r="Q932" s="16" t="s">
        <v>52</v>
      </c>
      <c r="R932" s="16" t="s">
        <v>121</v>
      </c>
      <c r="S932" s="16" t="s">
        <v>1607</v>
      </c>
      <c r="T932" s="16"/>
    </row>
    <row r="933">
      <c r="A933" s="54">
        <v>46230.66761767361</v>
      </c>
      <c r="B933" s="16" t="s">
        <v>75</v>
      </c>
      <c r="C933" s="16" t="s">
        <v>791</v>
      </c>
      <c r="D933" s="17"/>
      <c r="E933" s="31"/>
      <c r="F933" s="39">
        <v>264.0</v>
      </c>
      <c r="G933" s="16" t="s">
        <v>181</v>
      </c>
      <c r="H933" s="51">
        <v>46230.0</v>
      </c>
      <c r="I933" s="16" t="s">
        <v>17</v>
      </c>
      <c r="J933" s="17"/>
      <c r="K933" s="12" t="s">
        <v>3038</v>
      </c>
      <c r="L933" s="16" t="s">
        <v>2507</v>
      </c>
      <c r="M933" s="16" t="s">
        <v>52</v>
      </c>
      <c r="N933" s="17"/>
      <c r="O933" s="16" t="s">
        <v>2612</v>
      </c>
      <c r="P933" s="18"/>
      <c r="Q933" s="16" t="s">
        <v>52</v>
      </c>
      <c r="R933" s="16" t="s">
        <v>791</v>
      </c>
      <c r="S933" s="16" t="s">
        <v>1607</v>
      </c>
      <c r="T933" s="16"/>
    </row>
    <row r="934">
      <c r="A934" s="54">
        <v>46230.68655633102</v>
      </c>
      <c r="B934" s="16" t="s">
        <v>49</v>
      </c>
      <c r="C934" s="16" t="s">
        <v>573</v>
      </c>
      <c r="D934" s="17"/>
      <c r="E934" s="31"/>
      <c r="F934" s="39">
        <v>4.0</v>
      </c>
      <c r="G934" s="16" t="s">
        <v>181</v>
      </c>
      <c r="H934" s="51">
        <v>46230.0</v>
      </c>
      <c r="I934" s="16" t="s">
        <v>123</v>
      </c>
      <c r="J934" s="17"/>
      <c r="K934" s="13"/>
      <c r="L934" s="16" t="s">
        <v>2507</v>
      </c>
      <c r="M934" s="16" t="s">
        <v>625</v>
      </c>
      <c r="N934" s="17"/>
      <c r="O934" s="16" t="s">
        <v>2355</v>
      </c>
      <c r="P934" s="18"/>
      <c r="Q934" s="16" t="s">
        <v>52</v>
      </c>
      <c r="R934" s="16" t="s">
        <v>573</v>
      </c>
      <c r="S934" s="16" t="s">
        <v>1607</v>
      </c>
      <c r="T934" s="16"/>
    </row>
    <row r="935">
      <c r="A935" s="54">
        <v>46230.68655633102</v>
      </c>
      <c r="B935" s="16" t="s">
        <v>49</v>
      </c>
      <c r="C935" s="16" t="s">
        <v>573</v>
      </c>
      <c r="D935" s="17"/>
      <c r="E935" s="31"/>
      <c r="F935" s="39">
        <v>1.0</v>
      </c>
      <c r="G935" s="16" t="s">
        <v>181</v>
      </c>
      <c r="H935" s="51">
        <v>46230.0</v>
      </c>
      <c r="I935" s="16" t="s">
        <v>219</v>
      </c>
      <c r="J935" s="17"/>
      <c r="K935" s="13"/>
      <c r="L935" s="16" t="s">
        <v>2507</v>
      </c>
      <c r="M935" s="16" t="s">
        <v>625</v>
      </c>
      <c r="N935" s="17"/>
      <c r="O935" s="16" t="s">
        <v>2355</v>
      </c>
      <c r="P935" s="18"/>
      <c r="Q935" s="16" t="s">
        <v>52</v>
      </c>
      <c r="R935" s="16" t="s">
        <v>573</v>
      </c>
      <c r="S935" s="16" t="s">
        <v>1607</v>
      </c>
      <c r="T935" s="16"/>
    </row>
    <row r="936">
      <c r="A936" s="54">
        <v>46230.691351331014</v>
      </c>
      <c r="B936" s="16" t="s">
        <v>49</v>
      </c>
      <c r="C936" s="16" t="s">
        <v>558</v>
      </c>
      <c r="D936" s="17"/>
      <c r="E936" s="31"/>
      <c r="F936" s="39">
        <v>4.0</v>
      </c>
      <c r="G936" s="16" t="s">
        <v>181</v>
      </c>
      <c r="H936" s="51">
        <v>46230.0</v>
      </c>
      <c r="I936" s="16" t="s">
        <v>123</v>
      </c>
      <c r="J936" s="17"/>
      <c r="K936" s="13"/>
      <c r="L936" s="16" t="s">
        <v>2507</v>
      </c>
      <c r="M936" s="16" t="s">
        <v>625</v>
      </c>
      <c r="N936" s="17"/>
      <c r="O936" s="16" t="s">
        <v>2346</v>
      </c>
      <c r="P936" s="18"/>
      <c r="Q936" s="16" t="s">
        <v>52</v>
      </c>
      <c r="R936" s="16" t="s">
        <v>558</v>
      </c>
      <c r="S936" s="16" t="s">
        <v>1607</v>
      </c>
      <c r="T936" s="16"/>
    </row>
    <row r="937">
      <c r="A937" s="54">
        <v>46230.691351331014</v>
      </c>
      <c r="B937" s="16" t="s">
        <v>49</v>
      </c>
      <c r="C937" s="16" t="s">
        <v>558</v>
      </c>
      <c r="D937" s="17"/>
      <c r="E937" s="31"/>
      <c r="F937" s="39">
        <v>1.0</v>
      </c>
      <c r="G937" s="16" t="s">
        <v>181</v>
      </c>
      <c r="H937" s="51">
        <v>46230.0</v>
      </c>
      <c r="I937" s="16" t="s">
        <v>219</v>
      </c>
      <c r="J937" s="17"/>
      <c r="K937" s="13"/>
      <c r="L937" s="16" t="s">
        <v>2507</v>
      </c>
      <c r="M937" s="16" t="s">
        <v>625</v>
      </c>
      <c r="N937" s="17"/>
      <c r="O937" s="16" t="s">
        <v>2346</v>
      </c>
      <c r="P937" s="18"/>
      <c r="Q937" s="16" t="s">
        <v>52</v>
      </c>
      <c r="R937" s="16" t="s">
        <v>558</v>
      </c>
      <c r="S937" s="16" t="s">
        <v>1607</v>
      </c>
      <c r="T937" s="16"/>
    </row>
    <row r="938">
      <c r="A938" s="54">
        <v>46231.33027711806</v>
      </c>
      <c r="B938" s="16" t="s">
        <v>49</v>
      </c>
      <c r="C938" s="16" t="s">
        <v>565</v>
      </c>
      <c r="D938" s="16" t="s">
        <v>1061</v>
      </c>
      <c r="E938" s="31"/>
      <c r="F938" s="39">
        <v>4.0</v>
      </c>
      <c r="G938" s="16" t="s">
        <v>181</v>
      </c>
      <c r="H938" s="51">
        <v>46230.0</v>
      </c>
      <c r="I938" s="16" t="s">
        <v>123</v>
      </c>
      <c r="J938" s="17"/>
      <c r="K938" s="13"/>
      <c r="L938" s="16" t="s">
        <v>2507</v>
      </c>
      <c r="M938" s="16" t="s">
        <v>625</v>
      </c>
      <c r="N938" s="17"/>
      <c r="O938" s="16" t="s">
        <v>2352</v>
      </c>
      <c r="P938" s="18"/>
      <c r="Q938" s="16" t="s">
        <v>52</v>
      </c>
      <c r="R938" s="16" t="s">
        <v>2351</v>
      </c>
      <c r="S938" s="16" t="s">
        <v>1607</v>
      </c>
      <c r="T938" s="16"/>
    </row>
    <row r="939">
      <c r="A939" s="54">
        <v>46231.33027711806</v>
      </c>
      <c r="B939" s="16" t="s">
        <v>49</v>
      </c>
      <c r="C939" s="16" t="s">
        <v>565</v>
      </c>
      <c r="D939" s="16" t="s">
        <v>1061</v>
      </c>
      <c r="E939" s="31"/>
      <c r="F939" s="39">
        <v>1.0</v>
      </c>
      <c r="G939" s="16" t="s">
        <v>181</v>
      </c>
      <c r="H939" s="51">
        <v>46230.0</v>
      </c>
      <c r="I939" s="16" t="s">
        <v>219</v>
      </c>
      <c r="J939" s="17"/>
      <c r="K939" s="13"/>
      <c r="L939" s="16" t="s">
        <v>2507</v>
      </c>
      <c r="M939" s="16" t="s">
        <v>625</v>
      </c>
      <c r="N939" s="17"/>
      <c r="O939" s="16" t="s">
        <v>2352</v>
      </c>
      <c r="P939" s="18"/>
      <c r="Q939" s="16" t="s">
        <v>52</v>
      </c>
      <c r="R939" s="16" t="s">
        <v>2351</v>
      </c>
      <c r="S939" s="16" t="s">
        <v>1607</v>
      </c>
      <c r="T939" s="16"/>
    </row>
    <row r="940">
      <c r="A940" s="54">
        <v>46231.33027711806</v>
      </c>
      <c r="B940" s="16" t="s">
        <v>49</v>
      </c>
      <c r="C940" s="16" t="s">
        <v>772</v>
      </c>
      <c r="D940" s="16" t="s">
        <v>1061</v>
      </c>
      <c r="E940" s="31"/>
      <c r="F940" s="39">
        <v>2.0</v>
      </c>
      <c r="G940" s="16" t="s">
        <v>181</v>
      </c>
      <c r="H940" s="51">
        <v>46230.0</v>
      </c>
      <c r="I940" s="16" t="s">
        <v>189</v>
      </c>
      <c r="J940" s="17"/>
      <c r="K940" s="13"/>
      <c r="L940" s="16" t="s">
        <v>2507</v>
      </c>
      <c r="M940" s="16" t="s">
        <v>625</v>
      </c>
      <c r="N940" s="17"/>
      <c r="O940" s="16" t="s">
        <v>2570</v>
      </c>
      <c r="P940" s="18"/>
      <c r="Q940" s="16" t="s">
        <v>52</v>
      </c>
      <c r="R940" s="16" t="s">
        <v>2351</v>
      </c>
      <c r="S940" s="16" t="s">
        <v>1607</v>
      </c>
      <c r="T940" s="16"/>
    </row>
    <row r="941">
      <c r="A941" s="54">
        <v>46231.33027711806</v>
      </c>
      <c r="B941" s="16" t="s">
        <v>49</v>
      </c>
      <c r="C941" s="16" t="s">
        <v>772</v>
      </c>
      <c r="D941" s="16" t="s">
        <v>1061</v>
      </c>
      <c r="E941" s="31"/>
      <c r="F941" s="39">
        <v>1.0</v>
      </c>
      <c r="G941" s="16" t="s">
        <v>181</v>
      </c>
      <c r="H941" s="51">
        <v>46230.0</v>
      </c>
      <c r="I941" s="16" t="s">
        <v>219</v>
      </c>
      <c r="J941" s="17"/>
      <c r="K941" s="13"/>
      <c r="L941" s="16" t="s">
        <v>2507</v>
      </c>
      <c r="M941" s="16" t="s">
        <v>625</v>
      </c>
      <c r="N941" s="17"/>
      <c r="O941" s="16" t="s">
        <v>2570</v>
      </c>
      <c r="P941" s="18"/>
      <c r="Q941" s="16" t="s">
        <v>52</v>
      </c>
      <c r="R941" s="16" t="s">
        <v>2351</v>
      </c>
      <c r="S941" s="16" t="s">
        <v>1607</v>
      </c>
      <c r="T941" s="16"/>
    </row>
    <row r="942">
      <c r="A942" s="54">
        <v>46231.522583252314</v>
      </c>
      <c r="B942" s="16" t="s">
        <v>104</v>
      </c>
      <c r="C942" s="16" t="s">
        <v>1753</v>
      </c>
      <c r="D942" s="17"/>
      <c r="E942" s="31"/>
      <c r="F942" s="39">
        <v>1.0</v>
      </c>
      <c r="G942" s="16" t="s">
        <v>181</v>
      </c>
      <c r="H942" s="51">
        <v>46231.0</v>
      </c>
      <c r="I942" s="17"/>
      <c r="J942" s="16" t="s">
        <v>92</v>
      </c>
      <c r="K942" s="13"/>
      <c r="L942" s="16" t="s">
        <v>54</v>
      </c>
      <c r="M942" s="16" t="s">
        <v>52</v>
      </c>
      <c r="N942" s="16" t="s">
        <v>376</v>
      </c>
      <c r="O942" s="16" t="s">
        <v>3039</v>
      </c>
      <c r="P942" s="18"/>
      <c r="Q942" s="16" t="s">
        <v>52</v>
      </c>
      <c r="R942" s="16" t="s">
        <v>17</v>
      </c>
      <c r="S942" s="16" t="s">
        <v>1493</v>
      </c>
      <c r="T942" s="16"/>
    </row>
    <row r="943">
      <c r="A943" s="54">
        <v>46231.522583252314</v>
      </c>
      <c r="B943" s="16" t="s">
        <v>104</v>
      </c>
      <c r="C943" s="16" t="s">
        <v>1754</v>
      </c>
      <c r="D943" s="17"/>
      <c r="E943" s="31"/>
      <c r="F943" s="39">
        <v>1.0</v>
      </c>
      <c r="G943" s="16" t="s">
        <v>181</v>
      </c>
      <c r="H943" s="51">
        <v>46231.0</v>
      </c>
      <c r="I943" s="17"/>
      <c r="J943" s="16" t="s">
        <v>92</v>
      </c>
      <c r="K943" s="13"/>
      <c r="L943" s="16" t="s">
        <v>54</v>
      </c>
      <c r="M943" s="16" t="s">
        <v>52</v>
      </c>
      <c r="N943" s="16" t="s">
        <v>376</v>
      </c>
      <c r="O943" s="16" t="s">
        <v>3040</v>
      </c>
      <c r="P943" s="18"/>
      <c r="Q943" s="16" t="s">
        <v>52</v>
      </c>
      <c r="R943" s="16" t="s">
        <v>17</v>
      </c>
      <c r="S943" s="16" t="s">
        <v>1493</v>
      </c>
      <c r="T943" s="16"/>
    </row>
    <row r="944">
      <c r="A944" s="54">
        <v>46231.53045530093</v>
      </c>
      <c r="B944" s="16" t="s">
        <v>75</v>
      </c>
      <c r="C944" s="16" t="s">
        <v>1755</v>
      </c>
      <c r="D944" s="17"/>
      <c r="E944" s="31"/>
      <c r="F944" s="39">
        <v>26.0</v>
      </c>
      <c r="G944" s="16" t="s">
        <v>181</v>
      </c>
      <c r="H944" s="51">
        <v>46230.0</v>
      </c>
      <c r="I944" s="17"/>
      <c r="J944" s="16" t="s">
        <v>92</v>
      </c>
      <c r="K944" s="13"/>
      <c r="L944" s="16" t="s">
        <v>54</v>
      </c>
      <c r="M944" s="16" t="s">
        <v>2350</v>
      </c>
      <c r="N944" s="16" t="s">
        <v>376</v>
      </c>
      <c r="O944" s="16" t="s">
        <v>3041</v>
      </c>
      <c r="P944" s="18"/>
      <c r="Q944" s="16" t="s">
        <v>52</v>
      </c>
      <c r="R944" s="16" t="s">
        <v>17</v>
      </c>
      <c r="S944" s="16" t="s">
        <v>1493</v>
      </c>
      <c r="T944" s="16"/>
    </row>
    <row r="945">
      <c r="A945" s="54">
        <v>46231.53045530093</v>
      </c>
      <c r="B945" s="16" t="s">
        <v>104</v>
      </c>
      <c r="C945" s="16" t="s">
        <v>1758</v>
      </c>
      <c r="D945" s="17"/>
      <c r="E945" s="31"/>
      <c r="F945" s="39">
        <v>2.0</v>
      </c>
      <c r="G945" s="16" t="s">
        <v>181</v>
      </c>
      <c r="H945" s="51">
        <v>46230.0</v>
      </c>
      <c r="I945" s="17"/>
      <c r="J945" s="16" t="s">
        <v>92</v>
      </c>
      <c r="K945" s="13"/>
      <c r="L945" s="16" t="s">
        <v>54</v>
      </c>
      <c r="M945" s="16" t="s">
        <v>2350</v>
      </c>
      <c r="N945" s="16" t="s">
        <v>376</v>
      </c>
      <c r="O945" s="16" t="s">
        <v>3042</v>
      </c>
      <c r="P945" s="18"/>
      <c r="Q945" s="16" t="s">
        <v>52</v>
      </c>
      <c r="R945" s="16" t="s">
        <v>17</v>
      </c>
      <c r="S945" s="16" t="s">
        <v>1493</v>
      </c>
      <c r="T945" s="16"/>
    </row>
    <row r="946">
      <c r="A946" s="54">
        <v>46231.53151835648</v>
      </c>
      <c r="B946" s="16" t="s">
        <v>34</v>
      </c>
      <c r="C946" s="16" t="s">
        <v>1760</v>
      </c>
      <c r="D946" s="17"/>
      <c r="E946" s="42" t="s">
        <v>3043</v>
      </c>
      <c r="F946" s="39">
        <v>2.0</v>
      </c>
      <c r="G946" s="16" t="s">
        <v>181</v>
      </c>
      <c r="H946" s="51">
        <v>46230.0</v>
      </c>
      <c r="I946" s="17"/>
      <c r="J946" s="16" t="s">
        <v>51</v>
      </c>
      <c r="K946" s="13"/>
      <c r="L946" s="16" t="s">
        <v>54</v>
      </c>
      <c r="M946" s="16" t="s">
        <v>2350</v>
      </c>
      <c r="N946" s="16" t="s">
        <v>1760</v>
      </c>
      <c r="O946" s="16" t="s">
        <v>3044</v>
      </c>
      <c r="P946" s="18"/>
      <c r="Q946" s="16" t="s">
        <v>52</v>
      </c>
      <c r="R946" s="16" t="s">
        <v>88</v>
      </c>
      <c r="S946" s="16" t="s">
        <v>1493</v>
      </c>
      <c r="T946" s="16"/>
    </row>
    <row r="947">
      <c r="A947" s="54">
        <v>46231.53272618055</v>
      </c>
      <c r="B947" s="16" t="s">
        <v>104</v>
      </c>
      <c r="C947" s="16" t="s">
        <v>1763</v>
      </c>
      <c r="D947" s="16" t="s">
        <v>1061</v>
      </c>
      <c r="E947" s="31"/>
      <c r="F947" s="39">
        <v>1.0</v>
      </c>
      <c r="G947" s="16" t="s">
        <v>181</v>
      </c>
      <c r="H947" s="51">
        <v>46227.0</v>
      </c>
      <c r="I947" s="17"/>
      <c r="J947" s="16" t="s">
        <v>92</v>
      </c>
      <c r="K947" s="13"/>
      <c r="L947" s="16" t="s">
        <v>54</v>
      </c>
      <c r="M947" s="16" t="s">
        <v>2350</v>
      </c>
      <c r="N947" s="16" t="s">
        <v>1764</v>
      </c>
      <c r="O947" s="16" t="s">
        <v>3045</v>
      </c>
      <c r="P947" s="18"/>
      <c r="Q947" s="16" t="s">
        <v>52</v>
      </c>
      <c r="R947" s="16" t="s">
        <v>17</v>
      </c>
      <c r="S947" s="16" t="s">
        <v>1493</v>
      </c>
      <c r="T947" s="16"/>
    </row>
    <row r="948">
      <c r="A948" s="54">
        <v>46231.53585832176</v>
      </c>
      <c r="B948" s="16" t="s">
        <v>34</v>
      </c>
      <c r="C948" s="16" t="s">
        <v>869</v>
      </c>
      <c r="D948" s="16" t="s">
        <v>2827</v>
      </c>
      <c r="E948" s="42" t="s">
        <v>3046</v>
      </c>
      <c r="F948" s="39">
        <v>2.0</v>
      </c>
      <c r="G948" s="16" t="s">
        <v>181</v>
      </c>
      <c r="H948" s="51">
        <v>46226.0</v>
      </c>
      <c r="I948" s="17"/>
      <c r="J948" s="16" t="s">
        <v>35</v>
      </c>
      <c r="K948" s="13"/>
      <c r="L948" s="16" t="s">
        <v>54</v>
      </c>
      <c r="M948" s="16" t="s">
        <v>2350</v>
      </c>
      <c r="N948" s="16" t="s">
        <v>3047</v>
      </c>
      <c r="O948" s="16" t="s">
        <v>3048</v>
      </c>
      <c r="P948" s="18"/>
      <c r="Q948" s="16" t="s">
        <v>52</v>
      </c>
      <c r="R948" s="16" t="s">
        <v>88</v>
      </c>
      <c r="S948" s="16" t="s">
        <v>1493</v>
      </c>
      <c r="T948" s="16"/>
    </row>
    <row r="949">
      <c r="A949" s="54">
        <v>46231.536919583334</v>
      </c>
      <c r="B949" s="16" t="s">
        <v>34</v>
      </c>
      <c r="C949" s="16" t="s">
        <v>869</v>
      </c>
      <c r="D949" s="17"/>
      <c r="E949" s="31"/>
      <c r="F949" s="39">
        <v>2.0</v>
      </c>
      <c r="G949" s="16" t="s">
        <v>181</v>
      </c>
      <c r="H949" s="51">
        <v>46227.0</v>
      </c>
      <c r="I949" s="16" t="s">
        <v>88</v>
      </c>
      <c r="J949" s="17"/>
      <c r="K949" s="13"/>
      <c r="L949" s="16" t="s">
        <v>2507</v>
      </c>
      <c r="M949" s="16" t="s">
        <v>52</v>
      </c>
      <c r="N949" s="17"/>
      <c r="O949" s="16" t="s">
        <v>3048</v>
      </c>
      <c r="P949" s="18"/>
      <c r="Q949" s="16" t="s">
        <v>52</v>
      </c>
      <c r="R949" s="16" t="s">
        <v>3047</v>
      </c>
      <c r="S949" s="16" t="s">
        <v>1607</v>
      </c>
      <c r="T949" s="16"/>
    </row>
    <row r="950">
      <c r="A950" s="54">
        <v>46232.323082939816</v>
      </c>
      <c r="B950" s="16" t="s">
        <v>34</v>
      </c>
      <c r="C950" s="16" t="s">
        <v>830</v>
      </c>
      <c r="D950" s="17"/>
      <c r="E950" s="31"/>
      <c r="F950" s="39">
        <v>20.0</v>
      </c>
      <c r="G950" s="16" t="s">
        <v>181</v>
      </c>
      <c r="H950" s="51">
        <v>46224.0</v>
      </c>
      <c r="I950" s="16" t="s">
        <v>128</v>
      </c>
      <c r="J950" s="17"/>
      <c r="K950" s="13"/>
      <c r="L950" s="16" t="s">
        <v>2507</v>
      </c>
      <c r="M950" s="16" t="s">
        <v>52</v>
      </c>
      <c r="N950" s="17"/>
      <c r="O950" s="16" t="s">
        <v>2817</v>
      </c>
      <c r="P950" s="18"/>
      <c r="Q950" s="16" t="s">
        <v>52</v>
      </c>
      <c r="R950" s="16" t="s">
        <v>1380</v>
      </c>
      <c r="S950" s="16" t="s">
        <v>1607</v>
      </c>
      <c r="T950" s="16"/>
    </row>
    <row r="951">
      <c r="A951" s="54">
        <v>46232.323082939816</v>
      </c>
      <c r="B951" s="16" t="s">
        <v>34</v>
      </c>
      <c r="C951" s="16" t="s">
        <v>821</v>
      </c>
      <c r="D951" s="17"/>
      <c r="E951" s="31"/>
      <c r="F951" s="39">
        <v>1.0</v>
      </c>
      <c r="G951" s="16" t="s">
        <v>181</v>
      </c>
      <c r="H951" s="51">
        <v>46224.0</v>
      </c>
      <c r="I951" s="16" t="s">
        <v>206</v>
      </c>
      <c r="J951" s="17"/>
      <c r="K951" s="13"/>
      <c r="L951" s="16" t="s">
        <v>2507</v>
      </c>
      <c r="M951" s="16" t="s">
        <v>52</v>
      </c>
      <c r="N951" s="17"/>
      <c r="O951" s="16" t="s">
        <v>2765</v>
      </c>
      <c r="P951" s="18"/>
      <c r="Q951" s="16" t="s">
        <v>52</v>
      </c>
      <c r="R951" s="16" t="s">
        <v>1380</v>
      </c>
      <c r="S951" s="16" t="s">
        <v>1607</v>
      </c>
      <c r="T951" s="16"/>
    </row>
    <row r="952">
      <c r="A952" s="54">
        <v>46232.58108833333</v>
      </c>
      <c r="B952" s="16" t="s">
        <v>34</v>
      </c>
      <c r="C952" s="16" t="s">
        <v>712</v>
      </c>
      <c r="D952" s="17"/>
      <c r="E952" s="31"/>
      <c r="F952" s="39">
        <v>1.0</v>
      </c>
      <c r="G952" s="16" t="s">
        <v>181</v>
      </c>
      <c r="H952" s="51">
        <v>46213.0</v>
      </c>
      <c r="I952" s="16" t="s">
        <v>158</v>
      </c>
      <c r="J952" s="17"/>
      <c r="K952" s="13"/>
      <c r="L952" s="16" t="s">
        <v>2507</v>
      </c>
      <c r="M952" s="16" t="s">
        <v>52</v>
      </c>
      <c r="N952" s="17"/>
      <c r="O952" s="16" t="s">
        <v>2541</v>
      </c>
      <c r="P952" s="18"/>
      <c r="Q952" s="16" t="s">
        <v>52</v>
      </c>
      <c r="R952" s="16" t="s">
        <v>1603</v>
      </c>
      <c r="S952" s="16" t="s">
        <v>1607</v>
      </c>
      <c r="T952" s="16"/>
    </row>
    <row r="953">
      <c r="A953" s="54">
        <v>46237.389632175924</v>
      </c>
      <c r="B953" s="16" t="s">
        <v>49</v>
      </c>
      <c r="C953" s="16" t="s">
        <v>796</v>
      </c>
      <c r="D953" s="17"/>
      <c r="E953" s="31"/>
      <c r="F953" s="39">
        <v>4.0</v>
      </c>
      <c r="G953" s="16" t="s">
        <v>181</v>
      </c>
      <c r="H953" s="51">
        <v>46237.0</v>
      </c>
      <c r="I953" s="16" t="s">
        <v>192</v>
      </c>
      <c r="J953" s="17"/>
      <c r="K953" s="13"/>
      <c r="L953" s="16" t="s">
        <v>2507</v>
      </c>
      <c r="M953" s="16" t="s">
        <v>52</v>
      </c>
      <c r="N953" s="17"/>
      <c r="O953" s="16" t="s">
        <v>2636</v>
      </c>
      <c r="P953" s="18"/>
      <c r="Q953" s="16" t="s">
        <v>52</v>
      </c>
      <c r="R953" s="16" t="s">
        <v>796</v>
      </c>
      <c r="S953" s="16" t="s">
        <v>1607</v>
      </c>
      <c r="T953" s="16"/>
    </row>
    <row r="954">
      <c r="A954" s="54">
        <v>46237.39241451389</v>
      </c>
      <c r="B954" s="16" t="s">
        <v>49</v>
      </c>
      <c r="C954" s="16" t="s">
        <v>703</v>
      </c>
      <c r="D954" s="17"/>
      <c r="E954" s="31"/>
      <c r="F954" s="39">
        <v>1.0</v>
      </c>
      <c r="G954" s="16" t="s">
        <v>181</v>
      </c>
      <c r="H954" s="51">
        <v>46237.0</v>
      </c>
      <c r="I954" s="16" t="s">
        <v>189</v>
      </c>
      <c r="J954" s="17"/>
      <c r="K954" s="13"/>
      <c r="L954" s="16" t="s">
        <v>2507</v>
      </c>
      <c r="M954" s="16" t="s">
        <v>52</v>
      </c>
      <c r="N954" s="17"/>
      <c r="O954" s="16" t="s">
        <v>2527</v>
      </c>
      <c r="P954" s="18"/>
      <c r="Q954" s="16" t="s">
        <v>52</v>
      </c>
      <c r="R954" s="16" t="s">
        <v>1147</v>
      </c>
      <c r="S954" s="16" t="s">
        <v>1607</v>
      </c>
      <c r="T954" s="16"/>
    </row>
    <row r="955">
      <c r="A955" s="54">
        <v>46237.39991195602</v>
      </c>
      <c r="B955" s="16" t="s">
        <v>49</v>
      </c>
      <c r="C955" s="16" t="s">
        <v>526</v>
      </c>
      <c r="D955" s="17"/>
      <c r="E955" s="31"/>
      <c r="F955" s="39">
        <v>12.0</v>
      </c>
      <c r="G955" s="16" t="s">
        <v>181</v>
      </c>
      <c r="H955" s="51">
        <v>46237.0</v>
      </c>
      <c r="I955" s="16" t="s">
        <v>165</v>
      </c>
      <c r="J955" s="17"/>
      <c r="K955" s="13"/>
      <c r="L955" s="16" t="s">
        <v>2507</v>
      </c>
      <c r="M955" s="16" t="s">
        <v>52</v>
      </c>
      <c r="N955" s="17"/>
      <c r="O955" s="16" t="s">
        <v>2274</v>
      </c>
      <c r="P955" s="18"/>
      <c r="Q955" s="16" t="s">
        <v>52</v>
      </c>
      <c r="R955" s="16" t="s">
        <v>526</v>
      </c>
      <c r="S955" s="16" t="s">
        <v>1607</v>
      </c>
      <c r="T955" s="16"/>
    </row>
    <row r="956">
      <c r="A956" s="54">
        <v>46237.40057459491</v>
      </c>
      <c r="B956" s="16" t="s">
        <v>49</v>
      </c>
      <c r="C956" s="16" t="s">
        <v>536</v>
      </c>
      <c r="D956" s="17"/>
      <c r="E956" s="31"/>
      <c r="F956" s="39">
        <v>10.0</v>
      </c>
      <c r="G956" s="16" t="s">
        <v>181</v>
      </c>
      <c r="H956" s="51">
        <v>46237.0</v>
      </c>
      <c r="I956" s="16" t="s">
        <v>165</v>
      </c>
      <c r="J956" s="17"/>
      <c r="K956" s="13"/>
      <c r="L956" s="16" t="s">
        <v>2507</v>
      </c>
      <c r="M956" s="16" t="s">
        <v>52</v>
      </c>
      <c r="N956" s="17"/>
      <c r="O956" s="16" t="s">
        <v>2282</v>
      </c>
      <c r="P956" s="18"/>
      <c r="Q956" s="16" t="s">
        <v>52</v>
      </c>
      <c r="R956" s="16" t="s">
        <v>536</v>
      </c>
      <c r="S956" s="16" t="s">
        <v>1607</v>
      </c>
      <c r="T956" s="16"/>
    </row>
    <row r="957">
      <c r="A957" s="71"/>
      <c r="B957" s="17"/>
      <c r="C957" s="17"/>
      <c r="D957" s="17"/>
      <c r="E957" s="31"/>
      <c r="F957" s="17"/>
      <c r="G957" s="17"/>
      <c r="H957" s="51"/>
      <c r="I957" s="17"/>
      <c r="J957" s="17"/>
      <c r="K957" s="13"/>
      <c r="L957" s="17"/>
      <c r="M957" s="17"/>
      <c r="N957" s="17"/>
      <c r="O957" s="17"/>
      <c r="P957" s="18"/>
      <c r="Q957" s="17"/>
      <c r="R957" s="17"/>
      <c r="S957" s="17"/>
      <c r="T957" s="16"/>
    </row>
    <row r="958">
      <c r="A958" s="71"/>
      <c r="B958" s="17"/>
      <c r="C958" s="17"/>
      <c r="D958" s="17"/>
      <c r="E958" s="31"/>
      <c r="F958" s="17"/>
      <c r="G958" s="17"/>
      <c r="H958" s="51"/>
      <c r="I958" s="17"/>
      <c r="J958" s="17"/>
      <c r="K958" s="13"/>
      <c r="L958" s="17"/>
      <c r="M958" s="17"/>
      <c r="N958" s="17"/>
      <c r="O958" s="17"/>
      <c r="P958" s="18"/>
      <c r="Q958" s="17"/>
      <c r="R958" s="17"/>
      <c r="S958" s="17"/>
      <c r="T958" s="16"/>
    </row>
    <row r="959">
      <c r="A959" s="71"/>
      <c r="B959" s="17"/>
      <c r="C959" s="17"/>
      <c r="D959" s="17"/>
      <c r="E959" s="31"/>
      <c r="F959" s="17"/>
      <c r="G959" s="17"/>
      <c r="H959" s="51"/>
      <c r="I959" s="17"/>
      <c r="J959" s="17"/>
      <c r="K959" s="13"/>
      <c r="L959" s="17"/>
      <c r="M959" s="17"/>
      <c r="N959" s="17"/>
      <c r="O959" s="17"/>
      <c r="P959" s="18"/>
      <c r="Q959" s="17"/>
      <c r="R959" s="17"/>
      <c r="S959" s="17"/>
      <c r="T959" s="16"/>
    </row>
    <row r="960">
      <c r="A960" s="71"/>
      <c r="B960" s="17"/>
      <c r="C960" s="17"/>
      <c r="D960" s="17"/>
      <c r="E960" s="31"/>
      <c r="F960" s="17"/>
      <c r="G960" s="17"/>
      <c r="H960" s="51"/>
      <c r="I960" s="17"/>
      <c r="J960" s="17"/>
      <c r="K960" s="13"/>
      <c r="L960" s="17"/>
      <c r="M960" s="17"/>
      <c r="N960" s="17"/>
      <c r="O960" s="17"/>
      <c r="P960" s="18"/>
      <c r="Q960" s="17"/>
      <c r="R960" s="17"/>
      <c r="S960" s="17"/>
      <c r="T960" s="16"/>
    </row>
    <row r="961">
      <c r="A961" s="71"/>
      <c r="B961" s="17"/>
      <c r="C961" s="17"/>
      <c r="D961" s="17"/>
      <c r="E961" s="31"/>
      <c r="F961" s="17"/>
      <c r="G961" s="17"/>
      <c r="H961" s="51"/>
      <c r="I961" s="17"/>
      <c r="J961" s="17"/>
      <c r="K961" s="13"/>
      <c r="L961" s="17"/>
      <c r="M961" s="17"/>
      <c r="N961" s="17"/>
      <c r="O961" s="17"/>
      <c r="P961" s="18"/>
      <c r="Q961" s="17"/>
      <c r="R961" s="17"/>
      <c r="S961" s="17"/>
      <c r="T961" s="16"/>
    </row>
    <row r="962">
      <c r="A962" s="71"/>
      <c r="B962" s="17"/>
      <c r="C962" s="17"/>
      <c r="D962" s="17"/>
      <c r="E962" s="31"/>
      <c r="F962" s="17"/>
      <c r="G962" s="17"/>
      <c r="H962" s="51"/>
      <c r="I962" s="17"/>
      <c r="J962" s="17"/>
      <c r="K962" s="13"/>
      <c r="L962" s="17"/>
      <c r="M962" s="17"/>
      <c r="N962" s="17"/>
      <c r="O962" s="17"/>
      <c r="P962" s="18"/>
      <c r="Q962" s="17"/>
      <c r="R962" s="17"/>
      <c r="S962" s="17"/>
      <c r="T962" s="16"/>
    </row>
    <row r="963">
      <c r="A963" s="71"/>
      <c r="B963" s="17"/>
      <c r="C963" s="17"/>
      <c r="D963" s="17"/>
      <c r="E963" s="31"/>
      <c r="F963" s="17"/>
      <c r="G963" s="17"/>
      <c r="H963" s="51"/>
      <c r="I963" s="17"/>
      <c r="J963" s="17"/>
      <c r="K963" s="13"/>
      <c r="L963" s="17"/>
      <c r="M963" s="17"/>
      <c r="N963" s="17"/>
      <c r="O963" s="17"/>
      <c r="P963" s="18"/>
      <c r="Q963" s="17"/>
      <c r="R963" s="17"/>
      <c r="S963" s="17"/>
      <c r="T963" s="16"/>
    </row>
    <row r="964">
      <c r="A964" s="71"/>
      <c r="B964" s="17"/>
      <c r="C964" s="17"/>
      <c r="D964" s="17"/>
      <c r="E964" s="31"/>
      <c r="F964" s="17"/>
      <c r="G964" s="17"/>
      <c r="H964" s="51"/>
      <c r="I964" s="17"/>
      <c r="J964" s="17"/>
      <c r="K964" s="13"/>
      <c r="L964" s="17"/>
      <c r="M964" s="17"/>
      <c r="N964" s="17"/>
      <c r="O964" s="17"/>
      <c r="P964" s="18"/>
      <c r="Q964" s="17"/>
      <c r="R964" s="17"/>
      <c r="S964" s="17"/>
      <c r="T964" s="16"/>
    </row>
    <row r="965">
      <c r="A965" s="71"/>
      <c r="B965" s="17"/>
      <c r="C965" s="17"/>
      <c r="D965" s="17"/>
      <c r="E965" s="31"/>
      <c r="F965" s="17"/>
      <c r="G965" s="17"/>
      <c r="H965" s="51"/>
      <c r="I965" s="17"/>
      <c r="J965" s="17"/>
      <c r="K965" s="13"/>
      <c r="L965" s="17"/>
      <c r="M965" s="17"/>
      <c r="N965" s="17"/>
      <c r="O965" s="17"/>
      <c r="P965" s="18"/>
      <c r="Q965" s="17"/>
      <c r="R965" s="17"/>
      <c r="S965" s="17"/>
      <c r="T965" s="16"/>
    </row>
    <row r="966">
      <c r="A966" s="71"/>
      <c r="B966" s="17"/>
      <c r="C966" s="17"/>
      <c r="D966" s="17"/>
      <c r="E966" s="31"/>
      <c r="F966" s="17"/>
      <c r="G966" s="17"/>
      <c r="H966" s="51"/>
      <c r="I966" s="17"/>
      <c r="J966" s="17"/>
      <c r="K966" s="13"/>
      <c r="L966" s="17"/>
      <c r="M966" s="17"/>
      <c r="N966" s="17"/>
      <c r="O966" s="17"/>
      <c r="P966" s="18"/>
      <c r="Q966" s="17"/>
      <c r="R966" s="17"/>
      <c r="S966" s="17"/>
      <c r="T966" s="16"/>
    </row>
    <row r="967">
      <c r="A967" s="71"/>
      <c r="B967" s="17"/>
      <c r="C967" s="17"/>
      <c r="D967" s="17"/>
      <c r="E967" s="31"/>
      <c r="F967" s="17"/>
      <c r="G967" s="17"/>
      <c r="H967" s="51"/>
      <c r="I967" s="17"/>
      <c r="J967" s="17"/>
      <c r="K967" s="13"/>
      <c r="L967" s="17"/>
      <c r="M967" s="17"/>
      <c r="N967" s="17"/>
      <c r="O967" s="17"/>
      <c r="P967" s="18"/>
      <c r="Q967" s="17"/>
      <c r="R967" s="17"/>
      <c r="S967" s="17"/>
      <c r="T967" s="16"/>
    </row>
    <row r="968">
      <c r="A968" s="71"/>
      <c r="B968" s="17"/>
      <c r="C968" s="17"/>
      <c r="D968" s="17"/>
      <c r="E968" s="31"/>
      <c r="F968" s="17"/>
      <c r="G968" s="17"/>
      <c r="H968" s="51"/>
      <c r="I968" s="17"/>
      <c r="J968" s="17"/>
      <c r="K968" s="13"/>
      <c r="L968" s="17"/>
      <c r="M968" s="17"/>
      <c r="N968" s="17"/>
      <c r="O968" s="17"/>
      <c r="P968" s="18"/>
      <c r="Q968" s="17"/>
      <c r="R968" s="17"/>
      <c r="S968" s="17"/>
      <c r="T968" s="16"/>
    </row>
    <row r="969">
      <c r="A969" s="71"/>
      <c r="B969" s="17"/>
      <c r="C969" s="17"/>
      <c r="D969" s="17"/>
      <c r="E969" s="31"/>
      <c r="F969" s="17"/>
      <c r="G969" s="17"/>
      <c r="H969" s="51"/>
      <c r="I969" s="17"/>
      <c r="J969" s="17"/>
      <c r="K969" s="13"/>
      <c r="L969" s="17"/>
      <c r="M969" s="17"/>
      <c r="N969" s="17"/>
      <c r="O969" s="17"/>
      <c r="P969" s="18"/>
      <c r="Q969" s="17"/>
      <c r="R969" s="17"/>
      <c r="S969" s="17"/>
      <c r="T969" s="16"/>
    </row>
    <row r="970">
      <c r="A970" s="71"/>
      <c r="B970" s="17"/>
      <c r="C970" s="17"/>
      <c r="D970" s="17"/>
      <c r="E970" s="31"/>
      <c r="F970" s="17"/>
      <c r="G970" s="17"/>
      <c r="H970" s="51"/>
      <c r="I970" s="17"/>
      <c r="J970" s="17"/>
      <c r="K970" s="13"/>
      <c r="L970" s="17"/>
      <c r="M970" s="17"/>
      <c r="N970" s="17"/>
      <c r="O970" s="17"/>
      <c r="P970" s="18"/>
      <c r="Q970" s="17"/>
      <c r="R970" s="17"/>
      <c r="S970" s="17"/>
      <c r="T970" s="16"/>
    </row>
    <row r="971">
      <c r="A971" s="71"/>
      <c r="B971" s="17"/>
      <c r="C971" s="17"/>
      <c r="D971" s="17"/>
      <c r="E971" s="31"/>
      <c r="F971" s="17"/>
      <c r="G971" s="17"/>
      <c r="H971" s="51"/>
      <c r="I971" s="17"/>
      <c r="J971" s="17"/>
      <c r="K971" s="13"/>
      <c r="L971" s="17"/>
      <c r="M971" s="17"/>
      <c r="N971" s="17"/>
      <c r="O971" s="17"/>
      <c r="P971" s="18"/>
      <c r="Q971" s="17"/>
      <c r="R971" s="17"/>
      <c r="S971" s="17"/>
      <c r="T971" s="16"/>
    </row>
    <row r="972">
      <c r="A972" s="71"/>
      <c r="B972" s="17"/>
      <c r="C972" s="17"/>
      <c r="D972" s="17"/>
      <c r="E972" s="31"/>
      <c r="F972" s="17"/>
      <c r="G972" s="17"/>
      <c r="H972" s="51"/>
      <c r="I972" s="17"/>
      <c r="J972" s="17"/>
      <c r="K972" s="13"/>
      <c r="L972" s="17"/>
      <c r="M972" s="17"/>
      <c r="N972" s="17"/>
      <c r="O972" s="17"/>
      <c r="P972" s="18"/>
      <c r="Q972" s="17"/>
      <c r="R972" s="17"/>
      <c r="S972" s="17"/>
      <c r="T972" s="16"/>
    </row>
    <row r="973">
      <c r="A973" s="71"/>
      <c r="B973" s="17"/>
      <c r="C973" s="17"/>
      <c r="D973" s="17"/>
      <c r="E973" s="31"/>
      <c r="F973" s="17"/>
      <c r="G973" s="17"/>
      <c r="H973" s="51"/>
      <c r="I973" s="17"/>
      <c r="J973" s="17"/>
      <c r="K973" s="13"/>
      <c r="L973" s="17"/>
      <c r="M973" s="17"/>
      <c r="N973" s="17"/>
      <c r="O973" s="17"/>
      <c r="P973" s="18"/>
      <c r="Q973" s="17"/>
      <c r="R973" s="17"/>
      <c r="S973" s="17"/>
      <c r="T973" s="16"/>
    </row>
    <row r="974">
      <c r="A974" s="71"/>
      <c r="B974" s="17"/>
      <c r="C974" s="17"/>
      <c r="D974" s="17"/>
      <c r="E974" s="31"/>
      <c r="F974" s="17"/>
      <c r="G974" s="17"/>
      <c r="H974" s="51"/>
      <c r="I974" s="17"/>
      <c r="J974" s="17"/>
      <c r="K974" s="13"/>
      <c r="L974" s="17"/>
      <c r="M974" s="17"/>
      <c r="N974" s="17"/>
      <c r="O974" s="17"/>
      <c r="P974" s="18"/>
      <c r="Q974" s="17"/>
      <c r="R974" s="17"/>
      <c r="S974" s="17"/>
      <c r="T974" s="16"/>
    </row>
    <row r="975">
      <c r="A975" s="71"/>
      <c r="B975" s="17"/>
      <c r="C975" s="17"/>
      <c r="D975" s="17"/>
      <c r="E975" s="31"/>
      <c r="F975" s="17"/>
      <c r="G975" s="17"/>
      <c r="H975" s="51"/>
      <c r="I975" s="17"/>
      <c r="J975" s="17"/>
      <c r="K975" s="13"/>
      <c r="L975" s="17"/>
      <c r="M975" s="17"/>
      <c r="N975" s="17"/>
      <c r="O975" s="17"/>
      <c r="P975" s="18"/>
      <c r="Q975" s="17"/>
      <c r="R975" s="17"/>
      <c r="S975" s="17"/>
      <c r="T975" s="16"/>
    </row>
    <row r="976">
      <c r="A976" s="71"/>
      <c r="B976" s="17"/>
      <c r="C976" s="17"/>
      <c r="D976" s="17"/>
      <c r="E976" s="31"/>
      <c r="F976" s="17"/>
      <c r="G976" s="17"/>
      <c r="H976" s="51"/>
      <c r="I976" s="17"/>
      <c r="J976" s="17"/>
      <c r="K976" s="13"/>
      <c r="L976" s="17"/>
      <c r="M976" s="17"/>
      <c r="N976" s="17"/>
      <c r="O976" s="17"/>
      <c r="P976" s="18"/>
      <c r="Q976" s="17"/>
      <c r="R976" s="17"/>
      <c r="S976" s="17"/>
      <c r="T976" s="16"/>
    </row>
    <row r="977">
      <c r="A977" s="71"/>
      <c r="B977" s="17"/>
      <c r="C977" s="17"/>
      <c r="D977" s="17"/>
      <c r="E977" s="31"/>
      <c r="F977" s="17"/>
      <c r="G977" s="17"/>
      <c r="H977" s="51"/>
      <c r="I977" s="17"/>
      <c r="J977" s="17"/>
      <c r="K977" s="13"/>
      <c r="L977" s="17"/>
      <c r="M977" s="17"/>
      <c r="N977" s="17"/>
      <c r="O977" s="17"/>
      <c r="P977" s="18"/>
      <c r="Q977" s="17"/>
      <c r="R977" s="17"/>
      <c r="S977" s="17"/>
      <c r="T977" s="16"/>
    </row>
    <row r="978">
      <c r="A978" s="71"/>
      <c r="B978" s="17"/>
      <c r="C978" s="17"/>
      <c r="D978" s="17"/>
      <c r="E978" s="31"/>
      <c r="F978" s="17"/>
      <c r="G978" s="17"/>
      <c r="H978" s="51"/>
      <c r="I978" s="17"/>
      <c r="J978" s="17"/>
      <c r="K978" s="13"/>
      <c r="L978" s="17"/>
      <c r="M978" s="17"/>
      <c r="N978" s="17"/>
      <c r="O978" s="17"/>
      <c r="P978" s="18"/>
      <c r="Q978" s="17"/>
      <c r="R978" s="17"/>
      <c r="S978" s="17"/>
      <c r="T978" s="16"/>
    </row>
    <row r="979">
      <c r="A979" s="71"/>
      <c r="B979" s="17"/>
      <c r="C979" s="17"/>
      <c r="D979" s="17"/>
      <c r="E979" s="31"/>
      <c r="F979" s="17"/>
      <c r="G979" s="17"/>
      <c r="H979" s="51"/>
      <c r="I979" s="17"/>
      <c r="J979" s="17"/>
      <c r="K979" s="13"/>
      <c r="L979" s="17"/>
      <c r="M979" s="17"/>
      <c r="N979" s="17"/>
      <c r="O979" s="17"/>
      <c r="P979" s="18"/>
      <c r="Q979" s="17"/>
      <c r="R979" s="17"/>
      <c r="S979" s="17"/>
      <c r="T979" s="16"/>
    </row>
    <row r="980">
      <c r="A980" s="71"/>
      <c r="B980" s="17"/>
      <c r="C980" s="17"/>
      <c r="D980" s="17"/>
      <c r="E980" s="31"/>
      <c r="F980" s="17"/>
      <c r="G980" s="17"/>
      <c r="H980" s="51"/>
      <c r="I980" s="17"/>
      <c r="J980" s="17"/>
      <c r="K980" s="13"/>
      <c r="L980" s="17"/>
      <c r="M980" s="17"/>
      <c r="N980" s="17"/>
      <c r="O980" s="17"/>
      <c r="P980" s="18"/>
      <c r="Q980" s="17"/>
      <c r="R980" s="17"/>
      <c r="S980" s="17"/>
      <c r="T980" s="16"/>
    </row>
    <row r="981">
      <c r="A981" s="71"/>
      <c r="B981" s="17"/>
      <c r="C981" s="17"/>
      <c r="D981" s="17"/>
      <c r="E981" s="31"/>
      <c r="F981" s="17"/>
      <c r="G981" s="17"/>
      <c r="H981" s="51"/>
      <c r="I981" s="17"/>
      <c r="J981" s="17"/>
      <c r="K981" s="13"/>
      <c r="L981" s="17"/>
      <c r="M981" s="17"/>
      <c r="N981" s="17"/>
      <c r="O981" s="17"/>
      <c r="P981" s="18"/>
      <c r="Q981" s="17"/>
      <c r="R981" s="17"/>
      <c r="S981" s="17"/>
      <c r="T981" s="16"/>
    </row>
    <row r="982">
      <c r="A982" s="71"/>
      <c r="B982" s="17"/>
      <c r="C982" s="17"/>
      <c r="D982" s="17"/>
      <c r="E982" s="31"/>
      <c r="F982" s="17"/>
      <c r="G982" s="17"/>
      <c r="H982" s="51"/>
      <c r="I982" s="17"/>
      <c r="J982" s="17"/>
      <c r="K982" s="13"/>
      <c r="L982" s="17"/>
      <c r="M982" s="17"/>
      <c r="N982" s="17"/>
      <c r="O982" s="17"/>
      <c r="P982" s="18"/>
      <c r="Q982" s="17"/>
      <c r="R982" s="17"/>
      <c r="S982" s="17"/>
      <c r="T982" s="16"/>
    </row>
    <row r="983">
      <c r="A983" s="71"/>
      <c r="B983" s="17"/>
      <c r="C983" s="17"/>
      <c r="D983" s="17"/>
      <c r="E983" s="31"/>
      <c r="F983" s="17"/>
      <c r="G983" s="17"/>
      <c r="H983" s="51"/>
      <c r="I983" s="17"/>
      <c r="J983" s="17"/>
      <c r="K983" s="13"/>
      <c r="L983" s="17"/>
      <c r="M983" s="17"/>
      <c r="N983" s="17"/>
      <c r="O983" s="17"/>
      <c r="P983" s="18"/>
      <c r="Q983" s="17"/>
      <c r="R983" s="17"/>
      <c r="S983" s="17"/>
      <c r="T983" s="16"/>
    </row>
    <row r="984">
      <c r="A984" s="71"/>
      <c r="B984" s="17"/>
      <c r="C984" s="17"/>
      <c r="D984" s="17"/>
      <c r="E984" s="31"/>
      <c r="F984" s="17"/>
      <c r="G984" s="17"/>
      <c r="H984" s="51"/>
      <c r="I984" s="17"/>
      <c r="J984" s="17"/>
      <c r="K984" s="13"/>
      <c r="L984" s="17"/>
      <c r="M984" s="17"/>
      <c r="N984" s="17"/>
      <c r="O984" s="17"/>
      <c r="P984" s="18"/>
      <c r="Q984" s="17"/>
      <c r="R984" s="17"/>
      <c r="S984" s="17"/>
      <c r="T984" s="16"/>
    </row>
    <row r="985">
      <c r="A985" s="71"/>
      <c r="B985" s="17"/>
      <c r="C985" s="17"/>
      <c r="D985" s="17"/>
      <c r="E985" s="31"/>
      <c r="F985" s="17"/>
      <c r="G985" s="17"/>
      <c r="H985" s="51"/>
      <c r="I985" s="17"/>
      <c r="J985" s="17"/>
      <c r="K985" s="13"/>
      <c r="L985" s="17"/>
      <c r="M985" s="17"/>
      <c r="N985" s="17"/>
      <c r="O985" s="17"/>
      <c r="P985" s="18"/>
      <c r="Q985" s="17"/>
      <c r="R985" s="17"/>
      <c r="S985" s="17"/>
      <c r="T985" s="16"/>
    </row>
    <row r="986">
      <c r="A986" s="71"/>
      <c r="B986" s="17"/>
      <c r="C986" s="17"/>
      <c r="D986" s="17"/>
      <c r="E986" s="31"/>
      <c r="F986" s="17"/>
      <c r="G986" s="17"/>
      <c r="H986" s="51"/>
      <c r="I986" s="17"/>
      <c r="J986" s="17"/>
      <c r="K986" s="13"/>
      <c r="L986" s="17"/>
      <c r="M986" s="17"/>
      <c r="N986" s="17"/>
      <c r="O986" s="17"/>
      <c r="P986" s="18"/>
      <c r="Q986" s="17"/>
      <c r="R986" s="17"/>
      <c r="S986" s="17"/>
      <c r="T986" s="16"/>
    </row>
    <row r="987">
      <c r="A987" s="71"/>
      <c r="B987" s="17"/>
      <c r="C987" s="17"/>
      <c r="D987" s="17"/>
      <c r="E987" s="31"/>
      <c r="F987" s="17"/>
      <c r="G987" s="17"/>
      <c r="H987" s="51"/>
      <c r="I987" s="17"/>
      <c r="J987" s="17"/>
      <c r="K987" s="13"/>
      <c r="L987" s="17"/>
      <c r="M987" s="17"/>
      <c r="N987" s="17"/>
      <c r="O987" s="17"/>
      <c r="P987" s="18"/>
      <c r="Q987" s="17"/>
      <c r="R987" s="17"/>
      <c r="S987" s="17"/>
      <c r="T987" s="16"/>
    </row>
    <row r="988">
      <c r="A988" s="71"/>
      <c r="B988" s="17"/>
      <c r="C988" s="17"/>
      <c r="D988" s="17"/>
      <c r="E988" s="31"/>
      <c r="F988" s="17"/>
      <c r="G988" s="17"/>
      <c r="H988" s="51"/>
      <c r="I988" s="17"/>
      <c r="J988" s="17"/>
      <c r="K988" s="13"/>
      <c r="L988" s="17"/>
      <c r="M988" s="17"/>
      <c r="N988" s="17"/>
      <c r="O988" s="17"/>
      <c r="P988" s="18"/>
      <c r="Q988" s="17"/>
      <c r="R988" s="17"/>
      <c r="S988" s="17"/>
      <c r="T988" s="16"/>
    </row>
    <row r="989">
      <c r="A989" s="71"/>
      <c r="B989" s="17"/>
      <c r="C989" s="17"/>
      <c r="D989" s="17"/>
      <c r="E989" s="31"/>
      <c r="F989" s="17"/>
      <c r="G989" s="17"/>
      <c r="H989" s="51"/>
      <c r="I989" s="17"/>
      <c r="J989" s="17"/>
      <c r="K989" s="13"/>
      <c r="L989" s="17"/>
      <c r="M989" s="17"/>
      <c r="N989" s="17"/>
      <c r="O989" s="17"/>
      <c r="P989" s="18"/>
      <c r="Q989" s="17"/>
      <c r="R989" s="17"/>
      <c r="S989" s="17"/>
      <c r="T989" s="16"/>
    </row>
    <row r="990">
      <c r="A990" s="71"/>
      <c r="B990" s="17"/>
      <c r="C990" s="17"/>
      <c r="D990" s="17"/>
      <c r="E990" s="31"/>
      <c r="F990" s="17"/>
      <c r="G990" s="17"/>
      <c r="H990" s="51"/>
      <c r="I990" s="17"/>
      <c r="J990" s="17"/>
      <c r="K990" s="13"/>
      <c r="L990" s="17"/>
      <c r="M990" s="17"/>
      <c r="N990" s="17"/>
      <c r="O990" s="17"/>
      <c r="P990" s="18"/>
      <c r="Q990" s="17"/>
      <c r="R990" s="17"/>
      <c r="S990" s="17"/>
      <c r="T990" s="16"/>
    </row>
    <row r="991">
      <c r="A991" s="71"/>
      <c r="B991" s="17"/>
      <c r="C991" s="17"/>
      <c r="D991" s="17"/>
      <c r="E991" s="31"/>
      <c r="F991" s="17"/>
      <c r="G991" s="17"/>
      <c r="H991" s="51"/>
      <c r="I991" s="17"/>
      <c r="J991" s="17"/>
      <c r="K991" s="13"/>
      <c r="L991" s="17"/>
      <c r="M991" s="17"/>
      <c r="N991" s="17"/>
      <c r="O991" s="17"/>
      <c r="P991" s="18"/>
      <c r="Q991" s="17"/>
      <c r="R991" s="17"/>
      <c r="S991" s="17"/>
      <c r="T991" s="16"/>
    </row>
    <row r="992">
      <c r="A992" s="71"/>
      <c r="B992" s="17"/>
      <c r="C992" s="17"/>
      <c r="D992" s="17"/>
      <c r="E992" s="31"/>
      <c r="F992" s="17"/>
      <c r="G992" s="17"/>
      <c r="H992" s="51"/>
      <c r="I992" s="17"/>
      <c r="J992" s="17"/>
      <c r="K992" s="13"/>
      <c r="L992" s="17"/>
      <c r="M992" s="17"/>
      <c r="N992" s="17"/>
      <c r="O992" s="17"/>
      <c r="P992" s="18"/>
      <c r="Q992" s="17"/>
      <c r="R992" s="17"/>
      <c r="S992" s="17"/>
      <c r="T992" s="16"/>
    </row>
    <row r="993">
      <c r="A993" s="71"/>
      <c r="B993" s="17"/>
      <c r="C993" s="17"/>
      <c r="D993" s="17"/>
      <c r="E993" s="31"/>
      <c r="F993" s="17"/>
      <c r="G993" s="17"/>
      <c r="H993" s="51"/>
      <c r="I993" s="17"/>
      <c r="J993" s="17"/>
      <c r="K993" s="13"/>
      <c r="L993" s="17"/>
      <c r="M993" s="17"/>
      <c r="N993" s="17"/>
      <c r="O993" s="17"/>
      <c r="P993" s="18"/>
      <c r="Q993" s="17"/>
      <c r="R993" s="17"/>
      <c r="S993" s="17"/>
      <c r="T993" s="16"/>
    </row>
    <row r="994">
      <c r="A994" s="71"/>
      <c r="B994" s="17"/>
      <c r="C994" s="17"/>
      <c r="D994" s="17"/>
      <c r="E994" s="31"/>
      <c r="F994" s="17"/>
      <c r="G994" s="17"/>
      <c r="H994" s="51"/>
      <c r="I994" s="17"/>
      <c r="J994" s="17"/>
      <c r="K994" s="13"/>
      <c r="L994" s="17"/>
      <c r="M994" s="17"/>
      <c r="N994" s="17"/>
      <c r="O994" s="17"/>
      <c r="P994" s="18"/>
      <c r="Q994" s="17"/>
      <c r="R994" s="17"/>
      <c r="S994" s="17"/>
      <c r="T994" s="16"/>
    </row>
    <row r="995">
      <c r="A995" s="71"/>
      <c r="B995" s="17"/>
      <c r="C995" s="17"/>
      <c r="D995" s="17"/>
      <c r="E995" s="31"/>
      <c r="F995" s="17"/>
      <c r="G995" s="17"/>
      <c r="H995" s="51"/>
      <c r="I995" s="17"/>
      <c r="J995" s="17"/>
      <c r="K995" s="13"/>
      <c r="L995" s="17"/>
      <c r="M995" s="17"/>
      <c r="N995" s="17"/>
      <c r="O995" s="17"/>
      <c r="P995" s="18"/>
      <c r="Q995" s="17"/>
      <c r="R995" s="17"/>
      <c r="S995" s="17"/>
      <c r="T995" s="16"/>
    </row>
    <row r="996">
      <c r="A996" s="71"/>
      <c r="B996" s="17"/>
      <c r="C996" s="17"/>
      <c r="D996" s="17"/>
      <c r="E996" s="31"/>
      <c r="F996" s="17"/>
      <c r="G996" s="17"/>
      <c r="H996" s="51"/>
      <c r="I996" s="17"/>
      <c r="J996" s="17"/>
      <c r="K996" s="13"/>
      <c r="L996" s="17"/>
      <c r="M996" s="17"/>
      <c r="N996" s="17"/>
      <c r="O996" s="17"/>
      <c r="P996" s="18"/>
      <c r="Q996" s="17"/>
      <c r="R996" s="17"/>
      <c r="S996" s="17"/>
      <c r="T996" s="16"/>
    </row>
    <row r="997">
      <c r="A997" s="71"/>
      <c r="B997" s="17"/>
      <c r="C997" s="17"/>
      <c r="D997" s="17"/>
      <c r="E997" s="31"/>
      <c r="F997" s="17"/>
      <c r="G997" s="17"/>
      <c r="H997" s="51"/>
      <c r="I997" s="17"/>
      <c r="J997" s="17"/>
      <c r="K997" s="13"/>
      <c r="L997" s="17"/>
      <c r="M997" s="17"/>
      <c r="N997" s="17"/>
      <c r="O997" s="17"/>
      <c r="P997" s="18"/>
      <c r="Q997" s="17"/>
      <c r="R997" s="17"/>
      <c r="S997" s="17"/>
      <c r="T997" s="16"/>
    </row>
    <row r="998">
      <c r="A998" s="71"/>
      <c r="B998" s="17"/>
      <c r="C998" s="17"/>
      <c r="D998" s="17"/>
      <c r="E998" s="31"/>
      <c r="F998" s="17"/>
      <c r="G998" s="17"/>
      <c r="H998" s="51"/>
      <c r="I998" s="17"/>
      <c r="J998" s="17"/>
      <c r="K998" s="13"/>
      <c r="L998" s="17"/>
      <c r="M998" s="17"/>
      <c r="N998" s="17"/>
      <c r="O998" s="17"/>
      <c r="P998" s="18"/>
      <c r="Q998" s="17"/>
      <c r="R998" s="17"/>
      <c r="S998" s="17"/>
      <c r="T998" s="16"/>
    </row>
    <row r="999">
      <c r="A999" s="71"/>
      <c r="B999" s="17"/>
      <c r="C999" s="17"/>
      <c r="D999" s="17"/>
      <c r="E999" s="31"/>
      <c r="F999" s="17"/>
      <c r="G999" s="17"/>
      <c r="H999" s="51"/>
      <c r="I999" s="17"/>
      <c r="J999" s="17"/>
      <c r="K999" s="13"/>
      <c r="L999" s="17"/>
      <c r="M999" s="17"/>
      <c r="N999" s="17"/>
      <c r="O999" s="17"/>
      <c r="P999" s="18"/>
      <c r="Q999" s="17"/>
      <c r="R999" s="17"/>
      <c r="S999" s="17"/>
      <c r="T999" s="16"/>
    </row>
    <row r="1000">
      <c r="A1000" s="71"/>
      <c r="B1000" s="17"/>
      <c r="C1000" s="17"/>
      <c r="D1000" s="17"/>
      <c r="E1000" s="31"/>
      <c r="F1000" s="17"/>
      <c r="G1000" s="17"/>
      <c r="H1000" s="51"/>
      <c r="I1000" s="17"/>
      <c r="J1000" s="17"/>
      <c r="K1000" s="13"/>
      <c r="L1000" s="17"/>
      <c r="M1000" s="17"/>
      <c r="N1000" s="17"/>
      <c r="O1000" s="17"/>
      <c r="P1000" s="18"/>
      <c r="Q1000" s="17"/>
      <c r="R1000" s="17"/>
      <c r="S1000" s="17"/>
      <c r="T1000" s="16"/>
    </row>
    <row r="1001">
      <c r="A1001" s="71"/>
      <c r="B1001" s="17"/>
      <c r="C1001" s="17"/>
      <c r="D1001" s="17"/>
      <c r="E1001" s="31"/>
      <c r="F1001" s="17"/>
      <c r="G1001" s="17"/>
      <c r="H1001" s="51"/>
      <c r="I1001" s="17"/>
      <c r="J1001" s="17"/>
      <c r="K1001" s="13"/>
      <c r="L1001" s="17"/>
      <c r="M1001" s="17"/>
      <c r="N1001" s="17"/>
      <c r="O1001" s="17"/>
      <c r="P1001" s="18"/>
      <c r="Q1001" s="17"/>
      <c r="R1001" s="17"/>
      <c r="S1001" s="17"/>
      <c r="T1001" s="16"/>
    </row>
    <row r="1002">
      <c r="A1002" s="71"/>
      <c r="B1002" s="17"/>
      <c r="C1002" s="17"/>
      <c r="D1002" s="17"/>
      <c r="E1002" s="31"/>
      <c r="F1002" s="17"/>
      <c r="G1002" s="17"/>
      <c r="H1002" s="51"/>
      <c r="I1002" s="17"/>
      <c r="J1002" s="17"/>
      <c r="K1002" s="13"/>
      <c r="L1002" s="17"/>
      <c r="M1002" s="17"/>
      <c r="N1002" s="17"/>
      <c r="O1002" s="17"/>
      <c r="P1002" s="18"/>
      <c r="Q1002" s="17"/>
      <c r="R1002" s="17"/>
      <c r="S1002" s="17"/>
      <c r="T1002" s="16"/>
    </row>
    <row r="1003">
      <c r="A1003" s="71"/>
      <c r="B1003" s="17"/>
      <c r="C1003" s="17"/>
      <c r="D1003" s="17"/>
      <c r="E1003" s="31"/>
      <c r="F1003" s="17"/>
      <c r="G1003" s="17"/>
      <c r="H1003" s="51"/>
      <c r="I1003" s="17"/>
      <c r="J1003" s="17"/>
      <c r="K1003" s="13"/>
      <c r="L1003" s="17"/>
      <c r="M1003" s="17"/>
      <c r="N1003" s="17"/>
      <c r="O1003" s="17"/>
      <c r="P1003" s="18"/>
      <c r="Q1003" s="17"/>
      <c r="R1003" s="17"/>
      <c r="S1003" s="17"/>
      <c r="T1003" s="16"/>
    </row>
    <row r="1004">
      <c r="A1004" s="71"/>
      <c r="B1004" s="17"/>
      <c r="C1004" s="17"/>
      <c r="D1004" s="17"/>
      <c r="E1004" s="31"/>
      <c r="F1004" s="17"/>
      <c r="G1004" s="17"/>
      <c r="H1004" s="51"/>
      <c r="I1004" s="17"/>
      <c r="J1004" s="17"/>
      <c r="K1004" s="13"/>
      <c r="L1004" s="17"/>
      <c r="M1004" s="17"/>
      <c r="N1004" s="17"/>
      <c r="O1004" s="17"/>
      <c r="P1004" s="18"/>
      <c r="Q1004" s="17"/>
      <c r="R1004" s="17"/>
      <c r="S1004" s="17"/>
      <c r="T1004" s="16"/>
    </row>
    <row r="1005">
      <c r="A1005" s="71"/>
      <c r="B1005" s="17"/>
      <c r="C1005" s="17"/>
      <c r="D1005" s="17"/>
      <c r="E1005" s="31"/>
      <c r="F1005" s="17"/>
      <c r="G1005" s="17"/>
      <c r="H1005" s="51"/>
      <c r="I1005" s="17"/>
      <c r="J1005" s="17"/>
      <c r="K1005" s="13"/>
      <c r="L1005" s="17"/>
      <c r="M1005" s="17"/>
      <c r="N1005" s="17"/>
      <c r="O1005" s="17"/>
      <c r="P1005" s="18"/>
      <c r="Q1005" s="17"/>
      <c r="R1005" s="17"/>
      <c r="S1005" s="17"/>
      <c r="T1005" s="16"/>
    </row>
    <row r="1006">
      <c r="A1006" s="71"/>
      <c r="B1006" s="17"/>
      <c r="C1006" s="17"/>
      <c r="D1006" s="17"/>
      <c r="E1006" s="31"/>
      <c r="F1006" s="17"/>
      <c r="G1006" s="17"/>
      <c r="H1006" s="51"/>
      <c r="I1006" s="17"/>
      <c r="J1006" s="17"/>
      <c r="K1006" s="13"/>
      <c r="L1006" s="17"/>
      <c r="M1006" s="17"/>
      <c r="N1006" s="17"/>
      <c r="O1006" s="17"/>
      <c r="P1006" s="18"/>
      <c r="Q1006" s="17"/>
      <c r="R1006" s="17"/>
      <c r="S1006" s="17"/>
      <c r="T1006" s="16"/>
    </row>
    <row r="1007">
      <c r="A1007" s="71"/>
      <c r="B1007" s="17"/>
      <c r="C1007" s="17"/>
      <c r="D1007" s="17"/>
      <c r="E1007" s="31"/>
      <c r="F1007" s="17"/>
      <c r="G1007" s="17"/>
      <c r="H1007" s="51"/>
      <c r="I1007" s="17"/>
      <c r="J1007" s="17"/>
      <c r="K1007" s="13"/>
      <c r="L1007" s="17"/>
      <c r="M1007" s="17"/>
      <c r="N1007" s="17"/>
      <c r="O1007" s="17"/>
      <c r="P1007" s="18"/>
      <c r="Q1007" s="17"/>
      <c r="R1007" s="17"/>
      <c r="S1007" s="17"/>
      <c r="T1007" s="16"/>
    </row>
    <row r="1008">
      <c r="A1008" s="71"/>
      <c r="B1008" s="17"/>
      <c r="C1008" s="17"/>
      <c r="D1008" s="17"/>
      <c r="E1008" s="31"/>
      <c r="F1008" s="17"/>
      <c r="G1008" s="17"/>
      <c r="H1008" s="51"/>
      <c r="I1008" s="17"/>
      <c r="J1008" s="17"/>
      <c r="K1008" s="13"/>
      <c r="L1008" s="17"/>
      <c r="M1008" s="17"/>
      <c r="N1008" s="17"/>
      <c r="O1008" s="17"/>
      <c r="P1008" s="18"/>
      <c r="Q1008" s="17"/>
      <c r="R1008" s="17"/>
      <c r="S1008" s="17"/>
      <c r="T1008" s="16"/>
    </row>
    <row r="1009">
      <c r="A1009" s="71"/>
      <c r="B1009" s="17"/>
      <c r="C1009" s="17"/>
      <c r="D1009" s="17"/>
      <c r="E1009" s="31"/>
      <c r="F1009" s="17"/>
      <c r="G1009" s="17"/>
      <c r="H1009" s="51"/>
      <c r="I1009" s="17"/>
      <c r="J1009" s="17"/>
      <c r="K1009" s="13"/>
      <c r="L1009" s="17"/>
      <c r="M1009" s="17"/>
      <c r="N1009" s="17"/>
      <c r="O1009" s="17"/>
      <c r="P1009" s="18"/>
      <c r="Q1009" s="17"/>
      <c r="R1009" s="17"/>
      <c r="S1009" s="17"/>
      <c r="T1009" s="16"/>
    </row>
    <row r="1010">
      <c r="A1010" s="71"/>
      <c r="B1010" s="17"/>
      <c r="C1010" s="17"/>
      <c r="D1010" s="17"/>
      <c r="E1010" s="31"/>
      <c r="F1010" s="17"/>
      <c r="G1010" s="17"/>
      <c r="H1010" s="51"/>
      <c r="I1010" s="17"/>
      <c r="J1010" s="17"/>
      <c r="K1010" s="13"/>
      <c r="L1010" s="17"/>
      <c r="M1010" s="17"/>
      <c r="N1010" s="17"/>
      <c r="O1010" s="17"/>
      <c r="P1010" s="18"/>
      <c r="Q1010" s="17"/>
      <c r="R1010" s="17"/>
      <c r="S1010" s="17"/>
      <c r="T1010" s="16"/>
    </row>
    <row r="1011">
      <c r="A1011" s="71"/>
      <c r="B1011" s="17"/>
      <c r="C1011" s="17"/>
      <c r="D1011" s="17"/>
      <c r="E1011" s="31"/>
      <c r="F1011" s="17"/>
      <c r="G1011" s="17"/>
      <c r="H1011" s="51"/>
      <c r="I1011" s="17"/>
      <c r="J1011" s="17"/>
      <c r="K1011" s="13"/>
      <c r="L1011" s="17"/>
      <c r="M1011" s="17"/>
      <c r="N1011" s="17"/>
      <c r="O1011" s="17"/>
      <c r="P1011" s="18"/>
      <c r="Q1011" s="17"/>
      <c r="R1011" s="17"/>
      <c r="S1011" s="17"/>
      <c r="T1011" s="16"/>
    </row>
    <row r="1012">
      <c r="A1012" s="71"/>
      <c r="B1012" s="17"/>
      <c r="C1012" s="17"/>
      <c r="D1012" s="17"/>
      <c r="E1012" s="31"/>
      <c r="F1012" s="17"/>
      <c r="G1012" s="17"/>
      <c r="H1012" s="51"/>
      <c r="I1012" s="17"/>
      <c r="J1012" s="17"/>
      <c r="K1012" s="13"/>
      <c r="L1012" s="17"/>
      <c r="M1012" s="17"/>
      <c r="N1012" s="17"/>
      <c r="O1012" s="17"/>
      <c r="P1012" s="18"/>
      <c r="Q1012" s="17"/>
      <c r="R1012" s="17"/>
      <c r="S1012" s="17"/>
      <c r="T1012" s="16"/>
    </row>
    <row r="1013">
      <c r="A1013" s="71"/>
      <c r="B1013" s="17"/>
      <c r="C1013" s="17"/>
      <c r="D1013" s="17"/>
      <c r="E1013" s="31"/>
      <c r="F1013" s="17"/>
      <c r="G1013" s="17"/>
      <c r="H1013" s="51"/>
      <c r="I1013" s="17"/>
      <c r="J1013" s="17"/>
      <c r="K1013" s="13"/>
      <c r="L1013" s="17"/>
      <c r="M1013" s="17"/>
      <c r="N1013" s="17"/>
      <c r="O1013" s="17"/>
      <c r="P1013" s="18"/>
      <c r="Q1013" s="17"/>
      <c r="R1013" s="17"/>
      <c r="S1013" s="17"/>
      <c r="T1013" s="16"/>
    </row>
    <row r="1014">
      <c r="A1014" s="71"/>
      <c r="B1014" s="17"/>
      <c r="C1014" s="17"/>
      <c r="D1014" s="17"/>
      <c r="E1014" s="31"/>
      <c r="F1014" s="17"/>
      <c r="G1014" s="17"/>
      <c r="H1014" s="51"/>
      <c r="I1014" s="17"/>
      <c r="J1014" s="17"/>
      <c r="K1014" s="13"/>
      <c r="L1014" s="17"/>
      <c r="M1014" s="17"/>
      <c r="N1014" s="17"/>
      <c r="O1014" s="17"/>
      <c r="P1014" s="18"/>
      <c r="Q1014" s="17"/>
      <c r="R1014" s="17"/>
      <c r="S1014" s="17"/>
      <c r="T1014" s="16"/>
    </row>
    <row r="1015">
      <c r="A1015" s="71"/>
      <c r="B1015" s="17"/>
      <c r="C1015" s="17"/>
      <c r="D1015" s="17"/>
      <c r="E1015" s="31"/>
      <c r="F1015" s="17"/>
      <c r="G1015" s="17"/>
      <c r="H1015" s="51"/>
      <c r="I1015" s="17"/>
      <c r="J1015" s="17"/>
      <c r="K1015" s="13"/>
      <c r="L1015" s="17"/>
      <c r="M1015" s="17"/>
      <c r="N1015" s="17"/>
      <c r="O1015" s="17"/>
      <c r="P1015" s="18"/>
      <c r="Q1015" s="17"/>
      <c r="R1015" s="17"/>
      <c r="S1015" s="17"/>
      <c r="T1015" s="16"/>
    </row>
    <row r="1016">
      <c r="A1016" s="71"/>
      <c r="B1016" s="17"/>
      <c r="C1016" s="17"/>
      <c r="D1016" s="17"/>
      <c r="E1016" s="31"/>
      <c r="F1016" s="17"/>
      <c r="G1016" s="17"/>
      <c r="H1016" s="51"/>
      <c r="I1016" s="17"/>
      <c r="J1016" s="17"/>
      <c r="K1016" s="13"/>
      <c r="L1016" s="17"/>
      <c r="M1016" s="17"/>
      <c r="N1016" s="17"/>
      <c r="O1016" s="17"/>
      <c r="P1016" s="18"/>
      <c r="Q1016" s="17"/>
      <c r="R1016" s="17"/>
      <c r="S1016" s="17"/>
      <c r="T1016" s="16"/>
    </row>
    <row r="1017">
      <c r="A1017" s="71"/>
      <c r="B1017" s="17"/>
      <c r="C1017" s="17"/>
      <c r="D1017" s="17"/>
      <c r="E1017" s="31"/>
      <c r="F1017" s="17"/>
      <c r="G1017" s="17"/>
      <c r="H1017" s="51"/>
      <c r="I1017" s="17"/>
      <c r="J1017" s="17"/>
      <c r="K1017" s="13"/>
      <c r="L1017" s="17"/>
      <c r="M1017" s="17"/>
      <c r="N1017" s="17"/>
      <c r="O1017" s="17"/>
      <c r="P1017" s="18"/>
      <c r="Q1017" s="17"/>
      <c r="R1017" s="17"/>
      <c r="S1017" s="17"/>
      <c r="T1017" s="16"/>
    </row>
    <row r="1018">
      <c r="A1018" s="71"/>
      <c r="B1018" s="17"/>
      <c r="C1018" s="17"/>
      <c r="D1018" s="17"/>
      <c r="E1018" s="31"/>
      <c r="F1018" s="17"/>
      <c r="G1018" s="17"/>
      <c r="H1018" s="51"/>
      <c r="I1018" s="17"/>
      <c r="J1018" s="17"/>
      <c r="K1018" s="13"/>
      <c r="L1018" s="17"/>
      <c r="M1018" s="17"/>
      <c r="N1018" s="17"/>
      <c r="O1018" s="17"/>
      <c r="P1018" s="18"/>
      <c r="Q1018" s="17"/>
      <c r="R1018" s="17"/>
      <c r="S1018" s="17"/>
      <c r="T1018" s="16"/>
    </row>
    <row r="1019">
      <c r="A1019" s="71"/>
      <c r="B1019" s="17"/>
      <c r="C1019" s="17"/>
      <c r="D1019" s="17"/>
      <c r="E1019" s="31"/>
      <c r="F1019" s="17"/>
      <c r="G1019" s="17"/>
      <c r="H1019" s="51"/>
      <c r="I1019" s="17"/>
      <c r="J1019" s="17"/>
      <c r="K1019" s="13"/>
      <c r="L1019" s="17"/>
      <c r="M1019" s="17"/>
      <c r="N1019" s="17"/>
      <c r="O1019" s="17"/>
      <c r="P1019" s="18"/>
      <c r="Q1019" s="17"/>
      <c r="R1019" s="17"/>
      <c r="S1019" s="17"/>
      <c r="T1019" s="16"/>
    </row>
    <row r="1020">
      <c r="A1020" s="71"/>
      <c r="B1020" s="17"/>
      <c r="C1020" s="17"/>
      <c r="D1020" s="17"/>
      <c r="E1020" s="31"/>
      <c r="F1020" s="17"/>
      <c r="G1020" s="17"/>
      <c r="H1020" s="51"/>
      <c r="I1020" s="17"/>
      <c r="J1020" s="17"/>
      <c r="K1020" s="13"/>
      <c r="L1020" s="17"/>
      <c r="M1020" s="17"/>
      <c r="N1020" s="17"/>
      <c r="O1020" s="17"/>
      <c r="P1020" s="18"/>
      <c r="Q1020" s="17"/>
      <c r="R1020" s="17"/>
      <c r="S1020" s="17"/>
      <c r="T1020" s="16"/>
    </row>
    <row r="1021">
      <c r="A1021" s="71"/>
      <c r="B1021" s="17"/>
      <c r="C1021" s="17"/>
      <c r="D1021" s="17"/>
      <c r="E1021" s="31"/>
      <c r="F1021" s="17"/>
      <c r="G1021" s="17"/>
      <c r="H1021" s="51"/>
      <c r="I1021" s="17"/>
      <c r="J1021" s="17"/>
      <c r="K1021" s="13"/>
      <c r="L1021" s="17"/>
      <c r="M1021" s="17"/>
      <c r="N1021" s="17"/>
      <c r="O1021" s="17"/>
      <c r="P1021" s="18"/>
      <c r="Q1021" s="17"/>
      <c r="R1021" s="17"/>
      <c r="S1021" s="17"/>
      <c r="T1021" s="16"/>
    </row>
    <row r="1022">
      <c r="A1022" s="71"/>
      <c r="B1022" s="17"/>
      <c r="C1022" s="17"/>
      <c r="D1022" s="17"/>
      <c r="E1022" s="31"/>
      <c r="F1022" s="17"/>
      <c r="G1022" s="17"/>
      <c r="H1022" s="51"/>
      <c r="I1022" s="17"/>
      <c r="J1022" s="17"/>
      <c r="K1022" s="13"/>
      <c r="L1022" s="17"/>
      <c r="M1022" s="17"/>
      <c r="N1022" s="17"/>
      <c r="O1022" s="17"/>
      <c r="P1022" s="18"/>
      <c r="Q1022" s="17"/>
      <c r="R1022" s="17"/>
      <c r="S1022" s="17"/>
      <c r="T1022" s="16"/>
    </row>
    <row r="1023">
      <c r="A1023" s="71"/>
      <c r="B1023" s="17"/>
      <c r="C1023" s="17"/>
      <c r="D1023" s="17"/>
      <c r="E1023" s="31"/>
      <c r="F1023" s="17"/>
      <c r="G1023" s="17"/>
      <c r="H1023" s="51"/>
      <c r="I1023" s="17"/>
      <c r="J1023" s="17"/>
      <c r="K1023" s="13"/>
      <c r="L1023" s="17"/>
      <c r="M1023" s="17"/>
      <c r="N1023" s="17"/>
      <c r="O1023" s="17"/>
      <c r="P1023" s="18"/>
      <c r="Q1023" s="17"/>
      <c r="R1023" s="17"/>
      <c r="S1023" s="17"/>
      <c r="T1023" s="16"/>
    </row>
    <row r="1024">
      <c r="A1024" s="71"/>
      <c r="B1024" s="17"/>
      <c r="C1024" s="17"/>
      <c r="D1024" s="17"/>
      <c r="E1024" s="31"/>
      <c r="F1024" s="17"/>
      <c r="G1024" s="17"/>
      <c r="H1024" s="51"/>
      <c r="I1024" s="17"/>
      <c r="J1024" s="17"/>
      <c r="K1024" s="13"/>
      <c r="L1024" s="17"/>
      <c r="M1024" s="17"/>
      <c r="N1024" s="17"/>
      <c r="O1024" s="17"/>
      <c r="P1024" s="18"/>
      <c r="Q1024" s="17"/>
      <c r="R1024" s="17"/>
      <c r="S1024" s="17"/>
      <c r="T1024" s="16"/>
    </row>
    <row r="1025">
      <c r="A1025" s="71"/>
      <c r="B1025" s="17"/>
      <c r="C1025" s="17"/>
      <c r="D1025" s="17"/>
      <c r="E1025" s="31"/>
      <c r="F1025" s="17"/>
      <c r="G1025" s="17"/>
      <c r="H1025" s="51"/>
      <c r="I1025" s="17"/>
      <c r="J1025" s="17"/>
      <c r="K1025" s="13"/>
      <c r="L1025" s="17"/>
      <c r="M1025" s="17"/>
      <c r="N1025" s="17"/>
      <c r="O1025" s="17"/>
      <c r="P1025" s="18"/>
      <c r="Q1025" s="17"/>
      <c r="R1025" s="17"/>
      <c r="S1025" s="17"/>
      <c r="T1025" s="16"/>
    </row>
    <row r="1026">
      <c r="A1026" s="71"/>
      <c r="B1026" s="17"/>
      <c r="C1026" s="17"/>
      <c r="D1026" s="17"/>
      <c r="E1026" s="31"/>
      <c r="F1026" s="17"/>
      <c r="G1026" s="17"/>
      <c r="H1026" s="51"/>
      <c r="I1026" s="17"/>
      <c r="J1026" s="17"/>
      <c r="K1026" s="13"/>
      <c r="L1026" s="17"/>
      <c r="M1026" s="17"/>
      <c r="N1026" s="17"/>
      <c r="O1026" s="17"/>
      <c r="P1026" s="18"/>
      <c r="Q1026" s="17"/>
      <c r="R1026" s="17"/>
      <c r="S1026" s="17"/>
      <c r="T1026" s="16"/>
    </row>
    <row r="1027">
      <c r="A1027" s="71"/>
      <c r="B1027" s="17"/>
      <c r="C1027" s="17"/>
      <c r="D1027" s="17"/>
      <c r="E1027" s="31"/>
      <c r="F1027" s="17"/>
      <c r="G1027" s="17"/>
      <c r="H1027" s="51"/>
      <c r="I1027" s="17"/>
      <c r="J1027" s="17"/>
      <c r="K1027" s="13"/>
      <c r="L1027" s="17"/>
      <c r="M1027" s="17"/>
      <c r="N1027" s="17"/>
      <c r="O1027" s="17"/>
      <c r="P1027" s="18"/>
      <c r="Q1027" s="17"/>
      <c r="R1027" s="17"/>
      <c r="S1027" s="17"/>
      <c r="T1027" s="16"/>
    </row>
    <row r="1028">
      <c r="A1028" s="71"/>
      <c r="B1028" s="17"/>
      <c r="C1028" s="17"/>
      <c r="D1028" s="17"/>
      <c r="E1028" s="31"/>
      <c r="F1028" s="17"/>
      <c r="G1028" s="17"/>
      <c r="H1028" s="51"/>
      <c r="I1028" s="17"/>
      <c r="J1028" s="17"/>
      <c r="K1028" s="13"/>
      <c r="L1028" s="17"/>
      <c r="M1028" s="17"/>
      <c r="N1028" s="17"/>
      <c r="O1028" s="17"/>
      <c r="P1028" s="18"/>
      <c r="Q1028" s="17"/>
      <c r="R1028" s="17"/>
      <c r="S1028" s="17"/>
      <c r="T1028" s="16"/>
    </row>
    <row r="1029">
      <c r="A1029" s="71"/>
      <c r="B1029" s="17"/>
      <c r="C1029" s="17"/>
      <c r="D1029" s="17"/>
      <c r="E1029" s="31"/>
      <c r="F1029" s="17"/>
      <c r="G1029" s="17"/>
      <c r="H1029" s="51"/>
      <c r="I1029" s="17"/>
      <c r="J1029" s="17"/>
      <c r="K1029" s="13"/>
      <c r="L1029" s="17"/>
      <c r="M1029" s="17"/>
      <c r="N1029" s="17"/>
      <c r="O1029" s="17"/>
      <c r="P1029" s="18"/>
      <c r="Q1029" s="17"/>
      <c r="R1029" s="17"/>
      <c r="S1029" s="17"/>
      <c r="T1029" s="16"/>
    </row>
    <row r="1030">
      <c r="A1030" s="71"/>
      <c r="B1030" s="17"/>
      <c r="C1030" s="17"/>
      <c r="D1030" s="17"/>
      <c r="E1030" s="31"/>
      <c r="F1030" s="17"/>
      <c r="G1030" s="17"/>
      <c r="H1030" s="51"/>
      <c r="I1030" s="17"/>
      <c r="J1030" s="17"/>
      <c r="K1030" s="13"/>
      <c r="L1030" s="17"/>
      <c r="M1030" s="17"/>
      <c r="N1030" s="17"/>
      <c r="O1030" s="17"/>
      <c r="P1030" s="18"/>
      <c r="Q1030" s="17"/>
      <c r="R1030" s="17"/>
      <c r="S1030" s="17"/>
      <c r="T1030" s="16"/>
    </row>
    <row r="1031">
      <c r="A1031" s="71"/>
      <c r="B1031" s="17"/>
      <c r="C1031" s="17"/>
      <c r="D1031" s="17"/>
      <c r="E1031" s="31"/>
      <c r="F1031" s="17"/>
      <c r="G1031" s="17"/>
      <c r="H1031" s="51"/>
      <c r="I1031" s="17"/>
      <c r="J1031" s="17"/>
      <c r="K1031" s="13"/>
      <c r="L1031" s="17"/>
      <c r="M1031" s="17"/>
      <c r="N1031" s="17"/>
      <c r="O1031" s="17"/>
      <c r="P1031" s="18"/>
      <c r="Q1031" s="17"/>
      <c r="R1031" s="17"/>
      <c r="S1031" s="17"/>
      <c r="T1031" s="16"/>
    </row>
    <row r="1032">
      <c r="A1032" s="71"/>
      <c r="B1032" s="17"/>
      <c r="C1032" s="17"/>
      <c r="D1032" s="17"/>
      <c r="E1032" s="31"/>
      <c r="F1032" s="17"/>
      <c r="G1032" s="17"/>
      <c r="H1032" s="51"/>
      <c r="I1032" s="17"/>
      <c r="J1032" s="17"/>
      <c r="K1032" s="13"/>
      <c r="L1032" s="17"/>
      <c r="M1032" s="17"/>
      <c r="N1032" s="17"/>
      <c r="O1032" s="17"/>
      <c r="P1032" s="18"/>
      <c r="Q1032" s="17"/>
      <c r="R1032" s="17"/>
      <c r="S1032" s="17"/>
      <c r="T1032" s="16"/>
    </row>
    <row r="1033">
      <c r="A1033" s="71"/>
      <c r="B1033" s="17"/>
      <c r="C1033" s="17"/>
      <c r="D1033" s="17"/>
      <c r="E1033" s="31"/>
      <c r="F1033" s="17"/>
      <c r="G1033" s="17"/>
      <c r="H1033" s="51"/>
      <c r="I1033" s="17"/>
      <c r="J1033" s="17"/>
      <c r="K1033" s="13"/>
      <c r="L1033" s="17"/>
      <c r="M1033" s="17"/>
      <c r="N1033" s="17"/>
      <c r="O1033" s="17"/>
      <c r="P1033" s="18"/>
      <c r="Q1033" s="17"/>
      <c r="R1033" s="17"/>
      <c r="S1033" s="17"/>
      <c r="T1033" s="16"/>
    </row>
    <row r="1034">
      <c r="A1034" s="71"/>
      <c r="B1034" s="17"/>
      <c r="C1034" s="17"/>
      <c r="D1034" s="17"/>
      <c r="E1034" s="31"/>
      <c r="F1034" s="17"/>
      <c r="G1034" s="17"/>
      <c r="H1034" s="51"/>
      <c r="I1034" s="17"/>
      <c r="J1034" s="17"/>
      <c r="K1034" s="13"/>
      <c r="L1034" s="17"/>
      <c r="M1034" s="17"/>
      <c r="N1034" s="17"/>
      <c r="O1034" s="17"/>
      <c r="P1034" s="18"/>
      <c r="Q1034" s="17"/>
      <c r="R1034" s="17"/>
      <c r="S1034" s="17"/>
      <c r="T1034" s="16"/>
    </row>
    <row r="1035">
      <c r="A1035" s="71"/>
      <c r="B1035" s="17"/>
      <c r="C1035" s="17"/>
      <c r="D1035" s="17"/>
      <c r="E1035" s="31"/>
      <c r="F1035" s="17"/>
      <c r="G1035" s="17"/>
      <c r="H1035" s="51"/>
      <c r="I1035" s="17"/>
      <c r="J1035" s="17"/>
      <c r="K1035" s="13"/>
      <c r="L1035" s="17"/>
      <c r="M1035" s="17"/>
      <c r="N1035" s="17"/>
      <c r="O1035" s="17"/>
      <c r="P1035" s="18"/>
      <c r="Q1035" s="17"/>
      <c r="R1035" s="17"/>
      <c r="S1035" s="17"/>
      <c r="T1035" s="16"/>
    </row>
    <row r="1036">
      <c r="A1036" s="71"/>
      <c r="B1036" s="17"/>
      <c r="C1036" s="17"/>
      <c r="D1036" s="17"/>
      <c r="E1036" s="31"/>
      <c r="F1036" s="17"/>
      <c r="G1036" s="17"/>
      <c r="H1036" s="51"/>
      <c r="I1036" s="17"/>
      <c r="J1036" s="17"/>
      <c r="K1036" s="13"/>
      <c r="L1036" s="17"/>
      <c r="M1036" s="17"/>
      <c r="N1036" s="17"/>
      <c r="O1036" s="17"/>
      <c r="P1036" s="18"/>
      <c r="Q1036" s="17"/>
      <c r="R1036" s="17"/>
      <c r="S1036" s="17"/>
      <c r="T1036" s="16"/>
    </row>
    <row r="1037">
      <c r="A1037" s="71"/>
      <c r="B1037" s="17"/>
      <c r="C1037" s="17"/>
      <c r="D1037" s="17"/>
      <c r="E1037" s="31"/>
      <c r="F1037" s="17"/>
      <c r="G1037" s="17"/>
      <c r="H1037" s="51"/>
      <c r="I1037" s="17"/>
      <c r="J1037" s="17"/>
      <c r="K1037" s="13"/>
      <c r="L1037" s="17"/>
      <c r="M1037" s="17"/>
      <c r="N1037" s="17"/>
      <c r="O1037" s="17"/>
      <c r="P1037" s="18"/>
      <c r="Q1037" s="17"/>
      <c r="R1037" s="17"/>
      <c r="S1037" s="17"/>
      <c r="T1037" s="16"/>
    </row>
    <row r="1038">
      <c r="A1038" s="71"/>
      <c r="B1038" s="17"/>
      <c r="C1038" s="17"/>
      <c r="D1038" s="17"/>
      <c r="E1038" s="31"/>
      <c r="F1038" s="17"/>
      <c r="G1038" s="17"/>
      <c r="H1038" s="51"/>
      <c r="I1038" s="17"/>
      <c r="J1038" s="17"/>
      <c r="K1038" s="13"/>
      <c r="L1038" s="17"/>
      <c r="M1038" s="17"/>
      <c r="N1038" s="17"/>
      <c r="O1038" s="17"/>
      <c r="P1038" s="18"/>
      <c r="Q1038" s="17"/>
      <c r="R1038" s="17"/>
      <c r="S1038" s="17"/>
      <c r="T1038" s="16"/>
    </row>
    <row r="1039">
      <c r="A1039" s="71"/>
      <c r="B1039" s="17"/>
      <c r="C1039" s="17"/>
      <c r="D1039" s="17"/>
      <c r="E1039" s="31"/>
      <c r="F1039" s="17"/>
      <c r="G1039" s="17"/>
      <c r="H1039" s="51"/>
      <c r="I1039" s="17"/>
      <c r="J1039" s="17"/>
      <c r="K1039" s="13"/>
      <c r="L1039" s="17"/>
      <c r="M1039" s="17"/>
      <c r="N1039" s="17"/>
      <c r="O1039" s="17"/>
      <c r="P1039" s="18"/>
      <c r="Q1039" s="17"/>
      <c r="R1039" s="17"/>
      <c r="S1039" s="17"/>
      <c r="T1039" s="16"/>
    </row>
    <row r="1040">
      <c r="A1040" s="71"/>
      <c r="B1040" s="17"/>
      <c r="C1040" s="17"/>
      <c r="D1040" s="17"/>
      <c r="E1040" s="31"/>
      <c r="F1040" s="17"/>
      <c r="G1040" s="17"/>
      <c r="H1040" s="51"/>
      <c r="I1040" s="17"/>
      <c r="J1040" s="17"/>
      <c r="K1040" s="13"/>
      <c r="L1040" s="17"/>
      <c r="M1040" s="17"/>
      <c r="N1040" s="17"/>
      <c r="O1040" s="17"/>
      <c r="P1040" s="18"/>
      <c r="Q1040" s="17"/>
      <c r="R1040" s="17"/>
      <c r="S1040" s="17"/>
      <c r="T1040" s="16"/>
    </row>
    <row r="1041">
      <c r="A1041" s="71"/>
      <c r="B1041" s="17"/>
      <c r="C1041" s="17"/>
      <c r="D1041" s="17"/>
      <c r="E1041" s="31"/>
      <c r="F1041" s="17"/>
      <c r="G1041" s="17"/>
      <c r="H1041" s="51"/>
      <c r="I1041" s="17"/>
      <c r="J1041" s="17"/>
      <c r="K1041" s="13"/>
      <c r="L1041" s="17"/>
      <c r="M1041" s="17"/>
      <c r="N1041" s="17"/>
      <c r="O1041" s="17"/>
      <c r="P1041" s="18"/>
      <c r="Q1041" s="17"/>
      <c r="R1041" s="17"/>
      <c r="S1041" s="17"/>
      <c r="T1041" s="16"/>
    </row>
    <row r="1042">
      <c r="A1042" s="71"/>
      <c r="B1042" s="17"/>
      <c r="C1042" s="17"/>
      <c r="D1042" s="17"/>
      <c r="E1042" s="31"/>
      <c r="F1042" s="17"/>
      <c r="G1042" s="17"/>
      <c r="H1042" s="51"/>
      <c r="I1042" s="17"/>
      <c r="J1042" s="17"/>
      <c r="K1042" s="13"/>
      <c r="L1042" s="17"/>
      <c r="M1042" s="17"/>
      <c r="N1042" s="17"/>
      <c r="O1042" s="17"/>
      <c r="P1042" s="18"/>
      <c r="Q1042" s="17"/>
      <c r="R1042" s="17"/>
      <c r="S1042" s="17"/>
      <c r="T1042" s="16"/>
    </row>
    <row r="1043">
      <c r="A1043" s="71"/>
      <c r="B1043" s="17"/>
      <c r="C1043" s="17"/>
      <c r="D1043" s="17"/>
      <c r="E1043" s="31"/>
      <c r="F1043" s="17"/>
      <c r="G1043" s="17"/>
      <c r="H1043" s="51"/>
      <c r="I1043" s="17"/>
      <c r="J1043" s="17"/>
      <c r="K1043" s="13"/>
      <c r="L1043" s="17"/>
      <c r="M1043" s="17"/>
      <c r="N1043" s="17"/>
      <c r="O1043" s="17"/>
      <c r="P1043" s="18"/>
      <c r="Q1043" s="17"/>
      <c r="R1043" s="17"/>
      <c r="S1043" s="17"/>
      <c r="T1043" s="16"/>
    </row>
    <row r="1044">
      <c r="A1044" s="71"/>
      <c r="B1044" s="17"/>
      <c r="C1044" s="17"/>
      <c r="D1044" s="17"/>
      <c r="E1044" s="31"/>
      <c r="F1044" s="17"/>
      <c r="G1044" s="17"/>
      <c r="H1044" s="51"/>
      <c r="I1044" s="17"/>
      <c r="J1044" s="17"/>
      <c r="K1044" s="13"/>
      <c r="L1044" s="17"/>
      <c r="M1044" s="17"/>
      <c r="N1044" s="17"/>
      <c r="O1044" s="17"/>
      <c r="P1044" s="18"/>
      <c r="Q1044" s="17"/>
      <c r="R1044" s="17"/>
      <c r="S1044" s="17"/>
      <c r="T1044" s="16"/>
    </row>
    <row r="1045">
      <c r="A1045" s="71"/>
      <c r="B1045" s="17"/>
      <c r="C1045" s="17"/>
      <c r="D1045" s="17"/>
      <c r="E1045" s="31"/>
      <c r="F1045" s="17"/>
      <c r="G1045" s="17"/>
      <c r="H1045" s="51"/>
      <c r="I1045" s="17"/>
      <c r="J1045" s="17"/>
      <c r="K1045" s="13"/>
      <c r="L1045" s="17"/>
      <c r="M1045" s="17"/>
      <c r="N1045" s="17"/>
      <c r="O1045" s="17"/>
      <c r="P1045" s="18"/>
      <c r="Q1045" s="17"/>
      <c r="R1045" s="17"/>
      <c r="S1045" s="17"/>
      <c r="T1045" s="16"/>
    </row>
    <row r="1046">
      <c r="A1046" s="71"/>
      <c r="B1046" s="17"/>
      <c r="C1046" s="17"/>
      <c r="D1046" s="17"/>
      <c r="E1046" s="31"/>
      <c r="F1046" s="17"/>
      <c r="G1046" s="17"/>
      <c r="H1046" s="51"/>
      <c r="I1046" s="17"/>
      <c r="J1046" s="17"/>
      <c r="K1046" s="13"/>
      <c r="L1046" s="17"/>
      <c r="M1046" s="17"/>
      <c r="N1046" s="17"/>
      <c r="O1046" s="17"/>
      <c r="P1046" s="18"/>
      <c r="Q1046" s="17"/>
      <c r="R1046" s="17"/>
      <c r="S1046" s="17"/>
      <c r="T1046" s="16"/>
    </row>
    <row r="1047">
      <c r="A1047" s="71"/>
      <c r="B1047" s="17"/>
      <c r="C1047" s="17"/>
      <c r="D1047" s="17"/>
      <c r="E1047" s="31"/>
      <c r="F1047" s="17"/>
      <c r="G1047" s="17"/>
      <c r="H1047" s="51"/>
      <c r="I1047" s="17"/>
      <c r="J1047" s="17"/>
      <c r="K1047" s="13"/>
      <c r="L1047" s="17"/>
      <c r="M1047" s="17"/>
      <c r="N1047" s="17"/>
      <c r="O1047" s="17"/>
      <c r="P1047" s="18"/>
      <c r="Q1047" s="17"/>
      <c r="R1047" s="17"/>
      <c r="S1047" s="17"/>
      <c r="T1047" s="16"/>
    </row>
    <row r="1048">
      <c r="A1048" s="71"/>
      <c r="B1048" s="17"/>
      <c r="C1048" s="17"/>
      <c r="D1048" s="17"/>
      <c r="E1048" s="31"/>
      <c r="F1048" s="17"/>
      <c r="G1048" s="17"/>
      <c r="H1048" s="51"/>
      <c r="I1048" s="17"/>
      <c r="J1048" s="17"/>
      <c r="K1048" s="13"/>
      <c r="L1048" s="17"/>
      <c r="M1048" s="17"/>
      <c r="N1048" s="17"/>
      <c r="O1048" s="17"/>
      <c r="P1048" s="18"/>
      <c r="Q1048" s="17"/>
      <c r="R1048" s="17"/>
      <c r="S1048" s="17"/>
      <c r="T1048" s="16"/>
    </row>
    <row r="1049">
      <c r="A1049" s="71"/>
      <c r="B1049" s="17"/>
      <c r="C1049" s="17"/>
      <c r="D1049" s="17"/>
      <c r="E1049" s="31"/>
      <c r="F1049" s="17"/>
      <c r="G1049" s="17"/>
      <c r="H1049" s="51"/>
      <c r="I1049" s="17"/>
      <c r="J1049" s="17"/>
      <c r="K1049" s="13"/>
      <c r="L1049" s="17"/>
      <c r="M1049" s="17"/>
      <c r="N1049" s="17"/>
      <c r="O1049" s="17"/>
      <c r="P1049" s="18"/>
      <c r="Q1049" s="17"/>
      <c r="R1049" s="17"/>
      <c r="S1049" s="17"/>
      <c r="T1049" s="16"/>
    </row>
    <row r="1050">
      <c r="A1050" s="71"/>
      <c r="B1050" s="17"/>
      <c r="C1050" s="17"/>
      <c r="D1050" s="17"/>
      <c r="E1050" s="31"/>
      <c r="F1050" s="17"/>
      <c r="G1050" s="17"/>
      <c r="H1050" s="51"/>
      <c r="I1050" s="17"/>
      <c r="J1050" s="17"/>
      <c r="K1050" s="13"/>
      <c r="L1050" s="17"/>
      <c r="M1050" s="17"/>
      <c r="N1050" s="17"/>
      <c r="O1050" s="17"/>
      <c r="P1050" s="18"/>
      <c r="Q1050" s="17"/>
      <c r="R1050" s="17"/>
      <c r="S1050" s="17"/>
      <c r="T1050" s="16"/>
    </row>
    <row r="1051">
      <c r="A1051" s="71"/>
      <c r="B1051" s="17"/>
      <c r="C1051" s="17"/>
      <c r="D1051" s="17"/>
      <c r="E1051" s="31"/>
      <c r="F1051" s="17"/>
      <c r="G1051" s="17"/>
      <c r="H1051" s="51"/>
      <c r="I1051" s="17"/>
      <c r="J1051" s="17"/>
      <c r="K1051" s="13"/>
      <c r="L1051" s="17"/>
      <c r="M1051" s="17"/>
      <c r="N1051" s="17"/>
      <c r="O1051" s="17"/>
      <c r="P1051" s="18"/>
      <c r="Q1051" s="17"/>
      <c r="R1051" s="17"/>
      <c r="S1051" s="17"/>
      <c r="T1051" s="16"/>
    </row>
    <row r="1052">
      <c r="A1052" s="71"/>
      <c r="B1052" s="17"/>
      <c r="C1052" s="17"/>
      <c r="D1052" s="17"/>
      <c r="E1052" s="31"/>
      <c r="F1052" s="17"/>
      <c r="G1052" s="17"/>
      <c r="H1052" s="51"/>
      <c r="I1052" s="17"/>
      <c r="J1052" s="17"/>
      <c r="K1052" s="13"/>
      <c r="L1052" s="17"/>
      <c r="M1052" s="17"/>
      <c r="N1052" s="17"/>
      <c r="O1052" s="17"/>
      <c r="P1052" s="18"/>
      <c r="Q1052" s="17"/>
      <c r="R1052" s="17"/>
      <c r="S1052" s="17"/>
      <c r="T1052" s="16"/>
    </row>
    <row r="1053">
      <c r="A1053" s="71"/>
      <c r="B1053" s="17"/>
      <c r="C1053" s="17"/>
      <c r="D1053" s="17"/>
      <c r="E1053" s="31"/>
      <c r="F1053" s="17"/>
      <c r="G1053" s="17"/>
      <c r="H1053" s="51"/>
      <c r="I1053" s="17"/>
      <c r="J1053" s="17"/>
      <c r="K1053" s="13"/>
      <c r="L1053" s="17"/>
      <c r="M1053" s="17"/>
      <c r="N1053" s="17"/>
      <c r="O1053" s="17"/>
      <c r="P1053" s="18"/>
      <c r="Q1053" s="17"/>
      <c r="R1053" s="17"/>
      <c r="S1053" s="17"/>
      <c r="T1053" s="16"/>
    </row>
    <row r="1054">
      <c r="A1054" s="71"/>
      <c r="B1054" s="17"/>
      <c r="C1054" s="17"/>
      <c r="D1054" s="17"/>
      <c r="E1054" s="31"/>
      <c r="F1054" s="17"/>
      <c r="G1054" s="17"/>
      <c r="H1054" s="51"/>
      <c r="I1054" s="17"/>
      <c r="J1054" s="17"/>
      <c r="K1054" s="13"/>
      <c r="L1054" s="17"/>
      <c r="M1054" s="17"/>
      <c r="N1054" s="17"/>
      <c r="O1054" s="17"/>
      <c r="P1054" s="18"/>
      <c r="Q1054" s="17"/>
      <c r="R1054" s="17"/>
      <c r="S1054" s="17"/>
      <c r="T1054" s="16"/>
    </row>
    <row r="1055">
      <c r="A1055" s="71"/>
      <c r="B1055" s="17"/>
      <c r="C1055" s="17"/>
      <c r="D1055" s="17"/>
      <c r="E1055" s="31"/>
      <c r="F1055" s="17"/>
      <c r="G1055" s="17"/>
      <c r="H1055" s="51"/>
      <c r="I1055" s="17"/>
      <c r="J1055" s="17"/>
      <c r="K1055" s="13"/>
      <c r="L1055" s="17"/>
      <c r="M1055" s="17"/>
      <c r="N1055" s="17"/>
      <c r="O1055" s="17"/>
      <c r="P1055" s="18"/>
      <c r="Q1055" s="17"/>
      <c r="R1055" s="17"/>
      <c r="S1055" s="17"/>
      <c r="T1055" s="16"/>
    </row>
    <row r="1056">
      <c r="A1056" s="71"/>
      <c r="B1056" s="17"/>
      <c r="C1056" s="17"/>
      <c r="D1056" s="17"/>
      <c r="E1056" s="31"/>
      <c r="F1056" s="17"/>
      <c r="G1056" s="17"/>
      <c r="H1056" s="51"/>
      <c r="I1056" s="17"/>
      <c r="J1056" s="17"/>
      <c r="K1056" s="13"/>
      <c r="L1056" s="17"/>
      <c r="M1056" s="17"/>
      <c r="N1056" s="17"/>
      <c r="O1056" s="17"/>
      <c r="P1056" s="18"/>
      <c r="Q1056" s="17"/>
      <c r="R1056" s="17"/>
      <c r="S1056" s="17"/>
      <c r="T1056" s="16"/>
    </row>
    <row r="1057">
      <c r="A1057" s="71"/>
      <c r="B1057" s="17"/>
      <c r="C1057" s="17"/>
      <c r="D1057" s="17"/>
      <c r="E1057" s="31"/>
      <c r="F1057" s="17"/>
      <c r="G1057" s="17"/>
      <c r="H1057" s="51"/>
      <c r="I1057" s="17"/>
      <c r="J1057" s="17"/>
      <c r="K1057" s="13"/>
      <c r="L1057" s="17"/>
      <c r="M1057" s="17"/>
      <c r="N1057" s="17"/>
      <c r="O1057" s="17"/>
      <c r="P1057" s="18"/>
      <c r="Q1057" s="17"/>
      <c r="R1057" s="17"/>
      <c r="S1057" s="17"/>
      <c r="T1057" s="16"/>
    </row>
    <row r="1058">
      <c r="A1058" s="71"/>
      <c r="B1058" s="17"/>
      <c r="C1058" s="17"/>
      <c r="D1058" s="17"/>
      <c r="E1058" s="31"/>
      <c r="F1058" s="17"/>
      <c r="G1058" s="17"/>
      <c r="H1058" s="51"/>
      <c r="I1058" s="17"/>
      <c r="J1058" s="17"/>
      <c r="K1058" s="13"/>
      <c r="L1058" s="17"/>
      <c r="M1058" s="17"/>
      <c r="N1058" s="17"/>
      <c r="O1058" s="17"/>
      <c r="P1058" s="18"/>
      <c r="Q1058" s="17"/>
      <c r="R1058" s="17"/>
      <c r="S1058" s="17"/>
      <c r="T1058" s="16"/>
    </row>
    <row r="1059">
      <c r="A1059" s="71"/>
      <c r="B1059" s="17"/>
      <c r="C1059" s="17"/>
      <c r="D1059" s="17"/>
      <c r="E1059" s="31"/>
      <c r="F1059" s="17"/>
      <c r="G1059" s="17"/>
      <c r="H1059" s="51"/>
      <c r="I1059" s="17"/>
      <c r="J1059" s="17"/>
      <c r="K1059" s="13"/>
      <c r="L1059" s="17"/>
      <c r="M1059" s="17"/>
      <c r="N1059" s="17"/>
      <c r="O1059" s="17"/>
      <c r="P1059" s="18"/>
      <c r="Q1059" s="17"/>
      <c r="R1059" s="17"/>
      <c r="S1059" s="17"/>
      <c r="T1059" s="16"/>
    </row>
    <row r="1060">
      <c r="A1060" s="71"/>
      <c r="B1060" s="17"/>
      <c r="C1060" s="17"/>
      <c r="D1060" s="17"/>
      <c r="E1060" s="31"/>
      <c r="F1060" s="17"/>
      <c r="G1060" s="17"/>
      <c r="H1060" s="51"/>
      <c r="I1060" s="17"/>
      <c r="J1060" s="17"/>
      <c r="K1060" s="13"/>
      <c r="L1060" s="17"/>
      <c r="M1060" s="17"/>
      <c r="N1060" s="17"/>
      <c r="O1060" s="17"/>
      <c r="P1060" s="18"/>
      <c r="Q1060" s="17"/>
      <c r="R1060" s="17"/>
      <c r="S1060" s="17"/>
      <c r="T1060" s="16"/>
    </row>
    <row r="1061">
      <c r="A1061" s="71"/>
      <c r="B1061" s="17"/>
      <c r="C1061" s="17"/>
      <c r="D1061" s="17"/>
      <c r="E1061" s="31"/>
      <c r="F1061" s="17"/>
      <c r="G1061" s="17"/>
      <c r="H1061" s="51"/>
      <c r="I1061" s="17"/>
      <c r="J1061" s="17"/>
      <c r="K1061" s="13"/>
      <c r="L1061" s="17"/>
      <c r="M1061" s="17"/>
      <c r="N1061" s="17"/>
      <c r="O1061" s="17"/>
      <c r="P1061" s="18"/>
      <c r="Q1061" s="17"/>
      <c r="R1061" s="17"/>
      <c r="S1061" s="17"/>
      <c r="T1061" s="16"/>
    </row>
    <row r="1062">
      <c r="A1062" s="71"/>
      <c r="B1062" s="17"/>
      <c r="C1062" s="17"/>
      <c r="D1062" s="17"/>
      <c r="E1062" s="31"/>
      <c r="F1062" s="17"/>
      <c r="G1062" s="17"/>
      <c r="H1062" s="51"/>
      <c r="I1062" s="17"/>
      <c r="J1062" s="17"/>
      <c r="K1062" s="13"/>
      <c r="L1062" s="17"/>
      <c r="M1062" s="17"/>
      <c r="N1062" s="17"/>
      <c r="O1062" s="17"/>
      <c r="P1062" s="18"/>
      <c r="Q1062" s="17"/>
      <c r="R1062" s="17"/>
      <c r="S1062" s="17"/>
      <c r="T1062" s="16"/>
    </row>
    <row r="1063">
      <c r="A1063" s="71"/>
      <c r="B1063" s="17"/>
      <c r="C1063" s="17"/>
      <c r="D1063" s="17"/>
      <c r="E1063" s="31"/>
      <c r="F1063" s="17"/>
      <c r="G1063" s="17"/>
      <c r="H1063" s="51"/>
      <c r="I1063" s="17"/>
      <c r="J1063" s="17"/>
      <c r="K1063" s="13"/>
      <c r="L1063" s="17"/>
      <c r="M1063" s="17"/>
      <c r="N1063" s="17"/>
      <c r="O1063" s="17"/>
      <c r="P1063" s="18"/>
      <c r="Q1063" s="17"/>
      <c r="R1063" s="17"/>
      <c r="S1063" s="17"/>
      <c r="T1063" s="16"/>
    </row>
    <row r="1064">
      <c r="A1064" s="71"/>
      <c r="B1064" s="17"/>
      <c r="C1064" s="17"/>
      <c r="D1064" s="17"/>
      <c r="E1064" s="31"/>
      <c r="F1064" s="17"/>
      <c r="G1064" s="17"/>
      <c r="H1064" s="51"/>
      <c r="I1064" s="17"/>
      <c r="J1064" s="17"/>
      <c r="K1064" s="13"/>
      <c r="L1064" s="17"/>
      <c r="M1064" s="17"/>
      <c r="N1064" s="17"/>
      <c r="O1064" s="17"/>
      <c r="P1064" s="18"/>
      <c r="Q1064" s="17"/>
      <c r="R1064" s="17"/>
      <c r="S1064" s="17"/>
      <c r="T1064" s="16"/>
    </row>
    <row r="1065">
      <c r="A1065" s="71"/>
      <c r="B1065" s="17"/>
      <c r="C1065" s="17"/>
      <c r="D1065" s="17"/>
      <c r="E1065" s="31"/>
      <c r="F1065" s="17"/>
      <c r="G1065" s="17"/>
      <c r="H1065" s="51"/>
      <c r="I1065" s="17"/>
      <c r="J1065" s="17"/>
      <c r="K1065" s="13"/>
      <c r="L1065" s="17"/>
      <c r="M1065" s="17"/>
      <c r="N1065" s="17"/>
      <c r="O1065" s="17"/>
      <c r="P1065" s="18"/>
      <c r="Q1065" s="17"/>
      <c r="R1065" s="17"/>
      <c r="S1065" s="17"/>
      <c r="T1065" s="16"/>
    </row>
    <row r="1066">
      <c r="A1066" s="71"/>
      <c r="B1066" s="17"/>
      <c r="C1066" s="17"/>
      <c r="D1066" s="17"/>
      <c r="E1066" s="31"/>
      <c r="F1066" s="17"/>
      <c r="G1066" s="17"/>
      <c r="H1066" s="51"/>
      <c r="I1066" s="17"/>
      <c r="J1066" s="17"/>
      <c r="K1066" s="13"/>
      <c r="L1066" s="17"/>
      <c r="M1066" s="17"/>
      <c r="N1066" s="17"/>
      <c r="O1066" s="17"/>
      <c r="P1066" s="18"/>
      <c r="Q1066" s="17"/>
      <c r="R1066" s="17"/>
      <c r="S1066" s="17"/>
      <c r="T1066" s="16"/>
    </row>
    <row r="1067">
      <c r="A1067" s="71"/>
      <c r="B1067" s="17"/>
      <c r="C1067" s="17"/>
      <c r="D1067" s="17"/>
      <c r="E1067" s="31"/>
      <c r="F1067" s="17"/>
      <c r="G1067" s="17"/>
      <c r="H1067" s="51"/>
      <c r="I1067" s="17"/>
      <c r="J1067" s="17"/>
      <c r="K1067" s="13"/>
      <c r="L1067" s="17"/>
      <c r="M1067" s="17"/>
      <c r="N1067" s="17"/>
      <c r="O1067" s="17"/>
      <c r="P1067" s="18"/>
      <c r="Q1067" s="17"/>
      <c r="R1067" s="17"/>
      <c r="S1067" s="17"/>
      <c r="T1067" s="16"/>
    </row>
    <row r="1068">
      <c r="A1068" s="71"/>
      <c r="B1068" s="17"/>
      <c r="C1068" s="17"/>
      <c r="D1068" s="17"/>
      <c r="E1068" s="31"/>
      <c r="F1068" s="17"/>
      <c r="G1068" s="17"/>
      <c r="H1068" s="51"/>
      <c r="I1068" s="17"/>
      <c r="J1068" s="17"/>
      <c r="K1068" s="13"/>
      <c r="L1068" s="17"/>
      <c r="M1068" s="17"/>
      <c r="N1068" s="17"/>
      <c r="O1068" s="17"/>
      <c r="P1068" s="18"/>
      <c r="Q1068" s="17"/>
      <c r="R1068" s="17"/>
      <c r="S1068" s="17"/>
      <c r="T1068" s="16"/>
    </row>
    <row r="1069">
      <c r="A1069" s="71"/>
      <c r="B1069" s="17"/>
      <c r="C1069" s="17"/>
      <c r="D1069" s="17"/>
      <c r="E1069" s="31"/>
      <c r="F1069" s="17"/>
      <c r="G1069" s="17"/>
      <c r="H1069" s="51"/>
      <c r="I1069" s="17"/>
      <c r="J1069" s="17"/>
      <c r="K1069" s="13"/>
      <c r="L1069" s="17"/>
      <c r="M1069" s="17"/>
      <c r="N1069" s="17"/>
      <c r="O1069" s="17"/>
      <c r="P1069" s="18"/>
      <c r="Q1069" s="17"/>
      <c r="R1069" s="17"/>
      <c r="S1069" s="17"/>
      <c r="T1069" s="16"/>
    </row>
    <row r="1070">
      <c r="A1070" s="71"/>
      <c r="B1070" s="17"/>
      <c r="C1070" s="17"/>
      <c r="D1070" s="17"/>
      <c r="E1070" s="31"/>
      <c r="F1070" s="17"/>
      <c r="G1070" s="17"/>
      <c r="H1070" s="51"/>
      <c r="I1070" s="17"/>
      <c r="J1070" s="17"/>
      <c r="K1070" s="13"/>
      <c r="L1070" s="17"/>
      <c r="M1070" s="17"/>
      <c r="N1070" s="17"/>
      <c r="O1070" s="17"/>
      <c r="P1070" s="18"/>
      <c r="Q1070" s="17"/>
      <c r="R1070" s="17"/>
      <c r="S1070" s="17"/>
      <c r="T1070" s="16"/>
    </row>
    <row r="1071">
      <c r="A1071" s="71"/>
      <c r="B1071" s="17"/>
      <c r="C1071" s="17"/>
      <c r="D1071" s="17"/>
      <c r="E1071" s="31"/>
      <c r="F1071" s="17"/>
      <c r="G1071" s="17"/>
      <c r="H1071" s="51"/>
      <c r="I1071" s="17"/>
      <c r="J1071" s="17"/>
      <c r="K1071" s="13"/>
      <c r="L1071" s="17"/>
      <c r="M1071" s="17"/>
      <c r="N1071" s="17"/>
      <c r="O1071" s="17"/>
      <c r="P1071" s="18"/>
      <c r="Q1071" s="17"/>
      <c r="R1071" s="17"/>
      <c r="S1071" s="17"/>
      <c r="T1071" s="16"/>
    </row>
    <row r="1072">
      <c r="A1072" s="71"/>
      <c r="B1072" s="17"/>
      <c r="C1072" s="17"/>
      <c r="D1072" s="17"/>
      <c r="E1072" s="31"/>
      <c r="F1072" s="17"/>
      <c r="G1072" s="17"/>
      <c r="H1072" s="51"/>
      <c r="I1072" s="17"/>
      <c r="J1072" s="17"/>
      <c r="K1072" s="13"/>
      <c r="L1072" s="17"/>
      <c r="M1072" s="17"/>
      <c r="N1072" s="17"/>
      <c r="O1072" s="17"/>
      <c r="P1072" s="18"/>
      <c r="Q1072" s="17"/>
      <c r="R1072" s="17"/>
      <c r="S1072" s="17"/>
      <c r="T1072" s="16"/>
    </row>
    <row r="1073">
      <c r="A1073" s="71"/>
      <c r="B1073" s="17"/>
      <c r="C1073" s="17"/>
      <c r="D1073" s="17"/>
      <c r="E1073" s="31"/>
      <c r="F1073" s="17"/>
      <c r="G1073" s="17"/>
      <c r="H1073" s="51"/>
      <c r="I1073" s="17"/>
      <c r="J1073" s="17"/>
      <c r="K1073" s="13"/>
      <c r="L1073" s="17"/>
      <c r="M1073" s="17"/>
      <c r="N1073" s="17"/>
      <c r="O1073" s="17"/>
      <c r="P1073" s="18"/>
      <c r="Q1073" s="17"/>
      <c r="R1073" s="17"/>
      <c r="S1073" s="17"/>
      <c r="T1073" s="16"/>
    </row>
    <row r="1074">
      <c r="A1074" s="71"/>
      <c r="B1074" s="17"/>
      <c r="C1074" s="17"/>
      <c r="D1074" s="17"/>
      <c r="E1074" s="31"/>
      <c r="F1074" s="17"/>
      <c r="G1074" s="17"/>
      <c r="H1074" s="51"/>
      <c r="I1074" s="17"/>
      <c r="J1074" s="17"/>
      <c r="K1074" s="13"/>
      <c r="L1074" s="17"/>
      <c r="M1074" s="17"/>
      <c r="N1074" s="17"/>
      <c r="O1074" s="17"/>
      <c r="P1074" s="18"/>
      <c r="Q1074" s="17"/>
      <c r="R1074" s="17"/>
      <c r="S1074" s="17"/>
      <c r="T1074" s="16"/>
    </row>
    <row r="1075">
      <c r="A1075" s="71"/>
      <c r="B1075" s="17"/>
      <c r="C1075" s="17"/>
      <c r="D1075" s="17"/>
      <c r="E1075" s="31"/>
      <c r="F1075" s="17"/>
      <c r="G1075" s="17"/>
      <c r="H1075" s="51"/>
      <c r="I1075" s="17"/>
      <c r="J1075" s="17"/>
      <c r="K1075" s="13"/>
      <c r="L1075" s="17"/>
      <c r="M1075" s="17"/>
      <c r="N1075" s="17"/>
      <c r="O1075" s="17"/>
      <c r="P1075" s="18"/>
      <c r="Q1075" s="17"/>
      <c r="R1075" s="17"/>
      <c r="S1075" s="17"/>
      <c r="T1075" s="16"/>
    </row>
    <row r="1076">
      <c r="A1076" s="71"/>
      <c r="B1076" s="17"/>
      <c r="C1076" s="17"/>
      <c r="D1076" s="17"/>
      <c r="E1076" s="31"/>
      <c r="F1076" s="17"/>
      <c r="G1076" s="17"/>
      <c r="H1076" s="51"/>
      <c r="I1076" s="17"/>
      <c r="J1076" s="17"/>
      <c r="K1076" s="13"/>
      <c r="L1076" s="17"/>
      <c r="M1076" s="17"/>
      <c r="N1076" s="17"/>
      <c r="O1076" s="17"/>
      <c r="P1076" s="18"/>
      <c r="Q1076" s="17"/>
      <c r="R1076" s="17"/>
      <c r="S1076" s="17"/>
      <c r="T1076" s="16"/>
    </row>
    <row r="1077">
      <c r="A1077" s="71"/>
      <c r="B1077" s="17"/>
      <c r="C1077" s="17"/>
      <c r="D1077" s="17"/>
      <c r="E1077" s="31"/>
      <c r="F1077" s="17"/>
      <c r="G1077" s="17"/>
      <c r="H1077" s="51"/>
      <c r="I1077" s="17"/>
      <c r="J1077" s="17"/>
      <c r="K1077" s="13"/>
      <c r="L1077" s="17"/>
      <c r="M1077" s="17"/>
      <c r="N1077" s="17"/>
      <c r="O1077" s="17"/>
      <c r="P1077" s="18"/>
      <c r="Q1077" s="17"/>
      <c r="R1077" s="17"/>
      <c r="S1077" s="17"/>
      <c r="T1077" s="16"/>
    </row>
    <row r="1078">
      <c r="A1078" s="71"/>
      <c r="B1078" s="17"/>
      <c r="C1078" s="17"/>
      <c r="D1078" s="17"/>
      <c r="E1078" s="31"/>
      <c r="F1078" s="17"/>
      <c r="G1078" s="17"/>
      <c r="H1078" s="51"/>
      <c r="I1078" s="17"/>
      <c r="J1078" s="17"/>
      <c r="K1078" s="13"/>
      <c r="L1078" s="17"/>
      <c r="M1078" s="17"/>
      <c r="N1078" s="17"/>
      <c r="O1078" s="17"/>
      <c r="P1078" s="18"/>
      <c r="Q1078" s="17"/>
      <c r="R1078" s="17"/>
      <c r="S1078" s="17"/>
      <c r="T1078" s="16"/>
    </row>
    <row r="1079">
      <c r="A1079" s="71"/>
      <c r="B1079" s="17"/>
      <c r="C1079" s="17"/>
      <c r="D1079" s="17"/>
      <c r="E1079" s="31"/>
      <c r="F1079" s="17"/>
      <c r="G1079" s="17"/>
      <c r="H1079" s="51"/>
      <c r="I1079" s="17"/>
      <c r="J1079" s="17"/>
      <c r="K1079" s="13"/>
      <c r="L1079" s="17"/>
      <c r="M1079" s="17"/>
      <c r="N1079" s="17"/>
      <c r="O1079" s="17"/>
      <c r="P1079" s="18"/>
      <c r="Q1079" s="17"/>
      <c r="R1079" s="17"/>
      <c r="S1079" s="17"/>
      <c r="T1079" s="16"/>
    </row>
    <row r="1080">
      <c r="A1080" s="71"/>
      <c r="B1080" s="17"/>
      <c r="C1080" s="17"/>
      <c r="D1080" s="17"/>
      <c r="E1080" s="31"/>
      <c r="F1080" s="17"/>
      <c r="G1080" s="17"/>
      <c r="H1080" s="51"/>
      <c r="I1080" s="17"/>
      <c r="J1080" s="17"/>
      <c r="K1080" s="13"/>
      <c r="L1080" s="17"/>
      <c r="M1080" s="17"/>
      <c r="N1080" s="17"/>
      <c r="O1080" s="17"/>
      <c r="P1080" s="18"/>
      <c r="Q1080" s="17"/>
      <c r="R1080" s="17"/>
      <c r="S1080" s="17"/>
      <c r="T1080" s="16"/>
    </row>
    <row r="1081">
      <c r="A1081" s="71"/>
      <c r="B1081" s="17"/>
      <c r="C1081" s="17"/>
      <c r="D1081" s="17"/>
      <c r="E1081" s="31"/>
      <c r="F1081" s="17"/>
      <c r="G1081" s="17"/>
      <c r="H1081" s="51"/>
      <c r="I1081" s="17"/>
      <c r="J1081" s="17"/>
      <c r="K1081" s="13"/>
      <c r="L1081" s="17"/>
      <c r="M1081" s="17"/>
      <c r="N1081" s="17"/>
      <c r="O1081" s="17"/>
      <c r="P1081" s="18"/>
      <c r="Q1081" s="17"/>
      <c r="R1081" s="17"/>
      <c r="S1081" s="17"/>
      <c r="T1081" s="16"/>
    </row>
    <row r="1082">
      <c r="A1082" s="71"/>
      <c r="B1082" s="17"/>
      <c r="C1082" s="17"/>
      <c r="D1082" s="17"/>
      <c r="E1082" s="31"/>
      <c r="F1082" s="17"/>
      <c r="G1082" s="17"/>
      <c r="H1082" s="51"/>
      <c r="I1082" s="17"/>
      <c r="J1082" s="17"/>
      <c r="K1082" s="13"/>
      <c r="L1082" s="17"/>
      <c r="M1082" s="17"/>
      <c r="N1082" s="17"/>
      <c r="O1082" s="17"/>
      <c r="P1082" s="18"/>
      <c r="Q1082" s="17"/>
      <c r="R1082" s="17"/>
      <c r="S1082" s="17"/>
      <c r="T1082" s="16"/>
    </row>
    <row r="1083">
      <c r="A1083" s="71"/>
      <c r="B1083" s="17"/>
      <c r="C1083" s="17"/>
      <c r="D1083" s="17"/>
      <c r="E1083" s="31"/>
      <c r="F1083" s="17"/>
      <c r="G1083" s="17"/>
      <c r="H1083" s="51"/>
      <c r="I1083" s="17"/>
      <c r="J1083" s="17"/>
      <c r="K1083" s="13"/>
      <c r="L1083" s="17"/>
      <c r="M1083" s="17"/>
      <c r="N1083" s="17"/>
      <c r="O1083" s="17"/>
      <c r="P1083" s="18"/>
      <c r="Q1083" s="17"/>
      <c r="R1083" s="17"/>
      <c r="S1083" s="17"/>
      <c r="T1083" s="16"/>
    </row>
    <row r="1084">
      <c r="A1084" s="71"/>
      <c r="B1084" s="17"/>
      <c r="C1084" s="17"/>
      <c r="D1084" s="17"/>
      <c r="E1084" s="31"/>
      <c r="F1084" s="17"/>
      <c r="G1084" s="17"/>
      <c r="H1084" s="51"/>
      <c r="I1084" s="17"/>
      <c r="J1084" s="17"/>
      <c r="K1084" s="13"/>
      <c r="L1084" s="17"/>
      <c r="M1084" s="17"/>
      <c r="N1084" s="17"/>
      <c r="O1084" s="17"/>
      <c r="P1084" s="18"/>
      <c r="Q1084" s="17"/>
      <c r="R1084" s="17"/>
      <c r="S1084" s="17"/>
      <c r="T1084" s="16"/>
    </row>
    <row r="1085">
      <c r="A1085" s="71"/>
      <c r="B1085" s="17"/>
      <c r="C1085" s="17"/>
      <c r="D1085" s="17"/>
      <c r="E1085" s="31"/>
      <c r="F1085" s="17"/>
      <c r="G1085" s="17"/>
      <c r="H1085" s="51"/>
      <c r="I1085" s="17"/>
      <c r="J1085" s="17"/>
      <c r="K1085" s="13"/>
      <c r="L1085" s="17"/>
      <c r="M1085" s="17"/>
      <c r="N1085" s="17"/>
      <c r="O1085" s="17"/>
      <c r="P1085" s="18"/>
      <c r="Q1085" s="17"/>
      <c r="R1085" s="17"/>
      <c r="S1085" s="17"/>
      <c r="T1085" s="16"/>
    </row>
    <row r="1086">
      <c r="A1086" s="71"/>
      <c r="B1086" s="17"/>
      <c r="C1086" s="17"/>
      <c r="D1086" s="17"/>
      <c r="E1086" s="31"/>
      <c r="F1086" s="17"/>
      <c r="G1086" s="17"/>
      <c r="H1086" s="51"/>
      <c r="I1086" s="17"/>
      <c r="J1086" s="17"/>
      <c r="K1086" s="13"/>
      <c r="L1086" s="17"/>
      <c r="M1086" s="17"/>
      <c r="N1086" s="17"/>
      <c r="O1086" s="17"/>
      <c r="P1086" s="18"/>
      <c r="Q1086" s="17"/>
      <c r="R1086" s="17"/>
      <c r="S1086" s="17"/>
      <c r="T1086" s="16"/>
    </row>
    <row r="1087">
      <c r="A1087" s="71"/>
      <c r="B1087" s="17"/>
      <c r="C1087" s="17"/>
      <c r="D1087" s="17"/>
      <c r="E1087" s="31"/>
      <c r="F1087" s="17"/>
      <c r="G1087" s="17"/>
      <c r="H1087" s="51"/>
      <c r="I1087" s="17"/>
      <c r="J1087" s="17"/>
      <c r="K1087" s="13"/>
      <c r="L1087" s="17"/>
      <c r="M1087" s="17"/>
      <c r="N1087" s="17"/>
      <c r="O1087" s="17"/>
      <c r="P1087" s="18"/>
      <c r="Q1087" s="17"/>
      <c r="R1087" s="17"/>
      <c r="S1087" s="17"/>
      <c r="T1087" s="16"/>
    </row>
    <row r="1088">
      <c r="A1088" s="71"/>
      <c r="B1088" s="17"/>
      <c r="C1088" s="17"/>
      <c r="D1088" s="17"/>
      <c r="E1088" s="31"/>
      <c r="F1088" s="17"/>
      <c r="G1088" s="17"/>
      <c r="H1088" s="51"/>
      <c r="I1088" s="17"/>
      <c r="J1088" s="17"/>
      <c r="K1088" s="13"/>
      <c r="L1088" s="17"/>
      <c r="M1088" s="17"/>
      <c r="N1088" s="17"/>
      <c r="O1088" s="17"/>
      <c r="P1088" s="18"/>
      <c r="Q1088" s="17"/>
      <c r="R1088" s="17"/>
      <c r="S1088" s="17"/>
      <c r="T1088" s="16"/>
    </row>
    <row r="1089">
      <c r="A1089" s="71"/>
      <c r="B1089" s="17"/>
      <c r="C1089" s="17"/>
      <c r="D1089" s="17"/>
      <c r="E1089" s="31"/>
      <c r="F1089" s="17"/>
      <c r="G1089" s="17"/>
      <c r="H1089" s="51"/>
      <c r="I1089" s="17"/>
      <c r="J1089" s="17"/>
      <c r="K1089" s="13"/>
      <c r="L1089" s="17"/>
      <c r="M1089" s="17"/>
      <c r="N1089" s="17"/>
      <c r="O1089" s="17"/>
      <c r="P1089" s="18"/>
      <c r="Q1089" s="17"/>
      <c r="R1089" s="17"/>
      <c r="S1089" s="17"/>
      <c r="T1089" s="16"/>
    </row>
    <row r="1090">
      <c r="A1090" s="71"/>
      <c r="B1090" s="17"/>
      <c r="C1090" s="17"/>
      <c r="D1090" s="17"/>
      <c r="E1090" s="31"/>
      <c r="F1090" s="17"/>
      <c r="G1090" s="17"/>
      <c r="H1090" s="51"/>
      <c r="I1090" s="17"/>
      <c r="J1090" s="17"/>
      <c r="K1090" s="13"/>
      <c r="L1090" s="17"/>
      <c r="M1090" s="17"/>
      <c r="N1090" s="17"/>
      <c r="O1090" s="17"/>
      <c r="P1090" s="18"/>
      <c r="Q1090" s="17"/>
      <c r="R1090" s="17"/>
      <c r="S1090" s="17"/>
      <c r="T1090" s="16"/>
    </row>
    <row r="1091">
      <c r="A1091" s="71"/>
      <c r="B1091" s="17"/>
      <c r="C1091" s="17"/>
      <c r="D1091" s="17"/>
      <c r="E1091" s="31"/>
      <c r="F1091" s="17"/>
      <c r="G1091" s="17"/>
      <c r="H1091" s="51"/>
      <c r="I1091" s="17"/>
      <c r="J1091" s="17"/>
      <c r="K1091" s="13"/>
      <c r="L1091" s="17"/>
      <c r="M1091" s="17"/>
      <c r="N1091" s="17"/>
      <c r="O1091" s="17"/>
      <c r="P1091" s="18"/>
      <c r="Q1091" s="17"/>
      <c r="R1091" s="17"/>
      <c r="S1091" s="17"/>
      <c r="T1091" s="16"/>
    </row>
    <row r="1092">
      <c r="A1092" s="71"/>
      <c r="B1092" s="17"/>
      <c r="C1092" s="17"/>
      <c r="D1092" s="17"/>
      <c r="E1092" s="31"/>
      <c r="F1092" s="17"/>
      <c r="G1092" s="17"/>
      <c r="H1092" s="51"/>
      <c r="I1092" s="17"/>
      <c r="J1092" s="17"/>
      <c r="K1092" s="13"/>
      <c r="L1092" s="17"/>
      <c r="M1092" s="17"/>
      <c r="N1092" s="17"/>
      <c r="O1092" s="17"/>
      <c r="P1092" s="18"/>
      <c r="Q1092" s="17"/>
      <c r="R1092" s="17"/>
      <c r="S1092" s="17"/>
      <c r="T1092" s="16"/>
    </row>
    <row r="1093">
      <c r="A1093" s="71"/>
      <c r="B1093" s="17"/>
      <c r="C1093" s="17"/>
      <c r="D1093" s="17"/>
      <c r="E1093" s="31"/>
      <c r="F1093" s="17"/>
      <c r="G1093" s="17"/>
      <c r="H1093" s="51"/>
      <c r="I1093" s="17"/>
      <c r="J1093" s="17"/>
      <c r="K1093" s="13"/>
      <c r="L1093" s="17"/>
      <c r="M1093" s="17"/>
      <c r="N1093" s="17"/>
      <c r="O1093" s="17"/>
      <c r="P1093" s="18"/>
      <c r="Q1093" s="17"/>
      <c r="R1093" s="17"/>
      <c r="S1093" s="17"/>
      <c r="T1093" s="16"/>
    </row>
    <row r="1094">
      <c r="A1094" s="71"/>
      <c r="B1094" s="17"/>
      <c r="C1094" s="17"/>
      <c r="D1094" s="17"/>
      <c r="E1094" s="31"/>
      <c r="F1094" s="17"/>
      <c r="G1094" s="17"/>
      <c r="H1094" s="51"/>
      <c r="I1094" s="17"/>
      <c r="J1094" s="17"/>
      <c r="K1094" s="13"/>
      <c r="L1094" s="17"/>
      <c r="M1094" s="17"/>
      <c r="N1094" s="17"/>
      <c r="O1094" s="17"/>
      <c r="P1094" s="18"/>
      <c r="Q1094" s="17"/>
      <c r="R1094" s="17"/>
      <c r="S1094" s="17"/>
      <c r="T1094" s="16"/>
    </row>
    <row r="1095">
      <c r="A1095" s="71"/>
      <c r="B1095" s="17"/>
      <c r="C1095" s="17"/>
      <c r="D1095" s="17"/>
      <c r="E1095" s="31"/>
      <c r="F1095" s="17"/>
      <c r="G1095" s="17"/>
      <c r="H1095" s="51"/>
      <c r="I1095" s="17"/>
      <c r="J1095" s="17"/>
      <c r="K1095" s="13"/>
      <c r="L1095" s="17"/>
      <c r="M1095" s="17"/>
      <c r="N1095" s="17"/>
      <c r="O1095" s="17"/>
      <c r="P1095" s="18"/>
      <c r="Q1095" s="17"/>
      <c r="R1095" s="17"/>
      <c r="S1095" s="17"/>
      <c r="T1095" s="16"/>
    </row>
    <row r="1096">
      <c r="A1096" s="71"/>
      <c r="B1096" s="17"/>
      <c r="C1096" s="17"/>
      <c r="D1096" s="17"/>
      <c r="E1096" s="31"/>
      <c r="F1096" s="17"/>
      <c r="G1096" s="17"/>
      <c r="H1096" s="51"/>
      <c r="I1096" s="17"/>
      <c r="J1096" s="17"/>
      <c r="K1096" s="13"/>
      <c r="L1096" s="17"/>
      <c r="M1096" s="17"/>
      <c r="N1096" s="17"/>
      <c r="O1096" s="17"/>
      <c r="P1096" s="18"/>
      <c r="Q1096" s="17"/>
      <c r="R1096" s="17"/>
      <c r="S1096" s="17"/>
      <c r="T1096" s="16"/>
    </row>
    <row r="1097">
      <c r="A1097" s="71"/>
      <c r="B1097" s="17"/>
      <c r="C1097" s="17"/>
      <c r="D1097" s="17"/>
      <c r="E1097" s="31"/>
      <c r="F1097" s="17"/>
      <c r="G1097" s="17"/>
      <c r="H1097" s="51"/>
      <c r="I1097" s="17"/>
      <c r="J1097" s="17"/>
      <c r="K1097" s="13"/>
      <c r="L1097" s="17"/>
      <c r="M1097" s="17"/>
      <c r="N1097" s="17"/>
      <c r="O1097" s="17"/>
      <c r="P1097" s="18"/>
      <c r="Q1097" s="17"/>
      <c r="R1097" s="17"/>
      <c r="S1097" s="17"/>
      <c r="T1097" s="16"/>
    </row>
    <row r="1098">
      <c r="A1098" s="71"/>
      <c r="B1098" s="17"/>
      <c r="C1098" s="17"/>
      <c r="D1098" s="17"/>
      <c r="E1098" s="31"/>
      <c r="F1098" s="17"/>
      <c r="G1098" s="17"/>
      <c r="H1098" s="51"/>
      <c r="I1098" s="17"/>
      <c r="J1098" s="17"/>
      <c r="K1098" s="13"/>
      <c r="L1098" s="17"/>
      <c r="M1098" s="17"/>
      <c r="N1098" s="17"/>
      <c r="O1098" s="17"/>
      <c r="P1098" s="18"/>
      <c r="Q1098" s="17"/>
      <c r="R1098" s="17"/>
      <c r="S1098" s="17"/>
      <c r="T1098" s="16"/>
    </row>
    <row r="1099">
      <c r="A1099" s="71"/>
      <c r="B1099" s="17"/>
      <c r="C1099" s="17"/>
      <c r="D1099" s="17"/>
      <c r="E1099" s="31"/>
      <c r="F1099" s="17"/>
      <c r="G1099" s="17"/>
      <c r="H1099" s="51"/>
      <c r="I1099" s="17"/>
      <c r="J1099" s="17"/>
      <c r="K1099" s="13"/>
      <c r="L1099" s="17"/>
      <c r="M1099" s="17"/>
      <c r="N1099" s="17"/>
      <c r="O1099" s="17"/>
      <c r="P1099" s="18"/>
      <c r="Q1099" s="17"/>
      <c r="R1099" s="17"/>
      <c r="S1099" s="17"/>
      <c r="T1099" s="16"/>
    </row>
    <row r="1100">
      <c r="A1100" s="71"/>
      <c r="B1100" s="17"/>
      <c r="C1100" s="17"/>
      <c r="D1100" s="17"/>
      <c r="E1100" s="31"/>
      <c r="F1100" s="17"/>
      <c r="G1100" s="17"/>
      <c r="H1100" s="51"/>
      <c r="I1100" s="17"/>
      <c r="J1100" s="17"/>
      <c r="K1100" s="13"/>
      <c r="L1100" s="17"/>
      <c r="M1100" s="17"/>
      <c r="N1100" s="17"/>
      <c r="O1100" s="17"/>
      <c r="P1100" s="18"/>
      <c r="Q1100" s="17"/>
      <c r="R1100" s="17"/>
      <c r="S1100" s="17"/>
      <c r="T1100" s="16"/>
    </row>
    <row r="1101">
      <c r="A1101" s="71"/>
      <c r="B1101" s="17"/>
      <c r="C1101" s="17"/>
      <c r="D1101" s="17"/>
      <c r="E1101" s="31"/>
      <c r="F1101" s="17"/>
      <c r="G1101" s="17"/>
      <c r="H1101" s="51"/>
      <c r="I1101" s="17"/>
      <c r="J1101" s="17"/>
      <c r="K1101" s="13"/>
      <c r="L1101" s="17"/>
      <c r="M1101" s="17"/>
      <c r="N1101" s="17"/>
      <c r="O1101" s="17"/>
      <c r="P1101" s="18"/>
      <c r="Q1101" s="17"/>
      <c r="R1101" s="17"/>
      <c r="S1101" s="17"/>
      <c r="T1101" s="16"/>
    </row>
    <row r="1102">
      <c r="A1102" s="71"/>
      <c r="B1102" s="17"/>
      <c r="C1102" s="17"/>
      <c r="D1102" s="17"/>
      <c r="E1102" s="31"/>
      <c r="F1102" s="17"/>
      <c r="G1102" s="17"/>
      <c r="H1102" s="51"/>
      <c r="I1102" s="17"/>
      <c r="J1102" s="17"/>
      <c r="K1102" s="13"/>
      <c r="L1102" s="17"/>
      <c r="M1102" s="17"/>
      <c r="N1102" s="17"/>
      <c r="O1102" s="17"/>
      <c r="P1102" s="18"/>
      <c r="Q1102" s="17"/>
      <c r="R1102" s="17"/>
      <c r="S1102" s="17"/>
      <c r="T1102" s="16"/>
    </row>
    <row r="1103">
      <c r="A1103" s="71"/>
      <c r="B1103" s="17"/>
      <c r="C1103" s="17"/>
      <c r="D1103" s="17"/>
      <c r="E1103" s="31"/>
      <c r="F1103" s="17"/>
      <c r="G1103" s="17"/>
      <c r="H1103" s="51"/>
      <c r="I1103" s="17"/>
      <c r="J1103" s="17"/>
      <c r="K1103" s="13"/>
      <c r="L1103" s="17"/>
      <c r="M1103" s="17"/>
      <c r="N1103" s="17"/>
      <c r="O1103" s="17"/>
      <c r="P1103" s="18"/>
      <c r="Q1103" s="17"/>
      <c r="R1103" s="17"/>
      <c r="S1103" s="17"/>
      <c r="T1103" s="16"/>
    </row>
    <row r="1104">
      <c r="A1104" s="71"/>
      <c r="B1104" s="17"/>
      <c r="C1104" s="17"/>
      <c r="D1104" s="17"/>
      <c r="E1104" s="31"/>
      <c r="F1104" s="17"/>
      <c r="G1104" s="17"/>
      <c r="H1104" s="51"/>
      <c r="I1104" s="17"/>
      <c r="J1104" s="17"/>
      <c r="K1104" s="13"/>
      <c r="L1104" s="17"/>
      <c r="M1104" s="17"/>
      <c r="N1104" s="17"/>
      <c r="O1104" s="17"/>
      <c r="P1104" s="18"/>
      <c r="Q1104" s="17"/>
      <c r="R1104" s="17"/>
      <c r="S1104" s="17"/>
      <c r="T1104" s="16"/>
    </row>
    <row r="1105">
      <c r="A1105" s="71"/>
      <c r="B1105" s="17"/>
      <c r="C1105" s="17"/>
      <c r="D1105" s="17"/>
      <c r="E1105" s="31"/>
      <c r="F1105" s="17"/>
      <c r="G1105" s="17"/>
      <c r="H1105" s="51"/>
      <c r="I1105" s="17"/>
      <c r="J1105" s="17"/>
      <c r="K1105" s="13"/>
      <c r="L1105" s="17"/>
      <c r="M1105" s="17"/>
      <c r="N1105" s="17"/>
      <c r="O1105" s="17"/>
      <c r="P1105" s="18"/>
      <c r="Q1105" s="17"/>
      <c r="R1105" s="17"/>
      <c r="S1105" s="17"/>
      <c r="T1105" s="16"/>
    </row>
    <row r="1106">
      <c r="A1106" s="71"/>
      <c r="B1106" s="17"/>
      <c r="C1106" s="17"/>
      <c r="D1106" s="17"/>
      <c r="E1106" s="31"/>
      <c r="F1106" s="17"/>
      <c r="G1106" s="17"/>
      <c r="H1106" s="51"/>
      <c r="I1106" s="17"/>
      <c r="J1106" s="17"/>
      <c r="K1106" s="13"/>
      <c r="L1106" s="17"/>
      <c r="M1106" s="17"/>
      <c r="N1106" s="17"/>
      <c r="O1106" s="17"/>
      <c r="P1106" s="18"/>
      <c r="Q1106" s="17"/>
      <c r="R1106" s="17"/>
      <c r="S1106" s="17"/>
      <c r="T1106" s="16"/>
    </row>
    <row r="1107">
      <c r="A1107" s="71"/>
      <c r="B1107" s="17"/>
      <c r="C1107" s="17"/>
      <c r="D1107" s="17"/>
      <c r="E1107" s="31"/>
      <c r="F1107" s="17"/>
      <c r="G1107" s="17"/>
      <c r="H1107" s="51"/>
      <c r="I1107" s="17"/>
      <c r="J1107" s="17"/>
      <c r="K1107" s="13"/>
      <c r="L1107" s="17"/>
      <c r="M1107" s="17"/>
      <c r="N1107" s="17"/>
      <c r="O1107" s="17"/>
      <c r="P1107" s="18"/>
      <c r="Q1107" s="17"/>
      <c r="R1107" s="17"/>
      <c r="S1107" s="17"/>
      <c r="T1107" s="16"/>
    </row>
    <row r="1108">
      <c r="A1108" s="71"/>
      <c r="B1108" s="17"/>
      <c r="C1108" s="17"/>
      <c r="D1108" s="17"/>
      <c r="E1108" s="31"/>
      <c r="F1108" s="17"/>
      <c r="G1108" s="17"/>
      <c r="H1108" s="51"/>
      <c r="I1108" s="17"/>
      <c r="J1108" s="17"/>
      <c r="K1108" s="13"/>
      <c r="L1108" s="17"/>
      <c r="M1108" s="17"/>
      <c r="N1108" s="17"/>
      <c r="O1108" s="17"/>
      <c r="P1108" s="18"/>
      <c r="Q1108" s="17"/>
      <c r="R1108" s="17"/>
      <c r="S1108" s="17"/>
      <c r="T1108" s="16"/>
    </row>
    <row r="1109">
      <c r="A1109" s="71"/>
      <c r="B1109" s="17"/>
      <c r="C1109" s="17"/>
      <c r="D1109" s="17"/>
      <c r="E1109" s="31"/>
      <c r="F1109" s="17"/>
      <c r="G1109" s="17"/>
      <c r="H1109" s="51"/>
      <c r="I1109" s="17"/>
      <c r="J1109" s="17"/>
      <c r="K1109" s="13"/>
      <c r="L1109" s="17"/>
      <c r="M1109" s="17"/>
      <c r="N1109" s="17"/>
      <c r="O1109" s="17"/>
      <c r="P1109" s="18"/>
      <c r="Q1109" s="17"/>
      <c r="R1109" s="17"/>
      <c r="S1109" s="17"/>
      <c r="T1109" s="16"/>
    </row>
    <row r="1110">
      <c r="A1110" s="71"/>
      <c r="B1110" s="17"/>
      <c r="C1110" s="17"/>
      <c r="D1110" s="17"/>
      <c r="E1110" s="31"/>
      <c r="F1110" s="17"/>
      <c r="G1110" s="17"/>
      <c r="H1110" s="51"/>
      <c r="I1110" s="17"/>
      <c r="J1110" s="17"/>
      <c r="K1110" s="13"/>
      <c r="L1110" s="17"/>
      <c r="M1110" s="17"/>
      <c r="N1110" s="17"/>
      <c r="O1110" s="17"/>
      <c r="P1110" s="18"/>
      <c r="Q1110" s="17"/>
      <c r="R1110" s="17"/>
      <c r="S1110" s="17"/>
      <c r="T1110" s="16"/>
    </row>
    <row r="1111">
      <c r="A1111" s="71"/>
      <c r="B1111" s="17"/>
      <c r="C1111" s="17"/>
      <c r="D1111" s="17"/>
      <c r="E1111" s="31"/>
      <c r="F1111" s="17"/>
      <c r="G1111" s="17"/>
      <c r="H1111" s="51"/>
      <c r="I1111" s="17"/>
      <c r="J1111" s="17"/>
      <c r="K1111" s="13"/>
      <c r="L1111" s="17"/>
      <c r="M1111" s="17"/>
      <c r="N1111" s="17"/>
      <c r="O1111" s="17"/>
      <c r="P1111" s="18"/>
      <c r="Q1111" s="17"/>
      <c r="R1111" s="17"/>
      <c r="S1111" s="17"/>
      <c r="T1111" s="16"/>
    </row>
    <row r="1112">
      <c r="A1112" s="71"/>
      <c r="B1112" s="17"/>
      <c r="C1112" s="17"/>
      <c r="D1112" s="17"/>
      <c r="E1112" s="31"/>
      <c r="F1112" s="17"/>
      <c r="G1112" s="17"/>
      <c r="H1112" s="51"/>
      <c r="I1112" s="17"/>
      <c r="J1112" s="17"/>
      <c r="K1112" s="13"/>
      <c r="L1112" s="17"/>
      <c r="M1112" s="17"/>
      <c r="N1112" s="17"/>
      <c r="O1112" s="17"/>
      <c r="P1112" s="18"/>
      <c r="Q1112" s="17"/>
      <c r="R1112" s="17"/>
      <c r="S1112" s="17"/>
      <c r="T1112" s="16"/>
    </row>
    <row r="1113">
      <c r="A1113" s="71"/>
      <c r="B1113" s="17"/>
      <c r="C1113" s="17"/>
      <c r="D1113" s="17"/>
      <c r="E1113" s="31"/>
      <c r="F1113" s="17"/>
      <c r="G1113" s="17"/>
      <c r="H1113" s="51"/>
      <c r="I1113" s="17"/>
      <c r="J1113" s="17"/>
      <c r="K1113" s="13"/>
      <c r="L1113" s="17"/>
      <c r="M1113" s="17"/>
      <c r="N1113" s="17"/>
      <c r="O1113" s="17"/>
      <c r="P1113" s="18"/>
      <c r="Q1113" s="17"/>
      <c r="R1113" s="17"/>
      <c r="S1113" s="17"/>
      <c r="T1113" s="16"/>
    </row>
    <row r="1114">
      <c r="A1114" s="71"/>
      <c r="B1114" s="17"/>
      <c r="C1114" s="17"/>
      <c r="D1114" s="17"/>
      <c r="E1114" s="31"/>
      <c r="F1114" s="17"/>
      <c r="G1114" s="17"/>
      <c r="H1114" s="51"/>
      <c r="I1114" s="17"/>
      <c r="J1114" s="17"/>
      <c r="K1114" s="13"/>
      <c r="L1114" s="17"/>
      <c r="M1114" s="17"/>
      <c r="N1114" s="17"/>
      <c r="O1114" s="17"/>
      <c r="P1114" s="18"/>
      <c r="Q1114" s="17"/>
      <c r="R1114" s="17"/>
      <c r="S1114" s="17"/>
      <c r="T1114" s="16"/>
    </row>
    <row r="1115">
      <c r="A1115" s="71"/>
      <c r="B1115" s="17"/>
      <c r="C1115" s="17"/>
      <c r="D1115" s="17"/>
      <c r="E1115" s="31"/>
      <c r="F1115" s="17"/>
      <c r="G1115" s="17"/>
      <c r="H1115" s="51"/>
      <c r="I1115" s="17"/>
      <c r="J1115" s="17"/>
      <c r="K1115" s="13"/>
      <c r="L1115" s="17"/>
      <c r="M1115" s="17"/>
      <c r="N1115" s="17"/>
      <c r="O1115" s="17"/>
      <c r="P1115" s="18"/>
      <c r="Q1115" s="17"/>
      <c r="R1115" s="17"/>
      <c r="S1115" s="17"/>
      <c r="T1115" s="16"/>
    </row>
    <row r="1116">
      <c r="A1116" s="71"/>
      <c r="B1116" s="17"/>
      <c r="C1116" s="17"/>
      <c r="D1116" s="17"/>
      <c r="E1116" s="31"/>
      <c r="F1116" s="17"/>
      <c r="G1116" s="17"/>
      <c r="H1116" s="51"/>
      <c r="I1116" s="17"/>
      <c r="J1116" s="17"/>
      <c r="K1116" s="13"/>
      <c r="L1116" s="17"/>
      <c r="M1116" s="17"/>
      <c r="N1116" s="17"/>
      <c r="O1116" s="17"/>
      <c r="P1116" s="18"/>
      <c r="Q1116" s="17"/>
      <c r="R1116" s="17"/>
      <c r="S1116" s="17"/>
      <c r="T1116" s="16"/>
    </row>
    <row r="1117">
      <c r="A1117" s="71"/>
      <c r="B1117" s="17"/>
      <c r="C1117" s="17"/>
      <c r="D1117" s="17"/>
      <c r="E1117" s="31"/>
      <c r="F1117" s="17"/>
      <c r="G1117" s="17"/>
      <c r="H1117" s="51"/>
      <c r="I1117" s="17"/>
      <c r="J1117" s="17"/>
      <c r="K1117" s="13"/>
      <c r="L1117" s="17"/>
      <c r="M1117" s="17"/>
      <c r="N1117" s="17"/>
      <c r="O1117" s="17"/>
      <c r="P1117" s="18"/>
      <c r="Q1117" s="17"/>
      <c r="R1117" s="17"/>
      <c r="S1117" s="17"/>
      <c r="T1117" s="16"/>
    </row>
    <row r="1118">
      <c r="A1118" s="71"/>
      <c r="B1118" s="17"/>
      <c r="C1118" s="17"/>
      <c r="D1118" s="17"/>
      <c r="E1118" s="31"/>
      <c r="F1118" s="17"/>
      <c r="G1118" s="17"/>
      <c r="H1118" s="51"/>
      <c r="I1118" s="17"/>
      <c r="J1118" s="17"/>
      <c r="K1118" s="13"/>
      <c r="L1118" s="17"/>
      <c r="M1118" s="17"/>
      <c r="N1118" s="17"/>
      <c r="O1118" s="17"/>
      <c r="P1118" s="18"/>
      <c r="Q1118" s="17"/>
      <c r="R1118" s="17"/>
      <c r="S1118" s="17"/>
      <c r="T1118" s="16"/>
    </row>
    <row r="1119">
      <c r="A1119" s="71"/>
      <c r="B1119" s="17"/>
      <c r="C1119" s="17"/>
      <c r="D1119" s="17"/>
      <c r="E1119" s="31"/>
      <c r="F1119" s="17"/>
      <c r="G1119" s="17"/>
      <c r="H1119" s="51"/>
      <c r="I1119" s="17"/>
      <c r="J1119" s="17"/>
      <c r="K1119" s="13"/>
      <c r="L1119" s="17"/>
      <c r="M1119" s="17"/>
      <c r="N1119" s="17"/>
      <c r="O1119" s="17"/>
      <c r="P1119" s="18"/>
      <c r="Q1119" s="17"/>
      <c r="R1119" s="17"/>
      <c r="S1119" s="17"/>
      <c r="T1119" s="16"/>
    </row>
    <row r="1120">
      <c r="A1120" s="71"/>
      <c r="B1120" s="17"/>
      <c r="C1120" s="17"/>
      <c r="D1120" s="17"/>
      <c r="E1120" s="31"/>
      <c r="F1120" s="17"/>
      <c r="G1120" s="17"/>
      <c r="H1120" s="51"/>
      <c r="I1120" s="17"/>
      <c r="J1120" s="17"/>
      <c r="K1120" s="13"/>
      <c r="L1120" s="17"/>
      <c r="M1120" s="17"/>
      <c r="N1120" s="17"/>
      <c r="O1120" s="17"/>
      <c r="P1120" s="18"/>
      <c r="Q1120" s="17"/>
      <c r="R1120" s="17"/>
      <c r="S1120" s="17"/>
      <c r="T1120" s="16"/>
    </row>
    <row r="1121">
      <c r="A1121" s="71"/>
      <c r="B1121" s="17"/>
      <c r="C1121" s="17"/>
      <c r="D1121" s="17"/>
      <c r="E1121" s="31"/>
      <c r="F1121" s="17"/>
      <c r="G1121" s="17"/>
      <c r="H1121" s="51"/>
      <c r="I1121" s="17"/>
      <c r="J1121" s="17"/>
      <c r="K1121" s="13"/>
      <c r="L1121" s="17"/>
      <c r="M1121" s="17"/>
      <c r="N1121" s="17"/>
      <c r="O1121" s="17"/>
      <c r="P1121" s="18"/>
      <c r="Q1121" s="17"/>
      <c r="R1121" s="17"/>
      <c r="S1121" s="17"/>
      <c r="T1121" s="16"/>
    </row>
    <row r="1122">
      <c r="A1122" s="71"/>
      <c r="B1122" s="17"/>
      <c r="C1122" s="17"/>
      <c r="D1122" s="17"/>
      <c r="E1122" s="31"/>
      <c r="F1122" s="17"/>
      <c r="G1122" s="17"/>
      <c r="H1122" s="51"/>
      <c r="I1122" s="17"/>
      <c r="J1122" s="17"/>
      <c r="K1122" s="13"/>
      <c r="L1122" s="17"/>
      <c r="M1122" s="17"/>
      <c r="N1122" s="17"/>
      <c r="O1122" s="17"/>
      <c r="P1122" s="18"/>
      <c r="Q1122" s="17"/>
      <c r="R1122" s="17"/>
      <c r="S1122" s="17"/>
      <c r="T1122" s="16"/>
    </row>
    <row r="1123">
      <c r="A1123" s="71"/>
      <c r="B1123" s="17"/>
      <c r="C1123" s="17"/>
      <c r="D1123" s="17"/>
      <c r="E1123" s="31"/>
      <c r="F1123" s="17"/>
      <c r="G1123" s="17"/>
      <c r="H1123" s="51"/>
      <c r="I1123" s="17"/>
      <c r="J1123" s="17"/>
      <c r="K1123" s="13"/>
      <c r="L1123" s="17"/>
      <c r="M1123" s="17"/>
      <c r="N1123" s="17"/>
      <c r="O1123" s="17"/>
      <c r="P1123" s="18"/>
      <c r="Q1123" s="17"/>
      <c r="R1123" s="17"/>
      <c r="S1123" s="17"/>
      <c r="T1123" s="16"/>
    </row>
    <row r="1124">
      <c r="A1124" s="71"/>
      <c r="B1124" s="17"/>
      <c r="C1124" s="17"/>
      <c r="D1124" s="17"/>
      <c r="E1124" s="31"/>
      <c r="F1124" s="17"/>
      <c r="G1124" s="17"/>
      <c r="H1124" s="51"/>
      <c r="I1124" s="17"/>
      <c r="J1124" s="17"/>
      <c r="K1124" s="13"/>
      <c r="L1124" s="17"/>
      <c r="M1124" s="17"/>
      <c r="N1124" s="17"/>
      <c r="O1124" s="17"/>
      <c r="P1124" s="18"/>
      <c r="Q1124" s="17"/>
      <c r="R1124" s="17"/>
      <c r="S1124" s="17"/>
      <c r="T1124" s="16"/>
    </row>
    <row r="1125">
      <c r="A1125" s="71"/>
      <c r="B1125" s="17"/>
      <c r="C1125" s="17"/>
      <c r="D1125" s="17"/>
      <c r="E1125" s="31"/>
      <c r="F1125" s="17"/>
      <c r="G1125" s="17"/>
      <c r="H1125" s="51"/>
      <c r="I1125" s="17"/>
      <c r="J1125" s="17"/>
      <c r="K1125" s="13"/>
      <c r="L1125" s="17"/>
      <c r="M1125" s="17"/>
      <c r="N1125" s="17"/>
      <c r="O1125" s="17"/>
      <c r="P1125" s="18"/>
      <c r="Q1125" s="17"/>
      <c r="R1125" s="17"/>
      <c r="S1125" s="17"/>
      <c r="T1125" s="16"/>
    </row>
    <row r="1126">
      <c r="A1126" s="71"/>
      <c r="B1126" s="17"/>
      <c r="C1126" s="17"/>
      <c r="D1126" s="17"/>
      <c r="E1126" s="31"/>
      <c r="F1126" s="17"/>
      <c r="G1126" s="17"/>
      <c r="H1126" s="51"/>
      <c r="I1126" s="17"/>
      <c r="J1126" s="17"/>
      <c r="K1126" s="13"/>
      <c r="L1126" s="17"/>
      <c r="M1126" s="17"/>
      <c r="N1126" s="17"/>
      <c r="O1126" s="17"/>
      <c r="P1126" s="18"/>
      <c r="Q1126" s="17"/>
      <c r="R1126" s="17"/>
      <c r="S1126" s="17"/>
      <c r="T1126" s="16"/>
    </row>
    <row r="1127">
      <c r="A1127" s="71"/>
      <c r="B1127" s="17"/>
      <c r="C1127" s="17"/>
      <c r="D1127" s="17"/>
      <c r="E1127" s="31"/>
      <c r="F1127" s="17"/>
      <c r="G1127" s="17"/>
      <c r="H1127" s="51"/>
      <c r="I1127" s="17"/>
      <c r="J1127" s="17"/>
      <c r="K1127" s="13"/>
      <c r="L1127" s="17"/>
      <c r="M1127" s="17"/>
      <c r="N1127" s="17"/>
      <c r="O1127" s="17"/>
      <c r="P1127" s="18"/>
      <c r="Q1127" s="17"/>
      <c r="R1127" s="17"/>
      <c r="S1127" s="17"/>
      <c r="T1127" s="16"/>
    </row>
    <row r="1128">
      <c r="A1128" s="71"/>
      <c r="B1128" s="17"/>
      <c r="C1128" s="17"/>
      <c r="D1128" s="17"/>
      <c r="E1128" s="31"/>
      <c r="F1128" s="17"/>
      <c r="G1128" s="17"/>
      <c r="H1128" s="51"/>
      <c r="I1128" s="17"/>
      <c r="J1128" s="17"/>
      <c r="K1128" s="13"/>
      <c r="L1128" s="17"/>
      <c r="M1128" s="17"/>
      <c r="N1128" s="17"/>
      <c r="O1128" s="17"/>
      <c r="P1128" s="18"/>
      <c r="Q1128" s="17"/>
      <c r="R1128" s="17"/>
      <c r="S1128" s="17"/>
      <c r="T1128" s="16"/>
    </row>
    <row r="1129">
      <c r="A1129" s="71"/>
      <c r="B1129" s="17"/>
      <c r="C1129" s="17"/>
      <c r="D1129" s="17"/>
      <c r="E1129" s="31"/>
      <c r="F1129" s="17"/>
      <c r="G1129" s="17"/>
      <c r="H1129" s="51"/>
      <c r="I1129" s="17"/>
      <c r="J1129" s="17"/>
      <c r="K1129" s="13"/>
      <c r="L1129" s="17"/>
      <c r="M1129" s="17"/>
      <c r="N1129" s="17"/>
      <c r="O1129" s="17"/>
      <c r="P1129" s="18"/>
      <c r="Q1129" s="17"/>
      <c r="R1129" s="17"/>
      <c r="S1129" s="17"/>
      <c r="T1129" s="16"/>
    </row>
    <row r="1130">
      <c r="A1130" s="71"/>
      <c r="B1130" s="17"/>
      <c r="C1130" s="17"/>
      <c r="D1130" s="17"/>
      <c r="E1130" s="31"/>
      <c r="F1130" s="17"/>
      <c r="G1130" s="17"/>
      <c r="H1130" s="51"/>
      <c r="I1130" s="17"/>
      <c r="J1130" s="17"/>
      <c r="K1130" s="13"/>
      <c r="L1130" s="17"/>
      <c r="M1130" s="17"/>
      <c r="N1130" s="17"/>
      <c r="O1130" s="17"/>
      <c r="P1130" s="18"/>
      <c r="Q1130" s="17"/>
      <c r="R1130" s="17"/>
      <c r="S1130" s="17"/>
      <c r="T1130" s="16"/>
    </row>
    <row r="1131">
      <c r="A1131" s="71"/>
      <c r="B1131" s="17"/>
      <c r="C1131" s="17"/>
      <c r="D1131" s="17"/>
      <c r="E1131" s="31"/>
      <c r="F1131" s="17"/>
      <c r="G1131" s="17"/>
      <c r="H1131" s="51"/>
      <c r="I1131" s="17"/>
      <c r="J1131" s="17"/>
      <c r="K1131" s="13"/>
      <c r="L1131" s="17"/>
      <c r="M1131" s="17"/>
      <c r="N1131" s="17"/>
      <c r="O1131" s="17"/>
      <c r="P1131" s="18"/>
      <c r="Q1131" s="17"/>
      <c r="R1131" s="17"/>
      <c r="S1131" s="17"/>
      <c r="T1131" s="16"/>
    </row>
    <row r="1132">
      <c r="A1132" s="71"/>
      <c r="B1132" s="17"/>
      <c r="C1132" s="17"/>
      <c r="D1132" s="17"/>
      <c r="E1132" s="31"/>
      <c r="F1132" s="17"/>
      <c r="G1132" s="17"/>
      <c r="H1132" s="51"/>
      <c r="I1132" s="17"/>
      <c r="J1132" s="17"/>
      <c r="K1132" s="13"/>
      <c r="L1132" s="17"/>
      <c r="M1132" s="17"/>
      <c r="N1132" s="17"/>
      <c r="O1132" s="17"/>
      <c r="P1132" s="18"/>
      <c r="Q1132" s="17"/>
      <c r="R1132" s="17"/>
      <c r="S1132" s="17"/>
      <c r="T1132" s="16"/>
    </row>
    <row r="1133">
      <c r="A1133" s="71"/>
      <c r="B1133" s="17"/>
      <c r="C1133" s="17"/>
      <c r="D1133" s="17"/>
      <c r="E1133" s="31"/>
      <c r="F1133" s="17"/>
      <c r="G1133" s="17"/>
      <c r="H1133" s="51"/>
      <c r="I1133" s="17"/>
      <c r="J1133" s="17"/>
      <c r="K1133" s="13"/>
      <c r="L1133" s="17"/>
      <c r="M1133" s="17"/>
      <c r="N1133" s="17"/>
      <c r="O1133" s="17"/>
      <c r="P1133" s="18"/>
      <c r="Q1133" s="17"/>
      <c r="R1133" s="17"/>
      <c r="S1133" s="17"/>
      <c r="T1133" s="16"/>
    </row>
    <row r="1134">
      <c r="A1134" s="71"/>
      <c r="B1134" s="17"/>
      <c r="C1134" s="17"/>
      <c r="D1134" s="17"/>
      <c r="E1134" s="31"/>
      <c r="F1134" s="17"/>
      <c r="G1134" s="17"/>
      <c r="H1134" s="51"/>
      <c r="I1134" s="17"/>
      <c r="J1134" s="17"/>
      <c r="K1134" s="13"/>
      <c r="L1134" s="17"/>
      <c r="M1134" s="17"/>
      <c r="N1134" s="17"/>
      <c r="O1134" s="17"/>
      <c r="P1134" s="18"/>
      <c r="Q1134" s="17"/>
      <c r="R1134" s="17"/>
      <c r="S1134" s="17"/>
      <c r="T1134" s="16"/>
    </row>
    <row r="1135">
      <c r="A1135" s="71"/>
      <c r="B1135" s="17"/>
      <c r="C1135" s="17"/>
      <c r="D1135" s="17"/>
      <c r="E1135" s="31"/>
      <c r="F1135" s="17"/>
      <c r="G1135" s="17"/>
      <c r="H1135" s="51"/>
      <c r="I1135" s="17"/>
      <c r="J1135" s="17"/>
      <c r="K1135" s="13"/>
      <c r="L1135" s="17"/>
      <c r="M1135" s="17"/>
      <c r="N1135" s="17"/>
      <c r="O1135" s="17"/>
      <c r="P1135" s="18"/>
      <c r="Q1135" s="17"/>
      <c r="R1135" s="17"/>
      <c r="S1135" s="17"/>
      <c r="T1135" s="16"/>
    </row>
    <row r="1136">
      <c r="A1136" s="71"/>
      <c r="B1136" s="17"/>
      <c r="C1136" s="17"/>
      <c r="D1136" s="17"/>
      <c r="E1136" s="31"/>
      <c r="F1136" s="17"/>
      <c r="G1136" s="17"/>
      <c r="H1136" s="51"/>
      <c r="I1136" s="17"/>
      <c r="J1136" s="17"/>
      <c r="K1136" s="13"/>
      <c r="L1136" s="17"/>
      <c r="M1136" s="17"/>
      <c r="N1136" s="17"/>
      <c r="O1136" s="17"/>
      <c r="P1136" s="18"/>
      <c r="Q1136" s="17"/>
      <c r="R1136" s="17"/>
      <c r="S1136" s="17"/>
      <c r="T1136" s="16"/>
    </row>
    <row r="1137">
      <c r="A1137" s="71"/>
      <c r="B1137" s="17"/>
      <c r="C1137" s="17"/>
      <c r="D1137" s="17"/>
      <c r="E1137" s="31"/>
      <c r="F1137" s="17"/>
      <c r="G1137" s="17"/>
      <c r="H1137" s="51"/>
      <c r="I1137" s="17"/>
      <c r="J1137" s="17"/>
      <c r="K1137" s="13"/>
      <c r="L1137" s="17"/>
      <c r="M1137" s="17"/>
      <c r="N1137" s="17"/>
      <c r="O1137" s="17"/>
      <c r="P1137" s="18"/>
      <c r="Q1137" s="17"/>
      <c r="R1137" s="17"/>
      <c r="S1137" s="17"/>
      <c r="T1137" s="16"/>
    </row>
    <row r="1138">
      <c r="A1138" s="71"/>
      <c r="B1138" s="17"/>
      <c r="C1138" s="17"/>
      <c r="D1138" s="17"/>
      <c r="E1138" s="31"/>
      <c r="F1138" s="17"/>
      <c r="G1138" s="17"/>
      <c r="H1138" s="51"/>
      <c r="I1138" s="17"/>
      <c r="J1138" s="17"/>
      <c r="K1138" s="13"/>
      <c r="L1138" s="17"/>
      <c r="M1138" s="17"/>
      <c r="N1138" s="17"/>
      <c r="O1138" s="17"/>
      <c r="P1138" s="18"/>
      <c r="Q1138" s="17"/>
      <c r="R1138" s="17"/>
      <c r="S1138" s="17"/>
      <c r="T1138" s="16"/>
    </row>
    <row r="1139">
      <c r="A1139" s="71"/>
      <c r="B1139" s="17"/>
      <c r="C1139" s="17"/>
      <c r="D1139" s="17"/>
      <c r="E1139" s="31"/>
      <c r="F1139" s="17"/>
      <c r="G1139" s="17"/>
      <c r="H1139" s="51"/>
      <c r="I1139" s="17"/>
      <c r="J1139" s="17"/>
      <c r="K1139" s="13"/>
      <c r="L1139" s="17"/>
      <c r="M1139" s="17"/>
      <c r="N1139" s="17"/>
      <c r="O1139" s="17"/>
      <c r="P1139" s="18"/>
      <c r="Q1139" s="17"/>
      <c r="R1139" s="17"/>
      <c r="S1139" s="17"/>
      <c r="T1139" s="16"/>
    </row>
    <row r="1140">
      <c r="A1140" s="71"/>
      <c r="B1140" s="17"/>
      <c r="C1140" s="17"/>
      <c r="D1140" s="17"/>
      <c r="E1140" s="31"/>
      <c r="F1140" s="17"/>
      <c r="G1140" s="17"/>
      <c r="H1140" s="51"/>
      <c r="I1140" s="17"/>
      <c r="J1140" s="17"/>
      <c r="K1140" s="13"/>
      <c r="L1140" s="17"/>
      <c r="M1140" s="17"/>
      <c r="N1140" s="17"/>
      <c r="O1140" s="17"/>
      <c r="P1140" s="18"/>
      <c r="Q1140" s="17"/>
      <c r="R1140" s="17"/>
      <c r="S1140" s="17"/>
      <c r="T1140" s="16"/>
    </row>
    <row r="1141">
      <c r="A1141" s="71"/>
      <c r="B1141" s="17"/>
      <c r="C1141" s="17"/>
      <c r="D1141" s="17"/>
      <c r="E1141" s="31"/>
      <c r="F1141" s="17"/>
      <c r="G1141" s="17"/>
      <c r="H1141" s="51"/>
      <c r="I1141" s="17"/>
      <c r="J1141" s="17"/>
      <c r="K1141" s="13"/>
      <c r="L1141" s="17"/>
      <c r="M1141" s="17"/>
      <c r="N1141" s="17"/>
      <c r="O1141" s="17"/>
      <c r="P1141" s="18"/>
      <c r="Q1141" s="17"/>
      <c r="R1141" s="17"/>
      <c r="S1141" s="17"/>
      <c r="T1141" s="16"/>
    </row>
    <row r="1142">
      <c r="A1142" s="71"/>
      <c r="B1142" s="17"/>
      <c r="C1142" s="17"/>
      <c r="D1142" s="17"/>
      <c r="E1142" s="31"/>
      <c r="F1142" s="17"/>
      <c r="G1142" s="17"/>
      <c r="H1142" s="51"/>
      <c r="I1142" s="17"/>
      <c r="J1142" s="17"/>
      <c r="K1142" s="13"/>
      <c r="L1142" s="17"/>
      <c r="M1142" s="17"/>
      <c r="N1142" s="17"/>
      <c r="O1142" s="17"/>
      <c r="P1142" s="18"/>
      <c r="Q1142" s="17"/>
      <c r="R1142" s="17"/>
      <c r="S1142" s="17"/>
      <c r="T1142" s="16"/>
    </row>
    <row r="1143">
      <c r="A1143" s="71"/>
      <c r="B1143" s="17"/>
      <c r="C1143" s="17"/>
      <c r="D1143" s="17"/>
      <c r="E1143" s="31"/>
      <c r="F1143" s="17"/>
      <c r="G1143" s="17"/>
      <c r="H1143" s="51"/>
      <c r="I1143" s="17"/>
      <c r="J1143" s="17"/>
      <c r="K1143" s="13"/>
      <c r="L1143" s="17"/>
      <c r="M1143" s="17"/>
      <c r="N1143" s="17"/>
      <c r="O1143" s="17"/>
      <c r="P1143" s="18"/>
      <c r="Q1143" s="17"/>
      <c r="R1143" s="17"/>
      <c r="S1143" s="17"/>
      <c r="T1143" s="16"/>
    </row>
    <row r="1144">
      <c r="A1144" s="71"/>
      <c r="B1144" s="17"/>
      <c r="C1144" s="17"/>
      <c r="D1144" s="17"/>
      <c r="E1144" s="31"/>
      <c r="F1144" s="17"/>
      <c r="G1144" s="17"/>
      <c r="H1144" s="51"/>
      <c r="I1144" s="17"/>
      <c r="J1144" s="17"/>
      <c r="K1144" s="13"/>
      <c r="L1144" s="17"/>
      <c r="M1144" s="17"/>
      <c r="N1144" s="17"/>
      <c r="O1144" s="17"/>
      <c r="P1144" s="18"/>
      <c r="Q1144" s="17"/>
      <c r="R1144" s="17"/>
      <c r="S1144" s="17"/>
      <c r="T1144" s="16"/>
    </row>
    <row r="1145">
      <c r="A1145" s="71"/>
      <c r="B1145" s="17"/>
      <c r="C1145" s="17"/>
      <c r="D1145" s="17"/>
      <c r="E1145" s="31"/>
      <c r="F1145" s="17"/>
      <c r="G1145" s="17"/>
      <c r="H1145" s="51"/>
      <c r="I1145" s="17"/>
      <c r="J1145" s="17"/>
      <c r="K1145" s="13"/>
      <c r="L1145" s="17"/>
      <c r="M1145" s="17"/>
      <c r="N1145" s="17"/>
      <c r="O1145" s="17"/>
      <c r="P1145" s="18"/>
      <c r="Q1145" s="17"/>
      <c r="R1145" s="17"/>
      <c r="S1145" s="17"/>
      <c r="T1145" s="16"/>
    </row>
    <row r="1146">
      <c r="A1146" s="71"/>
      <c r="B1146" s="17"/>
      <c r="C1146" s="17"/>
      <c r="D1146" s="17"/>
      <c r="E1146" s="31"/>
      <c r="F1146" s="17"/>
      <c r="G1146" s="17"/>
      <c r="H1146" s="51"/>
      <c r="I1146" s="17"/>
      <c r="J1146" s="17"/>
      <c r="K1146" s="13"/>
      <c r="L1146" s="17"/>
      <c r="M1146" s="17"/>
      <c r="N1146" s="17"/>
      <c r="O1146" s="17"/>
      <c r="P1146" s="18"/>
      <c r="Q1146" s="17"/>
      <c r="R1146" s="17"/>
      <c r="S1146" s="17"/>
      <c r="T1146" s="16"/>
    </row>
    <row r="1147">
      <c r="A1147" s="71"/>
      <c r="B1147" s="17"/>
      <c r="C1147" s="17"/>
      <c r="D1147" s="17"/>
      <c r="E1147" s="31"/>
      <c r="F1147" s="17"/>
      <c r="G1147" s="17"/>
      <c r="H1147" s="51"/>
      <c r="I1147" s="17"/>
      <c r="J1147" s="17"/>
      <c r="K1147" s="13"/>
      <c r="L1147" s="17"/>
      <c r="M1147" s="17"/>
      <c r="N1147" s="17"/>
      <c r="O1147" s="17"/>
      <c r="P1147" s="18"/>
      <c r="Q1147" s="17"/>
      <c r="R1147" s="17"/>
      <c r="S1147" s="17"/>
      <c r="T1147" s="16"/>
    </row>
    <row r="1148">
      <c r="A1148" s="71"/>
      <c r="B1148" s="17"/>
      <c r="C1148" s="17"/>
      <c r="D1148" s="17"/>
      <c r="E1148" s="31"/>
      <c r="F1148" s="17"/>
      <c r="G1148" s="17"/>
      <c r="H1148" s="51"/>
      <c r="I1148" s="17"/>
      <c r="J1148" s="17"/>
      <c r="K1148" s="13"/>
      <c r="L1148" s="17"/>
      <c r="M1148" s="17"/>
      <c r="N1148" s="17"/>
      <c r="O1148" s="17"/>
      <c r="P1148" s="18"/>
      <c r="Q1148" s="17"/>
      <c r="R1148" s="17"/>
      <c r="S1148" s="17"/>
      <c r="T1148" s="16"/>
    </row>
    <row r="1149">
      <c r="A1149" s="71"/>
      <c r="B1149" s="17"/>
      <c r="C1149" s="17"/>
      <c r="D1149" s="17"/>
      <c r="E1149" s="31"/>
      <c r="F1149" s="17"/>
      <c r="G1149" s="17"/>
      <c r="H1149" s="51"/>
      <c r="I1149" s="17"/>
      <c r="J1149" s="17"/>
      <c r="K1149" s="13"/>
      <c r="L1149" s="17"/>
      <c r="M1149" s="17"/>
      <c r="N1149" s="17"/>
      <c r="O1149" s="17"/>
      <c r="P1149" s="18"/>
      <c r="Q1149" s="17"/>
      <c r="R1149" s="17"/>
      <c r="S1149" s="17"/>
      <c r="T1149" s="16"/>
    </row>
    <row r="1150">
      <c r="A1150" s="71"/>
      <c r="B1150" s="17"/>
      <c r="C1150" s="17"/>
      <c r="D1150" s="17"/>
      <c r="E1150" s="31"/>
      <c r="F1150" s="17"/>
      <c r="G1150" s="17"/>
      <c r="H1150" s="51"/>
      <c r="I1150" s="17"/>
      <c r="J1150" s="17"/>
      <c r="K1150" s="13"/>
      <c r="L1150" s="17"/>
      <c r="M1150" s="17"/>
      <c r="N1150" s="17"/>
      <c r="O1150" s="17"/>
      <c r="P1150" s="18"/>
      <c r="Q1150" s="17"/>
      <c r="R1150" s="17"/>
      <c r="S1150" s="17"/>
      <c r="T1150" s="16"/>
    </row>
    <row r="1151">
      <c r="A1151" s="71"/>
      <c r="B1151" s="17"/>
      <c r="C1151" s="17"/>
      <c r="D1151" s="17"/>
      <c r="E1151" s="31"/>
      <c r="F1151" s="17"/>
      <c r="G1151" s="17"/>
      <c r="H1151" s="51"/>
      <c r="I1151" s="17"/>
      <c r="J1151" s="17"/>
      <c r="K1151" s="13"/>
      <c r="L1151" s="17"/>
      <c r="M1151" s="17"/>
      <c r="N1151" s="17"/>
      <c r="O1151" s="17"/>
      <c r="P1151" s="18"/>
      <c r="Q1151" s="17"/>
      <c r="R1151" s="17"/>
      <c r="S1151" s="17"/>
      <c r="T1151" s="16"/>
    </row>
    <row r="1152">
      <c r="A1152" s="71"/>
      <c r="B1152" s="17"/>
      <c r="C1152" s="17"/>
      <c r="D1152" s="17"/>
      <c r="E1152" s="31"/>
      <c r="F1152" s="17"/>
      <c r="G1152" s="17"/>
      <c r="H1152" s="51"/>
      <c r="I1152" s="17"/>
      <c r="J1152" s="17"/>
      <c r="K1152" s="13"/>
      <c r="L1152" s="17"/>
      <c r="M1152" s="17"/>
      <c r="N1152" s="17"/>
      <c r="O1152" s="17"/>
      <c r="P1152" s="18"/>
      <c r="Q1152" s="17"/>
      <c r="R1152" s="17"/>
      <c r="S1152" s="17"/>
      <c r="T1152" s="16"/>
    </row>
    <row r="1153">
      <c r="A1153" s="71"/>
      <c r="B1153" s="17"/>
      <c r="C1153" s="17"/>
      <c r="D1153" s="17"/>
      <c r="E1153" s="31"/>
      <c r="F1153" s="17"/>
      <c r="G1153" s="17"/>
      <c r="H1153" s="51"/>
      <c r="I1153" s="17"/>
      <c r="J1153" s="17"/>
      <c r="K1153" s="13"/>
      <c r="L1153" s="17"/>
      <c r="M1153" s="17"/>
      <c r="N1153" s="17"/>
      <c r="O1153" s="17"/>
      <c r="P1153" s="18"/>
      <c r="Q1153" s="17"/>
      <c r="R1153" s="17"/>
      <c r="S1153" s="17"/>
      <c r="T1153" s="16"/>
    </row>
    <row r="1154">
      <c r="A1154" s="71"/>
      <c r="B1154" s="17"/>
      <c r="C1154" s="17"/>
      <c r="D1154" s="17"/>
      <c r="E1154" s="31"/>
      <c r="F1154" s="17"/>
      <c r="G1154" s="17"/>
      <c r="H1154" s="51"/>
      <c r="I1154" s="17"/>
      <c r="J1154" s="17"/>
      <c r="K1154" s="13"/>
      <c r="L1154" s="17"/>
      <c r="M1154" s="17"/>
      <c r="N1154" s="17"/>
      <c r="O1154" s="17"/>
      <c r="P1154" s="18"/>
      <c r="Q1154" s="17"/>
      <c r="R1154" s="17"/>
      <c r="S1154" s="17"/>
      <c r="T1154" s="16"/>
    </row>
    <row r="1155">
      <c r="A1155" s="71"/>
      <c r="B1155" s="17"/>
      <c r="C1155" s="17"/>
      <c r="D1155" s="17"/>
      <c r="E1155" s="31"/>
      <c r="F1155" s="17"/>
      <c r="G1155" s="17"/>
      <c r="H1155" s="51"/>
      <c r="I1155" s="17"/>
      <c r="J1155" s="17"/>
      <c r="K1155" s="13"/>
      <c r="L1155" s="17"/>
      <c r="M1155" s="17"/>
      <c r="N1155" s="17"/>
      <c r="O1155" s="17"/>
      <c r="P1155" s="18"/>
      <c r="Q1155" s="17"/>
      <c r="R1155" s="17"/>
      <c r="S1155" s="17"/>
      <c r="T1155" s="16"/>
    </row>
    <row r="1156">
      <c r="A1156" s="71"/>
      <c r="B1156" s="17"/>
      <c r="C1156" s="17"/>
      <c r="D1156" s="17"/>
      <c r="E1156" s="31"/>
      <c r="F1156" s="17"/>
      <c r="G1156" s="17"/>
      <c r="H1156" s="51"/>
      <c r="I1156" s="17"/>
      <c r="J1156" s="17"/>
      <c r="K1156" s="13"/>
      <c r="L1156" s="17"/>
      <c r="M1156" s="17"/>
      <c r="N1156" s="17"/>
      <c r="O1156" s="17"/>
      <c r="P1156" s="18"/>
      <c r="Q1156" s="17"/>
      <c r="R1156" s="17"/>
      <c r="S1156" s="17"/>
      <c r="T1156" s="16"/>
    </row>
    <row r="1157">
      <c r="A1157" s="71"/>
      <c r="B1157" s="17"/>
      <c r="C1157" s="17"/>
      <c r="D1157" s="17"/>
      <c r="E1157" s="31"/>
      <c r="F1157" s="17"/>
      <c r="G1157" s="17"/>
      <c r="H1157" s="51"/>
      <c r="I1157" s="17"/>
      <c r="J1157" s="17"/>
      <c r="K1157" s="13"/>
      <c r="L1157" s="17"/>
      <c r="M1157" s="17"/>
      <c r="N1157" s="17"/>
      <c r="O1157" s="17"/>
      <c r="P1157" s="18"/>
      <c r="Q1157" s="17"/>
      <c r="R1157" s="17"/>
      <c r="S1157" s="17"/>
      <c r="T1157" s="16"/>
    </row>
    <row r="1158">
      <c r="A1158" s="71"/>
      <c r="B1158" s="17"/>
      <c r="C1158" s="17"/>
      <c r="D1158" s="17"/>
      <c r="E1158" s="31"/>
      <c r="F1158" s="17"/>
      <c r="G1158" s="17"/>
      <c r="H1158" s="51"/>
      <c r="I1158" s="17"/>
      <c r="J1158" s="17"/>
      <c r="K1158" s="13"/>
      <c r="L1158" s="17"/>
      <c r="M1158" s="17"/>
      <c r="N1158" s="17"/>
      <c r="O1158" s="17"/>
      <c r="P1158" s="18"/>
      <c r="Q1158" s="17"/>
      <c r="R1158" s="17"/>
      <c r="S1158" s="17"/>
      <c r="T1158" s="16"/>
    </row>
    <row r="1159">
      <c r="A1159" s="71"/>
      <c r="B1159" s="17"/>
      <c r="C1159" s="17"/>
      <c r="D1159" s="17"/>
      <c r="E1159" s="31"/>
      <c r="F1159" s="17"/>
      <c r="G1159" s="17"/>
      <c r="H1159" s="51"/>
      <c r="I1159" s="17"/>
      <c r="J1159" s="17"/>
      <c r="K1159" s="13"/>
      <c r="L1159" s="17"/>
      <c r="M1159" s="17"/>
      <c r="N1159" s="17"/>
      <c r="O1159" s="17"/>
      <c r="P1159" s="18"/>
      <c r="Q1159" s="17"/>
      <c r="R1159" s="17"/>
      <c r="S1159" s="17"/>
      <c r="T1159" s="16"/>
    </row>
    <row r="1160">
      <c r="A1160" s="71"/>
      <c r="B1160" s="17"/>
      <c r="C1160" s="17"/>
      <c r="D1160" s="17"/>
      <c r="E1160" s="31"/>
      <c r="F1160" s="17"/>
      <c r="G1160" s="17"/>
      <c r="H1160" s="51"/>
      <c r="I1160" s="17"/>
      <c r="J1160" s="17"/>
      <c r="K1160" s="13"/>
      <c r="L1160" s="17"/>
      <c r="M1160" s="17"/>
      <c r="N1160" s="17"/>
      <c r="O1160" s="17"/>
      <c r="P1160" s="18"/>
      <c r="Q1160" s="17"/>
      <c r="R1160" s="17"/>
      <c r="S1160" s="17"/>
      <c r="T1160" s="16"/>
    </row>
    <row r="1161">
      <c r="A1161" s="71"/>
      <c r="B1161" s="17"/>
      <c r="C1161" s="17"/>
      <c r="D1161" s="17"/>
      <c r="E1161" s="31"/>
      <c r="F1161" s="17"/>
      <c r="G1161" s="17"/>
      <c r="H1161" s="51"/>
      <c r="I1161" s="17"/>
      <c r="J1161" s="17"/>
      <c r="K1161" s="13"/>
      <c r="L1161" s="17"/>
      <c r="M1161" s="17"/>
      <c r="N1161" s="17"/>
      <c r="O1161" s="17"/>
      <c r="P1161" s="18"/>
      <c r="Q1161" s="17"/>
      <c r="R1161" s="17"/>
      <c r="S1161" s="17"/>
      <c r="T1161" s="16"/>
    </row>
    <row r="1162">
      <c r="A1162" s="71"/>
      <c r="B1162" s="17"/>
      <c r="C1162" s="17"/>
      <c r="D1162" s="17"/>
      <c r="E1162" s="31"/>
      <c r="F1162" s="17"/>
      <c r="G1162" s="17"/>
      <c r="H1162" s="51"/>
      <c r="I1162" s="17"/>
      <c r="J1162" s="17"/>
      <c r="K1162" s="13"/>
      <c r="L1162" s="17"/>
      <c r="M1162" s="17"/>
      <c r="N1162" s="17"/>
      <c r="O1162" s="17"/>
      <c r="P1162" s="18"/>
      <c r="Q1162" s="17"/>
      <c r="R1162" s="17"/>
      <c r="S1162" s="17"/>
      <c r="T1162" s="16"/>
    </row>
    <row r="1163">
      <c r="A1163" s="71"/>
      <c r="B1163" s="17"/>
      <c r="C1163" s="17"/>
      <c r="D1163" s="17"/>
      <c r="E1163" s="31"/>
      <c r="F1163" s="17"/>
      <c r="G1163" s="17"/>
      <c r="H1163" s="51"/>
      <c r="I1163" s="17"/>
      <c r="J1163" s="17"/>
      <c r="K1163" s="13"/>
      <c r="L1163" s="17"/>
      <c r="M1163" s="17"/>
      <c r="N1163" s="17"/>
      <c r="O1163" s="17"/>
      <c r="P1163" s="18"/>
      <c r="Q1163" s="17"/>
      <c r="R1163" s="17"/>
      <c r="S1163" s="17"/>
      <c r="T1163" s="16"/>
    </row>
    <row r="1164">
      <c r="A1164" s="71"/>
      <c r="B1164" s="17"/>
      <c r="C1164" s="17"/>
      <c r="D1164" s="17"/>
      <c r="E1164" s="31"/>
      <c r="F1164" s="17"/>
      <c r="G1164" s="17"/>
      <c r="H1164" s="51"/>
      <c r="I1164" s="17"/>
      <c r="J1164" s="17"/>
      <c r="K1164" s="13"/>
      <c r="L1164" s="17"/>
      <c r="M1164" s="17"/>
      <c r="N1164" s="17"/>
      <c r="O1164" s="17"/>
      <c r="P1164" s="18"/>
      <c r="Q1164" s="17"/>
      <c r="R1164" s="17"/>
      <c r="S1164" s="17"/>
      <c r="T1164" s="16"/>
    </row>
    <row r="1165">
      <c r="A1165" s="71"/>
      <c r="B1165" s="17"/>
      <c r="C1165" s="17"/>
      <c r="D1165" s="17"/>
      <c r="E1165" s="31"/>
      <c r="F1165" s="17"/>
      <c r="G1165" s="17"/>
      <c r="H1165" s="51"/>
      <c r="I1165" s="17"/>
      <c r="J1165" s="17"/>
      <c r="K1165" s="13"/>
      <c r="L1165" s="17"/>
      <c r="M1165" s="17"/>
      <c r="N1165" s="17"/>
      <c r="O1165" s="17"/>
      <c r="P1165" s="18"/>
      <c r="Q1165" s="17"/>
      <c r="R1165" s="17"/>
      <c r="S1165" s="17"/>
      <c r="T1165" s="16"/>
    </row>
    <row r="1166">
      <c r="A1166" s="71"/>
      <c r="B1166" s="17"/>
      <c r="C1166" s="17"/>
      <c r="D1166" s="17"/>
      <c r="E1166" s="31"/>
      <c r="F1166" s="17"/>
      <c r="G1166" s="17"/>
      <c r="H1166" s="51"/>
      <c r="I1166" s="17"/>
      <c r="J1166" s="17"/>
      <c r="K1166" s="13"/>
      <c r="L1166" s="17"/>
      <c r="M1166" s="17"/>
      <c r="N1166" s="17"/>
      <c r="O1166" s="17"/>
      <c r="P1166" s="18"/>
      <c r="Q1166" s="17"/>
      <c r="R1166" s="17"/>
      <c r="S1166" s="17"/>
      <c r="T1166" s="16"/>
    </row>
    <row r="1167">
      <c r="A1167" s="71"/>
      <c r="B1167" s="17"/>
      <c r="C1167" s="17"/>
      <c r="D1167" s="17"/>
      <c r="E1167" s="31"/>
      <c r="F1167" s="17"/>
      <c r="G1167" s="17"/>
      <c r="H1167" s="51"/>
      <c r="I1167" s="17"/>
      <c r="J1167" s="17"/>
      <c r="K1167" s="13"/>
      <c r="L1167" s="17"/>
      <c r="M1167" s="17"/>
      <c r="N1167" s="17"/>
      <c r="O1167" s="17"/>
      <c r="P1167" s="18"/>
      <c r="Q1167" s="17"/>
      <c r="R1167" s="17"/>
      <c r="S1167" s="17"/>
      <c r="T1167" s="16"/>
    </row>
    <row r="1168">
      <c r="A1168" s="71"/>
      <c r="B1168" s="17"/>
      <c r="C1168" s="17"/>
      <c r="D1168" s="17"/>
      <c r="E1168" s="31"/>
      <c r="F1168" s="17"/>
      <c r="G1168" s="17"/>
      <c r="H1168" s="51"/>
      <c r="I1168" s="17"/>
      <c r="J1168" s="17"/>
      <c r="K1168" s="13"/>
      <c r="L1168" s="17"/>
      <c r="M1168" s="17"/>
      <c r="N1168" s="17"/>
      <c r="O1168" s="17"/>
      <c r="P1168" s="18"/>
      <c r="Q1168" s="17"/>
      <c r="R1168" s="17"/>
      <c r="S1168" s="17"/>
      <c r="T1168" s="16"/>
    </row>
    <row r="1169">
      <c r="A1169" s="71"/>
      <c r="B1169" s="17"/>
      <c r="C1169" s="17"/>
      <c r="D1169" s="17"/>
      <c r="E1169" s="31"/>
      <c r="F1169" s="17"/>
      <c r="G1169" s="17"/>
      <c r="H1169" s="51"/>
      <c r="I1169" s="17"/>
      <c r="J1169" s="17"/>
      <c r="K1169" s="13"/>
      <c r="L1169" s="17"/>
      <c r="M1169" s="17"/>
      <c r="N1169" s="17"/>
      <c r="O1169" s="17"/>
      <c r="P1169" s="18"/>
      <c r="Q1169" s="17"/>
      <c r="R1169" s="17"/>
      <c r="S1169" s="17"/>
      <c r="T1169" s="16"/>
    </row>
    <row r="1170">
      <c r="A1170" s="71"/>
      <c r="B1170" s="17"/>
      <c r="C1170" s="17"/>
      <c r="D1170" s="17"/>
      <c r="E1170" s="31"/>
      <c r="F1170" s="17"/>
      <c r="G1170" s="17"/>
      <c r="H1170" s="51"/>
      <c r="I1170" s="17"/>
      <c r="J1170" s="17"/>
      <c r="K1170" s="13"/>
      <c r="L1170" s="17"/>
      <c r="M1170" s="17"/>
      <c r="N1170" s="17"/>
      <c r="O1170" s="17"/>
      <c r="P1170" s="18"/>
      <c r="Q1170" s="17"/>
      <c r="R1170" s="17"/>
      <c r="S1170" s="17"/>
      <c r="T1170" s="16"/>
    </row>
    <row r="1171">
      <c r="A1171" s="71"/>
      <c r="B1171" s="17"/>
      <c r="C1171" s="17"/>
      <c r="D1171" s="17"/>
      <c r="E1171" s="31"/>
      <c r="F1171" s="17"/>
      <c r="G1171" s="17"/>
      <c r="H1171" s="51"/>
      <c r="I1171" s="17"/>
      <c r="J1171" s="17"/>
      <c r="K1171" s="13"/>
      <c r="L1171" s="17"/>
      <c r="M1171" s="17"/>
      <c r="N1171" s="17"/>
      <c r="O1171" s="17"/>
      <c r="P1171" s="18"/>
      <c r="Q1171" s="17"/>
      <c r="R1171" s="17"/>
      <c r="S1171" s="17"/>
      <c r="T1171" s="16"/>
    </row>
    <row r="1172">
      <c r="A1172" s="71"/>
      <c r="B1172" s="17"/>
      <c r="C1172" s="17"/>
      <c r="D1172" s="17"/>
      <c r="E1172" s="31"/>
      <c r="F1172" s="17"/>
      <c r="G1172" s="17"/>
      <c r="H1172" s="51"/>
      <c r="I1172" s="17"/>
      <c r="J1172" s="17"/>
      <c r="K1172" s="13"/>
      <c r="L1172" s="17"/>
      <c r="M1172" s="17"/>
      <c r="N1172" s="17"/>
      <c r="O1172" s="17"/>
      <c r="P1172" s="18"/>
      <c r="Q1172" s="17"/>
      <c r="R1172" s="17"/>
      <c r="S1172" s="17"/>
      <c r="T1172" s="16"/>
    </row>
    <row r="1173">
      <c r="A1173" s="71"/>
      <c r="B1173" s="17"/>
      <c r="C1173" s="17"/>
      <c r="D1173" s="17"/>
      <c r="E1173" s="31"/>
      <c r="F1173" s="17"/>
      <c r="G1173" s="17"/>
      <c r="H1173" s="51"/>
      <c r="I1173" s="17"/>
      <c r="J1173" s="17"/>
      <c r="K1173" s="13"/>
      <c r="L1173" s="17"/>
      <c r="M1173" s="17"/>
      <c r="N1173" s="17"/>
      <c r="O1173" s="17"/>
      <c r="P1173" s="18"/>
      <c r="Q1173" s="17"/>
      <c r="R1173" s="17"/>
      <c r="S1173" s="17"/>
      <c r="T1173" s="16"/>
    </row>
    <row r="1174">
      <c r="A1174" s="71"/>
      <c r="B1174" s="17"/>
      <c r="C1174" s="17"/>
      <c r="D1174" s="17"/>
      <c r="E1174" s="31"/>
      <c r="F1174" s="17"/>
      <c r="G1174" s="17"/>
      <c r="H1174" s="51"/>
      <c r="I1174" s="17"/>
      <c r="J1174" s="17"/>
      <c r="K1174" s="13"/>
      <c r="L1174" s="17"/>
      <c r="M1174" s="17"/>
      <c r="N1174" s="17"/>
      <c r="O1174" s="17"/>
      <c r="P1174" s="18"/>
      <c r="Q1174" s="17"/>
      <c r="R1174" s="17"/>
      <c r="S1174" s="17"/>
      <c r="T1174" s="16"/>
    </row>
    <row r="1175">
      <c r="A1175" s="71"/>
      <c r="B1175" s="17"/>
      <c r="C1175" s="17"/>
      <c r="D1175" s="17"/>
      <c r="E1175" s="31"/>
      <c r="F1175" s="17"/>
      <c r="G1175" s="17"/>
      <c r="H1175" s="51"/>
      <c r="I1175" s="17"/>
      <c r="J1175" s="17"/>
      <c r="K1175" s="13"/>
      <c r="L1175" s="17"/>
      <c r="M1175" s="17"/>
      <c r="N1175" s="17"/>
      <c r="O1175" s="17"/>
      <c r="P1175" s="18"/>
      <c r="Q1175" s="17"/>
      <c r="R1175" s="17"/>
      <c r="S1175" s="17"/>
      <c r="T1175" s="16"/>
    </row>
    <row r="1176">
      <c r="A1176" s="71"/>
      <c r="B1176" s="17"/>
      <c r="C1176" s="17"/>
      <c r="D1176" s="17"/>
      <c r="E1176" s="31"/>
      <c r="F1176" s="17"/>
      <c r="G1176" s="17"/>
      <c r="H1176" s="51"/>
      <c r="I1176" s="17"/>
      <c r="J1176" s="17"/>
      <c r="K1176" s="13"/>
      <c r="L1176" s="17"/>
      <c r="M1176" s="17"/>
      <c r="N1176" s="17"/>
      <c r="O1176" s="17"/>
      <c r="P1176" s="18"/>
      <c r="Q1176" s="17"/>
      <c r="R1176" s="17"/>
      <c r="S1176" s="17"/>
      <c r="T1176" s="16"/>
    </row>
    <row r="1177">
      <c r="A1177" s="71"/>
      <c r="B1177" s="17"/>
      <c r="C1177" s="17"/>
      <c r="D1177" s="17"/>
      <c r="E1177" s="31"/>
      <c r="F1177" s="17"/>
      <c r="G1177" s="17"/>
      <c r="H1177" s="51"/>
      <c r="I1177" s="17"/>
      <c r="J1177" s="17"/>
      <c r="K1177" s="13"/>
      <c r="L1177" s="17"/>
      <c r="M1177" s="17"/>
      <c r="N1177" s="17"/>
      <c r="O1177" s="17"/>
      <c r="P1177" s="18"/>
      <c r="Q1177" s="17"/>
      <c r="R1177" s="17"/>
      <c r="S1177" s="17"/>
      <c r="T1177" s="16"/>
    </row>
    <row r="1178">
      <c r="A1178" s="71"/>
      <c r="B1178" s="17"/>
      <c r="C1178" s="17"/>
      <c r="D1178" s="17"/>
      <c r="E1178" s="31"/>
      <c r="F1178" s="17"/>
      <c r="G1178" s="17"/>
      <c r="H1178" s="51"/>
      <c r="I1178" s="17"/>
      <c r="J1178" s="17"/>
      <c r="K1178" s="13"/>
      <c r="L1178" s="17"/>
      <c r="M1178" s="17"/>
      <c r="N1178" s="17"/>
      <c r="O1178" s="17"/>
      <c r="P1178" s="18"/>
      <c r="Q1178" s="17"/>
      <c r="R1178" s="17"/>
      <c r="S1178" s="17"/>
      <c r="T1178" s="16"/>
    </row>
    <row r="1179">
      <c r="A1179" s="71"/>
      <c r="B1179" s="17"/>
      <c r="C1179" s="17"/>
      <c r="D1179" s="17"/>
      <c r="E1179" s="31"/>
      <c r="F1179" s="17"/>
      <c r="G1179" s="17"/>
      <c r="H1179" s="51"/>
      <c r="I1179" s="17"/>
      <c r="J1179" s="17"/>
      <c r="K1179" s="13"/>
      <c r="L1179" s="17"/>
      <c r="M1179" s="17"/>
      <c r="N1179" s="17"/>
      <c r="O1179" s="17"/>
      <c r="P1179" s="18"/>
      <c r="Q1179" s="17"/>
      <c r="R1179" s="17"/>
      <c r="S1179" s="17"/>
      <c r="T1179" s="16"/>
    </row>
    <row r="1180">
      <c r="A1180" s="71"/>
      <c r="B1180" s="17"/>
      <c r="C1180" s="17"/>
      <c r="D1180" s="17"/>
      <c r="E1180" s="31"/>
      <c r="F1180" s="17"/>
      <c r="G1180" s="17"/>
      <c r="H1180" s="51"/>
      <c r="I1180" s="17"/>
      <c r="J1180" s="17"/>
      <c r="K1180" s="13"/>
      <c r="L1180" s="17"/>
      <c r="M1180" s="17"/>
      <c r="N1180" s="17"/>
      <c r="O1180" s="17"/>
      <c r="P1180" s="18"/>
      <c r="Q1180" s="17"/>
      <c r="R1180" s="17"/>
      <c r="S1180" s="17"/>
      <c r="T1180" s="16"/>
    </row>
    <row r="1181">
      <c r="A1181" s="71"/>
      <c r="B1181" s="17"/>
      <c r="C1181" s="17"/>
      <c r="D1181" s="17"/>
      <c r="E1181" s="31"/>
      <c r="F1181" s="17"/>
      <c r="G1181" s="17"/>
      <c r="H1181" s="51"/>
      <c r="I1181" s="17"/>
      <c r="J1181" s="17"/>
      <c r="K1181" s="13"/>
      <c r="L1181" s="17"/>
      <c r="M1181" s="17"/>
      <c r="N1181" s="17"/>
      <c r="O1181" s="17"/>
      <c r="P1181" s="18"/>
      <c r="Q1181" s="17"/>
      <c r="R1181" s="17"/>
      <c r="S1181" s="17"/>
      <c r="T1181" s="16"/>
    </row>
    <row r="1182">
      <c r="A1182" s="71"/>
      <c r="B1182" s="17"/>
      <c r="C1182" s="17"/>
      <c r="D1182" s="17"/>
      <c r="E1182" s="31"/>
      <c r="F1182" s="17"/>
      <c r="G1182" s="17"/>
      <c r="H1182" s="51"/>
      <c r="I1182" s="17"/>
      <c r="J1182" s="17"/>
      <c r="K1182" s="13"/>
      <c r="L1182" s="17"/>
      <c r="M1182" s="17"/>
      <c r="N1182" s="17"/>
      <c r="O1182" s="17"/>
      <c r="P1182" s="18"/>
      <c r="Q1182" s="17"/>
      <c r="R1182" s="17"/>
      <c r="S1182" s="17"/>
      <c r="T1182" s="16"/>
    </row>
    <row r="1183">
      <c r="A1183" s="71"/>
      <c r="B1183" s="17"/>
      <c r="C1183" s="17"/>
      <c r="D1183" s="17"/>
      <c r="E1183" s="31"/>
      <c r="F1183" s="17"/>
      <c r="G1183" s="17"/>
      <c r="H1183" s="51"/>
      <c r="I1183" s="17"/>
      <c r="J1183" s="17"/>
      <c r="K1183" s="13"/>
      <c r="L1183" s="17"/>
      <c r="M1183" s="17"/>
      <c r="N1183" s="17"/>
      <c r="O1183" s="17"/>
      <c r="P1183" s="18"/>
      <c r="Q1183" s="17"/>
      <c r="R1183" s="17"/>
      <c r="S1183" s="17"/>
      <c r="T1183" s="16"/>
    </row>
    <row r="1184">
      <c r="A1184" s="71"/>
      <c r="B1184" s="17"/>
      <c r="C1184" s="17"/>
      <c r="D1184" s="17"/>
      <c r="E1184" s="31"/>
      <c r="F1184" s="17"/>
      <c r="G1184" s="17"/>
      <c r="H1184" s="51"/>
      <c r="I1184" s="17"/>
      <c r="J1184" s="17"/>
      <c r="K1184" s="13"/>
      <c r="L1184" s="17"/>
      <c r="M1184" s="17"/>
      <c r="N1184" s="17"/>
      <c r="O1184" s="17"/>
      <c r="P1184" s="18"/>
      <c r="Q1184" s="17"/>
      <c r="R1184" s="17"/>
      <c r="S1184" s="17"/>
      <c r="T1184" s="16"/>
    </row>
    <row r="1185">
      <c r="A1185" s="71"/>
      <c r="B1185" s="17"/>
      <c r="C1185" s="17"/>
      <c r="D1185" s="17"/>
      <c r="E1185" s="31"/>
      <c r="F1185" s="17"/>
      <c r="G1185" s="17"/>
      <c r="H1185" s="51"/>
      <c r="I1185" s="17"/>
      <c r="J1185" s="17"/>
      <c r="K1185" s="13"/>
      <c r="L1185" s="17"/>
      <c r="M1185" s="17"/>
      <c r="N1185" s="17"/>
      <c r="O1185" s="17"/>
      <c r="P1185" s="18"/>
      <c r="Q1185" s="17"/>
      <c r="R1185" s="17"/>
      <c r="S1185" s="17"/>
      <c r="T1185" s="16"/>
    </row>
    <row r="1186">
      <c r="A1186" s="71"/>
      <c r="B1186" s="17"/>
      <c r="C1186" s="17"/>
      <c r="D1186" s="17"/>
      <c r="E1186" s="31"/>
      <c r="F1186" s="17"/>
      <c r="G1186" s="17"/>
      <c r="H1186" s="51"/>
      <c r="I1186" s="17"/>
      <c r="J1186" s="17"/>
      <c r="K1186" s="13"/>
      <c r="L1186" s="17"/>
      <c r="M1186" s="17"/>
      <c r="N1186" s="17"/>
      <c r="O1186" s="17"/>
      <c r="P1186" s="18"/>
      <c r="Q1186" s="17"/>
      <c r="R1186" s="17"/>
      <c r="S1186" s="17"/>
      <c r="T1186" s="16"/>
    </row>
    <row r="1187">
      <c r="A1187" s="71"/>
      <c r="B1187" s="17"/>
      <c r="C1187" s="17"/>
      <c r="D1187" s="17"/>
      <c r="E1187" s="31"/>
      <c r="F1187" s="17"/>
      <c r="G1187" s="17"/>
      <c r="H1187" s="51"/>
      <c r="I1187" s="17"/>
      <c r="J1187" s="17"/>
      <c r="K1187" s="13"/>
      <c r="L1187" s="17"/>
      <c r="M1187" s="17"/>
      <c r="N1187" s="17"/>
      <c r="O1187" s="17"/>
      <c r="P1187" s="18"/>
      <c r="Q1187" s="17"/>
      <c r="R1187" s="17"/>
      <c r="S1187" s="17"/>
      <c r="T1187" s="16"/>
    </row>
    <row r="1188">
      <c r="A1188" s="71"/>
      <c r="B1188" s="17"/>
      <c r="C1188" s="17"/>
      <c r="D1188" s="17"/>
      <c r="E1188" s="31"/>
      <c r="F1188" s="17"/>
      <c r="G1188" s="17"/>
      <c r="H1188" s="51"/>
      <c r="I1188" s="17"/>
      <c r="J1188" s="17"/>
      <c r="K1188" s="13"/>
      <c r="L1188" s="17"/>
      <c r="M1188" s="17"/>
      <c r="N1188" s="17"/>
      <c r="O1188" s="17"/>
      <c r="P1188" s="18"/>
      <c r="Q1188" s="17"/>
      <c r="R1188" s="17"/>
      <c r="S1188" s="17"/>
      <c r="T1188" s="16"/>
    </row>
    <row r="1189">
      <c r="A1189" s="71"/>
      <c r="B1189" s="17"/>
      <c r="C1189" s="17"/>
      <c r="D1189" s="17"/>
      <c r="E1189" s="31"/>
      <c r="F1189" s="17"/>
      <c r="G1189" s="17"/>
      <c r="H1189" s="51"/>
      <c r="I1189" s="17"/>
      <c r="J1189" s="17"/>
      <c r="K1189" s="13"/>
      <c r="L1189" s="17"/>
      <c r="M1189" s="17"/>
      <c r="N1189" s="17"/>
      <c r="O1189" s="17"/>
      <c r="P1189" s="18"/>
      <c r="Q1189" s="17"/>
      <c r="R1189" s="17"/>
      <c r="S1189" s="17"/>
      <c r="T1189" s="16"/>
    </row>
    <row r="1190">
      <c r="A1190" s="71"/>
      <c r="B1190" s="17"/>
      <c r="C1190" s="17"/>
      <c r="D1190" s="17"/>
      <c r="E1190" s="31"/>
      <c r="F1190" s="17"/>
      <c r="G1190" s="17"/>
      <c r="H1190" s="51"/>
      <c r="I1190" s="17"/>
      <c r="J1190" s="17"/>
      <c r="K1190" s="13"/>
      <c r="L1190" s="17"/>
      <c r="M1190" s="17"/>
      <c r="N1190" s="17"/>
      <c r="O1190" s="17"/>
      <c r="P1190" s="18"/>
      <c r="Q1190" s="17"/>
      <c r="R1190" s="17"/>
      <c r="S1190" s="17"/>
      <c r="T1190" s="16"/>
    </row>
    <row r="1191">
      <c r="A1191" s="71"/>
      <c r="B1191" s="17"/>
      <c r="C1191" s="17"/>
      <c r="D1191" s="17"/>
      <c r="E1191" s="31"/>
      <c r="F1191" s="17"/>
      <c r="G1191" s="17"/>
      <c r="H1191" s="51"/>
      <c r="I1191" s="17"/>
      <c r="J1191" s="17"/>
      <c r="K1191" s="13"/>
      <c r="L1191" s="17"/>
      <c r="M1191" s="17"/>
      <c r="N1191" s="17"/>
      <c r="O1191" s="17"/>
      <c r="P1191" s="18"/>
      <c r="Q1191" s="17"/>
      <c r="R1191" s="17"/>
      <c r="S1191" s="17"/>
      <c r="T1191" s="16"/>
    </row>
    <row r="1192">
      <c r="A1192" s="71"/>
      <c r="B1192" s="17"/>
      <c r="C1192" s="17"/>
      <c r="D1192" s="17"/>
      <c r="E1192" s="31"/>
      <c r="F1192" s="17"/>
      <c r="G1192" s="17"/>
      <c r="H1192" s="51"/>
      <c r="I1192" s="17"/>
      <c r="J1192" s="17"/>
      <c r="K1192" s="13"/>
      <c r="L1192" s="17"/>
      <c r="M1192" s="17"/>
      <c r="N1192" s="17"/>
      <c r="O1192" s="17"/>
      <c r="P1192" s="18"/>
      <c r="Q1192" s="17"/>
      <c r="R1192" s="17"/>
      <c r="S1192" s="17"/>
      <c r="T1192" s="16"/>
    </row>
    <row r="1193">
      <c r="A1193" s="71"/>
      <c r="B1193" s="17"/>
      <c r="C1193" s="17"/>
      <c r="D1193" s="17"/>
      <c r="E1193" s="31"/>
      <c r="F1193" s="17"/>
      <c r="G1193" s="17"/>
      <c r="H1193" s="51"/>
      <c r="I1193" s="17"/>
      <c r="J1193" s="17"/>
      <c r="K1193" s="13"/>
      <c r="L1193" s="17"/>
      <c r="M1193" s="17"/>
      <c r="N1193" s="17"/>
      <c r="O1193" s="17"/>
      <c r="P1193" s="18"/>
      <c r="Q1193" s="17"/>
      <c r="R1193" s="17"/>
      <c r="S1193" s="17"/>
      <c r="T1193" s="16"/>
    </row>
    <row r="1194">
      <c r="A1194" s="71"/>
      <c r="B1194" s="17"/>
      <c r="C1194" s="17"/>
      <c r="D1194" s="17"/>
      <c r="E1194" s="31"/>
      <c r="F1194" s="17"/>
      <c r="G1194" s="17"/>
      <c r="H1194" s="51"/>
      <c r="I1194" s="17"/>
      <c r="J1194" s="17"/>
      <c r="K1194" s="13"/>
      <c r="L1194" s="17"/>
      <c r="M1194" s="17"/>
      <c r="N1194" s="17"/>
      <c r="O1194" s="17"/>
      <c r="P1194" s="18"/>
      <c r="Q1194" s="17"/>
      <c r="R1194" s="17"/>
      <c r="S1194" s="17"/>
      <c r="T1194" s="16"/>
    </row>
    <row r="1195">
      <c r="A1195" s="71"/>
      <c r="B1195" s="17"/>
      <c r="C1195" s="17"/>
      <c r="D1195" s="17"/>
      <c r="E1195" s="31"/>
      <c r="F1195" s="17"/>
      <c r="G1195" s="17"/>
      <c r="H1195" s="51"/>
      <c r="I1195" s="17"/>
      <c r="J1195" s="17"/>
      <c r="K1195" s="13"/>
      <c r="L1195" s="17"/>
      <c r="M1195" s="17"/>
      <c r="N1195" s="17"/>
      <c r="O1195" s="17"/>
      <c r="P1195" s="18"/>
      <c r="Q1195" s="17"/>
      <c r="R1195" s="17"/>
      <c r="S1195" s="17"/>
      <c r="T1195" s="16"/>
    </row>
    <row r="1196">
      <c r="A1196" s="71"/>
      <c r="B1196" s="17"/>
      <c r="C1196" s="17"/>
      <c r="D1196" s="17"/>
      <c r="E1196" s="31"/>
      <c r="F1196" s="17"/>
      <c r="G1196" s="17"/>
      <c r="H1196" s="51"/>
      <c r="I1196" s="17"/>
      <c r="J1196" s="17"/>
      <c r="K1196" s="13"/>
      <c r="L1196" s="17"/>
      <c r="M1196" s="17"/>
      <c r="N1196" s="17"/>
      <c r="O1196" s="17"/>
      <c r="P1196" s="18"/>
      <c r="Q1196" s="17"/>
      <c r="R1196" s="17"/>
      <c r="S1196" s="17"/>
      <c r="T1196" s="16"/>
    </row>
    <row r="1197">
      <c r="A1197" s="71"/>
      <c r="B1197" s="17"/>
      <c r="C1197" s="17"/>
      <c r="D1197" s="17"/>
      <c r="E1197" s="31"/>
      <c r="F1197" s="17"/>
      <c r="G1197" s="17"/>
      <c r="H1197" s="51"/>
      <c r="I1197" s="17"/>
      <c r="J1197" s="17"/>
      <c r="K1197" s="13"/>
      <c r="L1197" s="17"/>
      <c r="M1197" s="17"/>
      <c r="N1197" s="17"/>
      <c r="O1197" s="17"/>
      <c r="P1197" s="18"/>
      <c r="Q1197" s="17"/>
      <c r="R1197" s="17"/>
      <c r="S1197" s="17"/>
      <c r="T1197" s="16"/>
    </row>
    <row r="1198">
      <c r="A1198" s="71"/>
      <c r="B1198" s="17"/>
      <c r="C1198" s="17"/>
      <c r="D1198" s="17"/>
      <c r="E1198" s="31"/>
      <c r="F1198" s="17"/>
      <c r="G1198" s="17"/>
      <c r="H1198" s="51"/>
      <c r="I1198" s="17"/>
      <c r="J1198" s="17"/>
      <c r="K1198" s="13"/>
      <c r="L1198" s="17"/>
      <c r="M1198" s="17"/>
      <c r="N1198" s="17"/>
      <c r="O1198" s="17"/>
      <c r="P1198" s="18"/>
      <c r="Q1198" s="17"/>
      <c r="R1198" s="17"/>
      <c r="S1198" s="17"/>
      <c r="T1198" s="16"/>
    </row>
    <row r="1199">
      <c r="A1199" s="71"/>
      <c r="B1199" s="17"/>
      <c r="C1199" s="17"/>
      <c r="D1199" s="17"/>
      <c r="E1199" s="31"/>
      <c r="F1199" s="17"/>
      <c r="G1199" s="17"/>
      <c r="H1199" s="51"/>
      <c r="I1199" s="17"/>
      <c r="J1199" s="17"/>
      <c r="K1199" s="13"/>
      <c r="L1199" s="17"/>
      <c r="M1199" s="17"/>
      <c r="N1199" s="17"/>
      <c r="O1199" s="17"/>
      <c r="P1199" s="18"/>
      <c r="Q1199" s="17"/>
      <c r="R1199" s="17"/>
      <c r="S1199" s="17"/>
      <c r="T1199" s="16"/>
    </row>
    <row r="1200">
      <c r="A1200" s="71"/>
      <c r="B1200" s="17"/>
      <c r="C1200" s="17"/>
      <c r="D1200" s="17"/>
      <c r="E1200" s="31"/>
      <c r="F1200" s="17"/>
      <c r="G1200" s="17"/>
      <c r="H1200" s="51"/>
      <c r="I1200" s="17"/>
      <c r="J1200" s="17"/>
      <c r="K1200" s="13"/>
      <c r="L1200" s="17"/>
      <c r="M1200" s="17"/>
      <c r="N1200" s="17"/>
      <c r="O1200" s="17"/>
      <c r="P1200" s="18"/>
      <c r="Q1200" s="17"/>
      <c r="R1200" s="17"/>
      <c r="S1200" s="17"/>
      <c r="T1200" s="16"/>
    </row>
    <row r="1201">
      <c r="A1201" s="71"/>
      <c r="B1201" s="17"/>
      <c r="C1201" s="17"/>
      <c r="D1201" s="17"/>
      <c r="E1201" s="31"/>
      <c r="F1201" s="17"/>
      <c r="G1201" s="17"/>
      <c r="H1201" s="51"/>
      <c r="I1201" s="17"/>
      <c r="J1201" s="17"/>
      <c r="K1201" s="13"/>
      <c r="L1201" s="17"/>
      <c r="M1201" s="17"/>
      <c r="N1201" s="17"/>
      <c r="O1201" s="17"/>
      <c r="P1201" s="18"/>
      <c r="Q1201" s="17"/>
      <c r="R1201" s="17"/>
      <c r="S1201" s="17"/>
      <c r="T1201" s="16"/>
    </row>
    <row r="1202">
      <c r="A1202" s="71"/>
      <c r="B1202" s="17"/>
      <c r="C1202" s="17"/>
      <c r="D1202" s="17"/>
      <c r="E1202" s="31"/>
      <c r="F1202" s="17"/>
      <c r="G1202" s="17"/>
      <c r="H1202" s="51"/>
      <c r="I1202" s="17"/>
      <c r="J1202" s="17"/>
      <c r="K1202" s="13"/>
      <c r="L1202" s="17"/>
      <c r="M1202" s="17"/>
      <c r="N1202" s="17"/>
      <c r="O1202" s="17"/>
      <c r="P1202" s="18"/>
      <c r="Q1202" s="17"/>
      <c r="R1202" s="17"/>
      <c r="S1202" s="17"/>
      <c r="T1202" s="16"/>
    </row>
    <row r="1203">
      <c r="A1203" s="71"/>
      <c r="B1203" s="17"/>
      <c r="C1203" s="17"/>
      <c r="D1203" s="17"/>
      <c r="E1203" s="31"/>
      <c r="F1203" s="17"/>
      <c r="G1203" s="17"/>
      <c r="H1203" s="51"/>
      <c r="I1203" s="17"/>
      <c r="J1203" s="17"/>
      <c r="K1203" s="13"/>
      <c r="L1203" s="17"/>
      <c r="M1203" s="17"/>
      <c r="N1203" s="17"/>
      <c r="O1203" s="17"/>
      <c r="P1203" s="18"/>
      <c r="Q1203" s="17"/>
      <c r="R1203" s="17"/>
      <c r="S1203" s="17"/>
      <c r="T1203" s="16"/>
    </row>
    <row r="1204">
      <c r="A1204" s="71"/>
      <c r="B1204" s="17"/>
      <c r="C1204" s="17"/>
      <c r="D1204" s="17"/>
      <c r="E1204" s="31"/>
      <c r="F1204" s="17"/>
      <c r="G1204" s="17"/>
      <c r="H1204" s="51"/>
      <c r="I1204" s="17"/>
      <c r="J1204" s="17"/>
      <c r="K1204" s="13"/>
      <c r="L1204" s="17"/>
      <c r="M1204" s="17"/>
      <c r="N1204" s="17"/>
      <c r="O1204" s="17"/>
      <c r="P1204" s="18"/>
      <c r="Q1204" s="17"/>
      <c r="R1204" s="17"/>
      <c r="S1204" s="17"/>
      <c r="T1204" s="16"/>
    </row>
    <row r="1205">
      <c r="A1205" s="71"/>
      <c r="B1205" s="17"/>
      <c r="C1205" s="17"/>
      <c r="D1205" s="17"/>
      <c r="E1205" s="31"/>
      <c r="F1205" s="17"/>
      <c r="G1205" s="17"/>
      <c r="H1205" s="51"/>
      <c r="I1205" s="17"/>
      <c r="J1205" s="17"/>
      <c r="K1205" s="13"/>
      <c r="L1205" s="17"/>
      <c r="M1205" s="17"/>
      <c r="N1205" s="17"/>
      <c r="O1205" s="17"/>
      <c r="P1205" s="18"/>
      <c r="Q1205" s="17"/>
      <c r="R1205" s="17"/>
      <c r="S1205" s="17"/>
      <c r="T1205" s="16"/>
    </row>
    <row r="1206">
      <c r="A1206" s="71"/>
      <c r="B1206" s="17"/>
      <c r="C1206" s="17"/>
      <c r="D1206" s="17"/>
      <c r="E1206" s="31"/>
      <c r="F1206" s="17"/>
      <c r="G1206" s="17"/>
      <c r="H1206" s="51"/>
      <c r="I1206" s="17"/>
      <c r="J1206" s="17"/>
      <c r="K1206" s="13"/>
      <c r="L1206" s="17"/>
      <c r="M1206" s="17"/>
      <c r="N1206" s="17"/>
      <c r="O1206" s="17"/>
      <c r="P1206" s="18"/>
      <c r="Q1206" s="17"/>
      <c r="R1206" s="17"/>
      <c r="S1206" s="17"/>
      <c r="T1206" s="16"/>
    </row>
    <row r="1207">
      <c r="A1207" s="71"/>
      <c r="B1207" s="17"/>
      <c r="C1207" s="17"/>
      <c r="D1207" s="17"/>
      <c r="E1207" s="31"/>
      <c r="F1207" s="17"/>
      <c r="G1207" s="17"/>
      <c r="H1207" s="51"/>
      <c r="I1207" s="17"/>
      <c r="J1207" s="17"/>
      <c r="K1207" s="13"/>
      <c r="L1207" s="17"/>
      <c r="M1207" s="17"/>
      <c r="N1207" s="17"/>
      <c r="O1207" s="17"/>
      <c r="P1207" s="18"/>
      <c r="Q1207" s="17"/>
      <c r="R1207" s="17"/>
      <c r="S1207" s="17"/>
      <c r="T1207" s="16"/>
    </row>
    <row r="1208">
      <c r="A1208" s="71"/>
      <c r="B1208" s="17"/>
      <c r="C1208" s="17"/>
      <c r="D1208" s="17"/>
      <c r="E1208" s="31"/>
      <c r="F1208" s="17"/>
      <c r="G1208" s="17"/>
      <c r="H1208" s="51"/>
      <c r="I1208" s="17"/>
      <c r="J1208" s="17"/>
      <c r="K1208" s="13"/>
      <c r="L1208" s="17"/>
      <c r="M1208" s="17"/>
      <c r="N1208" s="17"/>
      <c r="O1208" s="17"/>
      <c r="P1208" s="18"/>
      <c r="Q1208" s="17"/>
      <c r="R1208" s="17"/>
      <c r="S1208" s="17"/>
      <c r="T1208" s="16"/>
    </row>
    <row r="1209">
      <c r="A1209" s="71"/>
      <c r="B1209" s="17"/>
      <c r="C1209" s="17"/>
      <c r="D1209" s="17"/>
      <c r="E1209" s="31"/>
      <c r="F1209" s="17"/>
      <c r="G1209" s="17"/>
      <c r="H1209" s="51"/>
      <c r="I1209" s="17"/>
      <c r="J1209" s="17"/>
      <c r="K1209" s="13"/>
      <c r="L1209" s="17"/>
      <c r="M1209" s="17"/>
      <c r="N1209" s="17"/>
      <c r="O1209" s="17"/>
      <c r="P1209" s="18"/>
      <c r="Q1209" s="17"/>
      <c r="R1209" s="17"/>
      <c r="S1209" s="17"/>
      <c r="T1209" s="16"/>
    </row>
    <row r="1210">
      <c r="A1210" s="71"/>
      <c r="B1210" s="17"/>
      <c r="C1210" s="17"/>
      <c r="D1210" s="17"/>
      <c r="E1210" s="31"/>
      <c r="F1210" s="17"/>
      <c r="G1210" s="17"/>
      <c r="H1210" s="51"/>
      <c r="I1210" s="17"/>
      <c r="J1210" s="17"/>
      <c r="K1210" s="13"/>
      <c r="L1210" s="17"/>
      <c r="M1210" s="17"/>
      <c r="N1210" s="17"/>
      <c r="O1210" s="17"/>
      <c r="P1210" s="18"/>
      <c r="Q1210" s="17"/>
      <c r="R1210" s="17"/>
      <c r="S1210" s="17"/>
      <c r="T1210" s="16"/>
    </row>
    <row r="1211">
      <c r="A1211" s="71"/>
      <c r="B1211" s="17"/>
      <c r="C1211" s="17"/>
      <c r="D1211" s="17"/>
      <c r="E1211" s="31"/>
      <c r="F1211" s="17"/>
      <c r="G1211" s="17"/>
      <c r="H1211" s="51"/>
      <c r="I1211" s="17"/>
      <c r="J1211" s="17"/>
      <c r="K1211" s="13"/>
      <c r="L1211" s="17"/>
      <c r="M1211" s="17"/>
      <c r="N1211" s="17"/>
      <c r="O1211" s="17"/>
      <c r="P1211" s="18"/>
      <c r="Q1211" s="17"/>
      <c r="R1211" s="17"/>
      <c r="S1211" s="17"/>
      <c r="T1211" s="16"/>
    </row>
    <row r="1212">
      <c r="A1212" s="71"/>
      <c r="B1212" s="17"/>
      <c r="C1212" s="17"/>
      <c r="D1212" s="17"/>
      <c r="E1212" s="31"/>
      <c r="F1212" s="17"/>
      <c r="G1212" s="17"/>
      <c r="H1212" s="51"/>
      <c r="I1212" s="17"/>
      <c r="J1212" s="17"/>
      <c r="K1212" s="13"/>
      <c r="L1212" s="17"/>
      <c r="M1212" s="17"/>
      <c r="N1212" s="17"/>
      <c r="O1212" s="17"/>
      <c r="P1212" s="18"/>
      <c r="Q1212" s="17"/>
      <c r="R1212" s="17"/>
      <c r="S1212" s="17"/>
      <c r="T1212" s="16"/>
    </row>
    <row r="1213">
      <c r="A1213" s="71"/>
      <c r="B1213" s="17"/>
      <c r="C1213" s="17"/>
      <c r="D1213" s="17"/>
      <c r="E1213" s="31"/>
      <c r="F1213" s="17"/>
      <c r="G1213" s="17"/>
      <c r="H1213" s="51"/>
      <c r="I1213" s="17"/>
      <c r="J1213" s="17"/>
      <c r="K1213" s="13"/>
      <c r="L1213" s="17"/>
      <c r="M1213" s="17"/>
      <c r="N1213" s="17"/>
      <c r="O1213" s="17"/>
      <c r="P1213" s="18"/>
      <c r="Q1213" s="17"/>
      <c r="R1213" s="17"/>
      <c r="S1213" s="17"/>
      <c r="T1213" s="16"/>
    </row>
    <row r="1214">
      <c r="A1214" s="71"/>
      <c r="B1214" s="17"/>
      <c r="C1214" s="17"/>
      <c r="D1214" s="17"/>
      <c r="E1214" s="31"/>
      <c r="F1214" s="17"/>
      <c r="G1214" s="17"/>
      <c r="H1214" s="51"/>
      <c r="I1214" s="17"/>
      <c r="J1214" s="17"/>
      <c r="K1214" s="13"/>
      <c r="L1214" s="17"/>
      <c r="M1214" s="17"/>
      <c r="N1214" s="17"/>
      <c r="O1214" s="17"/>
      <c r="P1214" s="18"/>
      <c r="Q1214" s="17"/>
      <c r="R1214" s="17"/>
      <c r="S1214" s="17"/>
      <c r="T1214" s="16"/>
    </row>
    <row r="1215">
      <c r="A1215" s="71"/>
      <c r="B1215" s="17"/>
      <c r="C1215" s="17"/>
      <c r="D1215" s="17"/>
      <c r="E1215" s="31"/>
      <c r="F1215" s="17"/>
      <c r="G1215" s="17"/>
      <c r="H1215" s="51"/>
      <c r="I1215" s="17"/>
      <c r="J1215" s="17"/>
      <c r="K1215" s="13"/>
      <c r="L1215" s="17"/>
      <c r="M1215" s="17"/>
      <c r="N1215" s="17"/>
      <c r="O1215" s="17"/>
      <c r="P1215" s="18"/>
      <c r="Q1215" s="17"/>
      <c r="R1215" s="17"/>
      <c r="S1215" s="17"/>
      <c r="T1215" s="16"/>
    </row>
    <row r="1216">
      <c r="A1216" s="71"/>
      <c r="B1216" s="17"/>
      <c r="C1216" s="17"/>
      <c r="D1216" s="17"/>
      <c r="E1216" s="31"/>
      <c r="F1216" s="17"/>
      <c r="G1216" s="17"/>
      <c r="H1216" s="51"/>
      <c r="I1216" s="17"/>
      <c r="J1216" s="17"/>
      <c r="K1216" s="13"/>
      <c r="L1216" s="17"/>
      <c r="M1216" s="17"/>
      <c r="N1216" s="17"/>
      <c r="O1216" s="17"/>
      <c r="P1216" s="18"/>
      <c r="Q1216" s="17"/>
      <c r="R1216" s="17"/>
      <c r="S1216" s="17"/>
      <c r="T1216" s="16"/>
    </row>
    <row r="1217">
      <c r="A1217" s="71"/>
      <c r="B1217" s="17"/>
      <c r="C1217" s="17"/>
      <c r="D1217" s="17"/>
      <c r="E1217" s="31"/>
      <c r="F1217" s="17"/>
      <c r="G1217" s="17"/>
      <c r="H1217" s="51"/>
      <c r="I1217" s="17"/>
      <c r="J1217" s="17"/>
      <c r="K1217" s="13"/>
      <c r="L1217" s="17"/>
      <c r="M1217" s="17"/>
      <c r="N1217" s="17"/>
      <c r="O1217" s="17"/>
      <c r="P1217" s="18"/>
      <c r="Q1217" s="17"/>
      <c r="R1217" s="17"/>
      <c r="S1217" s="17"/>
      <c r="T1217" s="16"/>
    </row>
    <row r="1218">
      <c r="A1218" s="71"/>
      <c r="B1218" s="17"/>
      <c r="C1218" s="17"/>
      <c r="D1218" s="17"/>
      <c r="E1218" s="31"/>
      <c r="F1218" s="17"/>
      <c r="G1218" s="17"/>
      <c r="H1218" s="51"/>
      <c r="I1218" s="17"/>
      <c r="J1218" s="17"/>
      <c r="K1218" s="13"/>
      <c r="L1218" s="17"/>
      <c r="M1218" s="17"/>
      <c r="N1218" s="17"/>
      <c r="O1218" s="17"/>
      <c r="P1218" s="18"/>
      <c r="Q1218" s="17"/>
      <c r="R1218" s="17"/>
      <c r="S1218" s="17"/>
      <c r="T1218" s="16"/>
    </row>
    <row r="1219">
      <c r="A1219" s="71"/>
      <c r="B1219" s="17"/>
      <c r="C1219" s="17"/>
      <c r="D1219" s="17"/>
      <c r="E1219" s="31"/>
      <c r="F1219" s="17"/>
      <c r="G1219" s="17"/>
      <c r="H1219" s="51"/>
      <c r="I1219" s="17"/>
      <c r="J1219" s="17"/>
      <c r="K1219" s="13"/>
      <c r="L1219" s="17"/>
      <c r="M1219" s="17"/>
      <c r="N1219" s="17"/>
      <c r="O1219" s="17"/>
      <c r="P1219" s="18"/>
      <c r="Q1219" s="17"/>
      <c r="R1219" s="17"/>
      <c r="S1219" s="17"/>
      <c r="T1219" s="16"/>
    </row>
    <row r="1220">
      <c r="A1220" s="71"/>
      <c r="B1220" s="17"/>
      <c r="C1220" s="17"/>
      <c r="D1220" s="17"/>
      <c r="E1220" s="31"/>
      <c r="F1220" s="17"/>
      <c r="G1220" s="17"/>
      <c r="H1220" s="51"/>
      <c r="I1220" s="17"/>
      <c r="J1220" s="17"/>
      <c r="K1220" s="13"/>
      <c r="L1220" s="17"/>
      <c r="M1220" s="17"/>
      <c r="N1220" s="17"/>
      <c r="O1220" s="17"/>
      <c r="P1220" s="18"/>
      <c r="Q1220" s="17"/>
      <c r="R1220" s="17"/>
      <c r="S1220" s="17"/>
      <c r="T1220" s="16"/>
    </row>
    <row r="1221">
      <c r="A1221" s="71"/>
      <c r="B1221" s="17"/>
      <c r="C1221" s="17"/>
      <c r="D1221" s="17"/>
      <c r="E1221" s="31"/>
      <c r="F1221" s="17"/>
      <c r="G1221" s="17"/>
      <c r="H1221" s="51"/>
      <c r="I1221" s="17"/>
      <c r="J1221" s="17"/>
      <c r="K1221" s="13"/>
      <c r="L1221" s="17"/>
      <c r="M1221" s="17"/>
      <c r="N1221" s="17"/>
      <c r="O1221" s="17"/>
      <c r="P1221" s="18"/>
      <c r="Q1221" s="17"/>
      <c r="R1221" s="17"/>
      <c r="S1221" s="17"/>
      <c r="T1221" s="16"/>
    </row>
    <row r="1222">
      <c r="A1222" s="71"/>
      <c r="B1222" s="17"/>
      <c r="C1222" s="17"/>
      <c r="D1222" s="17"/>
      <c r="E1222" s="31"/>
      <c r="F1222" s="17"/>
      <c r="G1222" s="17"/>
      <c r="H1222" s="51"/>
      <c r="I1222" s="17"/>
      <c r="J1222" s="17"/>
      <c r="K1222" s="13"/>
      <c r="L1222" s="17"/>
      <c r="M1222" s="17"/>
      <c r="N1222" s="17"/>
      <c r="O1222" s="17"/>
      <c r="P1222" s="18"/>
      <c r="Q1222" s="17"/>
      <c r="R1222" s="17"/>
      <c r="S1222" s="17"/>
      <c r="T1222" s="16"/>
    </row>
    <row r="1223">
      <c r="A1223" s="71"/>
      <c r="B1223" s="17"/>
      <c r="C1223" s="17"/>
      <c r="D1223" s="17"/>
      <c r="E1223" s="31"/>
      <c r="F1223" s="17"/>
      <c r="G1223" s="17"/>
      <c r="H1223" s="51"/>
      <c r="I1223" s="17"/>
      <c r="J1223" s="17"/>
      <c r="K1223" s="13"/>
      <c r="L1223" s="17"/>
      <c r="M1223" s="17"/>
      <c r="N1223" s="17"/>
      <c r="O1223" s="17"/>
      <c r="P1223" s="18"/>
      <c r="Q1223" s="17"/>
      <c r="R1223" s="17"/>
      <c r="S1223" s="17"/>
      <c r="T1223" s="16"/>
    </row>
    <row r="1224">
      <c r="A1224" s="71"/>
      <c r="B1224" s="17"/>
      <c r="C1224" s="17"/>
      <c r="D1224" s="17"/>
      <c r="E1224" s="31"/>
      <c r="F1224" s="17"/>
      <c r="G1224" s="17"/>
      <c r="H1224" s="51"/>
      <c r="I1224" s="17"/>
      <c r="J1224" s="17"/>
      <c r="K1224" s="13"/>
      <c r="L1224" s="17"/>
      <c r="M1224" s="17"/>
      <c r="N1224" s="17"/>
      <c r="O1224" s="17"/>
      <c r="P1224" s="18"/>
      <c r="Q1224" s="17"/>
      <c r="R1224" s="17"/>
      <c r="S1224" s="17"/>
      <c r="T1224" s="16"/>
    </row>
    <row r="1225">
      <c r="A1225" s="71"/>
      <c r="B1225" s="17"/>
      <c r="C1225" s="17"/>
      <c r="D1225" s="17"/>
      <c r="E1225" s="31"/>
      <c r="F1225" s="17"/>
      <c r="G1225" s="17"/>
      <c r="H1225" s="51"/>
      <c r="I1225" s="17"/>
      <c r="J1225" s="17"/>
      <c r="K1225" s="13"/>
      <c r="L1225" s="17"/>
      <c r="M1225" s="17"/>
      <c r="N1225" s="17"/>
      <c r="O1225" s="17"/>
      <c r="P1225" s="18"/>
      <c r="Q1225" s="17"/>
      <c r="R1225" s="17"/>
      <c r="S1225" s="17"/>
      <c r="T1225" s="16"/>
    </row>
    <row r="1226">
      <c r="A1226" s="71"/>
      <c r="B1226" s="17"/>
      <c r="C1226" s="17"/>
      <c r="D1226" s="17"/>
      <c r="E1226" s="31"/>
      <c r="F1226" s="17"/>
      <c r="G1226" s="17"/>
      <c r="H1226" s="51"/>
      <c r="I1226" s="17"/>
      <c r="J1226" s="17"/>
      <c r="K1226" s="13"/>
      <c r="L1226" s="17"/>
      <c r="M1226" s="17"/>
      <c r="N1226" s="17"/>
      <c r="O1226" s="17"/>
      <c r="P1226" s="18"/>
      <c r="Q1226" s="17"/>
      <c r="R1226" s="17"/>
      <c r="S1226" s="17"/>
      <c r="T1226" s="16"/>
    </row>
    <row r="1227">
      <c r="A1227" s="71"/>
      <c r="B1227" s="17"/>
      <c r="C1227" s="17"/>
      <c r="D1227" s="17"/>
      <c r="E1227" s="31"/>
      <c r="F1227" s="17"/>
      <c r="G1227" s="17"/>
      <c r="H1227" s="51"/>
      <c r="I1227" s="17"/>
      <c r="J1227" s="17"/>
      <c r="K1227" s="13"/>
      <c r="L1227" s="17"/>
      <c r="M1227" s="17"/>
      <c r="N1227" s="17"/>
      <c r="O1227" s="17"/>
      <c r="P1227" s="18"/>
      <c r="Q1227" s="17"/>
      <c r="R1227" s="17"/>
      <c r="S1227" s="17"/>
      <c r="T1227" s="16"/>
    </row>
    <row r="1228">
      <c r="A1228" s="71"/>
      <c r="B1228" s="17"/>
      <c r="C1228" s="17"/>
      <c r="D1228" s="17"/>
      <c r="E1228" s="31"/>
      <c r="F1228" s="17"/>
      <c r="G1228" s="17"/>
      <c r="H1228" s="51"/>
      <c r="I1228" s="17"/>
      <c r="J1228" s="17"/>
      <c r="K1228" s="13"/>
      <c r="L1228" s="17"/>
      <c r="M1228" s="17"/>
      <c r="N1228" s="17"/>
      <c r="O1228" s="17"/>
      <c r="P1228" s="18"/>
      <c r="Q1228" s="17"/>
      <c r="R1228" s="17"/>
      <c r="S1228" s="17"/>
      <c r="T1228" s="16"/>
    </row>
    <row r="1229">
      <c r="A1229" s="71"/>
      <c r="B1229" s="17"/>
      <c r="C1229" s="17"/>
      <c r="D1229" s="17"/>
      <c r="E1229" s="31"/>
      <c r="F1229" s="17"/>
      <c r="G1229" s="17"/>
      <c r="H1229" s="51"/>
      <c r="I1229" s="17"/>
      <c r="J1229" s="17"/>
      <c r="K1229" s="13"/>
      <c r="L1229" s="17"/>
      <c r="M1229" s="17"/>
      <c r="N1229" s="17"/>
      <c r="O1229" s="17"/>
      <c r="P1229" s="18"/>
      <c r="Q1229" s="17"/>
      <c r="R1229" s="17"/>
      <c r="S1229" s="17"/>
      <c r="T1229" s="16"/>
    </row>
    <row r="1230">
      <c r="A1230" s="71"/>
      <c r="B1230" s="17"/>
      <c r="C1230" s="17"/>
      <c r="D1230" s="17"/>
      <c r="E1230" s="31"/>
      <c r="F1230" s="17"/>
      <c r="G1230" s="17"/>
      <c r="H1230" s="51"/>
      <c r="I1230" s="17"/>
      <c r="J1230" s="17"/>
      <c r="K1230" s="13"/>
      <c r="L1230" s="17"/>
      <c r="M1230" s="17"/>
      <c r="N1230" s="17"/>
      <c r="O1230" s="17"/>
      <c r="P1230" s="18"/>
      <c r="Q1230" s="17"/>
      <c r="R1230" s="17"/>
      <c r="S1230" s="17"/>
      <c r="T1230" s="16"/>
    </row>
    <row r="1231">
      <c r="A1231" s="71"/>
      <c r="B1231" s="17"/>
      <c r="C1231" s="17"/>
      <c r="D1231" s="17"/>
      <c r="E1231" s="31"/>
      <c r="F1231" s="17"/>
      <c r="G1231" s="17"/>
      <c r="H1231" s="51"/>
      <c r="I1231" s="17"/>
      <c r="J1231" s="17"/>
      <c r="K1231" s="13"/>
      <c r="L1231" s="17"/>
      <c r="M1231" s="17"/>
      <c r="N1231" s="17"/>
      <c r="O1231" s="17"/>
      <c r="P1231" s="18"/>
      <c r="Q1231" s="17"/>
      <c r="R1231" s="17"/>
      <c r="S1231" s="17"/>
      <c r="T1231" s="16"/>
    </row>
    <row r="1232">
      <c r="A1232" s="71"/>
      <c r="B1232" s="17"/>
      <c r="C1232" s="17"/>
      <c r="D1232" s="17"/>
      <c r="E1232" s="31"/>
      <c r="F1232" s="17"/>
      <c r="G1232" s="17"/>
      <c r="H1232" s="51"/>
      <c r="I1232" s="17"/>
      <c r="J1232" s="17"/>
      <c r="K1232" s="13"/>
      <c r="L1232" s="17"/>
      <c r="M1232" s="17"/>
      <c r="N1232" s="17"/>
      <c r="O1232" s="17"/>
      <c r="P1232" s="18"/>
      <c r="Q1232" s="17"/>
      <c r="R1232" s="17"/>
      <c r="S1232" s="17"/>
      <c r="T1232" s="16"/>
    </row>
    <row r="1233">
      <c r="A1233" s="71"/>
      <c r="B1233" s="17"/>
      <c r="C1233" s="17"/>
      <c r="D1233" s="17"/>
      <c r="E1233" s="31"/>
      <c r="F1233" s="17"/>
      <c r="G1233" s="17"/>
      <c r="H1233" s="51"/>
      <c r="I1233" s="17"/>
      <c r="J1233" s="17"/>
      <c r="K1233" s="13"/>
      <c r="L1233" s="17"/>
      <c r="M1233" s="17"/>
      <c r="N1233" s="17"/>
      <c r="O1233" s="17"/>
      <c r="P1233" s="18"/>
      <c r="Q1233" s="17"/>
      <c r="R1233" s="17"/>
      <c r="S1233" s="17"/>
      <c r="T1233" s="16"/>
    </row>
    <row r="1234">
      <c r="A1234" s="71"/>
      <c r="B1234" s="17"/>
      <c r="C1234" s="17"/>
      <c r="D1234" s="17"/>
      <c r="E1234" s="31"/>
      <c r="F1234" s="17"/>
      <c r="G1234" s="17"/>
      <c r="H1234" s="51"/>
      <c r="I1234" s="17"/>
      <c r="J1234" s="17"/>
      <c r="K1234" s="13"/>
      <c r="L1234" s="17"/>
      <c r="M1234" s="17"/>
      <c r="N1234" s="17"/>
      <c r="O1234" s="17"/>
      <c r="P1234" s="18"/>
      <c r="Q1234" s="17"/>
      <c r="R1234" s="17"/>
      <c r="S1234" s="17"/>
      <c r="T1234" s="16"/>
    </row>
    <row r="1235">
      <c r="A1235" s="71"/>
      <c r="B1235" s="17"/>
      <c r="C1235" s="17"/>
      <c r="D1235" s="17"/>
      <c r="E1235" s="31"/>
      <c r="F1235" s="17"/>
      <c r="G1235" s="17"/>
      <c r="H1235" s="51"/>
      <c r="I1235" s="17"/>
      <c r="J1235" s="17"/>
      <c r="K1235" s="13"/>
      <c r="L1235" s="17"/>
      <c r="M1235" s="17"/>
      <c r="N1235" s="17"/>
      <c r="O1235" s="17"/>
      <c r="P1235" s="18"/>
      <c r="Q1235" s="17"/>
      <c r="R1235" s="17"/>
      <c r="S1235" s="17"/>
      <c r="T1235" s="16"/>
    </row>
    <row r="1236">
      <c r="A1236" s="71"/>
      <c r="B1236" s="17"/>
      <c r="C1236" s="17"/>
      <c r="D1236" s="17"/>
      <c r="E1236" s="31"/>
      <c r="F1236" s="17"/>
      <c r="G1236" s="17"/>
      <c r="H1236" s="51"/>
      <c r="I1236" s="17"/>
      <c r="J1236" s="17"/>
      <c r="K1236" s="13"/>
      <c r="L1236" s="17"/>
      <c r="M1236" s="17"/>
      <c r="N1236" s="17"/>
      <c r="O1236" s="17"/>
      <c r="P1236" s="18"/>
      <c r="Q1236" s="17"/>
      <c r="R1236" s="17"/>
      <c r="S1236" s="17"/>
      <c r="T1236" s="16"/>
    </row>
    <row r="1237">
      <c r="A1237" s="71"/>
      <c r="B1237" s="17"/>
      <c r="C1237" s="17"/>
      <c r="D1237" s="17"/>
      <c r="E1237" s="31"/>
      <c r="F1237" s="17"/>
      <c r="G1237" s="17"/>
      <c r="H1237" s="51"/>
      <c r="I1237" s="17"/>
      <c r="J1237" s="17"/>
      <c r="K1237" s="13"/>
      <c r="L1237" s="17"/>
      <c r="M1237" s="17"/>
      <c r="N1237" s="17"/>
      <c r="O1237" s="17"/>
      <c r="P1237" s="18"/>
      <c r="Q1237" s="17"/>
      <c r="R1237" s="17"/>
      <c r="S1237" s="17"/>
      <c r="T1237" s="16"/>
    </row>
    <row r="1238">
      <c r="A1238" s="71"/>
      <c r="B1238" s="17"/>
      <c r="C1238" s="17"/>
      <c r="D1238" s="17"/>
      <c r="E1238" s="31"/>
      <c r="F1238" s="17"/>
      <c r="G1238" s="17"/>
      <c r="H1238" s="51"/>
      <c r="I1238" s="17"/>
      <c r="J1238" s="17"/>
      <c r="K1238" s="13"/>
      <c r="L1238" s="17"/>
      <c r="M1238" s="17"/>
      <c r="N1238" s="17"/>
      <c r="O1238" s="17"/>
      <c r="P1238" s="18"/>
      <c r="Q1238" s="17"/>
      <c r="R1238" s="17"/>
      <c r="S1238" s="17"/>
      <c r="T1238" s="16"/>
    </row>
    <row r="1239">
      <c r="A1239" s="71"/>
      <c r="B1239" s="17"/>
      <c r="C1239" s="17"/>
      <c r="D1239" s="17"/>
      <c r="E1239" s="31"/>
      <c r="F1239" s="17"/>
      <c r="G1239" s="17"/>
      <c r="H1239" s="51"/>
      <c r="I1239" s="17"/>
      <c r="J1239" s="17"/>
      <c r="K1239" s="13"/>
      <c r="L1239" s="17"/>
      <c r="M1239" s="17"/>
      <c r="N1239" s="17"/>
      <c r="O1239" s="17"/>
      <c r="P1239" s="18"/>
      <c r="Q1239" s="17"/>
      <c r="R1239" s="17"/>
      <c r="S1239" s="17"/>
      <c r="T1239" s="16"/>
    </row>
    <row r="1240">
      <c r="A1240" s="71"/>
      <c r="B1240" s="17"/>
      <c r="C1240" s="17"/>
      <c r="D1240" s="17"/>
      <c r="E1240" s="31"/>
      <c r="F1240" s="17"/>
      <c r="G1240" s="17"/>
      <c r="H1240" s="51"/>
      <c r="I1240" s="17"/>
      <c r="J1240" s="17"/>
      <c r="K1240" s="13"/>
      <c r="L1240" s="17"/>
      <c r="M1240" s="17"/>
      <c r="N1240" s="17"/>
      <c r="O1240" s="17"/>
      <c r="P1240" s="18"/>
      <c r="Q1240" s="17"/>
      <c r="R1240" s="17"/>
      <c r="S1240" s="17"/>
      <c r="T1240" s="16"/>
    </row>
    <row r="1241">
      <c r="A1241" s="71"/>
      <c r="B1241" s="17"/>
      <c r="C1241" s="17"/>
      <c r="D1241" s="17"/>
      <c r="E1241" s="31"/>
      <c r="F1241" s="17"/>
      <c r="G1241" s="17"/>
      <c r="H1241" s="51"/>
      <c r="I1241" s="17"/>
      <c r="J1241" s="17"/>
      <c r="K1241" s="13"/>
      <c r="L1241" s="17"/>
      <c r="M1241" s="17"/>
      <c r="N1241" s="17"/>
      <c r="O1241" s="17"/>
      <c r="P1241" s="18"/>
      <c r="Q1241" s="17"/>
      <c r="R1241" s="17"/>
      <c r="S1241" s="17"/>
      <c r="T1241" s="16"/>
    </row>
    <row r="1242">
      <c r="A1242" s="71"/>
      <c r="B1242" s="17"/>
      <c r="C1242" s="17"/>
      <c r="D1242" s="17"/>
      <c r="E1242" s="31"/>
      <c r="F1242" s="17"/>
      <c r="G1242" s="17"/>
      <c r="H1242" s="51"/>
      <c r="I1242" s="17"/>
      <c r="J1242" s="17"/>
      <c r="K1242" s="13"/>
      <c r="L1242" s="17"/>
      <c r="M1242" s="17"/>
      <c r="N1242" s="17"/>
      <c r="O1242" s="17"/>
      <c r="P1242" s="18"/>
      <c r="Q1242" s="17"/>
      <c r="R1242" s="17"/>
      <c r="S1242" s="17"/>
      <c r="T1242" s="16"/>
    </row>
    <row r="1243">
      <c r="A1243" s="71"/>
      <c r="B1243" s="17"/>
      <c r="C1243" s="17"/>
      <c r="D1243" s="17"/>
      <c r="E1243" s="31"/>
      <c r="F1243" s="17"/>
      <c r="G1243" s="17"/>
      <c r="H1243" s="51"/>
      <c r="I1243" s="17"/>
      <c r="J1243" s="17"/>
      <c r="K1243" s="13"/>
      <c r="L1243" s="17"/>
      <c r="M1243" s="17"/>
      <c r="N1243" s="17"/>
      <c r="O1243" s="17"/>
      <c r="P1243" s="18"/>
      <c r="Q1243" s="17"/>
      <c r="R1243" s="17"/>
      <c r="S1243" s="17"/>
      <c r="T1243" s="16"/>
    </row>
    <row r="1244">
      <c r="A1244" s="71"/>
      <c r="B1244" s="17"/>
      <c r="C1244" s="17"/>
      <c r="D1244" s="17"/>
      <c r="E1244" s="31"/>
      <c r="F1244" s="17"/>
      <c r="G1244" s="17"/>
      <c r="H1244" s="51"/>
      <c r="I1244" s="17"/>
      <c r="J1244" s="17"/>
      <c r="K1244" s="13"/>
      <c r="L1244" s="17"/>
      <c r="M1244" s="17"/>
      <c r="N1244" s="17"/>
      <c r="O1244" s="17"/>
      <c r="P1244" s="18"/>
      <c r="Q1244" s="17"/>
      <c r="R1244" s="17"/>
      <c r="S1244" s="17"/>
      <c r="T1244" s="16"/>
    </row>
    <row r="1245">
      <c r="A1245" s="71"/>
      <c r="B1245" s="17"/>
      <c r="C1245" s="17"/>
      <c r="D1245" s="17"/>
      <c r="E1245" s="31"/>
      <c r="F1245" s="17"/>
      <c r="G1245" s="17"/>
      <c r="H1245" s="51"/>
      <c r="I1245" s="17"/>
      <c r="J1245" s="17"/>
      <c r="K1245" s="13"/>
      <c r="L1245" s="17"/>
      <c r="M1245" s="17"/>
      <c r="N1245" s="17"/>
      <c r="O1245" s="17"/>
      <c r="P1245" s="18"/>
      <c r="Q1245" s="17"/>
      <c r="R1245" s="17"/>
      <c r="S1245" s="17"/>
      <c r="T1245" s="16"/>
    </row>
    <row r="1246">
      <c r="A1246" s="71"/>
      <c r="B1246" s="17"/>
      <c r="C1246" s="17"/>
      <c r="D1246" s="17"/>
      <c r="E1246" s="31"/>
      <c r="F1246" s="17"/>
      <c r="G1246" s="17"/>
      <c r="H1246" s="51"/>
      <c r="I1246" s="17"/>
      <c r="J1246" s="17"/>
      <c r="K1246" s="13"/>
      <c r="L1246" s="17"/>
      <c r="M1246" s="17"/>
      <c r="N1246" s="17"/>
      <c r="O1246" s="17"/>
      <c r="P1246" s="18"/>
      <c r="Q1246" s="17"/>
      <c r="R1246" s="17"/>
      <c r="S1246" s="17"/>
      <c r="T1246" s="16"/>
    </row>
    <row r="1247">
      <c r="A1247" s="71"/>
      <c r="B1247" s="17"/>
      <c r="C1247" s="17"/>
      <c r="D1247" s="17"/>
      <c r="E1247" s="31"/>
      <c r="F1247" s="17"/>
      <c r="G1247" s="17"/>
      <c r="H1247" s="51"/>
      <c r="I1247" s="17"/>
      <c r="J1247" s="17"/>
      <c r="K1247" s="13"/>
      <c r="L1247" s="17"/>
      <c r="M1247" s="17"/>
      <c r="N1247" s="17"/>
      <c r="O1247" s="17"/>
      <c r="P1247" s="18"/>
      <c r="Q1247" s="17"/>
      <c r="R1247" s="17"/>
      <c r="S1247" s="17"/>
      <c r="T1247" s="16"/>
    </row>
    <row r="1248">
      <c r="A1248" s="71"/>
      <c r="B1248" s="17"/>
      <c r="C1248" s="17"/>
      <c r="D1248" s="17"/>
      <c r="E1248" s="31"/>
      <c r="F1248" s="17"/>
      <c r="G1248" s="17"/>
      <c r="H1248" s="51"/>
      <c r="I1248" s="17"/>
      <c r="J1248" s="17"/>
      <c r="K1248" s="13"/>
      <c r="L1248" s="17"/>
      <c r="M1248" s="17"/>
      <c r="N1248" s="17"/>
      <c r="O1248" s="17"/>
      <c r="P1248" s="18"/>
      <c r="Q1248" s="17"/>
      <c r="R1248" s="17"/>
      <c r="S1248" s="17"/>
      <c r="T1248" s="16"/>
    </row>
    <row r="1249">
      <c r="A1249" s="71"/>
      <c r="B1249" s="17"/>
      <c r="C1249" s="17"/>
      <c r="D1249" s="17"/>
      <c r="E1249" s="31"/>
      <c r="F1249" s="17"/>
      <c r="G1249" s="17"/>
      <c r="H1249" s="51"/>
      <c r="I1249" s="17"/>
      <c r="J1249" s="17"/>
      <c r="K1249" s="13"/>
      <c r="L1249" s="17"/>
      <c r="M1249" s="17"/>
      <c r="N1249" s="17"/>
      <c r="O1249" s="17"/>
      <c r="P1249" s="18"/>
      <c r="Q1249" s="17"/>
      <c r="R1249" s="17"/>
      <c r="S1249" s="17"/>
      <c r="T1249" s="16"/>
    </row>
    <row r="1250">
      <c r="A1250" s="71"/>
      <c r="B1250" s="17"/>
      <c r="C1250" s="17"/>
      <c r="D1250" s="17"/>
      <c r="E1250" s="31"/>
      <c r="F1250" s="17"/>
      <c r="G1250" s="17"/>
      <c r="H1250" s="51"/>
      <c r="I1250" s="17"/>
      <c r="J1250" s="17"/>
      <c r="K1250" s="13"/>
      <c r="L1250" s="17"/>
      <c r="M1250" s="17"/>
      <c r="N1250" s="17"/>
      <c r="O1250" s="17"/>
      <c r="P1250" s="18"/>
      <c r="Q1250" s="17"/>
      <c r="R1250" s="17"/>
      <c r="S1250" s="17"/>
      <c r="T1250" s="16"/>
    </row>
    <row r="1251">
      <c r="A1251" s="71"/>
      <c r="B1251" s="17"/>
      <c r="C1251" s="17"/>
      <c r="D1251" s="17"/>
      <c r="E1251" s="31"/>
      <c r="F1251" s="17"/>
      <c r="G1251" s="17"/>
      <c r="H1251" s="51"/>
      <c r="I1251" s="17"/>
      <c r="J1251" s="17"/>
      <c r="K1251" s="13"/>
      <c r="L1251" s="17"/>
      <c r="M1251" s="17"/>
      <c r="N1251" s="17"/>
      <c r="O1251" s="17"/>
      <c r="P1251" s="18"/>
      <c r="Q1251" s="17"/>
      <c r="R1251" s="17"/>
      <c r="S1251" s="17"/>
      <c r="T1251" s="16"/>
    </row>
    <row r="1252">
      <c r="A1252" s="71"/>
      <c r="B1252" s="17"/>
      <c r="C1252" s="17"/>
      <c r="D1252" s="17"/>
      <c r="E1252" s="31"/>
      <c r="F1252" s="17"/>
      <c r="G1252" s="17"/>
      <c r="H1252" s="51"/>
      <c r="I1252" s="17"/>
      <c r="J1252" s="17"/>
      <c r="K1252" s="13"/>
      <c r="L1252" s="17"/>
      <c r="M1252" s="17"/>
      <c r="N1252" s="17"/>
      <c r="O1252" s="17"/>
      <c r="P1252" s="18"/>
      <c r="Q1252" s="17"/>
      <c r="R1252" s="17"/>
      <c r="S1252" s="17"/>
      <c r="T1252" s="16"/>
    </row>
    <row r="1253">
      <c r="A1253" s="71"/>
      <c r="B1253" s="17"/>
      <c r="C1253" s="17"/>
      <c r="D1253" s="17"/>
      <c r="E1253" s="31"/>
      <c r="F1253" s="17"/>
      <c r="G1253" s="17"/>
      <c r="H1253" s="51"/>
      <c r="I1253" s="17"/>
      <c r="J1253" s="17"/>
      <c r="K1253" s="13"/>
      <c r="L1253" s="17"/>
      <c r="M1253" s="17"/>
      <c r="N1253" s="17"/>
      <c r="O1253" s="17"/>
      <c r="P1253" s="18"/>
      <c r="Q1253" s="17"/>
      <c r="R1253" s="17"/>
      <c r="S1253" s="17"/>
      <c r="T1253" s="16"/>
    </row>
    <row r="1254">
      <c r="A1254" s="71"/>
      <c r="B1254" s="17"/>
      <c r="C1254" s="17"/>
      <c r="D1254" s="17"/>
      <c r="E1254" s="31"/>
      <c r="F1254" s="17"/>
      <c r="G1254" s="17"/>
      <c r="H1254" s="51"/>
      <c r="I1254" s="17"/>
      <c r="J1254" s="17"/>
      <c r="K1254" s="13"/>
      <c r="L1254" s="17"/>
      <c r="M1254" s="17"/>
      <c r="N1254" s="17"/>
      <c r="O1254" s="17"/>
      <c r="P1254" s="18"/>
      <c r="Q1254" s="17"/>
      <c r="R1254" s="17"/>
      <c r="S1254" s="17"/>
      <c r="T1254" s="16"/>
    </row>
    <row r="1255">
      <c r="A1255" s="71"/>
      <c r="B1255" s="17"/>
      <c r="C1255" s="17"/>
      <c r="D1255" s="17"/>
      <c r="E1255" s="31"/>
      <c r="F1255" s="17"/>
      <c r="G1255" s="17"/>
      <c r="H1255" s="51"/>
      <c r="I1255" s="17"/>
      <c r="J1255" s="17"/>
      <c r="K1255" s="13"/>
      <c r="L1255" s="17"/>
      <c r="M1255" s="17"/>
      <c r="N1255" s="17"/>
      <c r="O1255" s="17"/>
      <c r="P1255" s="18"/>
      <c r="Q1255" s="17"/>
      <c r="R1255" s="17"/>
      <c r="S1255" s="17"/>
      <c r="T1255" s="16"/>
    </row>
    <row r="1256">
      <c r="A1256" s="71"/>
      <c r="B1256" s="17"/>
      <c r="C1256" s="17"/>
      <c r="D1256" s="17"/>
      <c r="E1256" s="31"/>
      <c r="F1256" s="17"/>
      <c r="G1256" s="17"/>
      <c r="H1256" s="51"/>
      <c r="I1256" s="17"/>
      <c r="J1256" s="17"/>
      <c r="K1256" s="13"/>
      <c r="L1256" s="17"/>
      <c r="M1256" s="17"/>
      <c r="N1256" s="17"/>
      <c r="O1256" s="17"/>
      <c r="P1256" s="18"/>
      <c r="Q1256" s="17"/>
      <c r="R1256" s="17"/>
      <c r="S1256" s="17"/>
      <c r="T1256" s="16"/>
    </row>
    <row r="1257">
      <c r="A1257" s="71"/>
      <c r="B1257" s="17"/>
      <c r="C1257" s="17"/>
      <c r="D1257" s="17"/>
      <c r="E1257" s="31"/>
      <c r="F1257" s="17"/>
      <c r="G1257" s="17"/>
      <c r="H1257" s="51"/>
      <c r="I1257" s="17"/>
      <c r="J1257" s="17"/>
      <c r="K1257" s="13"/>
      <c r="L1257" s="17"/>
      <c r="M1257" s="17"/>
      <c r="N1257" s="17"/>
      <c r="O1257" s="17"/>
      <c r="P1257" s="18"/>
      <c r="Q1257" s="17"/>
      <c r="R1257" s="17"/>
      <c r="S1257" s="17"/>
      <c r="T1257" s="16"/>
    </row>
    <row r="1258">
      <c r="A1258" s="71"/>
      <c r="B1258" s="17"/>
      <c r="C1258" s="17"/>
      <c r="D1258" s="17"/>
      <c r="E1258" s="31"/>
      <c r="F1258" s="17"/>
      <c r="G1258" s="17"/>
      <c r="H1258" s="51"/>
      <c r="I1258" s="17"/>
      <c r="J1258" s="17"/>
      <c r="K1258" s="13"/>
      <c r="L1258" s="17"/>
      <c r="M1258" s="17"/>
      <c r="N1258" s="17"/>
      <c r="O1258" s="17"/>
      <c r="P1258" s="18"/>
      <c r="Q1258" s="17"/>
      <c r="R1258" s="17"/>
      <c r="S1258" s="17"/>
      <c r="T1258" s="16"/>
    </row>
    <row r="1259">
      <c r="A1259" s="71"/>
      <c r="B1259" s="17"/>
      <c r="C1259" s="17"/>
      <c r="D1259" s="17"/>
      <c r="E1259" s="31"/>
      <c r="F1259" s="17"/>
      <c r="G1259" s="17"/>
      <c r="H1259" s="51"/>
      <c r="I1259" s="17"/>
      <c r="J1259" s="17"/>
      <c r="K1259" s="13"/>
      <c r="L1259" s="17"/>
      <c r="M1259" s="17"/>
      <c r="N1259" s="17"/>
      <c r="O1259" s="17"/>
      <c r="P1259" s="18"/>
      <c r="Q1259" s="17"/>
      <c r="R1259" s="17"/>
      <c r="S1259" s="17"/>
      <c r="T1259" s="16"/>
    </row>
    <row r="1260">
      <c r="A1260" s="71"/>
      <c r="B1260" s="17"/>
      <c r="C1260" s="17"/>
      <c r="D1260" s="17"/>
      <c r="E1260" s="31"/>
      <c r="F1260" s="17"/>
      <c r="G1260" s="17"/>
      <c r="H1260" s="51"/>
      <c r="I1260" s="17"/>
      <c r="J1260" s="17"/>
      <c r="K1260" s="13"/>
      <c r="L1260" s="17"/>
      <c r="M1260" s="17"/>
      <c r="N1260" s="17"/>
      <c r="O1260" s="17"/>
      <c r="P1260" s="18"/>
      <c r="Q1260" s="17"/>
      <c r="R1260" s="17"/>
      <c r="S1260" s="17"/>
      <c r="T1260" s="16"/>
    </row>
    <row r="1261">
      <c r="A1261" s="71"/>
      <c r="B1261" s="17"/>
      <c r="C1261" s="17"/>
      <c r="D1261" s="17"/>
      <c r="E1261" s="31"/>
      <c r="F1261" s="17"/>
      <c r="G1261" s="17"/>
      <c r="H1261" s="51"/>
      <c r="I1261" s="17"/>
      <c r="J1261" s="17"/>
      <c r="K1261" s="13"/>
      <c r="L1261" s="17"/>
      <c r="M1261" s="17"/>
      <c r="N1261" s="17"/>
      <c r="O1261" s="17"/>
      <c r="P1261" s="18"/>
      <c r="Q1261" s="17"/>
      <c r="R1261" s="17"/>
      <c r="S1261" s="17"/>
      <c r="T1261" s="16"/>
    </row>
    <row r="1262">
      <c r="A1262" s="71"/>
      <c r="B1262" s="17"/>
      <c r="C1262" s="17"/>
      <c r="D1262" s="17"/>
      <c r="E1262" s="31"/>
      <c r="F1262" s="17"/>
      <c r="G1262" s="17"/>
      <c r="H1262" s="51"/>
      <c r="I1262" s="17"/>
      <c r="J1262" s="17"/>
      <c r="K1262" s="13"/>
      <c r="L1262" s="17"/>
      <c r="M1262" s="17"/>
      <c r="N1262" s="17"/>
      <c r="O1262" s="17"/>
      <c r="P1262" s="18"/>
      <c r="Q1262" s="17"/>
      <c r="R1262" s="17"/>
      <c r="S1262" s="17"/>
      <c r="T1262" s="16"/>
    </row>
    <row r="1263">
      <c r="A1263" s="71"/>
      <c r="B1263" s="17"/>
      <c r="C1263" s="17"/>
      <c r="D1263" s="17"/>
      <c r="E1263" s="31"/>
      <c r="F1263" s="17"/>
      <c r="G1263" s="17"/>
      <c r="H1263" s="51"/>
      <c r="I1263" s="17"/>
      <c r="J1263" s="17"/>
      <c r="K1263" s="13"/>
      <c r="L1263" s="17"/>
      <c r="M1263" s="17"/>
      <c r="N1263" s="17"/>
      <c r="O1263" s="17"/>
      <c r="P1263" s="18"/>
      <c r="Q1263" s="17"/>
      <c r="R1263" s="17"/>
      <c r="S1263" s="17"/>
      <c r="T1263" s="16"/>
    </row>
    <row r="1264">
      <c r="A1264" s="71"/>
      <c r="B1264" s="17"/>
      <c r="C1264" s="17"/>
      <c r="D1264" s="17"/>
      <c r="E1264" s="31"/>
      <c r="F1264" s="17"/>
      <c r="G1264" s="17"/>
      <c r="H1264" s="51"/>
      <c r="I1264" s="17"/>
      <c r="J1264" s="17"/>
      <c r="K1264" s="13"/>
      <c r="L1264" s="17"/>
      <c r="M1264" s="17"/>
      <c r="N1264" s="17"/>
      <c r="O1264" s="17"/>
      <c r="P1264" s="18"/>
      <c r="Q1264" s="17"/>
      <c r="R1264" s="17"/>
      <c r="S1264" s="17"/>
      <c r="T1264" s="16"/>
    </row>
    <row r="1265">
      <c r="A1265" s="71"/>
      <c r="B1265" s="17"/>
      <c r="C1265" s="17"/>
      <c r="D1265" s="17"/>
      <c r="E1265" s="31"/>
      <c r="F1265" s="17"/>
      <c r="G1265" s="17"/>
      <c r="H1265" s="51"/>
      <c r="I1265" s="17"/>
      <c r="J1265" s="17"/>
      <c r="K1265" s="13"/>
      <c r="L1265" s="17"/>
      <c r="M1265" s="17"/>
      <c r="N1265" s="17"/>
      <c r="O1265" s="17"/>
      <c r="P1265" s="18"/>
      <c r="Q1265" s="17"/>
      <c r="R1265" s="17"/>
      <c r="S1265" s="17"/>
      <c r="T1265" s="16"/>
    </row>
    <row r="1266">
      <c r="A1266" s="71"/>
      <c r="B1266" s="17"/>
      <c r="C1266" s="17"/>
      <c r="D1266" s="17"/>
      <c r="E1266" s="31"/>
      <c r="F1266" s="17"/>
      <c r="G1266" s="17"/>
      <c r="H1266" s="51"/>
      <c r="I1266" s="17"/>
      <c r="J1266" s="17"/>
      <c r="K1266" s="13"/>
      <c r="L1266" s="17"/>
      <c r="M1266" s="17"/>
      <c r="N1266" s="17"/>
      <c r="O1266" s="17"/>
      <c r="P1266" s="18"/>
      <c r="Q1266" s="17"/>
      <c r="R1266" s="17"/>
      <c r="S1266" s="17"/>
      <c r="T1266" s="16"/>
    </row>
    <row r="1267">
      <c r="A1267" s="71"/>
      <c r="B1267" s="17"/>
      <c r="C1267" s="17"/>
      <c r="D1267" s="17"/>
      <c r="E1267" s="31"/>
      <c r="F1267" s="17"/>
      <c r="G1267" s="17"/>
      <c r="H1267" s="51"/>
      <c r="I1267" s="17"/>
      <c r="J1267" s="17"/>
      <c r="K1267" s="13"/>
      <c r="L1267" s="17"/>
      <c r="M1267" s="17"/>
      <c r="N1267" s="17"/>
      <c r="O1267" s="17"/>
      <c r="P1267" s="18"/>
      <c r="Q1267" s="17"/>
      <c r="R1267" s="17"/>
      <c r="S1267" s="17"/>
      <c r="T1267" s="16"/>
    </row>
    <row r="1268">
      <c r="A1268" s="71"/>
      <c r="B1268" s="17"/>
      <c r="C1268" s="17"/>
      <c r="D1268" s="17"/>
      <c r="E1268" s="31"/>
      <c r="F1268" s="17"/>
      <c r="G1268" s="17"/>
      <c r="H1268" s="51"/>
      <c r="I1268" s="17"/>
      <c r="J1268" s="17"/>
      <c r="K1268" s="13"/>
      <c r="L1268" s="17"/>
      <c r="M1268" s="17"/>
      <c r="N1268" s="17"/>
      <c r="O1268" s="17"/>
      <c r="P1268" s="18"/>
      <c r="Q1268" s="17"/>
      <c r="R1268" s="17"/>
      <c r="S1268" s="17"/>
      <c r="T1268" s="16"/>
    </row>
    <row r="1269">
      <c r="A1269" s="71"/>
      <c r="B1269" s="17"/>
      <c r="C1269" s="17"/>
      <c r="D1269" s="17"/>
      <c r="E1269" s="31"/>
      <c r="F1269" s="17"/>
      <c r="G1269" s="17"/>
      <c r="H1269" s="51"/>
      <c r="I1269" s="17"/>
      <c r="J1269" s="17"/>
      <c r="K1269" s="13"/>
      <c r="L1269" s="17"/>
      <c r="M1269" s="17"/>
      <c r="N1269" s="17"/>
      <c r="O1269" s="17"/>
      <c r="P1269" s="18"/>
      <c r="Q1269" s="17"/>
      <c r="R1269" s="17"/>
      <c r="S1269" s="17"/>
      <c r="T1269" s="16"/>
    </row>
    <row r="1270">
      <c r="A1270" s="71"/>
      <c r="B1270" s="17"/>
      <c r="C1270" s="17"/>
      <c r="D1270" s="17"/>
      <c r="E1270" s="31"/>
      <c r="F1270" s="17"/>
      <c r="G1270" s="17"/>
      <c r="H1270" s="51"/>
      <c r="I1270" s="17"/>
      <c r="J1270" s="17"/>
      <c r="K1270" s="13"/>
      <c r="L1270" s="17"/>
      <c r="M1270" s="17"/>
      <c r="N1270" s="17"/>
      <c r="O1270" s="17"/>
      <c r="P1270" s="18"/>
      <c r="Q1270" s="17"/>
      <c r="R1270" s="17"/>
      <c r="S1270" s="17"/>
      <c r="T1270" s="16"/>
    </row>
    <row r="1271">
      <c r="A1271" s="71"/>
      <c r="B1271" s="17"/>
      <c r="C1271" s="17"/>
      <c r="D1271" s="17"/>
      <c r="E1271" s="31"/>
      <c r="F1271" s="17"/>
      <c r="G1271" s="17"/>
      <c r="H1271" s="51"/>
      <c r="I1271" s="17"/>
      <c r="J1271" s="17"/>
      <c r="K1271" s="13"/>
      <c r="L1271" s="17"/>
      <c r="M1271" s="17"/>
      <c r="N1271" s="17"/>
      <c r="O1271" s="17"/>
      <c r="P1271" s="18"/>
      <c r="Q1271" s="17"/>
      <c r="R1271" s="17"/>
      <c r="S1271" s="17"/>
      <c r="T1271" s="16"/>
    </row>
    <row r="1272">
      <c r="A1272" s="71"/>
      <c r="B1272" s="17"/>
      <c r="C1272" s="17"/>
      <c r="D1272" s="17"/>
      <c r="E1272" s="31"/>
      <c r="F1272" s="17"/>
      <c r="G1272" s="17"/>
      <c r="H1272" s="51"/>
      <c r="I1272" s="17"/>
      <c r="J1272" s="17"/>
      <c r="K1272" s="13"/>
      <c r="L1272" s="17"/>
      <c r="M1272" s="17"/>
      <c r="N1272" s="17"/>
      <c r="O1272" s="17"/>
      <c r="P1272" s="18"/>
      <c r="Q1272" s="17"/>
      <c r="R1272" s="17"/>
      <c r="S1272" s="17"/>
      <c r="T1272" s="16"/>
    </row>
    <row r="1273">
      <c r="A1273" s="71"/>
      <c r="B1273" s="17"/>
      <c r="C1273" s="17"/>
      <c r="D1273" s="17"/>
      <c r="E1273" s="31"/>
      <c r="F1273" s="17"/>
      <c r="G1273" s="17"/>
      <c r="H1273" s="51"/>
      <c r="I1273" s="17"/>
      <c r="J1273" s="17"/>
      <c r="K1273" s="13"/>
      <c r="L1273" s="17"/>
      <c r="M1273" s="17"/>
      <c r="N1273" s="17"/>
      <c r="O1273" s="17"/>
      <c r="P1273" s="18"/>
      <c r="Q1273" s="17"/>
      <c r="R1273" s="17"/>
      <c r="S1273" s="17"/>
      <c r="T1273" s="16"/>
    </row>
    <row r="1274">
      <c r="A1274" s="71"/>
      <c r="B1274" s="17"/>
      <c r="C1274" s="17"/>
      <c r="D1274" s="17"/>
      <c r="E1274" s="31"/>
      <c r="F1274" s="17"/>
      <c r="G1274" s="17"/>
      <c r="H1274" s="51"/>
      <c r="I1274" s="17"/>
      <c r="J1274" s="17"/>
      <c r="K1274" s="13"/>
      <c r="L1274" s="17"/>
      <c r="M1274" s="17"/>
      <c r="N1274" s="17"/>
      <c r="O1274" s="17"/>
      <c r="P1274" s="18"/>
      <c r="Q1274" s="17"/>
      <c r="R1274" s="17"/>
      <c r="S1274" s="17"/>
      <c r="T1274" s="16"/>
    </row>
    <row r="1275">
      <c r="A1275" s="71"/>
      <c r="B1275" s="17"/>
      <c r="C1275" s="17"/>
      <c r="D1275" s="17"/>
      <c r="E1275" s="31"/>
      <c r="F1275" s="17"/>
      <c r="G1275" s="17"/>
      <c r="H1275" s="51"/>
      <c r="I1275" s="17"/>
      <c r="J1275" s="17"/>
      <c r="K1275" s="13"/>
      <c r="L1275" s="17"/>
      <c r="M1275" s="17"/>
      <c r="N1275" s="17"/>
      <c r="O1275" s="17"/>
      <c r="P1275" s="18"/>
      <c r="Q1275" s="17"/>
      <c r="R1275" s="17"/>
      <c r="S1275" s="17"/>
      <c r="T1275" s="16"/>
    </row>
    <row r="1276">
      <c r="A1276" s="71"/>
      <c r="B1276" s="17"/>
      <c r="C1276" s="17"/>
      <c r="D1276" s="17"/>
      <c r="E1276" s="31"/>
      <c r="F1276" s="17"/>
      <c r="G1276" s="17"/>
      <c r="H1276" s="51"/>
      <c r="I1276" s="17"/>
      <c r="J1276" s="17"/>
      <c r="K1276" s="13"/>
      <c r="L1276" s="17"/>
      <c r="M1276" s="17"/>
      <c r="N1276" s="17"/>
      <c r="O1276" s="17"/>
      <c r="P1276" s="18"/>
      <c r="Q1276" s="17"/>
      <c r="R1276" s="17"/>
      <c r="S1276" s="17"/>
      <c r="T1276" s="16"/>
    </row>
    <row r="1277">
      <c r="A1277" s="71"/>
      <c r="B1277" s="17"/>
      <c r="C1277" s="17"/>
      <c r="D1277" s="17"/>
      <c r="E1277" s="31"/>
      <c r="F1277" s="17"/>
      <c r="G1277" s="17"/>
      <c r="H1277" s="51"/>
      <c r="I1277" s="17"/>
      <c r="J1277" s="17"/>
      <c r="K1277" s="13"/>
      <c r="L1277" s="17"/>
      <c r="M1277" s="17"/>
      <c r="N1277" s="17"/>
      <c r="O1277" s="17"/>
      <c r="P1277" s="18"/>
      <c r="Q1277" s="17"/>
      <c r="R1277" s="17"/>
      <c r="S1277" s="17"/>
      <c r="T1277" s="16"/>
    </row>
    <row r="1278">
      <c r="A1278" s="71"/>
      <c r="B1278" s="17"/>
      <c r="C1278" s="17"/>
      <c r="D1278" s="17"/>
      <c r="E1278" s="31"/>
      <c r="F1278" s="17"/>
      <c r="G1278" s="17"/>
      <c r="H1278" s="51"/>
      <c r="I1278" s="17"/>
      <c r="J1278" s="17"/>
      <c r="K1278" s="13"/>
      <c r="L1278" s="17"/>
      <c r="M1278" s="17"/>
      <c r="N1278" s="17"/>
      <c r="O1278" s="17"/>
      <c r="P1278" s="18"/>
      <c r="Q1278" s="17"/>
      <c r="R1278" s="17"/>
      <c r="S1278" s="17"/>
      <c r="T1278" s="16"/>
    </row>
    <row r="1279">
      <c r="A1279" s="71"/>
      <c r="B1279" s="17"/>
      <c r="C1279" s="17"/>
      <c r="D1279" s="17"/>
      <c r="E1279" s="31"/>
      <c r="F1279" s="17"/>
      <c r="G1279" s="17"/>
      <c r="H1279" s="51"/>
      <c r="I1279" s="17"/>
      <c r="J1279" s="17"/>
      <c r="K1279" s="13"/>
      <c r="L1279" s="17"/>
      <c r="M1279" s="17"/>
      <c r="N1279" s="17"/>
      <c r="O1279" s="17"/>
      <c r="P1279" s="18"/>
      <c r="Q1279" s="17"/>
      <c r="R1279" s="17"/>
      <c r="S1279" s="17"/>
      <c r="T1279" s="16"/>
    </row>
    <row r="1280">
      <c r="A1280" s="71"/>
      <c r="B1280" s="17"/>
      <c r="C1280" s="17"/>
      <c r="D1280" s="17"/>
      <c r="E1280" s="31"/>
      <c r="F1280" s="17"/>
      <c r="G1280" s="17"/>
      <c r="H1280" s="51"/>
      <c r="I1280" s="17"/>
      <c r="J1280" s="17"/>
      <c r="K1280" s="13"/>
      <c r="L1280" s="17"/>
      <c r="M1280" s="17"/>
      <c r="N1280" s="17"/>
      <c r="O1280" s="17"/>
      <c r="P1280" s="18"/>
      <c r="Q1280" s="17"/>
      <c r="R1280" s="17"/>
      <c r="S1280" s="17"/>
      <c r="T1280" s="16"/>
    </row>
    <row r="1281">
      <c r="A1281" s="71"/>
      <c r="B1281" s="17"/>
      <c r="C1281" s="17"/>
      <c r="D1281" s="17"/>
      <c r="E1281" s="31"/>
      <c r="F1281" s="17"/>
      <c r="G1281" s="17"/>
      <c r="H1281" s="51"/>
      <c r="I1281" s="17"/>
      <c r="J1281" s="17"/>
      <c r="K1281" s="13"/>
      <c r="L1281" s="17"/>
      <c r="M1281" s="17"/>
      <c r="N1281" s="17"/>
      <c r="O1281" s="17"/>
      <c r="P1281" s="18"/>
      <c r="Q1281" s="17"/>
      <c r="R1281" s="17"/>
      <c r="S1281" s="17"/>
      <c r="T1281" s="16"/>
    </row>
    <row r="1282">
      <c r="A1282" s="71"/>
      <c r="B1282" s="17"/>
      <c r="C1282" s="17"/>
      <c r="D1282" s="17"/>
      <c r="E1282" s="31"/>
      <c r="F1282" s="17"/>
      <c r="G1282" s="17"/>
      <c r="H1282" s="51"/>
      <c r="I1282" s="17"/>
      <c r="J1282" s="17"/>
      <c r="K1282" s="13"/>
      <c r="L1282" s="17"/>
      <c r="M1282" s="17"/>
      <c r="N1282" s="17"/>
      <c r="O1282" s="17"/>
      <c r="P1282" s="18"/>
      <c r="Q1282" s="17"/>
      <c r="R1282" s="17"/>
      <c r="S1282" s="17"/>
      <c r="T1282" s="16"/>
    </row>
    <row r="1283">
      <c r="A1283" s="71"/>
      <c r="B1283" s="17"/>
      <c r="C1283" s="17"/>
      <c r="D1283" s="17"/>
      <c r="E1283" s="31"/>
      <c r="F1283" s="17"/>
      <c r="G1283" s="17"/>
      <c r="H1283" s="51"/>
      <c r="I1283" s="17"/>
      <c r="J1283" s="17"/>
      <c r="K1283" s="13"/>
      <c r="L1283" s="17"/>
      <c r="M1283" s="17"/>
      <c r="N1283" s="17"/>
      <c r="O1283" s="17"/>
      <c r="P1283" s="18"/>
      <c r="Q1283" s="17"/>
      <c r="R1283" s="17"/>
      <c r="S1283" s="17"/>
      <c r="T1283" s="16"/>
    </row>
    <row r="1284">
      <c r="A1284" s="71"/>
      <c r="B1284" s="17"/>
      <c r="C1284" s="17"/>
      <c r="D1284" s="17"/>
      <c r="E1284" s="31"/>
      <c r="F1284" s="17"/>
      <c r="G1284" s="17"/>
      <c r="H1284" s="51"/>
      <c r="I1284" s="17"/>
      <c r="J1284" s="17"/>
      <c r="K1284" s="13"/>
      <c r="L1284" s="17"/>
      <c r="M1284" s="17"/>
      <c r="N1284" s="17"/>
      <c r="O1284" s="17"/>
      <c r="P1284" s="18"/>
      <c r="Q1284" s="17"/>
      <c r="R1284" s="17"/>
      <c r="S1284" s="17"/>
      <c r="T1284" s="16"/>
    </row>
    <row r="1285">
      <c r="A1285" s="71"/>
      <c r="B1285" s="17"/>
      <c r="C1285" s="17"/>
      <c r="D1285" s="17"/>
      <c r="E1285" s="31"/>
      <c r="F1285" s="17"/>
      <c r="G1285" s="17"/>
      <c r="H1285" s="51"/>
      <c r="I1285" s="17"/>
      <c r="J1285" s="17"/>
      <c r="K1285" s="13"/>
      <c r="L1285" s="17"/>
      <c r="M1285" s="17"/>
      <c r="N1285" s="17"/>
      <c r="O1285" s="17"/>
      <c r="P1285" s="18"/>
      <c r="Q1285" s="17"/>
      <c r="R1285" s="17"/>
      <c r="S1285" s="17"/>
      <c r="T1285" s="16"/>
    </row>
    <row r="1286">
      <c r="A1286" s="71"/>
      <c r="B1286" s="17"/>
      <c r="C1286" s="17"/>
      <c r="D1286" s="17"/>
      <c r="E1286" s="31"/>
      <c r="F1286" s="17"/>
      <c r="G1286" s="17"/>
      <c r="H1286" s="51"/>
      <c r="I1286" s="17"/>
      <c r="J1286" s="17"/>
      <c r="K1286" s="13"/>
      <c r="L1286" s="17"/>
      <c r="M1286" s="17"/>
      <c r="N1286" s="17"/>
      <c r="O1286" s="17"/>
      <c r="P1286" s="18"/>
      <c r="Q1286" s="17"/>
      <c r="R1286" s="17"/>
      <c r="S1286" s="17"/>
      <c r="T1286" s="16"/>
    </row>
    <row r="1287">
      <c r="A1287" s="71"/>
      <c r="B1287" s="17"/>
      <c r="C1287" s="17"/>
      <c r="D1287" s="17"/>
      <c r="E1287" s="31"/>
      <c r="F1287" s="17"/>
      <c r="G1287" s="17"/>
      <c r="H1287" s="51"/>
      <c r="I1287" s="17"/>
      <c r="J1287" s="17"/>
      <c r="K1287" s="13"/>
      <c r="L1287" s="17"/>
      <c r="M1287" s="17"/>
      <c r="N1287" s="17"/>
      <c r="O1287" s="17"/>
      <c r="P1287" s="18"/>
      <c r="Q1287" s="17"/>
      <c r="R1287" s="17"/>
      <c r="S1287" s="17"/>
      <c r="T1287" s="16"/>
    </row>
    <row r="1288">
      <c r="A1288" s="71"/>
      <c r="B1288" s="17"/>
      <c r="C1288" s="17"/>
      <c r="D1288" s="17"/>
      <c r="E1288" s="31"/>
      <c r="F1288" s="17"/>
      <c r="G1288" s="17"/>
      <c r="H1288" s="51"/>
      <c r="I1288" s="17"/>
      <c r="J1288" s="17"/>
      <c r="K1288" s="13"/>
      <c r="L1288" s="17"/>
      <c r="M1288" s="17"/>
      <c r="N1288" s="17"/>
      <c r="O1288" s="17"/>
      <c r="P1288" s="18"/>
      <c r="Q1288" s="17"/>
      <c r="R1288" s="17"/>
      <c r="S1288" s="17"/>
      <c r="T1288" s="16"/>
    </row>
    <row r="1289">
      <c r="A1289" s="71"/>
      <c r="B1289" s="17"/>
      <c r="C1289" s="17"/>
      <c r="D1289" s="17"/>
      <c r="E1289" s="31"/>
      <c r="F1289" s="17"/>
      <c r="G1289" s="17"/>
      <c r="H1289" s="51"/>
      <c r="I1289" s="17"/>
      <c r="J1289" s="17"/>
      <c r="K1289" s="13"/>
      <c r="L1289" s="17"/>
      <c r="M1289" s="17"/>
      <c r="N1289" s="17"/>
      <c r="O1289" s="17"/>
      <c r="P1289" s="18"/>
      <c r="Q1289" s="17"/>
      <c r="R1289" s="17"/>
      <c r="S1289" s="17"/>
      <c r="T1289" s="16"/>
    </row>
    <row r="1290">
      <c r="A1290" s="71"/>
      <c r="B1290" s="17"/>
      <c r="C1290" s="17"/>
      <c r="D1290" s="17"/>
      <c r="E1290" s="31"/>
      <c r="F1290" s="17"/>
      <c r="G1290" s="17"/>
      <c r="H1290" s="51"/>
      <c r="I1290" s="17"/>
      <c r="J1290" s="17"/>
      <c r="K1290" s="13"/>
      <c r="L1290" s="17"/>
      <c r="M1290" s="17"/>
      <c r="N1290" s="17"/>
      <c r="O1290" s="17"/>
      <c r="P1290" s="18"/>
      <c r="Q1290" s="17"/>
      <c r="R1290" s="17"/>
      <c r="S1290" s="17"/>
      <c r="T1290" s="16"/>
    </row>
    <row r="1291">
      <c r="A1291" s="71"/>
      <c r="B1291" s="17"/>
      <c r="C1291" s="17"/>
      <c r="D1291" s="17"/>
      <c r="E1291" s="31"/>
      <c r="F1291" s="17"/>
      <c r="G1291" s="17"/>
      <c r="H1291" s="51"/>
      <c r="I1291" s="17"/>
      <c r="J1291" s="17"/>
      <c r="K1291" s="13"/>
      <c r="L1291" s="17"/>
      <c r="M1291" s="17"/>
      <c r="N1291" s="17"/>
      <c r="O1291" s="17"/>
      <c r="P1291" s="18"/>
      <c r="Q1291" s="17"/>
      <c r="R1291" s="17"/>
      <c r="S1291" s="17"/>
      <c r="T1291" s="16"/>
    </row>
    <row r="1292">
      <c r="A1292" s="71"/>
      <c r="B1292" s="17"/>
      <c r="C1292" s="17"/>
      <c r="D1292" s="17"/>
      <c r="E1292" s="31"/>
      <c r="F1292" s="17"/>
      <c r="G1292" s="17"/>
      <c r="H1292" s="51"/>
      <c r="I1292" s="17"/>
      <c r="J1292" s="17"/>
      <c r="K1292" s="13"/>
      <c r="L1292" s="17"/>
      <c r="M1292" s="17"/>
      <c r="N1292" s="17"/>
      <c r="O1292" s="17"/>
      <c r="P1292" s="18"/>
      <c r="Q1292" s="17"/>
      <c r="R1292" s="17"/>
      <c r="S1292" s="17"/>
      <c r="T1292" s="16"/>
    </row>
    <row r="1293">
      <c r="A1293" s="71"/>
      <c r="B1293" s="17"/>
      <c r="C1293" s="17"/>
      <c r="D1293" s="17"/>
      <c r="E1293" s="31"/>
      <c r="F1293" s="17"/>
      <c r="G1293" s="17"/>
      <c r="H1293" s="51"/>
      <c r="I1293" s="17"/>
      <c r="J1293" s="17"/>
      <c r="K1293" s="13"/>
      <c r="L1293" s="17"/>
      <c r="M1293" s="17"/>
      <c r="N1293" s="17"/>
      <c r="O1293" s="17"/>
      <c r="P1293" s="18"/>
      <c r="Q1293" s="17"/>
      <c r="R1293" s="17"/>
      <c r="S1293" s="17"/>
      <c r="T1293" s="16"/>
    </row>
    <row r="1294">
      <c r="A1294" s="71"/>
      <c r="B1294" s="17"/>
      <c r="C1294" s="17"/>
      <c r="D1294" s="17"/>
      <c r="E1294" s="31"/>
      <c r="F1294" s="17"/>
      <c r="G1294" s="17"/>
      <c r="H1294" s="51"/>
      <c r="I1294" s="17"/>
      <c r="J1294" s="17"/>
      <c r="K1294" s="13"/>
      <c r="L1294" s="17"/>
      <c r="M1294" s="17"/>
      <c r="N1294" s="17"/>
      <c r="O1294" s="17"/>
      <c r="P1294" s="18"/>
      <c r="Q1294" s="17"/>
      <c r="R1294" s="17"/>
      <c r="S1294" s="17"/>
      <c r="T1294" s="16"/>
    </row>
    <row r="1295">
      <c r="A1295" s="71"/>
      <c r="B1295" s="17"/>
      <c r="C1295" s="17"/>
      <c r="D1295" s="17"/>
      <c r="E1295" s="31"/>
      <c r="F1295" s="17"/>
      <c r="G1295" s="17"/>
      <c r="H1295" s="51"/>
      <c r="I1295" s="17"/>
      <c r="J1295" s="17"/>
      <c r="K1295" s="13"/>
      <c r="L1295" s="17"/>
      <c r="M1295" s="17"/>
      <c r="N1295" s="17"/>
      <c r="O1295" s="17"/>
      <c r="P1295" s="18"/>
      <c r="Q1295" s="17"/>
      <c r="R1295" s="17"/>
      <c r="S1295" s="17"/>
      <c r="T1295" s="16"/>
    </row>
    <row r="1296">
      <c r="A1296" s="71"/>
      <c r="B1296" s="17"/>
      <c r="C1296" s="17"/>
      <c r="D1296" s="17"/>
      <c r="E1296" s="31"/>
      <c r="F1296" s="17"/>
      <c r="G1296" s="17"/>
      <c r="H1296" s="51"/>
      <c r="I1296" s="17"/>
      <c r="J1296" s="17"/>
      <c r="K1296" s="13"/>
      <c r="L1296" s="17"/>
      <c r="M1296" s="17"/>
      <c r="N1296" s="17"/>
      <c r="O1296" s="17"/>
      <c r="P1296" s="18"/>
      <c r="Q1296" s="17"/>
      <c r="R1296" s="17"/>
      <c r="S1296" s="17"/>
      <c r="T1296" s="16"/>
    </row>
    <row r="1297">
      <c r="A1297" s="71"/>
      <c r="B1297" s="17"/>
      <c r="C1297" s="17"/>
      <c r="D1297" s="17"/>
      <c r="E1297" s="31"/>
      <c r="F1297" s="17"/>
      <c r="G1297" s="17"/>
      <c r="H1297" s="51"/>
      <c r="I1297" s="17"/>
      <c r="J1297" s="17"/>
      <c r="K1297" s="13"/>
      <c r="L1297" s="17"/>
      <c r="M1297" s="17"/>
      <c r="N1297" s="17"/>
      <c r="O1297" s="17"/>
      <c r="P1297" s="18"/>
      <c r="Q1297" s="17"/>
      <c r="R1297" s="17"/>
      <c r="S1297" s="17"/>
      <c r="T1297" s="16"/>
    </row>
    <row r="1298">
      <c r="A1298" s="71"/>
      <c r="B1298" s="17"/>
      <c r="C1298" s="17"/>
      <c r="D1298" s="17"/>
      <c r="E1298" s="31"/>
      <c r="F1298" s="17"/>
      <c r="G1298" s="17"/>
      <c r="H1298" s="51"/>
      <c r="I1298" s="17"/>
      <c r="J1298" s="17"/>
      <c r="K1298" s="13"/>
      <c r="L1298" s="17"/>
      <c r="M1298" s="17"/>
      <c r="N1298" s="17"/>
      <c r="O1298" s="17"/>
      <c r="P1298" s="18"/>
      <c r="Q1298" s="17"/>
      <c r="R1298" s="17"/>
      <c r="S1298" s="17"/>
      <c r="T1298" s="16"/>
    </row>
    <row r="1299">
      <c r="A1299" s="71"/>
      <c r="B1299" s="17"/>
      <c r="C1299" s="17"/>
      <c r="D1299" s="17"/>
      <c r="E1299" s="31"/>
      <c r="F1299" s="17"/>
      <c r="G1299" s="17"/>
      <c r="H1299" s="51"/>
      <c r="I1299" s="17"/>
      <c r="J1299" s="17"/>
      <c r="K1299" s="13"/>
      <c r="L1299" s="17"/>
      <c r="M1299" s="17"/>
      <c r="N1299" s="17"/>
      <c r="O1299" s="17"/>
      <c r="P1299" s="18"/>
      <c r="Q1299" s="17"/>
      <c r="R1299" s="17"/>
      <c r="S1299" s="17"/>
      <c r="T1299" s="16"/>
    </row>
    <row r="1300">
      <c r="A1300" s="71"/>
      <c r="B1300" s="17"/>
      <c r="C1300" s="17"/>
      <c r="D1300" s="17"/>
      <c r="E1300" s="31"/>
      <c r="F1300" s="17"/>
      <c r="G1300" s="17"/>
      <c r="H1300" s="51"/>
      <c r="I1300" s="17"/>
      <c r="J1300" s="17"/>
      <c r="K1300" s="13"/>
      <c r="L1300" s="17"/>
      <c r="M1300" s="17"/>
      <c r="N1300" s="17"/>
      <c r="O1300" s="17"/>
      <c r="P1300" s="18"/>
      <c r="Q1300" s="17"/>
      <c r="R1300" s="17"/>
      <c r="S1300" s="17"/>
      <c r="T1300" s="16"/>
    </row>
    <row r="1301">
      <c r="A1301" s="71"/>
      <c r="B1301" s="17"/>
      <c r="C1301" s="17"/>
      <c r="D1301" s="17"/>
      <c r="E1301" s="31"/>
      <c r="F1301" s="17"/>
      <c r="G1301" s="17"/>
      <c r="H1301" s="51"/>
      <c r="I1301" s="17"/>
      <c r="J1301" s="17"/>
      <c r="K1301" s="13"/>
      <c r="L1301" s="17"/>
      <c r="M1301" s="17"/>
      <c r="N1301" s="17"/>
      <c r="O1301" s="17"/>
      <c r="P1301" s="18"/>
      <c r="Q1301" s="17"/>
      <c r="R1301" s="17"/>
      <c r="S1301" s="17"/>
      <c r="T1301" s="16"/>
    </row>
    <row r="1302">
      <c r="A1302" s="71"/>
      <c r="B1302" s="17"/>
      <c r="C1302" s="17"/>
      <c r="D1302" s="17"/>
      <c r="E1302" s="31"/>
      <c r="F1302" s="17"/>
      <c r="G1302" s="17"/>
      <c r="H1302" s="51"/>
      <c r="I1302" s="17"/>
      <c r="J1302" s="17"/>
      <c r="K1302" s="13"/>
      <c r="L1302" s="17"/>
      <c r="M1302" s="17"/>
      <c r="N1302" s="17"/>
      <c r="O1302" s="17"/>
      <c r="P1302" s="18"/>
      <c r="Q1302" s="17"/>
      <c r="R1302" s="17"/>
      <c r="S1302" s="17"/>
      <c r="T1302" s="16"/>
    </row>
    <row r="1303">
      <c r="A1303" s="71"/>
      <c r="B1303" s="17"/>
      <c r="C1303" s="17"/>
      <c r="D1303" s="17"/>
      <c r="E1303" s="31"/>
      <c r="F1303" s="17"/>
      <c r="G1303" s="17"/>
      <c r="H1303" s="51"/>
      <c r="I1303" s="17"/>
      <c r="J1303" s="17"/>
      <c r="K1303" s="13"/>
      <c r="L1303" s="17"/>
      <c r="M1303" s="17"/>
      <c r="N1303" s="17"/>
      <c r="O1303" s="17"/>
      <c r="P1303" s="18"/>
      <c r="Q1303" s="17"/>
      <c r="R1303" s="17"/>
      <c r="S1303" s="17"/>
      <c r="T1303" s="16"/>
    </row>
    <row r="1304">
      <c r="A1304" s="71"/>
      <c r="B1304" s="17"/>
      <c r="C1304" s="17"/>
      <c r="D1304" s="17"/>
      <c r="E1304" s="31"/>
      <c r="F1304" s="17"/>
      <c r="G1304" s="17"/>
      <c r="H1304" s="51"/>
      <c r="I1304" s="17"/>
      <c r="J1304" s="17"/>
      <c r="K1304" s="13"/>
      <c r="L1304" s="17"/>
      <c r="M1304" s="17"/>
      <c r="N1304" s="17"/>
      <c r="O1304" s="17"/>
      <c r="P1304" s="18"/>
      <c r="Q1304" s="17"/>
      <c r="R1304" s="17"/>
      <c r="S1304" s="17"/>
      <c r="T1304" s="16"/>
    </row>
    <row r="1305">
      <c r="A1305" s="71"/>
      <c r="B1305" s="17"/>
      <c r="C1305" s="17"/>
      <c r="D1305" s="17"/>
      <c r="E1305" s="31"/>
      <c r="F1305" s="17"/>
      <c r="G1305" s="17"/>
      <c r="H1305" s="51"/>
      <c r="I1305" s="17"/>
      <c r="J1305" s="17"/>
      <c r="K1305" s="13"/>
      <c r="L1305" s="17"/>
      <c r="M1305" s="17"/>
      <c r="N1305" s="17"/>
      <c r="O1305" s="17"/>
      <c r="P1305" s="18"/>
      <c r="Q1305" s="17"/>
      <c r="R1305" s="17"/>
      <c r="S1305" s="17"/>
      <c r="T1305" s="16"/>
    </row>
    <row r="1306">
      <c r="A1306" s="71"/>
      <c r="B1306" s="17"/>
      <c r="C1306" s="17"/>
      <c r="D1306" s="17"/>
      <c r="E1306" s="31"/>
      <c r="F1306" s="17"/>
      <c r="G1306" s="17"/>
      <c r="H1306" s="51"/>
      <c r="I1306" s="17"/>
      <c r="J1306" s="17"/>
      <c r="K1306" s="13"/>
      <c r="L1306" s="17"/>
      <c r="M1306" s="17"/>
      <c r="N1306" s="17"/>
      <c r="O1306" s="17"/>
      <c r="P1306" s="18"/>
      <c r="Q1306" s="17"/>
      <c r="R1306" s="17"/>
      <c r="S1306" s="17"/>
      <c r="T1306" s="16"/>
    </row>
    <row r="1307">
      <c r="A1307" s="71"/>
      <c r="B1307" s="17"/>
      <c r="C1307" s="17"/>
      <c r="D1307" s="17"/>
      <c r="E1307" s="31"/>
      <c r="F1307" s="17"/>
      <c r="G1307" s="17"/>
      <c r="H1307" s="51"/>
      <c r="I1307" s="17"/>
      <c r="J1307" s="17"/>
      <c r="K1307" s="13"/>
      <c r="L1307" s="17"/>
      <c r="M1307" s="17"/>
      <c r="N1307" s="17"/>
      <c r="O1307" s="17"/>
      <c r="P1307" s="18"/>
      <c r="Q1307" s="17"/>
      <c r="R1307" s="17"/>
      <c r="S1307" s="17"/>
      <c r="T1307" s="16"/>
    </row>
    <row r="1308">
      <c r="A1308" s="71"/>
      <c r="B1308" s="17"/>
      <c r="C1308" s="17"/>
      <c r="D1308" s="17"/>
      <c r="E1308" s="31"/>
      <c r="F1308" s="17"/>
      <c r="G1308" s="17"/>
      <c r="H1308" s="51"/>
      <c r="I1308" s="17"/>
      <c r="J1308" s="17"/>
      <c r="K1308" s="13"/>
      <c r="L1308" s="17"/>
      <c r="M1308" s="17"/>
      <c r="N1308" s="17"/>
      <c r="O1308" s="17"/>
      <c r="P1308" s="18"/>
      <c r="Q1308" s="17"/>
      <c r="R1308" s="17"/>
      <c r="S1308" s="17"/>
      <c r="T1308" s="16"/>
    </row>
    <row r="1309">
      <c r="A1309" s="71"/>
      <c r="B1309" s="17"/>
      <c r="C1309" s="17"/>
      <c r="D1309" s="17"/>
      <c r="E1309" s="31"/>
      <c r="F1309" s="17"/>
      <c r="G1309" s="17"/>
      <c r="H1309" s="51"/>
      <c r="I1309" s="17"/>
      <c r="J1309" s="17"/>
      <c r="K1309" s="13"/>
      <c r="L1309" s="17"/>
      <c r="M1309" s="17"/>
      <c r="N1309" s="17"/>
      <c r="O1309" s="17"/>
      <c r="P1309" s="18"/>
      <c r="Q1309" s="17"/>
      <c r="R1309" s="17"/>
      <c r="S1309" s="17"/>
      <c r="T1309" s="16"/>
    </row>
    <row r="1310">
      <c r="A1310" s="71"/>
      <c r="B1310" s="17"/>
      <c r="C1310" s="17"/>
      <c r="D1310" s="17"/>
      <c r="E1310" s="31"/>
      <c r="F1310" s="17"/>
      <c r="G1310" s="17"/>
      <c r="H1310" s="51"/>
      <c r="I1310" s="17"/>
      <c r="J1310" s="17"/>
      <c r="K1310" s="13"/>
      <c r="L1310" s="17"/>
      <c r="M1310" s="17"/>
      <c r="N1310" s="17"/>
      <c r="O1310" s="17"/>
      <c r="P1310" s="18"/>
      <c r="Q1310" s="17"/>
      <c r="R1310" s="17"/>
      <c r="S1310" s="17"/>
      <c r="T1310" s="16"/>
    </row>
    <row r="1311">
      <c r="A1311" s="71"/>
      <c r="B1311" s="17"/>
      <c r="C1311" s="17"/>
      <c r="D1311" s="17"/>
      <c r="E1311" s="31"/>
      <c r="F1311" s="17"/>
      <c r="G1311" s="17"/>
      <c r="H1311" s="51"/>
      <c r="I1311" s="17"/>
      <c r="J1311" s="17"/>
      <c r="K1311" s="13"/>
      <c r="L1311" s="17"/>
      <c r="M1311" s="17"/>
      <c r="N1311" s="17"/>
      <c r="O1311" s="17"/>
      <c r="P1311" s="18"/>
      <c r="Q1311" s="17"/>
      <c r="R1311" s="17"/>
      <c r="S1311" s="17"/>
      <c r="T1311" s="16"/>
    </row>
    <row r="1312">
      <c r="A1312" s="71"/>
      <c r="B1312" s="17"/>
      <c r="C1312" s="17"/>
      <c r="D1312" s="17"/>
      <c r="E1312" s="31"/>
      <c r="F1312" s="17"/>
      <c r="G1312" s="17"/>
      <c r="H1312" s="51"/>
      <c r="I1312" s="17"/>
      <c r="J1312" s="17"/>
      <c r="K1312" s="13"/>
      <c r="L1312" s="17"/>
      <c r="M1312" s="17"/>
      <c r="N1312" s="17"/>
      <c r="O1312" s="17"/>
      <c r="P1312" s="18"/>
      <c r="Q1312" s="17"/>
      <c r="R1312" s="17"/>
      <c r="S1312" s="17"/>
      <c r="T1312" s="16"/>
    </row>
    <row r="1313">
      <c r="A1313" s="71"/>
      <c r="B1313" s="17"/>
      <c r="C1313" s="17"/>
      <c r="D1313" s="17"/>
      <c r="E1313" s="31"/>
      <c r="F1313" s="17"/>
      <c r="G1313" s="17"/>
      <c r="H1313" s="51"/>
      <c r="I1313" s="17"/>
      <c r="J1313" s="17"/>
      <c r="K1313" s="13"/>
      <c r="L1313" s="17"/>
      <c r="M1313" s="17"/>
      <c r="N1313" s="17"/>
      <c r="O1313" s="17"/>
      <c r="P1313" s="18"/>
      <c r="Q1313" s="17"/>
      <c r="R1313" s="17"/>
      <c r="S1313" s="17"/>
      <c r="T1313" s="16"/>
    </row>
    <row r="1314">
      <c r="A1314" s="71"/>
      <c r="B1314" s="17"/>
      <c r="C1314" s="17"/>
      <c r="D1314" s="17"/>
      <c r="E1314" s="31"/>
      <c r="F1314" s="17"/>
      <c r="G1314" s="17"/>
      <c r="H1314" s="51"/>
      <c r="I1314" s="17"/>
      <c r="J1314" s="17"/>
      <c r="K1314" s="13"/>
      <c r="L1314" s="17"/>
      <c r="M1314" s="17"/>
      <c r="N1314" s="17"/>
      <c r="O1314" s="17"/>
      <c r="P1314" s="18"/>
      <c r="Q1314" s="17"/>
      <c r="R1314" s="17"/>
      <c r="S1314" s="17"/>
      <c r="T1314" s="16"/>
    </row>
    <row r="1315">
      <c r="A1315" s="71"/>
      <c r="B1315" s="17"/>
      <c r="C1315" s="17"/>
      <c r="D1315" s="17"/>
      <c r="E1315" s="31"/>
      <c r="F1315" s="17"/>
      <c r="G1315" s="17"/>
      <c r="H1315" s="51"/>
      <c r="I1315" s="17"/>
      <c r="J1315" s="17"/>
      <c r="K1315" s="13"/>
      <c r="L1315" s="17"/>
      <c r="M1315" s="17"/>
      <c r="N1315" s="17"/>
      <c r="O1315" s="17"/>
      <c r="P1315" s="18"/>
      <c r="Q1315" s="17"/>
      <c r="R1315" s="17"/>
      <c r="S1315" s="17"/>
      <c r="T1315" s="16"/>
    </row>
    <row r="1316">
      <c r="A1316" s="71"/>
      <c r="B1316" s="17"/>
      <c r="C1316" s="17"/>
      <c r="D1316" s="17"/>
      <c r="E1316" s="31"/>
      <c r="F1316" s="17"/>
      <c r="G1316" s="17"/>
      <c r="H1316" s="51"/>
      <c r="I1316" s="17"/>
      <c r="J1316" s="17"/>
      <c r="K1316" s="13"/>
      <c r="L1316" s="17"/>
      <c r="M1316" s="17"/>
      <c r="N1316" s="17"/>
      <c r="O1316" s="17"/>
      <c r="P1316" s="18"/>
      <c r="Q1316" s="17"/>
      <c r="R1316" s="17"/>
      <c r="S1316" s="17"/>
      <c r="T1316" s="16"/>
    </row>
    <row r="1317">
      <c r="A1317" s="71"/>
      <c r="B1317" s="17"/>
      <c r="C1317" s="17"/>
      <c r="D1317" s="17"/>
      <c r="E1317" s="31"/>
      <c r="F1317" s="17"/>
      <c r="G1317" s="17"/>
      <c r="H1317" s="51"/>
      <c r="I1317" s="17"/>
      <c r="J1317" s="17"/>
      <c r="K1317" s="13"/>
      <c r="L1317" s="17"/>
      <c r="M1317" s="17"/>
      <c r="N1317" s="17"/>
      <c r="O1317" s="17"/>
      <c r="P1317" s="18"/>
      <c r="Q1317" s="17"/>
      <c r="R1317" s="17"/>
      <c r="S1317" s="17"/>
      <c r="T1317" s="16"/>
    </row>
    <row r="1318">
      <c r="A1318" s="71"/>
      <c r="B1318" s="17"/>
      <c r="C1318" s="17"/>
      <c r="D1318" s="17"/>
      <c r="E1318" s="31"/>
      <c r="F1318" s="17"/>
      <c r="G1318" s="17"/>
      <c r="H1318" s="51"/>
      <c r="I1318" s="17"/>
      <c r="J1318" s="17"/>
      <c r="K1318" s="13"/>
      <c r="L1318" s="17"/>
      <c r="M1318" s="17"/>
      <c r="N1318" s="17"/>
      <c r="O1318" s="17"/>
      <c r="P1318" s="18"/>
      <c r="Q1318" s="17"/>
      <c r="R1318" s="17"/>
      <c r="S1318" s="17"/>
      <c r="T1318" s="16"/>
    </row>
    <row r="1319">
      <c r="A1319" s="71"/>
      <c r="B1319" s="17"/>
      <c r="C1319" s="17"/>
      <c r="D1319" s="17"/>
      <c r="E1319" s="31"/>
      <c r="F1319" s="17"/>
      <c r="G1319" s="17"/>
      <c r="H1319" s="51"/>
      <c r="I1319" s="17"/>
      <c r="J1319" s="17"/>
      <c r="K1319" s="13"/>
      <c r="L1319" s="17"/>
      <c r="M1319" s="17"/>
      <c r="N1319" s="17"/>
      <c r="O1319" s="17"/>
      <c r="P1319" s="18"/>
      <c r="Q1319" s="17"/>
      <c r="R1319" s="17"/>
      <c r="S1319" s="17"/>
      <c r="T1319" s="16"/>
    </row>
    <row r="1320">
      <c r="A1320" s="71"/>
      <c r="B1320" s="17"/>
      <c r="C1320" s="17"/>
      <c r="D1320" s="17"/>
      <c r="E1320" s="31"/>
      <c r="F1320" s="17"/>
      <c r="G1320" s="17"/>
      <c r="H1320" s="51"/>
      <c r="I1320" s="17"/>
      <c r="J1320" s="17"/>
      <c r="K1320" s="13"/>
      <c r="L1320" s="17"/>
      <c r="M1320" s="17"/>
      <c r="N1320" s="17"/>
      <c r="O1320" s="17"/>
      <c r="P1320" s="18"/>
      <c r="Q1320" s="17"/>
      <c r="R1320" s="17"/>
      <c r="S1320" s="17"/>
      <c r="T1320" s="16"/>
    </row>
    <row r="1321">
      <c r="A1321" s="71"/>
      <c r="B1321" s="17"/>
      <c r="C1321" s="17"/>
      <c r="D1321" s="17"/>
      <c r="E1321" s="31"/>
      <c r="F1321" s="17"/>
      <c r="G1321" s="17"/>
      <c r="H1321" s="51"/>
      <c r="I1321" s="17"/>
      <c r="J1321" s="17"/>
      <c r="K1321" s="13"/>
      <c r="L1321" s="17"/>
      <c r="M1321" s="17"/>
      <c r="N1321" s="17"/>
      <c r="O1321" s="17"/>
      <c r="P1321" s="18"/>
      <c r="Q1321" s="17"/>
      <c r="R1321" s="17"/>
      <c r="S1321" s="17"/>
      <c r="T1321" s="16"/>
    </row>
    <row r="1322">
      <c r="A1322" s="71"/>
      <c r="B1322" s="17"/>
      <c r="C1322" s="17"/>
      <c r="D1322" s="17"/>
      <c r="E1322" s="31"/>
      <c r="F1322" s="17"/>
      <c r="G1322" s="17"/>
      <c r="H1322" s="51"/>
      <c r="I1322" s="17"/>
      <c r="J1322" s="17"/>
      <c r="K1322" s="13"/>
      <c r="L1322" s="17"/>
      <c r="M1322" s="17"/>
      <c r="N1322" s="17"/>
      <c r="O1322" s="17"/>
      <c r="P1322" s="18"/>
      <c r="Q1322" s="17"/>
      <c r="R1322" s="17"/>
      <c r="S1322" s="17"/>
      <c r="T1322" s="16"/>
    </row>
    <row r="1323">
      <c r="A1323" s="71"/>
      <c r="B1323" s="17"/>
      <c r="C1323" s="17"/>
      <c r="D1323" s="17"/>
      <c r="E1323" s="31"/>
      <c r="F1323" s="17"/>
      <c r="G1323" s="17"/>
      <c r="H1323" s="51"/>
      <c r="I1323" s="17"/>
      <c r="J1323" s="17"/>
      <c r="K1323" s="13"/>
      <c r="L1323" s="17"/>
      <c r="M1323" s="17"/>
      <c r="N1323" s="17"/>
      <c r="O1323" s="17"/>
      <c r="P1323" s="18"/>
      <c r="Q1323" s="17"/>
      <c r="R1323" s="17"/>
      <c r="S1323" s="17"/>
      <c r="T1323" s="16"/>
    </row>
    <row r="1324">
      <c r="A1324" s="71"/>
      <c r="B1324" s="17"/>
      <c r="C1324" s="17"/>
      <c r="D1324" s="17"/>
      <c r="E1324" s="31"/>
      <c r="F1324" s="17"/>
      <c r="G1324" s="17"/>
      <c r="H1324" s="51"/>
      <c r="I1324" s="17"/>
      <c r="J1324" s="17"/>
      <c r="K1324" s="13"/>
      <c r="L1324" s="17"/>
      <c r="M1324" s="17"/>
      <c r="N1324" s="17"/>
      <c r="O1324" s="17"/>
      <c r="P1324" s="18"/>
      <c r="Q1324" s="17"/>
      <c r="R1324" s="17"/>
      <c r="S1324" s="17"/>
      <c r="T1324" s="16"/>
    </row>
    <row r="1325">
      <c r="A1325" s="71"/>
      <c r="B1325" s="17"/>
      <c r="C1325" s="17"/>
      <c r="D1325" s="17"/>
      <c r="E1325" s="31"/>
      <c r="F1325" s="17"/>
      <c r="G1325" s="17"/>
      <c r="H1325" s="51"/>
      <c r="I1325" s="17"/>
      <c r="J1325" s="17"/>
      <c r="K1325" s="13"/>
      <c r="L1325" s="17"/>
      <c r="M1325" s="17"/>
      <c r="N1325" s="17"/>
      <c r="O1325" s="17"/>
      <c r="P1325" s="18"/>
      <c r="Q1325" s="17"/>
      <c r="R1325" s="17"/>
      <c r="S1325" s="17"/>
      <c r="T1325" s="16"/>
    </row>
    <row r="1326">
      <c r="A1326" s="71"/>
      <c r="B1326" s="17"/>
      <c r="C1326" s="17"/>
      <c r="D1326" s="17"/>
      <c r="E1326" s="31"/>
      <c r="F1326" s="17"/>
      <c r="G1326" s="17"/>
      <c r="H1326" s="51"/>
      <c r="I1326" s="17"/>
      <c r="J1326" s="17"/>
      <c r="K1326" s="13"/>
      <c r="L1326" s="17"/>
      <c r="M1326" s="17"/>
      <c r="N1326" s="17"/>
      <c r="O1326" s="17"/>
      <c r="P1326" s="18"/>
      <c r="Q1326" s="17"/>
      <c r="R1326" s="17"/>
      <c r="S1326" s="17"/>
      <c r="T1326" s="16"/>
    </row>
    <row r="1327">
      <c r="A1327" s="71"/>
      <c r="B1327" s="17"/>
      <c r="C1327" s="17"/>
      <c r="D1327" s="17"/>
      <c r="E1327" s="31"/>
      <c r="F1327" s="17"/>
      <c r="G1327" s="17"/>
      <c r="H1327" s="51"/>
      <c r="I1327" s="17"/>
      <c r="J1327" s="17"/>
      <c r="K1327" s="13"/>
      <c r="L1327" s="17"/>
      <c r="M1327" s="17"/>
      <c r="N1327" s="17"/>
      <c r="O1327" s="17"/>
      <c r="P1327" s="18"/>
      <c r="Q1327" s="17"/>
      <c r="R1327" s="17"/>
      <c r="S1327" s="17"/>
      <c r="T1327" s="16"/>
    </row>
    <row r="1328">
      <c r="A1328" s="71"/>
      <c r="B1328" s="17"/>
      <c r="C1328" s="17"/>
      <c r="D1328" s="17"/>
      <c r="E1328" s="31"/>
      <c r="F1328" s="17"/>
      <c r="G1328" s="17"/>
      <c r="H1328" s="51"/>
      <c r="I1328" s="17"/>
      <c r="J1328" s="17"/>
      <c r="K1328" s="13"/>
      <c r="L1328" s="17"/>
      <c r="M1328" s="17"/>
      <c r="N1328" s="17"/>
      <c r="O1328" s="17"/>
      <c r="P1328" s="18"/>
      <c r="Q1328" s="17"/>
      <c r="R1328" s="17"/>
      <c r="S1328" s="17"/>
      <c r="T1328" s="16"/>
    </row>
    <row r="1329">
      <c r="A1329" s="71"/>
      <c r="B1329" s="17"/>
      <c r="C1329" s="17"/>
      <c r="D1329" s="17"/>
      <c r="E1329" s="31"/>
      <c r="F1329" s="17"/>
      <c r="G1329" s="17"/>
      <c r="H1329" s="51"/>
      <c r="I1329" s="17"/>
      <c r="J1329" s="17"/>
      <c r="K1329" s="13"/>
      <c r="L1329" s="17"/>
      <c r="M1329" s="17"/>
      <c r="N1329" s="17"/>
      <c r="O1329" s="17"/>
      <c r="P1329" s="18"/>
      <c r="Q1329" s="17"/>
      <c r="R1329" s="17"/>
      <c r="S1329" s="17"/>
      <c r="T1329" s="16"/>
    </row>
    <row r="1330">
      <c r="A1330" s="71"/>
      <c r="B1330" s="17"/>
      <c r="C1330" s="17"/>
      <c r="D1330" s="17"/>
      <c r="E1330" s="31"/>
      <c r="F1330" s="17"/>
      <c r="G1330" s="17"/>
      <c r="H1330" s="51"/>
      <c r="I1330" s="17"/>
      <c r="J1330" s="17"/>
      <c r="K1330" s="13"/>
      <c r="L1330" s="17"/>
      <c r="M1330" s="17"/>
      <c r="N1330" s="17"/>
      <c r="O1330" s="17"/>
      <c r="P1330" s="18"/>
      <c r="Q1330" s="17"/>
      <c r="R1330" s="17"/>
      <c r="S1330" s="17"/>
      <c r="T1330" s="16"/>
    </row>
    <row r="1331">
      <c r="A1331" s="71"/>
      <c r="B1331" s="17"/>
      <c r="C1331" s="17"/>
      <c r="D1331" s="17"/>
      <c r="E1331" s="31"/>
      <c r="F1331" s="17"/>
      <c r="G1331" s="17"/>
      <c r="H1331" s="51"/>
      <c r="I1331" s="17"/>
      <c r="J1331" s="17"/>
      <c r="K1331" s="13"/>
      <c r="L1331" s="17"/>
      <c r="M1331" s="17"/>
      <c r="N1331" s="17"/>
      <c r="O1331" s="17"/>
      <c r="P1331" s="18"/>
      <c r="Q1331" s="17"/>
      <c r="R1331" s="17"/>
      <c r="S1331" s="17"/>
      <c r="T1331" s="16"/>
    </row>
    <row r="1332">
      <c r="A1332" s="71"/>
      <c r="B1332" s="17"/>
      <c r="C1332" s="17"/>
      <c r="D1332" s="17"/>
      <c r="E1332" s="31"/>
      <c r="F1332" s="17"/>
      <c r="G1332" s="17"/>
      <c r="H1332" s="51"/>
      <c r="I1332" s="17"/>
      <c r="J1332" s="17"/>
      <c r="K1332" s="13"/>
      <c r="L1332" s="17"/>
      <c r="M1332" s="17"/>
      <c r="N1332" s="17"/>
      <c r="O1332" s="17"/>
      <c r="P1332" s="18"/>
      <c r="Q1332" s="17"/>
      <c r="R1332" s="17"/>
      <c r="S1332" s="17"/>
      <c r="T1332" s="16"/>
    </row>
    <row r="1333">
      <c r="A1333" s="71"/>
      <c r="B1333" s="17"/>
      <c r="C1333" s="17"/>
      <c r="D1333" s="17"/>
      <c r="E1333" s="31"/>
      <c r="F1333" s="17"/>
      <c r="G1333" s="17"/>
      <c r="H1333" s="51"/>
      <c r="I1333" s="17"/>
      <c r="J1333" s="17"/>
      <c r="K1333" s="13"/>
      <c r="L1333" s="17"/>
      <c r="M1333" s="17"/>
      <c r="N1333" s="17"/>
      <c r="O1333" s="17"/>
      <c r="P1333" s="18"/>
      <c r="Q1333" s="17"/>
      <c r="R1333" s="17"/>
      <c r="S1333" s="17"/>
      <c r="T1333" s="16"/>
    </row>
    <row r="1334">
      <c r="A1334" s="71"/>
      <c r="B1334" s="17"/>
      <c r="C1334" s="17"/>
      <c r="D1334" s="17"/>
      <c r="E1334" s="31"/>
      <c r="F1334" s="17"/>
      <c r="G1334" s="17"/>
      <c r="H1334" s="51"/>
      <c r="I1334" s="17"/>
      <c r="J1334" s="17"/>
      <c r="K1334" s="13"/>
      <c r="L1334" s="17"/>
      <c r="M1334" s="17"/>
      <c r="N1334" s="17"/>
      <c r="O1334" s="17"/>
      <c r="P1334" s="18"/>
      <c r="Q1334" s="17"/>
      <c r="R1334" s="17"/>
      <c r="S1334" s="17"/>
      <c r="T1334" s="16"/>
    </row>
    <row r="1335">
      <c r="A1335" s="71"/>
      <c r="B1335" s="17"/>
      <c r="C1335" s="17"/>
      <c r="D1335" s="17"/>
      <c r="E1335" s="31"/>
      <c r="F1335" s="17"/>
      <c r="G1335" s="17"/>
      <c r="H1335" s="51"/>
      <c r="I1335" s="17"/>
      <c r="J1335" s="17"/>
      <c r="K1335" s="13"/>
      <c r="L1335" s="17"/>
      <c r="M1335" s="17"/>
      <c r="N1335" s="17"/>
      <c r="O1335" s="17"/>
      <c r="P1335" s="18"/>
      <c r="Q1335" s="17"/>
      <c r="R1335" s="17"/>
      <c r="S1335" s="17"/>
      <c r="T1335" s="16"/>
    </row>
    <row r="1336">
      <c r="A1336" s="71"/>
      <c r="B1336" s="17"/>
      <c r="C1336" s="17"/>
      <c r="D1336" s="17"/>
      <c r="E1336" s="31"/>
      <c r="F1336" s="17"/>
      <c r="G1336" s="17"/>
      <c r="H1336" s="51"/>
      <c r="I1336" s="17"/>
      <c r="J1336" s="17"/>
      <c r="K1336" s="13"/>
      <c r="L1336" s="17"/>
      <c r="M1336" s="17"/>
      <c r="N1336" s="17"/>
      <c r="O1336" s="17"/>
      <c r="P1336" s="18"/>
      <c r="Q1336" s="17"/>
      <c r="R1336" s="17"/>
      <c r="S1336" s="17"/>
      <c r="T1336" s="16"/>
    </row>
    <row r="1337">
      <c r="A1337" s="71"/>
      <c r="B1337" s="17"/>
      <c r="C1337" s="17"/>
      <c r="D1337" s="17"/>
      <c r="E1337" s="31"/>
      <c r="F1337" s="17"/>
      <c r="G1337" s="17"/>
      <c r="H1337" s="51"/>
      <c r="I1337" s="17"/>
      <c r="J1337" s="17"/>
      <c r="K1337" s="13"/>
      <c r="L1337" s="17"/>
      <c r="M1337" s="17"/>
      <c r="N1337" s="17"/>
      <c r="O1337" s="17"/>
      <c r="P1337" s="18"/>
      <c r="Q1337" s="17"/>
      <c r="R1337" s="17"/>
      <c r="S1337" s="17"/>
      <c r="T1337" s="16"/>
    </row>
    <row r="1338">
      <c r="A1338" s="71"/>
      <c r="B1338" s="17"/>
      <c r="C1338" s="17"/>
      <c r="D1338" s="17"/>
      <c r="E1338" s="31"/>
      <c r="F1338" s="17"/>
      <c r="G1338" s="17"/>
      <c r="H1338" s="51"/>
      <c r="I1338" s="17"/>
      <c r="J1338" s="17"/>
      <c r="K1338" s="13"/>
      <c r="L1338" s="17"/>
      <c r="M1338" s="17"/>
      <c r="N1338" s="17"/>
      <c r="O1338" s="17"/>
      <c r="P1338" s="18"/>
      <c r="Q1338" s="17"/>
      <c r="R1338" s="17"/>
      <c r="S1338" s="17"/>
      <c r="T1338" s="16"/>
    </row>
    <row r="1339">
      <c r="A1339" s="71"/>
      <c r="B1339" s="17"/>
      <c r="C1339" s="17"/>
      <c r="D1339" s="17"/>
      <c r="E1339" s="31"/>
      <c r="F1339" s="17"/>
      <c r="G1339" s="17"/>
      <c r="H1339" s="51"/>
      <c r="I1339" s="17"/>
      <c r="J1339" s="17"/>
      <c r="K1339" s="13"/>
      <c r="L1339" s="17"/>
      <c r="M1339" s="17"/>
      <c r="N1339" s="17"/>
      <c r="O1339" s="17"/>
      <c r="P1339" s="18"/>
      <c r="Q1339" s="17"/>
      <c r="R1339" s="17"/>
      <c r="S1339" s="17"/>
      <c r="T1339" s="16"/>
    </row>
    <row r="1340">
      <c r="A1340" s="71"/>
      <c r="B1340" s="17"/>
      <c r="C1340" s="17"/>
      <c r="D1340" s="17"/>
      <c r="E1340" s="31"/>
      <c r="F1340" s="17"/>
      <c r="G1340" s="17"/>
      <c r="H1340" s="51"/>
      <c r="I1340" s="17"/>
      <c r="J1340" s="17"/>
      <c r="K1340" s="13"/>
      <c r="L1340" s="17"/>
      <c r="M1340" s="17"/>
      <c r="N1340" s="17"/>
      <c r="O1340" s="17"/>
      <c r="P1340" s="18"/>
      <c r="Q1340" s="17"/>
      <c r="R1340" s="17"/>
      <c r="S1340" s="17"/>
      <c r="T1340" s="16"/>
    </row>
    <row r="1341">
      <c r="A1341" s="71"/>
      <c r="B1341" s="17"/>
      <c r="C1341" s="17"/>
      <c r="D1341" s="17"/>
      <c r="E1341" s="31"/>
      <c r="F1341" s="17"/>
      <c r="G1341" s="17"/>
      <c r="H1341" s="51"/>
      <c r="I1341" s="17"/>
      <c r="J1341" s="17"/>
      <c r="K1341" s="13"/>
      <c r="L1341" s="17"/>
      <c r="M1341" s="17"/>
      <c r="N1341" s="17"/>
      <c r="O1341" s="17"/>
      <c r="P1341" s="18"/>
      <c r="Q1341" s="17"/>
      <c r="R1341" s="17"/>
      <c r="S1341" s="17"/>
      <c r="T1341" s="16"/>
    </row>
    <row r="1342">
      <c r="A1342" s="71"/>
      <c r="B1342" s="17"/>
      <c r="C1342" s="17"/>
      <c r="D1342" s="17"/>
      <c r="E1342" s="31"/>
      <c r="F1342" s="17"/>
      <c r="G1342" s="17"/>
      <c r="H1342" s="51"/>
      <c r="I1342" s="17"/>
      <c r="J1342" s="17"/>
      <c r="K1342" s="13"/>
      <c r="L1342" s="17"/>
      <c r="M1342" s="17"/>
      <c r="N1342" s="17"/>
      <c r="O1342" s="17"/>
      <c r="P1342" s="18"/>
      <c r="Q1342" s="17"/>
      <c r="R1342" s="17"/>
      <c r="S1342" s="17"/>
      <c r="T1342" s="16"/>
    </row>
    <row r="1343">
      <c r="A1343" s="71"/>
      <c r="B1343" s="17"/>
      <c r="C1343" s="17"/>
      <c r="D1343" s="17"/>
      <c r="E1343" s="31"/>
      <c r="F1343" s="17"/>
      <c r="G1343" s="17"/>
      <c r="H1343" s="51"/>
      <c r="I1343" s="17"/>
      <c r="J1343" s="17"/>
      <c r="K1343" s="13"/>
      <c r="L1343" s="17"/>
      <c r="M1343" s="17"/>
      <c r="N1343" s="17"/>
      <c r="O1343" s="17"/>
      <c r="P1343" s="18"/>
      <c r="Q1343" s="17"/>
      <c r="R1343" s="17"/>
      <c r="S1343" s="17"/>
      <c r="T1343" s="16"/>
    </row>
    <row r="1344">
      <c r="A1344" s="71"/>
      <c r="B1344" s="17"/>
      <c r="C1344" s="17"/>
      <c r="D1344" s="17"/>
      <c r="E1344" s="31"/>
      <c r="F1344" s="17"/>
      <c r="G1344" s="17"/>
      <c r="H1344" s="51"/>
      <c r="I1344" s="17"/>
      <c r="J1344" s="17"/>
      <c r="K1344" s="13"/>
      <c r="L1344" s="17"/>
      <c r="M1344" s="17"/>
      <c r="N1344" s="17"/>
      <c r="O1344" s="17"/>
      <c r="P1344" s="18"/>
      <c r="Q1344" s="17"/>
      <c r="R1344" s="17"/>
      <c r="S1344" s="17"/>
      <c r="T1344" s="16"/>
    </row>
    <row r="1345">
      <c r="A1345" s="71"/>
      <c r="B1345" s="17"/>
      <c r="C1345" s="17"/>
      <c r="D1345" s="17"/>
      <c r="E1345" s="31"/>
      <c r="F1345" s="17"/>
      <c r="G1345" s="17"/>
      <c r="H1345" s="51"/>
      <c r="I1345" s="17"/>
      <c r="J1345" s="17"/>
      <c r="K1345" s="13"/>
      <c r="L1345" s="17"/>
      <c r="M1345" s="17"/>
      <c r="N1345" s="17"/>
      <c r="O1345" s="17"/>
      <c r="P1345" s="18"/>
      <c r="Q1345" s="17"/>
      <c r="R1345" s="17"/>
      <c r="S1345" s="17"/>
      <c r="T1345" s="16"/>
    </row>
    <row r="1346">
      <c r="A1346" s="71"/>
      <c r="B1346" s="17"/>
      <c r="C1346" s="17"/>
      <c r="D1346" s="17"/>
      <c r="E1346" s="31"/>
      <c r="F1346" s="17"/>
      <c r="G1346" s="17"/>
      <c r="H1346" s="51"/>
      <c r="I1346" s="17"/>
      <c r="J1346" s="17"/>
      <c r="K1346" s="13"/>
      <c r="L1346" s="17"/>
      <c r="M1346" s="17"/>
      <c r="N1346" s="17"/>
      <c r="O1346" s="17"/>
      <c r="P1346" s="18"/>
      <c r="Q1346" s="17"/>
      <c r="R1346" s="17"/>
      <c r="S1346" s="17"/>
      <c r="T1346" s="16"/>
    </row>
    <row r="1347">
      <c r="A1347" s="71"/>
      <c r="B1347" s="17"/>
      <c r="C1347" s="17"/>
      <c r="D1347" s="17"/>
      <c r="E1347" s="31"/>
      <c r="F1347" s="17"/>
      <c r="G1347" s="17"/>
      <c r="H1347" s="51"/>
      <c r="I1347" s="17"/>
      <c r="J1347" s="17"/>
      <c r="K1347" s="13"/>
      <c r="L1347" s="17"/>
      <c r="M1347" s="17"/>
      <c r="N1347" s="17"/>
      <c r="O1347" s="17"/>
      <c r="P1347" s="18"/>
      <c r="Q1347" s="17"/>
      <c r="R1347" s="17"/>
      <c r="S1347" s="17"/>
      <c r="T1347" s="16"/>
    </row>
    <row r="1348">
      <c r="A1348" s="71"/>
      <c r="B1348" s="17"/>
      <c r="C1348" s="17"/>
      <c r="D1348" s="17"/>
      <c r="E1348" s="31"/>
      <c r="F1348" s="17"/>
      <c r="G1348" s="17"/>
      <c r="H1348" s="51"/>
      <c r="I1348" s="17"/>
      <c r="J1348" s="17"/>
      <c r="K1348" s="13"/>
      <c r="L1348" s="17"/>
      <c r="M1348" s="17"/>
      <c r="N1348" s="17"/>
      <c r="O1348" s="17"/>
      <c r="P1348" s="18"/>
      <c r="Q1348" s="17"/>
      <c r="R1348" s="17"/>
      <c r="S1348" s="17"/>
      <c r="T1348" s="16"/>
    </row>
    <row r="1349">
      <c r="A1349" s="71"/>
      <c r="B1349" s="17"/>
      <c r="C1349" s="17"/>
      <c r="D1349" s="17"/>
      <c r="E1349" s="31"/>
      <c r="F1349" s="17"/>
      <c r="G1349" s="17"/>
      <c r="H1349" s="51"/>
      <c r="I1349" s="17"/>
      <c r="J1349" s="17"/>
      <c r="K1349" s="13"/>
      <c r="L1349" s="17"/>
      <c r="M1349" s="17"/>
      <c r="N1349" s="17"/>
      <c r="O1349" s="17"/>
      <c r="P1349" s="18"/>
      <c r="Q1349" s="17"/>
      <c r="R1349" s="17"/>
      <c r="S1349" s="17"/>
      <c r="T1349" s="16"/>
    </row>
    <row r="1350">
      <c r="A1350" s="71"/>
      <c r="B1350" s="17"/>
      <c r="C1350" s="17"/>
      <c r="D1350" s="17"/>
      <c r="E1350" s="31"/>
      <c r="F1350" s="17"/>
      <c r="G1350" s="17"/>
      <c r="H1350" s="51"/>
      <c r="I1350" s="17"/>
      <c r="J1350" s="17"/>
      <c r="K1350" s="13"/>
      <c r="L1350" s="17"/>
      <c r="M1350" s="17"/>
      <c r="N1350" s="17"/>
      <c r="O1350" s="17"/>
      <c r="P1350" s="18"/>
      <c r="Q1350" s="17"/>
      <c r="R1350" s="17"/>
      <c r="S1350" s="17"/>
      <c r="T1350" s="16"/>
    </row>
    <row r="1351">
      <c r="A1351" s="71"/>
      <c r="B1351" s="17"/>
      <c r="C1351" s="17"/>
      <c r="D1351" s="17"/>
      <c r="E1351" s="31"/>
      <c r="F1351" s="17"/>
      <c r="G1351" s="17"/>
      <c r="H1351" s="51"/>
      <c r="I1351" s="17"/>
      <c r="J1351" s="17"/>
      <c r="K1351" s="13"/>
      <c r="L1351" s="17"/>
      <c r="M1351" s="17"/>
      <c r="N1351" s="17"/>
      <c r="O1351" s="17"/>
      <c r="P1351" s="18"/>
      <c r="Q1351" s="17"/>
      <c r="R1351" s="17"/>
      <c r="S1351" s="17"/>
      <c r="T1351" s="16"/>
    </row>
    <row r="1352">
      <c r="A1352" s="71"/>
      <c r="B1352" s="17"/>
      <c r="C1352" s="17"/>
      <c r="D1352" s="17"/>
      <c r="E1352" s="31"/>
      <c r="F1352" s="17"/>
      <c r="G1352" s="17"/>
      <c r="H1352" s="51"/>
      <c r="I1352" s="17"/>
      <c r="J1352" s="17"/>
      <c r="K1352" s="13"/>
      <c r="L1352" s="17"/>
      <c r="M1352" s="17"/>
      <c r="N1352" s="17"/>
      <c r="O1352" s="17"/>
      <c r="P1352" s="18"/>
      <c r="Q1352" s="17"/>
      <c r="R1352" s="17"/>
      <c r="S1352" s="17"/>
      <c r="T1352" s="16"/>
    </row>
    <row r="1353">
      <c r="A1353" s="71"/>
      <c r="B1353" s="17"/>
      <c r="C1353" s="17"/>
      <c r="D1353" s="17"/>
      <c r="E1353" s="31"/>
      <c r="F1353" s="17"/>
      <c r="G1353" s="17"/>
      <c r="H1353" s="51"/>
      <c r="I1353" s="17"/>
      <c r="J1353" s="17"/>
      <c r="K1353" s="13"/>
      <c r="L1353" s="17"/>
      <c r="M1353" s="17"/>
      <c r="N1353" s="17"/>
      <c r="O1353" s="17"/>
      <c r="P1353" s="18"/>
      <c r="Q1353" s="17"/>
      <c r="R1353" s="17"/>
      <c r="S1353" s="17"/>
      <c r="T1353" s="16"/>
    </row>
    <row r="1354">
      <c r="A1354" s="71"/>
      <c r="B1354" s="17"/>
      <c r="C1354" s="17"/>
      <c r="D1354" s="17"/>
      <c r="E1354" s="31"/>
      <c r="F1354" s="17"/>
      <c r="G1354" s="17"/>
      <c r="H1354" s="51"/>
      <c r="I1354" s="17"/>
      <c r="J1354" s="17"/>
      <c r="K1354" s="13"/>
      <c r="L1354" s="17"/>
      <c r="M1354" s="17"/>
      <c r="N1354" s="17"/>
      <c r="O1354" s="17"/>
      <c r="P1354" s="18"/>
      <c r="Q1354" s="17"/>
      <c r="R1354" s="17"/>
      <c r="S1354" s="17"/>
      <c r="T1354" s="16"/>
    </row>
    <row r="1355">
      <c r="A1355" s="71"/>
      <c r="B1355" s="17"/>
      <c r="C1355" s="17"/>
      <c r="D1355" s="17"/>
      <c r="E1355" s="31"/>
      <c r="F1355" s="17"/>
      <c r="G1355" s="17"/>
      <c r="H1355" s="51"/>
      <c r="I1355" s="17"/>
      <c r="J1355" s="17"/>
      <c r="K1355" s="13"/>
      <c r="L1355" s="17"/>
      <c r="M1355" s="17"/>
      <c r="N1355" s="17"/>
      <c r="O1355" s="17"/>
      <c r="P1355" s="18"/>
      <c r="Q1355" s="17"/>
      <c r="R1355" s="17"/>
      <c r="S1355" s="17"/>
      <c r="T1355" s="16"/>
    </row>
    <row r="1356">
      <c r="A1356" s="71"/>
      <c r="B1356" s="17"/>
      <c r="C1356" s="17"/>
      <c r="D1356" s="17"/>
      <c r="E1356" s="31"/>
      <c r="F1356" s="17"/>
      <c r="G1356" s="17"/>
      <c r="H1356" s="51"/>
      <c r="I1356" s="17"/>
      <c r="J1356" s="17"/>
      <c r="K1356" s="13"/>
      <c r="L1356" s="17"/>
      <c r="M1356" s="17"/>
      <c r="N1356" s="17"/>
      <c r="O1356" s="17"/>
      <c r="P1356" s="18"/>
      <c r="Q1356" s="17"/>
      <c r="R1356" s="17"/>
      <c r="S1356" s="17"/>
      <c r="T1356" s="16"/>
    </row>
    <row r="1357">
      <c r="A1357" s="71"/>
      <c r="B1357" s="17"/>
      <c r="C1357" s="17"/>
      <c r="D1357" s="17"/>
      <c r="E1357" s="31"/>
      <c r="F1357" s="17"/>
      <c r="G1357" s="17"/>
      <c r="H1357" s="51"/>
      <c r="I1357" s="17"/>
      <c r="J1357" s="17"/>
      <c r="K1357" s="13"/>
      <c r="L1357" s="17"/>
      <c r="M1357" s="17"/>
      <c r="N1357" s="17"/>
      <c r="O1357" s="17"/>
      <c r="P1357" s="18"/>
      <c r="Q1357" s="17"/>
      <c r="R1357" s="17"/>
      <c r="S1357" s="17"/>
      <c r="T1357" s="16"/>
    </row>
    <row r="1358">
      <c r="A1358" s="71"/>
      <c r="B1358" s="17"/>
      <c r="C1358" s="17"/>
      <c r="D1358" s="17"/>
      <c r="E1358" s="31"/>
      <c r="F1358" s="17"/>
      <c r="G1358" s="17"/>
      <c r="H1358" s="51"/>
      <c r="I1358" s="17"/>
      <c r="J1358" s="17"/>
      <c r="K1358" s="13"/>
      <c r="L1358" s="17"/>
      <c r="M1358" s="17"/>
      <c r="N1358" s="17"/>
      <c r="O1358" s="17"/>
      <c r="P1358" s="18"/>
      <c r="Q1358" s="17"/>
      <c r="R1358" s="17"/>
      <c r="S1358" s="17"/>
      <c r="T1358" s="16"/>
    </row>
    <row r="1359">
      <c r="A1359" s="71"/>
      <c r="B1359" s="17"/>
      <c r="C1359" s="17"/>
      <c r="D1359" s="17"/>
      <c r="E1359" s="31"/>
      <c r="F1359" s="17"/>
      <c r="G1359" s="17"/>
      <c r="H1359" s="51"/>
      <c r="I1359" s="17"/>
      <c r="J1359" s="17"/>
      <c r="K1359" s="13"/>
      <c r="L1359" s="17"/>
      <c r="M1359" s="17"/>
      <c r="N1359" s="17"/>
      <c r="O1359" s="17"/>
      <c r="P1359" s="18"/>
      <c r="Q1359" s="17"/>
      <c r="R1359" s="17"/>
      <c r="S1359" s="17"/>
      <c r="T1359" s="16"/>
    </row>
    <row r="1360">
      <c r="A1360" s="71"/>
      <c r="B1360" s="17"/>
      <c r="C1360" s="17"/>
      <c r="D1360" s="17"/>
      <c r="E1360" s="31"/>
      <c r="F1360" s="17"/>
      <c r="G1360" s="17"/>
      <c r="H1360" s="51"/>
      <c r="I1360" s="17"/>
      <c r="J1360" s="17"/>
      <c r="K1360" s="13"/>
      <c r="L1360" s="17"/>
      <c r="M1360" s="17"/>
      <c r="N1360" s="17"/>
      <c r="O1360" s="17"/>
      <c r="P1360" s="18"/>
      <c r="Q1360" s="17"/>
      <c r="R1360" s="17"/>
      <c r="S1360" s="17"/>
      <c r="T1360" s="16"/>
    </row>
    <row r="1361">
      <c r="A1361" s="71"/>
      <c r="B1361" s="17"/>
      <c r="C1361" s="17"/>
      <c r="D1361" s="17"/>
      <c r="E1361" s="31"/>
      <c r="F1361" s="17"/>
      <c r="G1361" s="17"/>
      <c r="H1361" s="51"/>
      <c r="I1361" s="17"/>
      <c r="J1361" s="17"/>
      <c r="K1361" s="13"/>
      <c r="L1361" s="17"/>
      <c r="M1361" s="17"/>
      <c r="N1361" s="17"/>
      <c r="O1361" s="17"/>
      <c r="P1361" s="18"/>
      <c r="Q1361" s="17"/>
      <c r="R1361" s="17"/>
      <c r="S1361" s="17"/>
      <c r="T1361" s="16"/>
    </row>
    <row r="1362">
      <c r="A1362" s="71"/>
      <c r="B1362" s="17"/>
      <c r="C1362" s="17"/>
      <c r="D1362" s="17"/>
      <c r="E1362" s="31"/>
      <c r="F1362" s="17"/>
      <c r="G1362" s="17"/>
      <c r="H1362" s="51"/>
      <c r="I1362" s="17"/>
      <c r="J1362" s="17"/>
      <c r="K1362" s="13"/>
      <c r="L1362" s="17"/>
      <c r="M1362" s="17"/>
      <c r="N1362" s="17"/>
      <c r="O1362" s="17"/>
      <c r="P1362" s="18"/>
      <c r="Q1362" s="17"/>
      <c r="R1362" s="17"/>
      <c r="S1362" s="17"/>
      <c r="T1362" s="16"/>
    </row>
    <row r="1363">
      <c r="A1363" s="71"/>
      <c r="B1363" s="17"/>
      <c r="C1363" s="17"/>
      <c r="D1363" s="17"/>
      <c r="E1363" s="31"/>
      <c r="F1363" s="17"/>
      <c r="G1363" s="17"/>
      <c r="H1363" s="51"/>
      <c r="I1363" s="17"/>
      <c r="J1363" s="17"/>
      <c r="K1363" s="13"/>
      <c r="L1363" s="17"/>
      <c r="M1363" s="17"/>
      <c r="N1363" s="17"/>
      <c r="O1363" s="17"/>
      <c r="P1363" s="18"/>
      <c r="Q1363" s="17"/>
      <c r="R1363" s="17"/>
      <c r="S1363" s="17"/>
      <c r="T1363" s="16"/>
    </row>
    <row r="1364">
      <c r="A1364" s="71"/>
      <c r="B1364" s="17"/>
      <c r="C1364" s="17"/>
      <c r="D1364" s="17"/>
      <c r="E1364" s="31"/>
      <c r="F1364" s="17"/>
      <c r="G1364" s="17"/>
      <c r="H1364" s="51"/>
      <c r="I1364" s="17"/>
      <c r="J1364" s="17"/>
      <c r="K1364" s="13"/>
      <c r="L1364" s="17"/>
      <c r="M1364" s="17"/>
      <c r="N1364" s="17"/>
      <c r="O1364" s="17"/>
      <c r="P1364" s="18"/>
      <c r="Q1364" s="17"/>
      <c r="R1364" s="17"/>
      <c r="S1364" s="17"/>
      <c r="T1364" s="16"/>
    </row>
    <row r="1365">
      <c r="A1365" s="71"/>
      <c r="B1365" s="17"/>
      <c r="C1365" s="17"/>
      <c r="D1365" s="17"/>
      <c r="E1365" s="31"/>
      <c r="F1365" s="17"/>
      <c r="G1365" s="17"/>
      <c r="H1365" s="51"/>
      <c r="I1365" s="17"/>
      <c r="J1365" s="17"/>
      <c r="K1365" s="13"/>
      <c r="L1365" s="17"/>
      <c r="M1365" s="17"/>
      <c r="N1365" s="17"/>
      <c r="O1365" s="17"/>
      <c r="P1365" s="18"/>
      <c r="Q1365" s="17"/>
      <c r="R1365" s="17"/>
      <c r="S1365" s="17"/>
      <c r="T1365" s="16"/>
    </row>
    <row r="1366">
      <c r="A1366" s="71"/>
      <c r="B1366" s="17"/>
      <c r="C1366" s="17"/>
      <c r="D1366" s="17"/>
      <c r="E1366" s="31"/>
      <c r="F1366" s="17"/>
      <c r="G1366" s="17"/>
      <c r="H1366" s="51"/>
      <c r="I1366" s="17"/>
      <c r="J1366" s="17"/>
      <c r="K1366" s="13"/>
      <c r="L1366" s="17"/>
      <c r="M1366" s="17"/>
      <c r="N1366" s="17"/>
      <c r="O1366" s="17"/>
      <c r="P1366" s="18"/>
      <c r="Q1366" s="17"/>
      <c r="R1366" s="17"/>
      <c r="S1366" s="17"/>
      <c r="T1366" s="16"/>
    </row>
    <row r="1367">
      <c r="A1367" s="71"/>
      <c r="B1367" s="17"/>
      <c r="C1367" s="17"/>
      <c r="D1367" s="17"/>
      <c r="E1367" s="31"/>
      <c r="F1367" s="17"/>
      <c r="G1367" s="17"/>
      <c r="H1367" s="51"/>
      <c r="I1367" s="17"/>
      <c r="J1367" s="17"/>
      <c r="K1367" s="13"/>
      <c r="L1367" s="17"/>
      <c r="M1367" s="17"/>
      <c r="N1367" s="17"/>
      <c r="O1367" s="17"/>
      <c r="P1367" s="18"/>
      <c r="Q1367" s="17"/>
      <c r="R1367" s="17"/>
      <c r="S1367" s="17"/>
      <c r="T1367" s="16"/>
    </row>
    <row r="1368">
      <c r="A1368" s="71"/>
      <c r="B1368" s="17"/>
      <c r="C1368" s="17"/>
      <c r="D1368" s="17"/>
      <c r="E1368" s="31"/>
      <c r="F1368" s="17"/>
      <c r="G1368" s="17"/>
      <c r="H1368" s="51"/>
      <c r="I1368" s="17"/>
      <c r="J1368" s="17"/>
      <c r="K1368" s="13"/>
      <c r="L1368" s="17"/>
      <c r="M1368" s="17"/>
      <c r="N1368" s="17"/>
      <c r="O1368" s="17"/>
      <c r="P1368" s="18"/>
      <c r="Q1368" s="17"/>
      <c r="R1368" s="17"/>
      <c r="S1368" s="17"/>
      <c r="T1368" s="16"/>
    </row>
    <row r="1369">
      <c r="A1369" s="71"/>
      <c r="B1369" s="17"/>
      <c r="C1369" s="17"/>
      <c r="D1369" s="17"/>
      <c r="E1369" s="31"/>
      <c r="F1369" s="17"/>
      <c r="G1369" s="17"/>
      <c r="H1369" s="51"/>
      <c r="I1369" s="17"/>
      <c r="J1369" s="17"/>
      <c r="K1369" s="13"/>
      <c r="L1369" s="17"/>
      <c r="M1369" s="17"/>
      <c r="N1369" s="17"/>
      <c r="O1369" s="17"/>
      <c r="P1369" s="18"/>
      <c r="Q1369" s="17"/>
      <c r="R1369" s="17"/>
      <c r="S1369" s="17"/>
      <c r="T1369" s="16"/>
    </row>
    <row r="1370">
      <c r="A1370" s="71"/>
      <c r="B1370" s="17"/>
      <c r="C1370" s="17"/>
      <c r="D1370" s="17"/>
      <c r="E1370" s="31"/>
      <c r="F1370" s="17"/>
      <c r="G1370" s="17"/>
      <c r="H1370" s="51"/>
      <c r="I1370" s="17"/>
      <c r="J1370" s="17"/>
      <c r="K1370" s="13"/>
      <c r="L1370" s="17"/>
      <c r="M1370" s="17"/>
      <c r="N1370" s="17"/>
      <c r="O1370" s="17"/>
      <c r="P1370" s="18"/>
      <c r="Q1370" s="17"/>
      <c r="R1370" s="17"/>
      <c r="S1370" s="17"/>
      <c r="T1370" s="16"/>
    </row>
    <row r="1371">
      <c r="A1371" s="71"/>
      <c r="B1371" s="17"/>
      <c r="C1371" s="17"/>
      <c r="D1371" s="17"/>
      <c r="E1371" s="31"/>
      <c r="F1371" s="17"/>
      <c r="G1371" s="17"/>
      <c r="H1371" s="51"/>
      <c r="I1371" s="17"/>
      <c r="J1371" s="17"/>
      <c r="K1371" s="13"/>
      <c r="L1371" s="17"/>
      <c r="M1371" s="17"/>
      <c r="N1371" s="17"/>
      <c r="O1371" s="17"/>
      <c r="P1371" s="18"/>
      <c r="Q1371" s="17"/>
      <c r="R1371" s="17"/>
      <c r="S1371" s="17"/>
      <c r="T1371" s="16"/>
    </row>
    <row r="1372">
      <c r="A1372" s="71"/>
      <c r="B1372" s="17"/>
      <c r="C1372" s="17"/>
      <c r="D1372" s="17"/>
      <c r="E1372" s="31"/>
      <c r="F1372" s="17"/>
      <c r="G1372" s="17"/>
      <c r="H1372" s="51"/>
      <c r="I1372" s="17"/>
      <c r="J1372" s="17"/>
      <c r="K1372" s="13"/>
      <c r="L1372" s="17"/>
      <c r="M1372" s="17"/>
      <c r="N1372" s="17"/>
      <c r="O1372" s="17"/>
      <c r="P1372" s="18"/>
      <c r="Q1372" s="17"/>
      <c r="R1372" s="17"/>
      <c r="S1372" s="17"/>
      <c r="T1372" s="16"/>
    </row>
    <row r="1373">
      <c r="A1373" s="71"/>
      <c r="B1373" s="17"/>
      <c r="C1373" s="17"/>
      <c r="D1373" s="17"/>
      <c r="E1373" s="31"/>
      <c r="F1373" s="17"/>
      <c r="G1373" s="17"/>
      <c r="H1373" s="51"/>
      <c r="I1373" s="17"/>
      <c r="J1373" s="17"/>
      <c r="K1373" s="13"/>
      <c r="L1373" s="17"/>
      <c r="M1373" s="17"/>
      <c r="N1373" s="17"/>
      <c r="O1373" s="17"/>
      <c r="P1373" s="18"/>
      <c r="Q1373" s="17"/>
      <c r="R1373" s="17"/>
      <c r="S1373" s="17"/>
      <c r="T1373" s="16"/>
    </row>
    <row r="1374">
      <c r="A1374" s="71"/>
      <c r="B1374" s="17"/>
      <c r="C1374" s="17"/>
      <c r="D1374" s="17"/>
      <c r="E1374" s="31"/>
      <c r="F1374" s="17"/>
      <c r="G1374" s="17"/>
      <c r="H1374" s="51"/>
      <c r="I1374" s="17"/>
      <c r="J1374" s="17"/>
      <c r="K1374" s="13"/>
      <c r="L1374" s="17"/>
      <c r="M1374" s="17"/>
      <c r="N1374" s="17"/>
      <c r="O1374" s="17"/>
      <c r="P1374" s="18"/>
      <c r="Q1374" s="17"/>
      <c r="R1374" s="17"/>
      <c r="S1374" s="17"/>
      <c r="T1374" s="16"/>
    </row>
    <row r="1375">
      <c r="A1375" s="71"/>
      <c r="B1375" s="17"/>
      <c r="C1375" s="17"/>
      <c r="D1375" s="17"/>
      <c r="E1375" s="31"/>
      <c r="F1375" s="17"/>
      <c r="G1375" s="17"/>
      <c r="H1375" s="51"/>
      <c r="I1375" s="17"/>
      <c r="J1375" s="17"/>
      <c r="K1375" s="13"/>
      <c r="L1375" s="17"/>
      <c r="M1375" s="17"/>
      <c r="N1375" s="17"/>
      <c r="O1375" s="17"/>
      <c r="P1375" s="18"/>
      <c r="Q1375" s="17"/>
      <c r="R1375" s="17"/>
      <c r="S1375" s="17"/>
      <c r="T1375" s="16"/>
    </row>
    <row r="1376">
      <c r="A1376" s="71"/>
      <c r="B1376" s="17"/>
      <c r="C1376" s="17"/>
      <c r="D1376" s="17"/>
      <c r="E1376" s="31"/>
      <c r="F1376" s="17"/>
      <c r="G1376" s="17"/>
      <c r="H1376" s="51"/>
      <c r="I1376" s="17"/>
      <c r="J1376" s="17"/>
      <c r="K1376" s="13"/>
      <c r="L1376" s="17"/>
      <c r="M1376" s="17"/>
      <c r="N1376" s="17"/>
      <c r="O1376" s="17"/>
      <c r="P1376" s="18"/>
      <c r="Q1376" s="17"/>
      <c r="R1376" s="17"/>
      <c r="S1376" s="17"/>
      <c r="T1376" s="16"/>
    </row>
    <row r="1377">
      <c r="A1377" s="71"/>
      <c r="B1377" s="17"/>
      <c r="C1377" s="17"/>
      <c r="D1377" s="17"/>
      <c r="E1377" s="31"/>
      <c r="F1377" s="17"/>
      <c r="G1377" s="17"/>
      <c r="H1377" s="51"/>
      <c r="I1377" s="17"/>
      <c r="J1377" s="17"/>
      <c r="K1377" s="13"/>
      <c r="L1377" s="17"/>
      <c r="M1377" s="17"/>
      <c r="N1377" s="17"/>
      <c r="O1377" s="17"/>
      <c r="P1377" s="18"/>
      <c r="Q1377" s="17"/>
      <c r="R1377" s="17"/>
      <c r="S1377" s="17"/>
      <c r="T1377" s="16"/>
    </row>
    <row r="1378">
      <c r="A1378" s="71"/>
      <c r="B1378" s="17"/>
      <c r="C1378" s="17"/>
      <c r="D1378" s="17"/>
      <c r="E1378" s="31"/>
      <c r="F1378" s="17"/>
      <c r="G1378" s="17"/>
      <c r="H1378" s="51"/>
      <c r="I1378" s="17"/>
      <c r="J1378" s="17"/>
      <c r="K1378" s="13"/>
      <c r="L1378" s="17"/>
      <c r="M1378" s="17"/>
      <c r="N1378" s="17"/>
      <c r="O1378" s="17"/>
      <c r="P1378" s="18"/>
      <c r="Q1378" s="17"/>
      <c r="R1378" s="17"/>
      <c r="S1378" s="17"/>
      <c r="T1378" s="16"/>
    </row>
    <row r="1379">
      <c r="A1379" s="71"/>
      <c r="B1379" s="17"/>
      <c r="C1379" s="17"/>
      <c r="D1379" s="17"/>
      <c r="E1379" s="31"/>
      <c r="F1379" s="17"/>
      <c r="G1379" s="17"/>
      <c r="H1379" s="51"/>
      <c r="I1379" s="17"/>
      <c r="J1379" s="17"/>
      <c r="K1379" s="13"/>
      <c r="L1379" s="17"/>
      <c r="M1379" s="17"/>
      <c r="N1379" s="17"/>
      <c r="O1379" s="17"/>
      <c r="P1379" s="18"/>
      <c r="Q1379" s="17"/>
      <c r="R1379" s="17"/>
      <c r="S1379" s="17"/>
      <c r="T1379" s="16"/>
    </row>
    <row r="1380">
      <c r="A1380" s="71"/>
      <c r="B1380" s="17"/>
      <c r="C1380" s="17"/>
      <c r="D1380" s="17"/>
      <c r="E1380" s="31"/>
      <c r="F1380" s="17"/>
      <c r="G1380" s="17"/>
      <c r="H1380" s="51"/>
      <c r="I1380" s="17"/>
      <c r="J1380" s="17"/>
      <c r="K1380" s="13"/>
      <c r="L1380" s="17"/>
      <c r="M1380" s="17"/>
      <c r="N1380" s="17"/>
      <c r="O1380" s="17"/>
      <c r="P1380" s="18"/>
      <c r="Q1380" s="17"/>
      <c r="R1380" s="17"/>
      <c r="S1380" s="17"/>
      <c r="T1380" s="16"/>
    </row>
    <row r="1381">
      <c r="A1381" s="71"/>
      <c r="B1381" s="17"/>
      <c r="C1381" s="17"/>
      <c r="D1381" s="17"/>
      <c r="E1381" s="31"/>
      <c r="F1381" s="17"/>
      <c r="G1381" s="17"/>
      <c r="H1381" s="51"/>
      <c r="I1381" s="17"/>
      <c r="J1381" s="17"/>
      <c r="K1381" s="13"/>
      <c r="L1381" s="17"/>
      <c r="M1381" s="17"/>
      <c r="N1381" s="17"/>
      <c r="O1381" s="17"/>
      <c r="P1381" s="18"/>
      <c r="Q1381" s="17"/>
      <c r="R1381" s="17"/>
      <c r="S1381" s="17"/>
      <c r="T1381" s="16"/>
    </row>
    <row r="1382">
      <c r="A1382" s="71"/>
      <c r="B1382" s="17"/>
      <c r="C1382" s="17"/>
      <c r="D1382" s="17"/>
      <c r="E1382" s="31"/>
      <c r="F1382" s="17"/>
      <c r="G1382" s="17"/>
      <c r="H1382" s="51"/>
      <c r="I1382" s="17"/>
      <c r="J1382" s="17"/>
      <c r="K1382" s="13"/>
      <c r="L1382" s="17"/>
      <c r="M1382" s="17"/>
      <c r="N1382" s="17"/>
      <c r="O1382" s="17"/>
      <c r="P1382" s="18"/>
      <c r="Q1382" s="17"/>
      <c r="R1382" s="17"/>
      <c r="S1382" s="17"/>
      <c r="T1382" s="16"/>
    </row>
    <row r="1383">
      <c r="A1383" s="71"/>
      <c r="B1383" s="17"/>
      <c r="C1383" s="17"/>
      <c r="D1383" s="17"/>
      <c r="E1383" s="31"/>
      <c r="F1383" s="17"/>
      <c r="G1383" s="17"/>
      <c r="H1383" s="51"/>
      <c r="I1383" s="17"/>
      <c r="J1383" s="17"/>
      <c r="K1383" s="13"/>
      <c r="L1383" s="17"/>
      <c r="M1383" s="17"/>
      <c r="N1383" s="17"/>
      <c r="O1383" s="17"/>
      <c r="P1383" s="18"/>
      <c r="Q1383" s="17"/>
      <c r="R1383" s="17"/>
      <c r="S1383" s="17"/>
      <c r="T1383" s="16"/>
    </row>
    <row r="1384">
      <c r="A1384" s="71"/>
      <c r="B1384" s="17"/>
      <c r="C1384" s="17"/>
      <c r="D1384" s="17"/>
      <c r="E1384" s="31"/>
      <c r="F1384" s="17"/>
      <c r="G1384" s="17"/>
      <c r="H1384" s="51"/>
      <c r="I1384" s="17"/>
      <c r="J1384" s="17"/>
      <c r="K1384" s="13"/>
      <c r="L1384" s="17"/>
      <c r="M1384" s="17"/>
      <c r="N1384" s="17"/>
      <c r="O1384" s="17"/>
      <c r="P1384" s="18"/>
      <c r="Q1384" s="17"/>
      <c r="R1384" s="17"/>
      <c r="S1384" s="17"/>
      <c r="T1384" s="16"/>
    </row>
    <row r="1385">
      <c r="A1385" s="71"/>
      <c r="B1385" s="17"/>
      <c r="C1385" s="17"/>
      <c r="D1385" s="17"/>
      <c r="E1385" s="31"/>
      <c r="F1385" s="17"/>
      <c r="G1385" s="17"/>
      <c r="H1385" s="51"/>
      <c r="I1385" s="17"/>
      <c r="J1385" s="17"/>
      <c r="K1385" s="13"/>
      <c r="L1385" s="17"/>
      <c r="M1385" s="17"/>
      <c r="N1385" s="17"/>
      <c r="O1385" s="17"/>
      <c r="P1385" s="18"/>
      <c r="Q1385" s="17"/>
      <c r="R1385" s="17"/>
      <c r="S1385" s="17"/>
      <c r="T1385" s="16"/>
    </row>
    <row r="1386">
      <c r="A1386" s="71"/>
      <c r="B1386" s="17"/>
      <c r="C1386" s="17"/>
      <c r="D1386" s="17"/>
      <c r="E1386" s="31"/>
      <c r="F1386" s="17"/>
      <c r="G1386" s="17"/>
      <c r="H1386" s="51"/>
      <c r="I1386" s="17"/>
      <c r="J1386" s="17"/>
      <c r="K1386" s="13"/>
      <c r="L1386" s="17"/>
      <c r="M1386" s="17"/>
      <c r="N1386" s="17"/>
      <c r="O1386" s="17"/>
      <c r="P1386" s="18"/>
      <c r="Q1386" s="17"/>
      <c r="R1386" s="17"/>
      <c r="S1386" s="17"/>
      <c r="T1386" s="16"/>
    </row>
    <row r="1387">
      <c r="A1387" s="71"/>
      <c r="B1387" s="17"/>
      <c r="C1387" s="17"/>
      <c r="D1387" s="17"/>
      <c r="E1387" s="31"/>
      <c r="F1387" s="17"/>
      <c r="G1387" s="17"/>
      <c r="H1387" s="51"/>
      <c r="I1387" s="17"/>
      <c r="J1387" s="17"/>
      <c r="K1387" s="13"/>
      <c r="L1387" s="17"/>
      <c r="M1387" s="17"/>
      <c r="N1387" s="17"/>
      <c r="O1387" s="17"/>
      <c r="P1387" s="18"/>
      <c r="Q1387" s="17"/>
      <c r="R1387" s="17"/>
      <c r="S1387" s="17"/>
      <c r="T1387" s="16"/>
    </row>
    <row r="1388">
      <c r="A1388" s="71"/>
      <c r="B1388" s="17"/>
      <c r="C1388" s="17"/>
      <c r="D1388" s="17"/>
      <c r="E1388" s="31"/>
      <c r="F1388" s="17"/>
      <c r="G1388" s="17"/>
      <c r="H1388" s="51"/>
      <c r="I1388" s="17"/>
      <c r="J1388" s="17"/>
      <c r="K1388" s="13"/>
      <c r="L1388" s="17"/>
      <c r="M1388" s="17"/>
      <c r="N1388" s="17"/>
      <c r="O1388" s="17"/>
      <c r="P1388" s="18"/>
      <c r="Q1388" s="17"/>
      <c r="R1388" s="17"/>
      <c r="S1388" s="17"/>
      <c r="T1388" s="16"/>
    </row>
    <row r="1389">
      <c r="A1389" s="71"/>
      <c r="B1389" s="17"/>
      <c r="C1389" s="17"/>
      <c r="D1389" s="17"/>
      <c r="E1389" s="31"/>
      <c r="F1389" s="17"/>
      <c r="G1389" s="17"/>
      <c r="H1389" s="51"/>
      <c r="I1389" s="17"/>
      <c r="J1389" s="17"/>
      <c r="K1389" s="13"/>
      <c r="L1389" s="17"/>
      <c r="M1389" s="17"/>
      <c r="N1389" s="17"/>
      <c r="O1389" s="17"/>
      <c r="P1389" s="18"/>
      <c r="Q1389" s="17"/>
      <c r="R1389" s="17"/>
      <c r="S1389" s="17"/>
      <c r="T1389" s="16"/>
    </row>
    <row r="1390">
      <c r="A1390" s="71"/>
      <c r="B1390" s="17"/>
      <c r="C1390" s="17"/>
      <c r="D1390" s="17"/>
      <c r="E1390" s="31"/>
      <c r="F1390" s="17"/>
      <c r="G1390" s="17"/>
      <c r="H1390" s="51"/>
      <c r="I1390" s="17"/>
      <c r="J1390" s="17"/>
      <c r="K1390" s="13"/>
      <c r="L1390" s="17"/>
      <c r="M1390" s="17"/>
      <c r="N1390" s="17"/>
      <c r="O1390" s="17"/>
      <c r="P1390" s="18"/>
      <c r="Q1390" s="17"/>
      <c r="R1390" s="17"/>
      <c r="S1390" s="17"/>
      <c r="T1390" s="16"/>
    </row>
    <row r="1391">
      <c r="A1391" s="71"/>
      <c r="B1391" s="17"/>
      <c r="C1391" s="17"/>
      <c r="D1391" s="17"/>
      <c r="E1391" s="31"/>
      <c r="F1391" s="17"/>
      <c r="G1391" s="17"/>
      <c r="H1391" s="51"/>
      <c r="I1391" s="17"/>
      <c r="J1391" s="17"/>
      <c r="K1391" s="13"/>
      <c r="L1391" s="17"/>
      <c r="M1391" s="17"/>
      <c r="N1391" s="17"/>
      <c r="O1391" s="17"/>
      <c r="P1391" s="18"/>
      <c r="Q1391" s="17"/>
      <c r="R1391" s="17"/>
      <c r="S1391" s="17"/>
      <c r="T1391" s="16"/>
    </row>
    <row r="1392">
      <c r="A1392" s="71"/>
      <c r="B1392" s="17"/>
      <c r="C1392" s="17"/>
      <c r="D1392" s="17"/>
      <c r="E1392" s="31"/>
      <c r="F1392" s="17"/>
      <c r="G1392" s="17"/>
      <c r="H1392" s="51"/>
      <c r="I1392" s="17"/>
      <c r="J1392" s="17"/>
      <c r="K1392" s="13"/>
      <c r="L1392" s="17"/>
      <c r="M1392" s="17"/>
      <c r="N1392" s="17"/>
      <c r="O1392" s="17"/>
      <c r="P1392" s="18"/>
      <c r="Q1392" s="17"/>
      <c r="R1392" s="17"/>
      <c r="S1392" s="17"/>
      <c r="T1392" s="16"/>
    </row>
    <row r="1393">
      <c r="A1393" s="71"/>
      <c r="B1393" s="17"/>
      <c r="C1393" s="17"/>
      <c r="D1393" s="17"/>
      <c r="E1393" s="31"/>
      <c r="F1393" s="17"/>
      <c r="G1393" s="17"/>
      <c r="H1393" s="51"/>
      <c r="I1393" s="17"/>
      <c r="J1393" s="17"/>
      <c r="K1393" s="13"/>
      <c r="L1393" s="17"/>
      <c r="M1393" s="17"/>
      <c r="N1393" s="17"/>
      <c r="O1393" s="17"/>
      <c r="P1393" s="18"/>
      <c r="Q1393" s="17"/>
      <c r="R1393" s="17"/>
      <c r="S1393" s="17"/>
      <c r="T1393" s="16"/>
    </row>
    <row r="1394">
      <c r="A1394" s="71"/>
      <c r="B1394" s="17"/>
      <c r="C1394" s="17"/>
      <c r="D1394" s="17"/>
      <c r="E1394" s="31"/>
      <c r="F1394" s="17"/>
      <c r="G1394" s="17"/>
      <c r="H1394" s="51"/>
      <c r="I1394" s="17"/>
      <c r="J1394" s="17"/>
      <c r="K1394" s="13"/>
      <c r="L1394" s="17"/>
      <c r="M1394" s="17"/>
      <c r="N1394" s="17"/>
      <c r="O1394" s="17"/>
      <c r="P1394" s="18"/>
      <c r="Q1394" s="17"/>
      <c r="R1394" s="17"/>
      <c r="S1394" s="17"/>
      <c r="T1394" s="16"/>
    </row>
    <row r="1395">
      <c r="A1395" s="71"/>
      <c r="B1395" s="17"/>
      <c r="C1395" s="17"/>
      <c r="D1395" s="17"/>
      <c r="E1395" s="31"/>
      <c r="F1395" s="17"/>
      <c r="G1395" s="17"/>
      <c r="H1395" s="51"/>
      <c r="I1395" s="17"/>
      <c r="J1395" s="17"/>
      <c r="K1395" s="13"/>
      <c r="L1395" s="17"/>
      <c r="M1395" s="17"/>
      <c r="N1395" s="17"/>
      <c r="O1395" s="17"/>
      <c r="P1395" s="18"/>
      <c r="Q1395" s="17"/>
      <c r="R1395" s="17"/>
      <c r="S1395" s="17"/>
      <c r="T1395" s="16"/>
    </row>
    <row r="1396">
      <c r="A1396" s="71"/>
      <c r="B1396" s="17"/>
      <c r="C1396" s="17"/>
      <c r="D1396" s="17"/>
      <c r="E1396" s="31"/>
      <c r="F1396" s="17"/>
      <c r="G1396" s="17"/>
      <c r="H1396" s="51"/>
      <c r="I1396" s="17"/>
      <c r="J1396" s="17"/>
      <c r="K1396" s="13"/>
      <c r="L1396" s="17"/>
      <c r="M1396" s="17"/>
      <c r="N1396" s="17"/>
      <c r="O1396" s="17"/>
      <c r="P1396" s="18"/>
      <c r="Q1396" s="17"/>
      <c r="R1396" s="17"/>
      <c r="S1396" s="17"/>
      <c r="T1396" s="16"/>
    </row>
    <row r="1397">
      <c r="A1397" s="71"/>
      <c r="B1397" s="17"/>
      <c r="C1397" s="17"/>
      <c r="D1397" s="17"/>
      <c r="E1397" s="31"/>
      <c r="F1397" s="17"/>
      <c r="G1397" s="17"/>
      <c r="H1397" s="51"/>
      <c r="I1397" s="17"/>
      <c r="J1397" s="17"/>
      <c r="K1397" s="13"/>
      <c r="L1397" s="17"/>
      <c r="M1397" s="17"/>
      <c r="N1397" s="17"/>
      <c r="O1397" s="17"/>
      <c r="P1397" s="18"/>
      <c r="Q1397" s="17"/>
      <c r="R1397" s="17"/>
      <c r="S1397" s="17"/>
      <c r="T1397" s="16"/>
    </row>
    <row r="1398">
      <c r="A1398" s="71"/>
      <c r="B1398" s="17"/>
      <c r="C1398" s="17"/>
      <c r="D1398" s="17"/>
      <c r="E1398" s="31"/>
      <c r="F1398" s="17"/>
      <c r="G1398" s="17"/>
      <c r="H1398" s="51"/>
      <c r="I1398" s="17"/>
      <c r="J1398" s="17"/>
      <c r="K1398" s="13"/>
      <c r="L1398" s="17"/>
      <c r="M1398" s="17"/>
      <c r="N1398" s="17"/>
      <c r="O1398" s="17"/>
      <c r="P1398" s="18"/>
      <c r="Q1398" s="17"/>
      <c r="R1398" s="17"/>
      <c r="S1398" s="17"/>
      <c r="T1398" s="16"/>
    </row>
    <row r="1399">
      <c r="A1399" s="71"/>
      <c r="B1399" s="17"/>
      <c r="C1399" s="17"/>
      <c r="D1399" s="17"/>
      <c r="E1399" s="31"/>
      <c r="F1399" s="17"/>
      <c r="G1399" s="17"/>
      <c r="H1399" s="51"/>
      <c r="I1399" s="17"/>
      <c r="J1399" s="17"/>
      <c r="K1399" s="13"/>
      <c r="L1399" s="17"/>
      <c r="M1399" s="17"/>
      <c r="N1399" s="17"/>
      <c r="O1399" s="17"/>
      <c r="P1399" s="18"/>
      <c r="Q1399" s="17"/>
      <c r="R1399" s="17"/>
      <c r="S1399" s="17"/>
      <c r="T1399" s="16"/>
    </row>
    <row r="1400">
      <c r="A1400" s="71"/>
      <c r="B1400" s="17"/>
      <c r="C1400" s="17"/>
      <c r="D1400" s="17"/>
      <c r="E1400" s="31"/>
      <c r="F1400" s="17"/>
      <c r="G1400" s="17"/>
      <c r="H1400" s="51"/>
      <c r="I1400" s="17"/>
      <c r="J1400" s="17"/>
      <c r="K1400" s="13"/>
      <c r="L1400" s="17"/>
      <c r="M1400" s="17"/>
      <c r="N1400" s="17"/>
      <c r="O1400" s="17"/>
      <c r="P1400" s="18"/>
      <c r="Q1400" s="17"/>
      <c r="R1400" s="17"/>
      <c r="S1400" s="17"/>
      <c r="T1400" s="16"/>
    </row>
    <row r="1401">
      <c r="A1401" s="71"/>
      <c r="B1401" s="17"/>
      <c r="C1401" s="17"/>
      <c r="D1401" s="17"/>
      <c r="E1401" s="31"/>
      <c r="F1401" s="17"/>
      <c r="G1401" s="17"/>
      <c r="H1401" s="51"/>
      <c r="I1401" s="17"/>
      <c r="J1401" s="17"/>
      <c r="K1401" s="13"/>
      <c r="L1401" s="17"/>
      <c r="M1401" s="17"/>
      <c r="N1401" s="17"/>
      <c r="O1401" s="17"/>
      <c r="P1401" s="18"/>
      <c r="Q1401" s="17"/>
      <c r="R1401" s="17"/>
      <c r="S1401" s="17"/>
      <c r="T1401" s="16"/>
    </row>
    <row r="1402">
      <c r="A1402" s="71"/>
      <c r="B1402" s="17"/>
      <c r="C1402" s="17"/>
      <c r="D1402" s="17"/>
      <c r="E1402" s="31"/>
      <c r="F1402" s="17"/>
      <c r="G1402" s="17"/>
      <c r="H1402" s="51"/>
      <c r="I1402" s="17"/>
      <c r="J1402" s="17"/>
      <c r="K1402" s="13"/>
      <c r="L1402" s="17"/>
      <c r="M1402" s="17"/>
      <c r="N1402" s="17"/>
      <c r="O1402" s="17"/>
      <c r="P1402" s="18"/>
      <c r="Q1402" s="17"/>
      <c r="R1402" s="17"/>
      <c r="S1402" s="17"/>
      <c r="T1402" s="16"/>
    </row>
    <row r="1403">
      <c r="A1403" s="71"/>
      <c r="B1403" s="17"/>
      <c r="C1403" s="17"/>
      <c r="D1403" s="17"/>
      <c r="E1403" s="31"/>
      <c r="F1403" s="17"/>
      <c r="G1403" s="17"/>
      <c r="H1403" s="51"/>
      <c r="I1403" s="17"/>
      <c r="J1403" s="17"/>
      <c r="K1403" s="13"/>
      <c r="L1403" s="17"/>
      <c r="M1403" s="17"/>
      <c r="N1403" s="17"/>
      <c r="O1403" s="17"/>
      <c r="P1403" s="18"/>
      <c r="Q1403" s="17"/>
      <c r="R1403" s="17"/>
      <c r="S1403" s="17"/>
      <c r="T1403" s="16"/>
    </row>
    <row r="1404">
      <c r="A1404" s="71"/>
      <c r="B1404" s="17"/>
      <c r="C1404" s="17"/>
      <c r="D1404" s="17"/>
      <c r="E1404" s="31"/>
      <c r="F1404" s="17"/>
      <c r="G1404" s="17"/>
      <c r="H1404" s="51"/>
      <c r="I1404" s="17"/>
      <c r="J1404" s="17"/>
      <c r="K1404" s="13"/>
      <c r="L1404" s="17"/>
      <c r="M1404" s="17"/>
      <c r="N1404" s="17"/>
      <c r="O1404" s="17"/>
      <c r="P1404" s="18"/>
      <c r="Q1404" s="17"/>
      <c r="R1404" s="17"/>
      <c r="S1404" s="17"/>
      <c r="T1404" s="16"/>
    </row>
    <row r="1405">
      <c r="A1405" s="71"/>
      <c r="B1405" s="17"/>
      <c r="C1405" s="17"/>
      <c r="D1405" s="17"/>
      <c r="E1405" s="31"/>
      <c r="F1405" s="17"/>
      <c r="G1405" s="17"/>
      <c r="H1405" s="51"/>
      <c r="I1405" s="17"/>
      <c r="J1405" s="17"/>
      <c r="K1405" s="13"/>
      <c r="L1405" s="17"/>
      <c r="M1405" s="17"/>
      <c r="N1405" s="17"/>
      <c r="O1405" s="17"/>
      <c r="P1405" s="18"/>
      <c r="Q1405" s="17"/>
      <c r="R1405" s="17"/>
      <c r="S1405" s="17"/>
      <c r="T1405" s="16"/>
    </row>
    <row r="1406">
      <c r="A1406" s="71"/>
      <c r="B1406" s="17"/>
      <c r="C1406" s="17"/>
      <c r="D1406" s="17"/>
      <c r="E1406" s="31"/>
      <c r="F1406" s="17"/>
      <c r="G1406" s="17"/>
      <c r="H1406" s="51"/>
      <c r="I1406" s="17"/>
      <c r="J1406" s="17"/>
      <c r="K1406" s="13"/>
      <c r="L1406" s="17"/>
      <c r="M1406" s="17"/>
      <c r="N1406" s="17"/>
      <c r="O1406" s="17"/>
      <c r="P1406" s="18"/>
      <c r="Q1406" s="17"/>
      <c r="R1406" s="17"/>
      <c r="S1406" s="17"/>
      <c r="T1406" s="16"/>
    </row>
    <row r="1407">
      <c r="A1407" s="71"/>
      <c r="B1407" s="17"/>
      <c r="C1407" s="17"/>
      <c r="D1407" s="17"/>
      <c r="E1407" s="31"/>
      <c r="F1407" s="17"/>
      <c r="G1407" s="17"/>
      <c r="H1407" s="51"/>
      <c r="I1407" s="17"/>
      <c r="J1407" s="17"/>
      <c r="K1407" s="13"/>
      <c r="L1407" s="17"/>
      <c r="M1407" s="17"/>
      <c r="N1407" s="17"/>
      <c r="O1407" s="17"/>
      <c r="P1407" s="18"/>
      <c r="Q1407" s="17"/>
      <c r="R1407" s="17"/>
      <c r="S1407" s="17"/>
      <c r="T1407" s="16"/>
    </row>
    <row r="1408">
      <c r="A1408" s="71"/>
      <c r="B1408" s="17"/>
      <c r="C1408" s="17"/>
      <c r="D1408" s="17"/>
      <c r="E1408" s="31"/>
      <c r="F1408" s="17"/>
      <c r="G1408" s="17"/>
      <c r="H1408" s="51"/>
      <c r="I1408" s="17"/>
      <c r="J1408" s="17"/>
      <c r="K1408" s="13"/>
      <c r="L1408" s="17"/>
      <c r="M1408" s="17"/>
      <c r="N1408" s="17"/>
      <c r="O1408" s="17"/>
      <c r="P1408" s="18"/>
      <c r="Q1408" s="17"/>
      <c r="R1408" s="17"/>
      <c r="S1408" s="17"/>
      <c r="T1408" s="16"/>
    </row>
    <row r="1409">
      <c r="A1409" s="71"/>
      <c r="B1409" s="17"/>
      <c r="C1409" s="17"/>
      <c r="D1409" s="17"/>
      <c r="E1409" s="31"/>
      <c r="F1409" s="17"/>
      <c r="G1409" s="17"/>
      <c r="H1409" s="51"/>
      <c r="I1409" s="17"/>
      <c r="J1409" s="17"/>
      <c r="K1409" s="13"/>
      <c r="L1409" s="17"/>
      <c r="M1409" s="17"/>
      <c r="N1409" s="17"/>
      <c r="O1409" s="17"/>
      <c r="P1409" s="18"/>
      <c r="Q1409" s="17"/>
      <c r="R1409" s="17"/>
      <c r="S1409" s="17"/>
      <c r="T1409" s="16"/>
    </row>
    <row r="1410">
      <c r="A1410" s="71"/>
      <c r="B1410" s="17"/>
      <c r="C1410" s="17"/>
      <c r="D1410" s="17"/>
      <c r="E1410" s="31"/>
      <c r="F1410" s="17"/>
      <c r="G1410" s="17"/>
      <c r="H1410" s="51"/>
      <c r="I1410" s="17"/>
      <c r="J1410" s="17"/>
      <c r="K1410" s="13"/>
      <c r="L1410" s="17"/>
      <c r="M1410" s="17"/>
      <c r="N1410" s="17"/>
      <c r="O1410" s="17"/>
      <c r="P1410" s="18"/>
      <c r="Q1410" s="17"/>
      <c r="R1410" s="17"/>
      <c r="S1410" s="17"/>
      <c r="T1410" s="16"/>
    </row>
    <row r="1411">
      <c r="A1411" s="71"/>
      <c r="B1411" s="17"/>
      <c r="C1411" s="17"/>
      <c r="D1411" s="17"/>
      <c r="E1411" s="31"/>
      <c r="F1411" s="17"/>
      <c r="G1411" s="17"/>
      <c r="H1411" s="51"/>
      <c r="I1411" s="17"/>
      <c r="J1411" s="17"/>
      <c r="K1411" s="13"/>
      <c r="L1411" s="17"/>
      <c r="M1411" s="17"/>
      <c r="N1411" s="17"/>
      <c r="O1411" s="17"/>
      <c r="P1411" s="18"/>
      <c r="Q1411" s="17"/>
      <c r="R1411" s="17"/>
      <c r="S1411" s="17"/>
      <c r="T1411" s="16"/>
    </row>
    <row r="1412">
      <c r="A1412" s="71"/>
      <c r="B1412" s="17"/>
      <c r="C1412" s="17"/>
      <c r="D1412" s="17"/>
      <c r="E1412" s="31"/>
      <c r="F1412" s="17"/>
      <c r="G1412" s="17"/>
      <c r="H1412" s="51"/>
      <c r="I1412" s="17"/>
      <c r="J1412" s="17"/>
      <c r="K1412" s="13"/>
      <c r="L1412" s="17"/>
      <c r="M1412" s="17"/>
      <c r="N1412" s="17"/>
      <c r="O1412" s="17"/>
      <c r="P1412" s="18"/>
      <c r="Q1412" s="17"/>
      <c r="R1412" s="17"/>
      <c r="S1412" s="17"/>
      <c r="T1412" s="16"/>
    </row>
    <row r="1413">
      <c r="A1413" s="71"/>
      <c r="B1413" s="17"/>
      <c r="C1413" s="17"/>
      <c r="D1413" s="17"/>
      <c r="E1413" s="31"/>
      <c r="F1413" s="17"/>
      <c r="G1413" s="17"/>
      <c r="H1413" s="51"/>
      <c r="I1413" s="17"/>
      <c r="J1413" s="17"/>
      <c r="K1413" s="13"/>
      <c r="L1413" s="17"/>
      <c r="M1413" s="17"/>
      <c r="N1413" s="17"/>
      <c r="O1413" s="17"/>
      <c r="P1413" s="18"/>
      <c r="Q1413" s="17"/>
      <c r="R1413" s="17"/>
      <c r="S1413" s="17"/>
      <c r="T1413" s="16"/>
    </row>
    <row r="1414">
      <c r="A1414" s="71"/>
      <c r="B1414" s="17"/>
      <c r="C1414" s="17"/>
      <c r="D1414" s="17"/>
      <c r="E1414" s="31"/>
      <c r="F1414" s="17"/>
      <c r="G1414" s="17"/>
      <c r="H1414" s="51"/>
      <c r="I1414" s="17"/>
      <c r="J1414" s="17"/>
      <c r="K1414" s="13"/>
      <c r="L1414" s="17"/>
      <c r="M1414" s="17"/>
      <c r="N1414" s="17"/>
      <c r="O1414" s="17"/>
      <c r="P1414" s="18"/>
      <c r="Q1414" s="17"/>
      <c r="R1414" s="17"/>
      <c r="S1414" s="17"/>
      <c r="T1414" s="16"/>
    </row>
    <row r="1415">
      <c r="A1415" s="71"/>
      <c r="B1415" s="17"/>
      <c r="C1415" s="17"/>
      <c r="D1415" s="17"/>
      <c r="E1415" s="31"/>
      <c r="F1415" s="17"/>
      <c r="G1415" s="17"/>
      <c r="H1415" s="51"/>
      <c r="I1415" s="17"/>
      <c r="J1415" s="17"/>
      <c r="K1415" s="13"/>
      <c r="L1415" s="17"/>
      <c r="M1415" s="17"/>
      <c r="N1415" s="17"/>
      <c r="O1415" s="17"/>
      <c r="P1415" s="18"/>
      <c r="Q1415" s="17"/>
      <c r="R1415" s="17"/>
      <c r="S1415" s="17"/>
      <c r="T1415" s="16"/>
    </row>
    <row r="1416">
      <c r="A1416" s="71"/>
      <c r="B1416" s="17"/>
      <c r="C1416" s="17"/>
      <c r="D1416" s="17"/>
      <c r="E1416" s="31"/>
      <c r="F1416" s="17"/>
      <c r="G1416" s="17"/>
      <c r="H1416" s="51"/>
      <c r="I1416" s="17"/>
      <c r="J1416" s="17"/>
      <c r="K1416" s="13"/>
      <c r="L1416" s="17"/>
      <c r="M1416" s="17"/>
      <c r="N1416" s="17"/>
      <c r="O1416" s="17"/>
      <c r="P1416" s="18"/>
      <c r="Q1416" s="17"/>
      <c r="R1416" s="17"/>
      <c r="S1416" s="17"/>
      <c r="T1416" s="16"/>
    </row>
    <row r="1417">
      <c r="A1417" s="71"/>
      <c r="B1417" s="17"/>
      <c r="C1417" s="17"/>
      <c r="D1417" s="17"/>
      <c r="E1417" s="31"/>
      <c r="F1417" s="17"/>
      <c r="G1417" s="17"/>
      <c r="H1417" s="51"/>
      <c r="I1417" s="17"/>
      <c r="J1417" s="17"/>
      <c r="K1417" s="13"/>
      <c r="L1417" s="17"/>
      <c r="M1417" s="17"/>
      <c r="N1417" s="17"/>
      <c r="O1417" s="17"/>
      <c r="P1417" s="18"/>
      <c r="Q1417" s="17"/>
      <c r="R1417" s="17"/>
      <c r="S1417" s="17"/>
      <c r="T1417" s="16"/>
    </row>
    <row r="1418">
      <c r="A1418" s="71"/>
      <c r="B1418" s="17"/>
      <c r="C1418" s="17"/>
      <c r="D1418" s="17"/>
      <c r="E1418" s="31"/>
      <c r="F1418" s="17"/>
      <c r="G1418" s="17"/>
      <c r="H1418" s="51"/>
      <c r="I1418" s="17"/>
      <c r="J1418" s="17"/>
      <c r="K1418" s="13"/>
      <c r="L1418" s="17"/>
      <c r="M1418" s="17"/>
      <c r="N1418" s="17"/>
      <c r="O1418" s="17"/>
      <c r="P1418" s="18"/>
      <c r="Q1418" s="17"/>
      <c r="R1418" s="17"/>
      <c r="S1418" s="17"/>
      <c r="T1418" s="16"/>
    </row>
    <row r="1419">
      <c r="A1419" s="71"/>
      <c r="B1419" s="17"/>
      <c r="C1419" s="17"/>
      <c r="D1419" s="17"/>
      <c r="E1419" s="31"/>
      <c r="F1419" s="17"/>
      <c r="G1419" s="17"/>
      <c r="H1419" s="51"/>
      <c r="I1419" s="17"/>
      <c r="J1419" s="17"/>
      <c r="K1419" s="13"/>
      <c r="L1419" s="17"/>
      <c r="M1419" s="17"/>
      <c r="N1419" s="17"/>
      <c r="O1419" s="17"/>
      <c r="P1419" s="18"/>
      <c r="Q1419" s="17"/>
      <c r="R1419" s="17"/>
      <c r="S1419" s="17"/>
      <c r="T1419" s="16"/>
    </row>
    <row r="1420">
      <c r="A1420" s="71"/>
      <c r="B1420" s="17"/>
      <c r="C1420" s="17"/>
      <c r="D1420" s="17"/>
      <c r="E1420" s="31"/>
      <c r="F1420" s="17"/>
      <c r="G1420" s="17"/>
      <c r="H1420" s="51"/>
      <c r="I1420" s="17"/>
      <c r="J1420" s="17"/>
      <c r="K1420" s="13"/>
      <c r="L1420" s="17"/>
      <c r="M1420" s="17"/>
      <c r="N1420" s="17"/>
      <c r="O1420" s="17"/>
      <c r="P1420" s="18"/>
      <c r="Q1420" s="17"/>
      <c r="R1420" s="17"/>
      <c r="S1420" s="17"/>
      <c r="T1420" s="16"/>
    </row>
    <row r="1421">
      <c r="A1421" s="71"/>
      <c r="B1421" s="17"/>
      <c r="C1421" s="17"/>
      <c r="D1421" s="17"/>
      <c r="E1421" s="31"/>
      <c r="F1421" s="17"/>
      <c r="G1421" s="17"/>
      <c r="H1421" s="51"/>
      <c r="I1421" s="17"/>
      <c r="J1421" s="17"/>
      <c r="K1421" s="13"/>
      <c r="L1421" s="17"/>
      <c r="M1421" s="17"/>
      <c r="N1421" s="17"/>
      <c r="O1421" s="17"/>
      <c r="P1421" s="18"/>
      <c r="Q1421" s="17"/>
      <c r="R1421" s="17"/>
      <c r="S1421" s="17"/>
      <c r="T1421" s="16"/>
    </row>
    <row r="1422">
      <c r="A1422" s="71"/>
      <c r="B1422" s="17"/>
      <c r="C1422" s="17"/>
      <c r="D1422" s="17"/>
      <c r="E1422" s="31"/>
      <c r="F1422" s="17"/>
      <c r="G1422" s="17"/>
      <c r="H1422" s="51"/>
      <c r="I1422" s="17"/>
      <c r="J1422" s="17"/>
      <c r="K1422" s="13"/>
      <c r="L1422" s="17"/>
      <c r="M1422" s="17"/>
      <c r="N1422" s="17"/>
      <c r="O1422" s="17"/>
      <c r="P1422" s="18"/>
      <c r="Q1422" s="17"/>
      <c r="R1422" s="17"/>
      <c r="S1422" s="17"/>
      <c r="T1422" s="16"/>
    </row>
    <row r="1423">
      <c r="A1423" s="71"/>
      <c r="B1423" s="17"/>
      <c r="C1423" s="17"/>
      <c r="D1423" s="17"/>
      <c r="E1423" s="31"/>
      <c r="F1423" s="17"/>
      <c r="G1423" s="17"/>
      <c r="H1423" s="51"/>
      <c r="I1423" s="17"/>
      <c r="J1423" s="17"/>
      <c r="K1423" s="13"/>
      <c r="L1423" s="17"/>
      <c r="M1423" s="17"/>
      <c r="N1423" s="17"/>
      <c r="O1423" s="17"/>
      <c r="P1423" s="18"/>
      <c r="Q1423" s="17"/>
      <c r="R1423" s="17"/>
      <c r="S1423" s="17"/>
      <c r="T1423" s="16"/>
    </row>
    <row r="1424">
      <c r="A1424" s="71"/>
      <c r="B1424" s="17"/>
      <c r="C1424" s="17"/>
      <c r="D1424" s="17"/>
      <c r="E1424" s="31"/>
      <c r="F1424" s="17"/>
      <c r="G1424" s="17"/>
      <c r="H1424" s="51"/>
      <c r="I1424" s="17"/>
      <c r="J1424" s="17"/>
      <c r="K1424" s="13"/>
      <c r="L1424" s="17"/>
      <c r="M1424" s="17"/>
      <c r="N1424" s="17"/>
      <c r="O1424" s="17"/>
      <c r="P1424" s="18"/>
      <c r="Q1424" s="17"/>
      <c r="R1424" s="17"/>
      <c r="S1424" s="17"/>
      <c r="T1424" s="16"/>
    </row>
    <row r="1425">
      <c r="A1425" s="71"/>
      <c r="B1425" s="17"/>
      <c r="C1425" s="17"/>
      <c r="D1425" s="17"/>
      <c r="E1425" s="31"/>
      <c r="F1425" s="17"/>
      <c r="G1425" s="17"/>
      <c r="H1425" s="51"/>
      <c r="I1425" s="17"/>
      <c r="J1425" s="17"/>
      <c r="K1425" s="13"/>
      <c r="L1425" s="17"/>
      <c r="M1425" s="17"/>
      <c r="N1425" s="17"/>
      <c r="O1425" s="17"/>
      <c r="P1425" s="18"/>
      <c r="Q1425" s="17"/>
      <c r="R1425" s="17"/>
      <c r="S1425" s="17"/>
      <c r="T1425" s="16"/>
    </row>
    <row r="1426">
      <c r="A1426" s="71"/>
      <c r="B1426" s="17"/>
      <c r="C1426" s="17"/>
      <c r="D1426" s="17"/>
      <c r="E1426" s="31"/>
      <c r="F1426" s="17"/>
      <c r="G1426" s="17"/>
      <c r="H1426" s="51"/>
      <c r="I1426" s="17"/>
      <c r="J1426" s="17"/>
      <c r="K1426" s="13"/>
      <c r="L1426" s="17"/>
      <c r="M1426" s="17"/>
      <c r="N1426" s="17"/>
      <c r="O1426" s="17"/>
      <c r="P1426" s="18"/>
      <c r="Q1426" s="17"/>
      <c r="R1426" s="17"/>
      <c r="S1426" s="17"/>
      <c r="T1426" s="16"/>
    </row>
    <row r="1427">
      <c r="A1427" s="71"/>
      <c r="B1427" s="17"/>
      <c r="C1427" s="17"/>
      <c r="D1427" s="17"/>
      <c r="E1427" s="31"/>
      <c r="F1427" s="17"/>
      <c r="G1427" s="17"/>
      <c r="H1427" s="51"/>
      <c r="I1427" s="17"/>
      <c r="J1427" s="17"/>
      <c r="K1427" s="13"/>
      <c r="L1427" s="17"/>
      <c r="M1427" s="17"/>
      <c r="N1427" s="17"/>
      <c r="O1427" s="17"/>
      <c r="P1427" s="18"/>
      <c r="Q1427" s="17"/>
      <c r="R1427" s="17"/>
      <c r="S1427" s="17"/>
      <c r="T1427" s="16"/>
    </row>
    <row r="1428">
      <c r="A1428" s="71"/>
      <c r="B1428" s="17"/>
      <c r="C1428" s="17"/>
      <c r="D1428" s="17"/>
      <c r="E1428" s="31"/>
      <c r="F1428" s="17"/>
      <c r="G1428" s="17"/>
      <c r="H1428" s="51"/>
      <c r="I1428" s="17"/>
      <c r="J1428" s="17"/>
      <c r="K1428" s="13"/>
      <c r="L1428" s="17"/>
      <c r="M1428" s="17"/>
      <c r="N1428" s="17"/>
      <c r="O1428" s="17"/>
      <c r="P1428" s="18"/>
      <c r="Q1428" s="17"/>
      <c r="R1428" s="17"/>
      <c r="S1428" s="17"/>
      <c r="T1428" s="16"/>
    </row>
    <row r="1429">
      <c r="A1429" s="71"/>
      <c r="B1429" s="17"/>
      <c r="C1429" s="17"/>
      <c r="D1429" s="17"/>
      <c r="E1429" s="31"/>
      <c r="F1429" s="17"/>
      <c r="G1429" s="17"/>
      <c r="H1429" s="51"/>
      <c r="I1429" s="17"/>
      <c r="J1429" s="17"/>
      <c r="K1429" s="13"/>
      <c r="L1429" s="17"/>
      <c r="M1429" s="17"/>
      <c r="N1429" s="17"/>
      <c r="O1429" s="17"/>
      <c r="P1429" s="18"/>
      <c r="Q1429" s="17"/>
      <c r="R1429" s="17"/>
      <c r="S1429" s="17"/>
      <c r="T1429" s="16"/>
    </row>
    <row r="1430">
      <c r="A1430" s="71"/>
      <c r="B1430" s="17"/>
      <c r="C1430" s="17"/>
      <c r="D1430" s="17"/>
      <c r="E1430" s="31"/>
      <c r="F1430" s="17"/>
      <c r="G1430" s="17"/>
      <c r="H1430" s="51"/>
      <c r="I1430" s="17"/>
      <c r="J1430" s="17"/>
      <c r="K1430" s="13"/>
      <c r="L1430" s="17"/>
      <c r="M1430" s="17"/>
      <c r="N1430" s="17"/>
      <c r="O1430" s="17"/>
      <c r="P1430" s="18"/>
      <c r="Q1430" s="17"/>
      <c r="R1430" s="17"/>
      <c r="S1430" s="17"/>
      <c r="T1430" s="16"/>
    </row>
    <row r="1431">
      <c r="A1431" s="71"/>
      <c r="B1431" s="17"/>
      <c r="C1431" s="17"/>
      <c r="D1431" s="17"/>
      <c r="E1431" s="31"/>
      <c r="F1431" s="17"/>
      <c r="G1431" s="17"/>
      <c r="H1431" s="51"/>
      <c r="I1431" s="17"/>
      <c r="J1431" s="17"/>
      <c r="K1431" s="13"/>
      <c r="L1431" s="17"/>
      <c r="M1431" s="17"/>
      <c r="N1431" s="17"/>
      <c r="O1431" s="17"/>
      <c r="P1431" s="18"/>
      <c r="Q1431" s="17"/>
      <c r="R1431" s="17"/>
      <c r="S1431" s="17"/>
      <c r="T1431" s="16"/>
    </row>
    <row r="1432">
      <c r="A1432" s="71"/>
      <c r="B1432" s="17"/>
      <c r="C1432" s="17"/>
      <c r="D1432" s="17"/>
      <c r="E1432" s="31"/>
      <c r="F1432" s="17"/>
      <c r="G1432" s="17"/>
      <c r="H1432" s="51"/>
      <c r="I1432" s="17"/>
      <c r="J1432" s="17"/>
      <c r="K1432" s="13"/>
      <c r="L1432" s="17"/>
      <c r="M1432" s="17"/>
      <c r="N1432" s="17"/>
      <c r="O1432" s="17"/>
      <c r="P1432" s="18"/>
      <c r="Q1432" s="17"/>
      <c r="R1432" s="17"/>
      <c r="S1432" s="17"/>
      <c r="T1432" s="16"/>
    </row>
    <row r="1433">
      <c r="A1433" s="71"/>
      <c r="B1433" s="17"/>
      <c r="C1433" s="17"/>
      <c r="D1433" s="17"/>
      <c r="E1433" s="31"/>
      <c r="F1433" s="17"/>
      <c r="G1433" s="17"/>
      <c r="H1433" s="51"/>
      <c r="I1433" s="17"/>
      <c r="J1433" s="17"/>
      <c r="K1433" s="13"/>
      <c r="L1433" s="17"/>
      <c r="M1433" s="17"/>
      <c r="N1433" s="17"/>
      <c r="O1433" s="17"/>
      <c r="P1433" s="18"/>
      <c r="Q1433" s="17"/>
      <c r="R1433" s="17"/>
      <c r="S1433" s="17"/>
      <c r="T1433" s="16"/>
    </row>
    <row r="1434">
      <c r="A1434" s="71"/>
      <c r="B1434" s="17"/>
      <c r="C1434" s="17"/>
      <c r="D1434" s="17"/>
      <c r="E1434" s="31"/>
      <c r="F1434" s="17"/>
      <c r="G1434" s="17"/>
      <c r="H1434" s="51"/>
      <c r="I1434" s="17"/>
      <c r="J1434" s="17"/>
      <c r="K1434" s="13"/>
      <c r="L1434" s="17"/>
      <c r="M1434" s="17"/>
      <c r="N1434" s="17"/>
      <c r="O1434" s="17"/>
      <c r="P1434" s="18"/>
      <c r="Q1434" s="17"/>
      <c r="R1434" s="17"/>
      <c r="S1434" s="17"/>
      <c r="T1434" s="16"/>
    </row>
    <row r="1435">
      <c r="A1435" s="71"/>
      <c r="B1435" s="17"/>
      <c r="C1435" s="17"/>
      <c r="D1435" s="17"/>
      <c r="E1435" s="31"/>
      <c r="F1435" s="17"/>
      <c r="G1435" s="17"/>
      <c r="H1435" s="51"/>
      <c r="I1435" s="17"/>
      <c r="J1435" s="17"/>
      <c r="K1435" s="13"/>
      <c r="L1435" s="17"/>
      <c r="M1435" s="17"/>
      <c r="N1435" s="17"/>
      <c r="O1435" s="17"/>
      <c r="P1435" s="18"/>
      <c r="Q1435" s="17"/>
      <c r="R1435" s="17"/>
      <c r="S1435" s="17"/>
      <c r="T1435" s="16"/>
    </row>
    <row r="1436">
      <c r="A1436" s="71"/>
      <c r="B1436" s="17"/>
      <c r="C1436" s="17"/>
      <c r="D1436" s="17"/>
      <c r="E1436" s="31"/>
      <c r="F1436" s="17"/>
      <c r="G1436" s="17"/>
      <c r="H1436" s="51"/>
      <c r="I1436" s="17"/>
      <c r="J1436" s="17"/>
      <c r="K1436" s="13"/>
      <c r="L1436" s="17"/>
      <c r="M1436" s="17"/>
      <c r="N1436" s="17"/>
      <c r="O1436" s="17"/>
      <c r="P1436" s="18"/>
      <c r="Q1436" s="17"/>
      <c r="R1436" s="17"/>
      <c r="S1436" s="17"/>
      <c r="T1436" s="16"/>
    </row>
    <row r="1437">
      <c r="A1437" s="71"/>
      <c r="B1437" s="17"/>
      <c r="C1437" s="17"/>
      <c r="D1437" s="17"/>
      <c r="E1437" s="31"/>
      <c r="F1437" s="17"/>
      <c r="G1437" s="17"/>
      <c r="H1437" s="51"/>
      <c r="I1437" s="17"/>
      <c r="J1437" s="17"/>
      <c r="K1437" s="13"/>
      <c r="L1437" s="17"/>
      <c r="M1437" s="17"/>
      <c r="N1437" s="17"/>
      <c r="O1437" s="17"/>
      <c r="P1437" s="18"/>
      <c r="Q1437" s="17"/>
      <c r="R1437" s="17"/>
      <c r="S1437" s="17"/>
      <c r="T1437" s="16"/>
    </row>
    <row r="1438">
      <c r="A1438" s="71"/>
      <c r="B1438" s="17"/>
      <c r="C1438" s="17"/>
      <c r="D1438" s="17"/>
      <c r="E1438" s="31"/>
      <c r="F1438" s="17"/>
      <c r="G1438" s="17"/>
      <c r="H1438" s="51"/>
      <c r="I1438" s="17"/>
      <c r="J1438" s="17"/>
      <c r="K1438" s="13"/>
      <c r="L1438" s="17"/>
      <c r="M1438" s="17"/>
      <c r="N1438" s="17"/>
      <c r="O1438" s="17"/>
      <c r="P1438" s="18"/>
      <c r="Q1438" s="17"/>
      <c r="R1438" s="17"/>
      <c r="S1438" s="17"/>
      <c r="T1438" s="16"/>
    </row>
    <row r="1439">
      <c r="A1439" s="71"/>
      <c r="B1439" s="17"/>
      <c r="C1439" s="17"/>
      <c r="D1439" s="17"/>
      <c r="E1439" s="31"/>
      <c r="F1439" s="17"/>
      <c r="G1439" s="17"/>
      <c r="H1439" s="51"/>
      <c r="I1439" s="17"/>
      <c r="J1439" s="17"/>
      <c r="K1439" s="13"/>
      <c r="L1439" s="17"/>
      <c r="M1439" s="17"/>
      <c r="N1439" s="17"/>
      <c r="O1439" s="17"/>
      <c r="P1439" s="18"/>
      <c r="Q1439" s="17"/>
      <c r="R1439" s="17"/>
      <c r="S1439" s="17"/>
      <c r="T1439" s="16"/>
    </row>
    <row r="1440">
      <c r="A1440" s="71"/>
      <c r="B1440" s="17"/>
      <c r="C1440" s="17"/>
      <c r="D1440" s="17"/>
      <c r="E1440" s="31"/>
      <c r="F1440" s="17"/>
      <c r="G1440" s="17"/>
      <c r="H1440" s="51"/>
      <c r="I1440" s="17"/>
      <c r="J1440" s="17"/>
      <c r="K1440" s="13"/>
      <c r="L1440" s="17"/>
      <c r="M1440" s="17"/>
      <c r="N1440" s="17"/>
      <c r="O1440" s="17"/>
      <c r="P1440" s="18"/>
      <c r="Q1440" s="17"/>
      <c r="R1440" s="17"/>
      <c r="S1440" s="17"/>
      <c r="T1440" s="16"/>
    </row>
    <row r="1441">
      <c r="A1441" s="71"/>
      <c r="B1441" s="17"/>
      <c r="C1441" s="17"/>
      <c r="D1441" s="17"/>
      <c r="E1441" s="31"/>
      <c r="F1441" s="17"/>
      <c r="G1441" s="17"/>
      <c r="H1441" s="51"/>
      <c r="I1441" s="17"/>
      <c r="J1441" s="17"/>
      <c r="K1441" s="13"/>
      <c r="L1441" s="17"/>
      <c r="M1441" s="17"/>
      <c r="N1441" s="17"/>
      <c r="O1441" s="17"/>
      <c r="P1441" s="18"/>
      <c r="Q1441" s="17"/>
      <c r="R1441" s="17"/>
      <c r="S1441" s="17"/>
      <c r="T1441" s="16"/>
    </row>
    <row r="1442">
      <c r="A1442" s="71"/>
      <c r="B1442" s="17"/>
      <c r="C1442" s="17"/>
      <c r="D1442" s="17"/>
      <c r="E1442" s="31"/>
      <c r="F1442" s="17"/>
      <c r="G1442" s="17"/>
      <c r="H1442" s="51"/>
      <c r="I1442" s="17"/>
      <c r="J1442" s="17"/>
      <c r="K1442" s="13"/>
      <c r="L1442" s="17"/>
      <c r="M1442" s="17"/>
      <c r="N1442" s="17"/>
      <c r="O1442" s="17"/>
      <c r="P1442" s="18"/>
      <c r="Q1442" s="17"/>
      <c r="R1442" s="17"/>
      <c r="S1442" s="17"/>
      <c r="T1442" s="16"/>
    </row>
    <row r="1443">
      <c r="A1443" s="71"/>
      <c r="B1443" s="17"/>
      <c r="C1443" s="17"/>
      <c r="D1443" s="17"/>
      <c r="E1443" s="31"/>
      <c r="F1443" s="17"/>
      <c r="G1443" s="17"/>
      <c r="H1443" s="51"/>
      <c r="I1443" s="17"/>
      <c r="J1443" s="17"/>
      <c r="K1443" s="13"/>
      <c r="L1443" s="17"/>
      <c r="M1443" s="17"/>
      <c r="N1443" s="17"/>
      <c r="O1443" s="17"/>
      <c r="P1443" s="18"/>
      <c r="Q1443" s="17"/>
      <c r="R1443" s="17"/>
      <c r="S1443" s="17"/>
      <c r="T1443" s="16"/>
    </row>
    <row r="1444">
      <c r="A1444" s="71"/>
      <c r="B1444" s="17"/>
      <c r="C1444" s="17"/>
      <c r="D1444" s="17"/>
      <c r="E1444" s="31"/>
      <c r="F1444" s="17"/>
      <c r="G1444" s="17"/>
      <c r="H1444" s="51"/>
      <c r="I1444" s="17"/>
      <c r="J1444" s="17"/>
      <c r="K1444" s="13"/>
      <c r="L1444" s="17"/>
      <c r="M1444" s="17"/>
      <c r="N1444" s="17"/>
      <c r="O1444" s="17"/>
      <c r="P1444" s="18"/>
      <c r="Q1444" s="17"/>
      <c r="R1444" s="17"/>
      <c r="S1444" s="17"/>
      <c r="T1444" s="16"/>
    </row>
    <row r="1445">
      <c r="A1445" s="71"/>
      <c r="B1445" s="17"/>
      <c r="C1445" s="17"/>
      <c r="D1445" s="17"/>
      <c r="E1445" s="31"/>
      <c r="F1445" s="17"/>
      <c r="G1445" s="17"/>
      <c r="H1445" s="51"/>
      <c r="I1445" s="17"/>
      <c r="J1445" s="17"/>
      <c r="K1445" s="13"/>
      <c r="L1445" s="17"/>
      <c r="M1445" s="17"/>
      <c r="N1445" s="17"/>
      <c r="O1445" s="17"/>
      <c r="P1445" s="18"/>
      <c r="Q1445" s="17"/>
      <c r="R1445" s="17"/>
      <c r="S1445" s="17"/>
      <c r="T1445" s="16"/>
    </row>
    <row r="1446">
      <c r="A1446" s="71"/>
      <c r="B1446" s="17"/>
      <c r="C1446" s="17"/>
      <c r="D1446" s="17"/>
      <c r="E1446" s="31"/>
      <c r="F1446" s="17"/>
      <c r="G1446" s="17"/>
      <c r="H1446" s="51"/>
      <c r="I1446" s="17"/>
      <c r="J1446" s="17"/>
      <c r="K1446" s="13"/>
      <c r="L1446" s="17"/>
      <c r="M1446" s="17"/>
      <c r="N1446" s="17"/>
      <c r="O1446" s="17"/>
      <c r="P1446" s="18"/>
      <c r="Q1446" s="17"/>
      <c r="R1446" s="17"/>
      <c r="S1446" s="17"/>
      <c r="T1446" s="16"/>
    </row>
    <row r="1447">
      <c r="A1447" s="71"/>
      <c r="B1447" s="17"/>
      <c r="C1447" s="17"/>
      <c r="D1447" s="17"/>
      <c r="E1447" s="31"/>
      <c r="F1447" s="17"/>
      <c r="G1447" s="17"/>
      <c r="H1447" s="51"/>
      <c r="I1447" s="17"/>
      <c r="J1447" s="17"/>
      <c r="K1447" s="13"/>
      <c r="L1447" s="17"/>
      <c r="M1447" s="17"/>
      <c r="N1447" s="17"/>
      <c r="O1447" s="17"/>
      <c r="P1447" s="18"/>
      <c r="Q1447" s="17"/>
      <c r="R1447" s="17"/>
      <c r="S1447" s="17"/>
      <c r="T1447" s="16"/>
    </row>
    <row r="1448">
      <c r="A1448" s="71"/>
      <c r="B1448" s="17"/>
      <c r="C1448" s="17"/>
      <c r="D1448" s="17"/>
      <c r="E1448" s="31"/>
      <c r="F1448" s="17"/>
      <c r="G1448" s="17"/>
      <c r="H1448" s="51"/>
      <c r="I1448" s="17"/>
      <c r="J1448" s="17"/>
      <c r="K1448" s="13"/>
      <c r="L1448" s="17"/>
      <c r="M1448" s="17"/>
      <c r="N1448" s="17"/>
      <c r="O1448" s="17"/>
      <c r="P1448" s="18"/>
      <c r="Q1448" s="17"/>
      <c r="R1448" s="17"/>
      <c r="S1448" s="17"/>
      <c r="T1448" s="16"/>
    </row>
    <row r="1449">
      <c r="A1449" s="71"/>
      <c r="B1449" s="17"/>
      <c r="C1449" s="17"/>
      <c r="D1449" s="17"/>
      <c r="E1449" s="31"/>
      <c r="F1449" s="17"/>
      <c r="G1449" s="17"/>
      <c r="H1449" s="51"/>
      <c r="I1449" s="17"/>
      <c r="J1449" s="17"/>
      <c r="K1449" s="13"/>
      <c r="L1449" s="17"/>
      <c r="M1449" s="17"/>
      <c r="N1449" s="17"/>
      <c r="O1449" s="17"/>
      <c r="P1449" s="18"/>
      <c r="Q1449" s="17"/>
      <c r="R1449" s="17"/>
      <c r="S1449" s="17"/>
      <c r="T1449" s="16"/>
    </row>
    <row r="1450">
      <c r="A1450" s="71"/>
      <c r="B1450" s="17"/>
      <c r="C1450" s="17"/>
      <c r="D1450" s="17"/>
      <c r="E1450" s="31"/>
      <c r="F1450" s="17"/>
      <c r="G1450" s="17"/>
      <c r="H1450" s="51"/>
      <c r="I1450" s="17"/>
      <c r="J1450" s="17"/>
      <c r="K1450" s="13"/>
      <c r="L1450" s="17"/>
      <c r="M1450" s="17"/>
      <c r="N1450" s="17"/>
      <c r="O1450" s="17"/>
      <c r="P1450" s="18"/>
      <c r="Q1450" s="17"/>
      <c r="R1450" s="17"/>
      <c r="S1450" s="17"/>
      <c r="T1450" s="16"/>
    </row>
    <row r="1451">
      <c r="A1451" s="71"/>
      <c r="B1451" s="17"/>
      <c r="C1451" s="17"/>
      <c r="D1451" s="17"/>
      <c r="E1451" s="31"/>
      <c r="F1451" s="17"/>
      <c r="G1451" s="17"/>
      <c r="H1451" s="51"/>
      <c r="I1451" s="17"/>
      <c r="J1451" s="17"/>
      <c r="K1451" s="13"/>
      <c r="L1451" s="17"/>
      <c r="M1451" s="17"/>
      <c r="N1451" s="17"/>
      <c r="O1451" s="17"/>
      <c r="P1451" s="18"/>
      <c r="Q1451" s="17"/>
      <c r="R1451" s="17"/>
      <c r="S1451" s="17"/>
      <c r="T1451" s="16"/>
    </row>
    <row r="1452">
      <c r="A1452" s="71"/>
      <c r="B1452" s="17"/>
      <c r="C1452" s="17"/>
      <c r="D1452" s="17"/>
      <c r="E1452" s="31"/>
      <c r="F1452" s="17"/>
      <c r="G1452" s="17"/>
      <c r="H1452" s="51"/>
      <c r="I1452" s="17"/>
      <c r="J1452" s="17"/>
      <c r="K1452" s="13"/>
      <c r="L1452" s="17"/>
      <c r="M1452" s="17"/>
      <c r="N1452" s="17"/>
      <c r="O1452" s="17"/>
      <c r="P1452" s="18"/>
      <c r="Q1452" s="17"/>
      <c r="R1452" s="17"/>
      <c r="S1452" s="17"/>
      <c r="T1452" s="16"/>
    </row>
    <row r="1453">
      <c r="A1453" s="71"/>
      <c r="B1453" s="17"/>
      <c r="C1453" s="17"/>
      <c r="D1453" s="17"/>
      <c r="E1453" s="31"/>
      <c r="F1453" s="17"/>
      <c r="G1453" s="17"/>
      <c r="H1453" s="51"/>
      <c r="I1453" s="17"/>
      <c r="J1453" s="17"/>
      <c r="K1453" s="13"/>
      <c r="L1453" s="17"/>
      <c r="M1453" s="17"/>
      <c r="N1453" s="17"/>
      <c r="O1453" s="17"/>
      <c r="P1453" s="18"/>
      <c r="Q1453" s="17"/>
      <c r="R1453" s="17"/>
      <c r="S1453" s="17"/>
      <c r="T1453" s="16"/>
    </row>
    <row r="1454">
      <c r="A1454" s="71"/>
      <c r="B1454" s="17"/>
      <c r="C1454" s="17"/>
      <c r="D1454" s="17"/>
      <c r="E1454" s="31"/>
      <c r="F1454" s="17"/>
      <c r="G1454" s="17"/>
      <c r="H1454" s="51"/>
      <c r="I1454" s="17"/>
      <c r="J1454" s="17"/>
      <c r="K1454" s="13"/>
      <c r="L1454" s="17"/>
      <c r="M1454" s="17"/>
      <c r="N1454" s="17"/>
      <c r="O1454" s="17"/>
      <c r="P1454" s="18"/>
      <c r="Q1454" s="17"/>
      <c r="R1454" s="17"/>
      <c r="S1454" s="17"/>
      <c r="T1454" s="16"/>
    </row>
    <row r="1455">
      <c r="A1455" s="71"/>
      <c r="B1455" s="17"/>
      <c r="C1455" s="17"/>
      <c r="D1455" s="17"/>
      <c r="E1455" s="31"/>
      <c r="F1455" s="17"/>
      <c r="G1455" s="17"/>
      <c r="H1455" s="51"/>
      <c r="I1455" s="17"/>
      <c r="J1455" s="17"/>
      <c r="K1455" s="13"/>
      <c r="L1455" s="17"/>
      <c r="M1455" s="17"/>
      <c r="N1455" s="17"/>
      <c r="O1455" s="17"/>
      <c r="P1455" s="18"/>
      <c r="Q1455" s="17"/>
      <c r="R1455" s="17"/>
      <c r="S1455" s="17"/>
      <c r="T1455" s="16"/>
    </row>
    <row r="1456">
      <c r="A1456" s="71"/>
      <c r="B1456" s="17"/>
      <c r="C1456" s="17"/>
      <c r="D1456" s="17"/>
      <c r="E1456" s="31"/>
      <c r="F1456" s="17"/>
      <c r="G1456" s="17"/>
      <c r="H1456" s="51"/>
      <c r="I1456" s="17"/>
      <c r="J1456" s="17"/>
      <c r="K1456" s="13"/>
      <c r="L1456" s="17"/>
      <c r="M1456" s="17"/>
      <c r="N1456" s="17"/>
      <c r="O1456" s="17"/>
      <c r="P1456" s="18"/>
      <c r="Q1456" s="17"/>
      <c r="R1456" s="17"/>
      <c r="S1456" s="17"/>
      <c r="T1456" s="16"/>
    </row>
    <row r="1457">
      <c r="A1457" s="71"/>
      <c r="B1457" s="17"/>
      <c r="C1457" s="17"/>
      <c r="D1457" s="17"/>
      <c r="E1457" s="31"/>
      <c r="F1457" s="17"/>
      <c r="G1457" s="17"/>
      <c r="H1457" s="51"/>
      <c r="I1457" s="17"/>
      <c r="J1457" s="17"/>
      <c r="K1457" s="13"/>
      <c r="L1457" s="17"/>
      <c r="M1457" s="17"/>
      <c r="N1457" s="17"/>
      <c r="O1457" s="17"/>
      <c r="P1457" s="18"/>
      <c r="Q1457" s="17"/>
      <c r="R1457" s="17"/>
      <c r="S1457" s="17"/>
      <c r="T1457" s="16"/>
    </row>
    <row r="1458">
      <c r="A1458" s="71"/>
      <c r="B1458" s="17"/>
      <c r="C1458" s="17"/>
      <c r="D1458" s="17"/>
      <c r="E1458" s="31"/>
      <c r="F1458" s="17"/>
      <c r="G1458" s="17"/>
      <c r="H1458" s="51"/>
      <c r="I1458" s="17"/>
      <c r="J1458" s="17"/>
      <c r="K1458" s="13"/>
      <c r="L1458" s="17"/>
      <c r="M1458" s="17"/>
      <c r="N1458" s="17"/>
      <c r="O1458" s="17"/>
      <c r="P1458" s="18"/>
      <c r="Q1458" s="17"/>
      <c r="R1458" s="17"/>
      <c r="S1458" s="17"/>
      <c r="T1458" s="16"/>
    </row>
    <row r="1459">
      <c r="A1459" s="71"/>
      <c r="B1459" s="17"/>
      <c r="C1459" s="17"/>
      <c r="D1459" s="17"/>
      <c r="E1459" s="31"/>
      <c r="F1459" s="17"/>
      <c r="G1459" s="17"/>
      <c r="H1459" s="51"/>
      <c r="I1459" s="17"/>
      <c r="J1459" s="17"/>
      <c r="K1459" s="13"/>
      <c r="L1459" s="17"/>
      <c r="M1459" s="17"/>
      <c r="N1459" s="17"/>
      <c r="O1459" s="17"/>
      <c r="P1459" s="18"/>
      <c r="Q1459" s="17"/>
      <c r="R1459" s="17"/>
      <c r="S1459" s="17"/>
      <c r="T1459" s="16"/>
    </row>
    <row r="1460">
      <c r="A1460" s="71"/>
      <c r="B1460" s="17"/>
      <c r="C1460" s="17"/>
      <c r="D1460" s="17"/>
      <c r="E1460" s="31"/>
      <c r="F1460" s="17"/>
      <c r="G1460" s="17"/>
      <c r="H1460" s="51"/>
      <c r="I1460" s="17"/>
      <c r="J1460" s="17"/>
      <c r="K1460" s="13"/>
      <c r="L1460" s="17"/>
      <c r="M1460" s="17"/>
      <c r="N1460" s="17"/>
      <c r="O1460" s="17"/>
      <c r="P1460" s="18"/>
      <c r="Q1460" s="17"/>
      <c r="R1460" s="17"/>
      <c r="S1460" s="17"/>
      <c r="T1460" s="16"/>
    </row>
    <row r="1461">
      <c r="A1461" s="71"/>
      <c r="B1461" s="17"/>
      <c r="C1461" s="17"/>
      <c r="D1461" s="17"/>
      <c r="E1461" s="31"/>
      <c r="F1461" s="17"/>
      <c r="G1461" s="17"/>
      <c r="H1461" s="51"/>
      <c r="I1461" s="17"/>
      <c r="J1461" s="17"/>
      <c r="K1461" s="13"/>
      <c r="L1461" s="17"/>
      <c r="M1461" s="17"/>
      <c r="N1461" s="17"/>
      <c r="O1461" s="17"/>
      <c r="P1461" s="18"/>
      <c r="Q1461" s="17"/>
      <c r="R1461" s="17"/>
      <c r="S1461" s="17"/>
      <c r="T1461" s="16"/>
    </row>
    <row r="1462">
      <c r="A1462" s="71"/>
      <c r="B1462" s="17"/>
      <c r="C1462" s="17"/>
      <c r="D1462" s="17"/>
      <c r="E1462" s="31"/>
      <c r="F1462" s="17"/>
      <c r="G1462" s="17"/>
      <c r="H1462" s="51"/>
      <c r="I1462" s="17"/>
      <c r="J1462" s="17"/>
      <c r="K1462" s="13"/>
      <c r="L1462" s="17"/>
      <c r="M1462" s="17"/>
      <c r="N1462" s="17"/>
      <c r="O1462" s="17"/>
      <c r="P1462" s="18"/>
      <c r="Q1462" s="17"/>
      <c r="R1462" s="17"/>
      <c r="S1462" s="17"/>
      <c r="T1462" s="16"/>
    </row>
    <row r="1463">
      <c r="A1463" s="71"/>
      <c r="B1463" s="17"/>
      <c r="C1463" s="17"/>
      <c r="D1463" s="17"/>
      <c r="E1463" s="31"/>
      <c r="F1463" s="17"/>
      <c r="G1463" s="17"/>
      <c r="H1463" s="51"/>
      <c r="I1463" s="17"/>
      <c r="J1463" s="17"/>
      <c r="K1463" s="13"/>
      <c r="L1463" s="17"/>
      <c r="M1463" s="17"/>
      <c r="N1463" s="17"/>
      <c r="O1463" s="17"/>
      <c r="P1463" s="18"/>
      <c r="Q1463" s="17"/>
      <c r="R1463" s="17"/>
      <c r="S1463" s="17"/>
      <c r="T1463" s="16"/>
    </row>
    <row r="1464">
      <c r="A1464" s="71"/>
      <c r="B1464" s="17"/>
      <c r="C1464" s="17"/>
      <c r="D1464" s="17"/>
      <c r="E1464" s="31"/>
      <c r="F1464" s="17"/>
      <c r="G1464" s="17"/>
      <c r="H1464" s="51"/>
      <c r="I1464" s="17"/>
      <c r="J1464" s="17"/>
      <c r="K1464" s="13"/>
      <c r="L1464" s="17"/>
      <c r="M1464" s="17"/>
      <c r="N1464" s="17"/>
      <c r="O1464" s="17"/>
      <c r="P1464" s="18"/>
      <c r="Q1464" s="17"/>
      <c r="R1464" s="17"/>
      <c r="S1464" s="17"/>
      <c r="T1464" s="16"/>
    </row>
    <row r="1465">
      <c r="A1465" s="71"/>
      <c r="B1465" s="17"/>
      <c r="C1465" s="17"/>
      <c r="D1465" s="17"/>
      <c r="E1465" s="31"/>
      <c r="F1465" s="17"/>
      <c r="G1465" s="17"/>
      <c r="H1465" s="51"/>
      <c r="I1465" s="17"/>
      <c r="J1465" s="17"/>
      <c r="K1465" s="13"/>
      <c r="L1465" s="17"/>
      <c r="M1465" s="17"/>
      <c r="N1465" s="17"/>
      <c r="O1465" s="17"/>
      <c r="P1465" s="18"/>
      <c r="Q1465" s="17"/>
      <c r="R1465" s="17"/>
      <c r="S1465" s="17"/>
      <c r="T1465" s="16"/>
    </row>
    <row r="1466">
      <c r="A1466" s="71"/>
      <c r="B1466" s="17"/>
      <c r="C1466" s="17"/>
      <c r="D1466" s="17"/>
      <c r="E1466" s="31"/>
      <c r="F1466" s="17"/>
      <c r="G1466" s="17"/>
      <c r="H1466" s="51"/>
      <c r="I1466" s="17"/>
      <c r="J1466" s="17"/>
      <c r="K1466" s="13"/>
      <c r="L1466" s="17"/>
      <c r="M1466" s="17"/>
      <c r="N1466" s="17"/>
      <c r="O1466" s="17"/>
      <c r="P1466" s="18"/>
      <c r="Q1466" s="17"/>
      <c r="R1466" s="17"/>
      <c r="S1466" s="17"/>
      <c r="T1466" s="16"/>
    </row>
    <row r="1467">
      <c r="A1467" s="71"/>
      <c r="B1467" s="17"/>
      <c r="C1467" s="17"/>
      <c r="D1467" s="17"/>
      <c r="E1467" s="31"/>
      <c r="F1467" s="17"/>
      <c r="G1467" s="17"/>
      <c r="H1467" s="51"/>
      <c r="I1467" s="17"/>
      <c r="J1467" s="17"/>
      <c r="K1467" s="13"/>
      <c r="L1467" s="17"/>
      <c r="M1467" s="17"/>
      <c r="N1467" s="17"/>
      <c r="O1467" s="17"/>
      <c r="P1467" s="18"/>
      <c r="Q1467" s="17"/>
      <c r="R1467" s="17"/>
      <c r="S1467" s="17"/>
      <c r="T1467" s="16"/>
    </row>
    <row r="1468">
      <c r="A1468" s="71"/>
      <c r="B1468" s="17"/>
      <c r="C1468" s="17"/>
      <c r="D1468" s="17"/>
      <c r="E1468" s="31"/>
      <c r="F1468" s="17"/>
      <c r="G1468" s="17"/>
      <c r="H1468" s="51"/>
      <c r="I1468" s="17"/>
      <c r="J1468" s="17"/>
      <c r="K1468" s="13"/>
      <c r="L1468" s="17"/>
      <c r="M1468" s="17"/>
      <c r="N1468" s="17"/>
      <c r="O1468" s="17"/>
      <c r="P1468" s="18"/>
      <c r="Q1468" s="17"/>
      <c r="R1468" s="17"/>
      <c r="S1468" s="17"/>
      <c r="T1468" s="16"/>
    </row>
    <row r="1469">
      <c r="A1469" s="71"/>
      <c r="B1469" s="17"/>
      <c r="C1469" s="17"/>
      <c r="D1469" s="17"/>
      <c r="E1469" s="31"/>
      <c r="F1469" s="17"/>
      <c r="G1469" s="17"/>
      <c r="H1469" s="51"/>
      <c r="I1469" s="17"/>
      <c r="J1469" s="17"/>
      <c r="K1469" s="13"/>
      <c r="L1469" s="17"/>
      <c r="M1469" s="17"/>
      <c r="N1469" s="17"/>
      <c r="O1469" s="17"/>
      <c r="P1469" s="18"/>
      <c r="Q1469" s="17"/>
      <c r="R1469" s="17"/>
      <c r="S1469" s="17"/>
      <c r="T1469" s="16"/>
    </row>
    <row r="1470">
      <c r="A1470" s="71"/>
      <c r="B1470" s="17"/>
      <c r="C1470" s="17"/>
      <c r="D1470" s="17"/>
      <c r="E1470" s="31"/>
      <c r="F1470" s="17"/>
      <c r="G1470" s="17"/>
      <c r="H1470" s="51"/>
      <c r="I1470" s="17"/>
      <c r="J1470" s="17"/>
      <c r="K1470" s="13"/>
      <c r="L1470" s="17"/>
      <c r="M1470" s="17"/>
      <c r="N1470" s="17"/>
      <c r="O1470" s="17"/>
      <c r="P1470" s="18"/>
      <c r="Q1470" s="17"/>
      <c r="R1470" s="17"/>
      <c r="S1470" s="17"/>
      <c r="T1470" s="16"/>
    </row>
    <row r="1471">
      <c r="A1471" s="71"/>
      <c r="B1471" s="17"/>
      <c r="C1471" s="17"/>
      <c r="D1471" s="17"/>
      <c r="E1471" s="31"/>
      <c r="F1471" s="17"/>
      <c r="G1471" s="17"/>
      <c r="H1471" s="51"/>
      <c r="I1471" s="17"/>
      <c r="J1471" s="17"/>
      <c r="K1471" s="13"/>
      <c r="L1471" s="17"/>
      <c r="M1471" s="17"/>
      <c r="N1471" s="17"/>
      <c r="O1471" s="17"/>
      <c r="P1471" s="18"/>
      <c r="Q1471" s="17"/>
      <c r="R1471" s="17"/>
      <c r="S1471" s="17"/>
      <c r="T1471" s="16"/>
    </row>
    <row r="1472">
      <c r="A1472" s="71"/>
      <c r="B1472" s="17"/>
      <c r="C1472" s="17"/>
      <c r="D1472" s="17"/>
      <c r="E1472" s="31"/>
      <c r="F1472" s="17"/>
      <c r="G1472" s="17"/>
      <c r="H1472" s="51"/>
      <c r="I1472" s="17"/>
      <c r="J1472" s="17"/>
      <c r="K1472" s="13"/>
      <c r="L1472" s="17"/>
      <c r="M1472" s="17"/>
      <c r="N1472" s="17"/>
      <c r="O1472" s="17"/>
      <c r="P1472" s="18"/>
      <c r="Q1472" s="17"/>
      <c r="R1472" s="17"/>
      <c r="S1472" s="17"/>
      <c r="T1472" s="16"/>
    </row>
    <row r="1473">
      <c r="A1473" s="71"/>
      <c r="B1473" s="17"/>
      <c r="C1473" s="17"/>
      <c r="D1473" s="17"/>
      <c r="E1473" s="31"/>
      <c r="F1473" s="17"/>
      <c r="G1473" s="17"/>
      <c r="H1473" s="51"/>
      <c r="I1473" s="17"/>
      <c r="J1473" s="17"/>
      <c r="K1473" s="13"/>
      <c r="L1473" s="17"/>
      <c r="M1473" s="17"/>
      <c r="N1473" s="17"/>
      <c r="O1473" s="17"/>
      <c r="P1473" s="18"/>
      <c r="Q1473" s="17"/>
      <c r="R1473" s="17"/>
      <c r="S1473" s="17"/>
      <c r="T1473" s="16"/>
    </row>
    <row r="1474">
      <c r="A1474" s="71"/>
      <c r="B1474" s="17"/>
      <c r="C1474" s="17"/>
      <c r="D1474" s="17"/>
      <c r="E1474" s="31"/>
      <c r="F1474" s="17"/>
      <c r="G1474" s="17"/>
      <c r="H1474" s="51"/>
      <c r="I1474" s="17"/>
      <c r="J1474" s="17"/>
      <c r="K1474" s="13"/>
      <c r="L1474" s="17"/>
      <c r="M1474" s="17"/>
      <c r="N1474" s="17"/>
      <c r="O1474" s="17"/>
      <c r="P1474" s="18"/>
      <c r="Q1474" s="17"/>
      <c r="R1474" s="17"/>
      <c r="S1474" s="17"/>
      <c r="T1474" s="16"/>
    </row>
    <row r="1475">
      <c r="A1475" s="71"/>
      <c r="B1475" s="17"/>
      <c r="C1475" s="17"/>
      <c r="D1475" s="17"/>
      <c r="E1475" s="31"/>
      <c r="F1475" s="17"/>
      <c r="G1475" s="17"/>
      <c r="H1475" s="51"/>
      <c r="I1475" s="17"/>
      <c r="J1475" s="17"/>
      <c r="K1475" s="13"/>
      <c r="L1475" s="17"/>
      <c r="M1475" s="17"/>
      <c r="N1475" s="17"/>
      <c r="O1475" s="17"/>
      <c r="P1475" s="18"/>
      <c r="Q1475" s="17"/>
      <c r="R1475" s="17"/>
      <c r="S1475" s="17"/>
      <c r="T1475" s="16"/>
    </row>
    <row r="1476">
      <c r="A1476" s="71"/>
      <c r="B1476" s="17"/>
      <c r="C1476" s="17"/>
      <c r="D1476" s="17"/>
      <c r="E1476" s="31"/>
      <c r="F1476" s="17"/>
      <c r="G1476" s="17"/>
      <c r="H1476" s="51"/>
      <c r="I1476" s="17"/>
      <c r="J1476" s="17"/>
      <c r="K1476" s="13"/>
      <c r="L1476" s="17"/>
      <c r="M1476" s="17"/>
      <c r="N1476" s="17"/>
      <c r="O1476" s="17"/>
      <c r="P1476" s="18"/>
      <c r="Q1476" s="17"/>
      <c r="R1476" s="17"/>
      <c r="S1476" s="17"/>
      <c r="T1476" s="16"/>
    </row>
    <row r="1477">
      <c r="A1477" s="71"/>
      <c r="B1477" s="17"/>
      <c r="C1477" s="17"/>
      <c r="D1477" s="17"/>
      <c r="E1477" s="31"/>
      <c r="F1477" s="17"/>
      <c r="G1477" s="17"/>
      <c r="H1477" s="51"/>
      <c r="I1477" s="17"/>
      <c r="J1477" s="17"/>
      <c r="K1477" s="13"/>
      <c r="L1477" s="17"/>
      <c r="M1477" s="17"/>
      <c r="N1477" s="17"/>
      <c r="O1477" s="17"/>
      <c r="P1477" s="18"/>
      <c r="Q1477" s="17"/>
      <c r="R1477" s="17"/>
      <c r="S1477" s="17"/>
      <c r="T1477" s="16"/>
    </row>
    <row r="1478">
      <c r="A1478" s="71"/>
      <c r="B1478" s="17"/>
      <c r="C1478" s="17"/>
      <c r="D1478" s="17"/>
      <c r="E1478" s="31"/>
      <c r="F1478" s="17"/>
      <c r="G1478" s="17"/>
      <c r="H1478" s="51"/>
      <c r="I1478" s="17"/>
      <c r="J1478" s="17"/>
      <c r="K1478" s="13"/>
      <c r="L1478" s="17"/>
      <c r="M1478" s="17"/>
      <c r="N1478" s="17"/>
      <c r="O1478" s="17"/>
      <c r="P1478" s="18"/>
      <c r="Q1478" s="17"/>
      <c r="R1478" s="17"/>
      <c r="S1478" s="17"/>
      <c r="T1478" s="16"/>
    </row>
    <row r="1479">
      <c r="A1479" s="71"/>
      <c r="B1479" s="17"/>
      <c r="C1479" s="17"/>
      <c r="D1479" s="17"/>
      <c r="E1479" s="31"/>
      <c r="F1479" s="17"/>
      <c r="G1479" s="17"/>
      <c r="H1479" s="51"/>
      <c r="I1479" s="17"/>
      <c r="J1479" s="17"/>
      <c r="K1479" s="13"/>
      <c r="L1479" s="17"/>
      <c r="M1479" s="17"/>
      <c r="N1479" s="17"/>
      <c r="O1479" s="17"/>
      <c r="P1479" s="18"/>
      <c r="Q1479" s="17"/>
      <c r="R1479" s="17"/>
      <c r="S1479" s="17"/>
      <c r="T1479" s="16"/>
    </row>
    <row r="1480">
      <c r="A1480" s="71"/>
      <c r="B1480" s="17"/>
      <c r="C1480" s="17"/>
      <c r="D1480" s="17"/>
      <c r="E1480" s="31"/>
      <c r="F1480" s="17"/>
      <c r="G1480" s="17"/>
      <c r="H1480" s="51"/>
      <c r="I1480" s="17"/>
      <c r="J1480" s="17"/>
      <c r="K1480" s="13"/>
      <c r="L1480" s="17"/>
      <c r="M1480" s="17"/>
      <c r="N1480" s="17"/>
      <c r="O1480" s="17"/>
      <c r="P1480" s="18"/>
      <c r="Q1480" s="17"/>
      <c r="R1480" s="17"/>
      <c r="S1480" s="17"/>
      <c r="T1480" s="16"/>
    </row>
    <row r="1481">
      <c r="A1481" s="71"/>
      <c r="B1481" s="17"/>
      <c r="C1481" s="17"/>
      <c r="D1481" s="17"/>
      <c r="E1481" s="31"/>
      <c r="F1481" s="17"/>
      <c r="G1481" s="17"/>
      <c r="H1481" s="51"/>
      <c r="I1481" s="17"/>
      <c r="J1481" s="17"/>
      <c r="K1481" s="13"/>
      <c r="L1481" s="17"/>
      <c r="M1481" s="17"/>
      <c r="N1481" s="17"/>
      <c r="O1481" s="17"/>
      <c r="P1481" s="18"/>
      <c r="Q1481" s="17"/>
      <c r="R1481" s="17"/>
      <c r="S1481" s="17"/>
      <c r="T1481" s="16"/>
    </row>
    <row r="1482">
      <c r="A1482" s="71"/>
      <c r="B1482" s="17"/>
      <c r="C1482" s="17"/>
      <c r="D1482" s="17"/>
      <c r="E1482" s="31"/>
      <c r="F1482" s="17"/>
      <c r="G1482" s="17"/>
      <c r="H1482" s="51"/>
      <c r="I1482" s="17"/>
      <c r="J1482" s="17"/>
      <c r="K1482" s="13"/>
      <c r="L1482" s="17"/>
      <c r="M1482" s="17"/>
      <c r="N1482" s="17"/>
      <c r="O1482" s="17"/>
      <c r="P1482" s="18"/>
      <c r="Q1482" s="17"/>
      <c r="R1482" s="17"/>
      <c r="S1482" s="17"/>
      <c r="T1482" s="16"/>
    </row>
    <row r="1483">
      <c r="A1483" s="71"/>
      <c r="B1483" s="17"/>
      <c r="C1483" s="17"/>
      <c r="D1483" s="17"/>
      <c r="E1483" s="31"/>
      <c r="F1483" s="17"/>
      <c r="G1483" s="17"/>
      <c r="H1483" s="51"/>
      <c r="I1483" s="17"/>
      <c r="J1483" s="17"/>
      <c r="K1483" s="13"/>
      <c r="L1483" s="17"/>
      <c r="M1483" s="17"/>
      <c r="N1483" s="17"/>
      <c r="O1483" s="17"/>
      <c r="P1483" s="18"/>
      <c r="Q1483" s="17"/>
      <c r="R1483" s="17"/>
      <c r="S1483" s="17"/>
      <c r="T1483" s="16"/>
    </row>
    <row r="1484">
      <c r="A1484" s="71"/>
      <c r="B1484" s="17"/>
      <c r="C1484" s="17"/>
      <c r="D1484" s="17"/>
      <c r="E1484" s="31"/>
      <c r="F1484" s="17"/>
      <c r="G1484" s="17"/>
      <c r="H1484" s="51"/>
      <c r="I1484" s="17"/>
      <c r="J1484" s="17"/>
      <c r="K1484" s="13"/>
      <c r="L1484" s="17"/>
      <c r="M1484" s="17"/>
      <c r="N1484" s="17"/>
      <c r="O1484" s="17"/>
      <c r="P1484" s="18"/>
      <c r="Q1484" s="17"/>
      <c r="R1484" s="17"/>
      <c r="S1484" s="17"/>
      <c r="T1484" s="16"/>
    </row>
    <row r="1485">
      <c r="A1485" s="71"/>
      <c r="B1485" s="17"/>
      <c r="C1485" s="17"/>
      <c r="D1485" s="17"/>
      <c r="E1485" s="31"/>
      <c r="F1485" s="17"/>
      <c r="G1485" s="17"/>
      <c r="H1485" s="51"/>
      <c r="I1485" s="17"/>
      <c r="J1485" s="17"/>
      <c r="K1485" s="13"/>
      <c r="L1485" s="17"/>
      <c r="M1485" s="17"/>
      <c r="N1485" s="17"/>
      <c r="O1485" s="17"/>
      <c r="P1485" s="18"/>
      <c r="Q1485" s="17"/>
      <c r="R1485" s="17"/>
      <c r="S1485" s="17"/>
      <c r="T1485" s="16"/>
    </row>
    <row r="1486">
      <c r="A1486" s="71"/>
      <c r="B1486" s="17"/>
      <c r="C1486" s="17"/>
      <c r="D1486" s="17"/>
      <c r="E1486" s="31"/>
      <c r="F1486" s="17"/>
      <c r="G1486" s="17"/>
      <c r="H1486" s="51"/>
      <c r="I1486" s="17"/>
      <c r="J1486" s="17"/>
      <c r="K1486" s="13"/>
      <c r="L1486" s="17"/>
      <c r="M1486" s="17"/>
      <c r="N1486" s="17"/>
      <c r="O1486" s="17"/>
      <c r="P1486" s="18"/>
      <c r="Q1486" s="17"/>
      <c r="R1486" s="17"/>
      <c r="S1486" s="17"/>
      <c r="T1486" s="16"/>
    </row>
    <row r="1487">
      <c r="A1487" s="71"/>
      <c r="B1487" s="17"/>
      <c r="C1487" s="17"/>
      <c r="D1487" s="17"/>
      <c r="E1487" s="31"/>
      <c r="F1487" s="17"/>
      <c r="G1487" s="17"/>
      <c r="H1487" s="51"/>
      <c r="I1487" s="17"/>
      <c r="J1487" s="17"/>
      <c r="K1487" s="13"/>
      <c r="L1487" s="17"/>
      <c r="M1487" s="17"/>
      <c r="N1487" s="17"/>
      <c r="O1487" s="17"/>
      <c r="P1487" s="18"/>
      <c r="Q1487" s="17"/>
      <c r="R1487" s="17"/>
      <c r="S1487" s="17"/>
      <c r="T1487" s="16"/>
    </row>
    <row r="1488">
      <c r="A1488" s="71"/>
      <c r="B1488" s="17"/>
      <c r="C1488" s="17"/>
      <c r="D1488" s="17"/>
      <c r="E1488" s="31"/>
      <c r="F1488" s="17"/>
      <c r="G1488" s="17"/>
      <c r="H1488" s="51"/>
      <c r="I1488" s="17"/>
      <c r="J1488" s="17"/>
      <c r="K1488" s="13"/>
      <c r="L1488" s="17"/>
      <c r="M1488" s="17"/>
      <c r="N1488" s="17"/>
      <c r="O1488" s="17"/>
      <c r="P1488" s="18"/>
      <c r="Q1488" s="17"/>
      <c r="R1488" s="17"/>
      <c r="S1488" s="17"/>
      <c r="T1488" s="16"/>
    </row>
    <row r="1489">
      <c r="A1489" s="71"/>
      <c r="B1489" s="17"/>
      <c r="C1489" s="17"/>
      <c r="D1489" s="17"/>
      <c r="E1489" s="31"/>
      <c r="F1489" s="17"/>
      <c r="G1489" s="17"/>
      <c r="H1489" s="51"/>
      <c r="I1489" s="17"/>
      <c r="J1489" s="17"/>
      <c r="K1489" s="13"/>
      <c r="L1489" s="17"/>
      <c r="M1489" s="17"/>
      <c r="N1489" s="17"/>
      <c r="O1489" s="17"/>
      <c r="P1489" s="18"/>
      <c r="Q1489" s="17"/>
      <c r="R1489" s="17"/>
      <c r="S1489" s="17"/>
      <c r="T1489" s="16"/>
    </row>
    <row r="1490">
      <c r="A1490" s="71"/>
      <c r="B1490" s="17"/>
      <c r="C1490" s="17"/>
      <c r="D1490" s="17"/>
      <c r="E1490" s="31"/>
      <c r="F1490" s="17"/>
      <c r="G1490" s="17"/>
      <c r="H1490" s="51"/>
      <c r="I1490" s="17"/>
      <c r="J1490" s="17"/>
      <c r="K1490" s="13"/>
      <c r="L1490" s="17"/>
      <c r="M1490" s="17"/>
      <c r="N1490" s="17"/>
      <c r="O1490" s="17"/>
      <c r="P1490" s="18"/>
      <c r="Q1490" s="17"/>
      <c r="R1490" s="17"/>
      <c r="S1490" s="17"/>
      <c r="T1490" s="16"/>
    </row>
    <row r="1491">
      <c r="A1491" s="71"/>
      <c r="B1491" s="17"/>
      <c r="C1491" s="17"/>
      <c r="D1491" s="17"/>
      <c r="E1491" s="31"/>
      <c r="F1491" s="17"/>
      <c r="G1491" s="17"/>
      <c r="H1491" s="51"/>
      <c r="I1491" s="17"/>
      <c r="J1491" s="17"/>
      <c r="K1491" s="13"/>
      <c r="L1491" s="17"/>
      <c r="M1491" s="17"/>
      <c r="N1491" s="17"/>
      <c r="O1491" s="17"/>
      <c r="P1491" s="18"/>
      <c r="Q1491" s="17"/>
      <c r="R1491" s="17"/>
      <c r="S1491" s="17"/>
      <c r="T1491" s="16"/>
    </row>
    <row r="1492">
      <c r="A1492" s="71"/>
      <c r="B1492" s="17"/>
      <c r="C1492" s="17"/>
      <c r="D1492" s="17"/>
      <c r="E1492" s="31"/>
      <c r="F1492" s="17"/>
      <c r="G1492" s="17"/>
      <c r="H1492" s="51"/>
      <c r="I1492" s="17"/>
      <c r="J1492" s="17"/>
      <c r="K1492" s="13"/>
      <c r="L1492" s="17"/>
      <c r="M1492" s="17"/>
      <c r="N1492" s="17"/>
      <c r="O1492" s="17"/>
      <c r="P1492" s="18"/>
      <c r="Q1492" s="17"/>
      <c r="R1492" s="17"/>
      <c r="S1492" s="17"/>
      <c r="T1492" s="16"/>
    </row>
    <row r="1493">
      <c r="A1493" s="71"/>
      <c r="B1493" s="17"/>
      <c r="C1493" s="17"/>
      <c r="D1493" s="17"/>
      <c r="E1493" s="31"/>
      <c r="F1493" s="17"/>
      <c r="G1493" s="17"/>
      <c r="H1493" s="51"/>
      <c r="I1493" s="17"/>
      <c r="J1493" s="17"/>
      <c r="K1493" s="13"/>
      <c r="L1493" s="17"/>
      <c r="M1493" s="17"/>
      <c r="N1493" s="17"/>
      <c r="O1493" s="17"/>
      <c r="P1493" s="18"/>
      <c r="Q1493" s="17"/>
      <c r="R1493" s="17"/>
      <c r="S1493" s="17"/>
      <c r="T1493" s="16"/>
    </row>
    <row r="1494">
      <c r="A1494" s="71"/>
      <c r="B1494" s="17"/>
      <c r="C1494" s="17"/>
      <c r="D1494" s="17"/>
      <c r="E1494" s="31"/>
      <c r="F1494" s="17"/>
      <c r="G1494" s="17"/>
      <c r="H1494" s="51"/>
      <c r="I1494" s="17"/>
      <c r="J1494" s="17"/>
      <c r="K1494" s="13"/>
      <c r="L1494" s="17"/>
      <c r="M1494" s="17"/>
      <c r="N1494" s="17"/>
      <c r="O1494" s="17"/>
      <c r="P1494" s="18"/>
      <c r="Q1494" s="17"/>
      <c r="R1494" s="17"/>
      <c r="S1494" s="17"/>
      <c r="T1494" s="16"/>
    </row>
    <row r="1495">
      <c r="A1495" s="71"/>
      <c r="B1495" s="17"/>
      <c r="C1495" s="17"/>
      <c r="D1495" s="17"/>
      <c r="E1495" s="31"/>
      <c r="F1495" s="17"/>
      <c r="G1495" s="17"/>
      <c r="H1495" s="51"/>
      <c r="I1495" s="17"/>
      <c r="J1495" s="17"/>
      <c r="K1495" s="13"/>
      <c r="L1495" s="17"/>
      <c r="M1495" s="17"/>
      <c r="N1495" s="17"/>
      <c r="O1495" s="17"/>
      <c r="P1495" s="18"/>
      <c r="Q1495" s="17"/>
      <c r="R1495" s="17"/>
      <c r="S1495" s="17"/>
      <c r="T1495" s="16"/>
    </row>
    <row r="1496">
      <c r="A1496" s="71"/>
      <c r="B1496" s="17"/>
      <c r="C1496" s="17"/>
      <c r="D1496" s="17"/>
      <c r="E1496" s="31"/>
      <c r="F1496" s="17"/>
      <c r="G1496" s="17"/>
      <c r="H1496" s="51"/>
      <c r="I1496" s="17"/>
      <c r="J1496" s="17"/>
      <c r="K1496" s="13"/>
      <c r="L1496" s="17"/>
      <c r="M1496" s="17"/>
      <c r="N1496" s="17"/>
      <c r="O1496" s="17"/>
      <c r="P1496" s="18"/>
      <c r="Q1496" s="17"/>
      <c r="R1496" s="17"/>
      <c r="S1496" s="17"/>
      <c r="T1496" s="16"/>
    </row>
    <row r="1497">
      <c r="A1497" s="71"/>
      <c r="B1497" s="17"/>
      <c r="C1497" s="17"/>
      <c r="D1497" s="17"/>
      <c r="E1497" s="31"/>
      <c r="F1497" s="17"/>
      <c r="G1497" s="17"/>
      <c r="H1497" s="51"/>
      <c r="I1497" s="17"/>
      <c r="J1497" s="17"/>
      <c r="K1497" s="13"/>
      <c r="L1497" s="17"/>
      <c r="M1497" s="17"/>
      <c r="N1497" s="17"/>
      <c r="O1497" s="17"/>
      <c r="P1497" s="18"/>
      <c r="Q1497" s="17"/>
      <c r="R1497" s="17"/>
      <c r="S1497" s="17"/>
      <c r="T1497" s="16"/>
    </row>
    <row r="1498">
      <c r="A1498" s="71"/>
      <c r="B1498" s="17"/>
      <c r="C1498" s="17"/>
      <c r="D1498" s="17"/>
      <c r="E1498" s="31"/>
      <c r="F1498" s="17"/>
      <c r="G1498" s="17"/>
      <c r="H1498" s="51"/>
      <c r="I1498" s="17"/>
      <c r="J1498" s="17"/>
      <c r="K1498" s="13"/>
      <c r="L1498" s="17"/>
      <c r="M1498" s="17"/>
      <c r="N1498" s="17"/>
      <c r="O1498" s="17"/>
      <c r="P1498" s="18"/>
      <c r="Q1498" s="17"/>
      <c r="R1498" s="17"/>
      <c r="S1498" s="17"/>
      <c r="T1498" s="16"/>
    </row>
    <row r="1499">
      <c r="A1499" s="71"/>
      <c r="B1499" s="17"/>
      <c r="C1499" s="17"/>
      <c r="D1499" s="17"/>
      <c r="E1499" s="31"/>
      <c r="F1499" s="17"/>
      <c r="G1499" s="17"/>
      <c r="H1499" s="51"/>
      <c r="I1499" s="17"/>
      <c r="J1499" s="17"/>
      <c r="K1499" s="13"/>
      <c r="L1499" s="17"/>
      <c r="M1499" s="17"/>
      <c r="N1499" s="17"/>
      <c r="O1499" s="17"/>
      <c r="P1499" s="18"/>
      <c r="Q1499" s="17"/>
      <c r="R1499" s="17"/>
      <c r="S1499" s="17"/>
      <c r="T1499" s="16"/>
    </row>
    <row r="1500">
      <c r="A1500" s="71"/>
      <c r="B1500" s="17"/>
      <c r="C1500" s="17"/>
      <c r="D1500" s="17"/>
      <c r="E1500" s="31"/>
      <c r="F1500" s="17"/>
      <c r="G1500" s="17"/>
      <c r="H1500" s="51"/>
      <c r="I1500" s="17"/>
      <c r="J1500" s="17"/>
      <c r="K1500" s="13"/>
      <c r="L1500" s="17"/>
      <c r="M1500" s="17"/>
      <c r="N1500" s="17"/>
      <c r="O1500" s="17"/>
      <c r="P1500" s="18"/>
      <c r="Q1500" s="17"/>
      <c r="R1500" s="17"/>
      <c r="S1500" s="17"/>
      <c r="T1500" s="16"/>
    </row>
    <row r="1501">
      <c r="A1501" s="71"/>
      <c r="B1501" s="17"/>
      <c r="C1501" s="17"/>
      <c r="D1501" s="17"/>
      <c r="E1501" s="31"/>
      <c r="F1501" s="17"/>
      <c r="G1501" s="17"/>
      <c r="H1501" s="51"/>
      <c r="I1501" s="17"/>
      <c r="J1501" s="17"/>
      <c r="K1501" s="13"/>
      <c r="L1501" s="17"/>
      <c r="M1501" s="17"/>
      <c r="N1501" s="17"/>
      <c r="O1501" s="17"/>
      <c r="P1501" s="18"/>
      <c r="Q1501" s="17"/>
      <c r="R1501" s="17"/>
      <c r="S1501" s="17"/>
      <c r="T1501" s="16"/>
    </row>
    <row r="1502">
      <c r="A1502" s="71"/>
      <c r="B1502" s="17"/>
      <c r="C1502" s="17"/>
      <c r="D1502" s="17"/>
      <c r="E1502" s="31"/>
      <c r="F1502" s="17"/>
      <c r="G1502" s="17"/>
      <c r="H1502" s="51"/>
      <c r="I1502" s="17"/>
      <c r="J1502" s="17"/>
      <c r="K1502" s="13"/>
      <c r="L1502" s="17"/>
      <c r="M1502" s="17"/>
      <c r="N1502" s="17"/>
      <c r="O1502" s="17"/>
      <c r="P1502" s="18"/>
      <c r="Q1502" s="17"/>
      <c r="R1502" s="17"/>
      <c r="S1502" s="17"/>
      <c r="T1502" s="16"/>
    </row>
    <row r="1503">
      <c r="A1503" s="71"/>
      <c r="B1503" s="17"/>
      <c r="C1503" s="17"/>
      <c r="D1503" s="17"/>
      <c r="E1503" s="31"/>
      <c r="F1503" s="17"/>
      <c r="G1503" s="17"/>
      <c r="H1503" s="51"/>
      <c r="I1503" s="17"/>
      <c r="J1503" s="17"/>
      <c r="K1503" s="13"/>
      <c r="L1503" s="17"/>
      <c r="M1503" s="17"/>
      <c r="N1503" s="17"/>
      <c r="O1503" s="17"/>
      <c r="P1503" s="18"/>
      <c r="Q1503" s="17"/>
      <c r="R1503" s="17"/>
      <c r="S1503" s="17"/>
      <c r="T1503" s="16"/>
    </row>
    <row r="1504">
      <c r="A1504" s="71"/>
      <c r="B1504" s="17"/>
      <c r="C1504" s="17"/>
      <c r="D1504" s="17"/>
      <c r="E1504" s="31"/>
      <c r="F1504" s="17"/>
      <c r="G1504" s="17"/>
      <c r="H1504" s="51"/>
      <c r="I1504" s="17"/>
      <c r="J1504" s="17"/>
      <c r="K1504" s="13"/>
      <c r="L1504" s="17"/>
      <c r="M1504" s="17"/>
      <c r="N1504" s="17"/>
      <c r="O1504" s="17"/>
      <c r="P1504" s="18"/>
      <c r="Q1504" s="17"/>
      <c r="R1504" s="17"/>
      <c r="S1504" s="17"/>
      <c r="T1504" s="16"/>
    </row>
    <row r="1505">
      <c r="A1505" s="71"/>
      <c r="B1505" s="17"/>
      <c r="C1505" s="17"/>
      <c r="D1505" s="17"/>
      <c r="E1505" s="31"/>
      <c r="F1505" s="17"/>
      <c r="G1505" s="17"/>
      <c r="H1505" s="51"/>
      <c r="I1505" s="17"/>
      <c r="J1505" s="17"/>
      <c r="K1505" s="13"/>
      <c r="L1505" s="17"/>
      <c r="M1505" s="17"/>
      <c r="N1505" s="17"/>
      <c r="O1505" s="17"/>
      <c r="P1505" s="18"/>
      <c r="Q1505" s="17"/>
      <c r="R1505" s="17"/>
      <c r="S1505" s="17"/>
      <c r="T1505" s="16"/>
    </row>
    <row r="1506">
      <c r="A1506" s="71"/>
      <c r="B1506" s="17"/>
      <c r="C1506" s="17"/>
      <c r="D1506" s="17"/>
      <c r="E1506" s="31"/>
      <c r="F1506" s="17"/>
      <c r="G1506" s="17"/>
      <c r="H1506" s="51"/>
      <c r="I1506" s="17"/>
      <c r="J1506" s="17"/>
      <c r="K1506" s="13"/>
      <c r="L1506" s="17"/>
      <c r="M1506" s="17"/>
      <c r="N1506" s="17"/>
      <c r="O1506" s="17"/>
      <c r="P1506" s="18"/>
      <c r="Q1506" s="17"/>
      <c r="R1506" s="17"/>
      <c r="S1506" s="17"/>
      <c r="T1506" s="16"/>
    </row>
    <row r="1507">
      <c r="A1507" s="71"/>
      <c r="B1507" s="17"/>
      <c r="C1507" s="17"/>
      <c r="D1507" s="17"/>
      <c r="E1507" s="31"/>
      <c r="F1507" s="17"/>
      <c r="G1507" s="17"/>
      <c r="H1507" s="51"/>
      <c r="I1507" s="17"/>
      <c r="J1507" s="17"/>
      <c r="K1507" s="13"/>
      <c r="L1507" s="17"/>
      <c r="M1507" s="17"/>
      <c r="N1507" s="17"/>
      <c r="O1507" s="17"/>
      <c r="P1507" s="18"/>
      <c r="Q1507" s="17"/>
      <c r="R1507" s="17"/>
      <c r="S1507" s="17"/>
      <c r="T1507" s="16"/>
    </row>
    <row r="1508">
      <c r="A1508" s="71"/>
      <c r="B1508" s="17"/>
      <c r="C1508" s="17"/>
      <c r="D1508" s="17"/>
      <c r="E1508" s="31"/>
      <c r="F1508" s="17"/>
      <c r="G1508" s="17"/>
      <c r="H1508" s="51"/>
      <c r="I1508" s="17"/>
      <c r="J1508" s="17"/>
      <c r="K1508" s="13"/>
      <c r="L1508" s="17"/>
      <c r="M1508" s="17"/>
      <c r="N1508" s="17"/>
      <c r="O1508" s="17"/>
      <c r="P1508" s="18"/>
      <c r="Q1508" s="17"/>
      <c r="R1508" s="17"/>
      <c r="S1508" s="17"/>
      <c r="T1508" s="16"/>
    </row>
    <row r="1509">
      <c r="A1509" s="71"/>
      <c r="B1509" s="17"/>
      <c r="C1509" s="17"/>
      <c r="D1509" s="17"/>
      <c r="E1509" s="31"/>
      <c r="F1509" s="17"/>
      <c r="G1509" s="17"/>
      <c r="H1509" s="51"/>
      <c r="I1509" s="17"/>
      <c r="J1509" s="17"/>
      <c r="K1509" s="13"/>
      <c r="L1509" s="17"/>
      <c r="M1509" s="17"/>
      <c r="N1509" s="17"/>
      <c r="O1509" s="17"/>
      <c r="P1509" s="18"/>
      <c r="Q1509" s="17"/>
      <c r="R1509" s="17"/>
      <c r="S1509" s="17"/>
      <c r="T1509" s="16"/>
    </row>
    <row r="1510">
      <c r="A1510" s="71"/>
      <c r="B1510" s="17"/>
      <c r="C1510" s="17"/>
      <c r="D1510" s="17"/>
      <c r="E1510" s="31"/>
      <c r="F1510" s="17"/>
      <c r="G1510" s="17"/>
      <c r="H1510" s="51"/>
      <c r="I1510" s="17"/>
      <c r="J1510" s="17"/>
      <c r="K1510" s="13"/>
      <c r="L1510" s="17"/>
      <c r="M1510" s="17"/>
      <c r="N1510" s="17"/>
      <c r="O1510" s="17"/>
      <c r="P1510" s="18"/>
      <c r="Q1510" s="17"/>
      <c r="R1510" s="17"/>
      <c r="S1510" s="17"/>
      <c r="T1510" s="16"/>
    </row>
    <row r="1511">
      <c r="A1511" s="71"/>
      <c r="B1511" s="17"/>
      <c r="C1511" s="17"/>
      <c r="D1511" s="17"/>
      <c r="E1511" s="31"/>
      <c r="F1511" s="17"/>
      <c r="G1511" s="17"/>
      <c r="H1511" s="51"/>
      <c r="I1511" s="17"/>
      <c r="J1511" s="17"/>
      <c r="K1511" s="13"/>
      <c r="L1511" s="17"/>
      <c r="M1511" s="17"/>
      <c r="N1511" s="17"/>
      <c r="O1511" s="17"/>
      <c r="P1511" s="18"/>
      <c r="Q1511" s="17"/>
      <c r="R1511" s="17"/>
      <c r="S1511" s="17"/>
      <c r="T1511" s="16"/>
    </row>
    <row r="1512">
      <c r="A1512" s="71"/>
      <c r="B1512" s="17"/>
      <c r="C1512" s="17"/>
      <c r="D1512" s="17"/>
      <c r="E1512" s="31"/>
      <c r="F1512" s="17"/>
      <c r="G1512" s="17"/>
      <c r="H1512" s="51"/>
      <c r="I1512" s="17"/>
      <c r="J1512" s="17"/>
      <c r="K1512" s="13"/>
      <c r="L1512" s="17"/>
      <c r="M1512" s="17"/>
      <c r="N1512" s="17"/>
      <c r="O1512" s="17"/>
      <c r="P1512" s="18"/>
      <c r="Q1512" s="17"/>
      <c r="R1512" s="17"/>
      <c r="S1512" s="17"/>
      <c r="T1512" s="16"/>
    </row>
    <row r="1513">
      <c r="A1513" s="71"/>
      <c r="B1513" s="17"/>
      <c r="C1513" s="17"/>
      <c r="D1513" s="17"/>
      <c r="E1513" s="31"/>
      <c r="F1513" s="17"/>
      <c r="G1513" s="17"/>
      <c r="H1513" s="51"/>
      <c r="I1513" s="17"/>
      <c r="J1513" s="17"/>
      <c r="K1513" s="13"/>
      <c r="L1513" s="17"/>
      <c r="M1513" s="17"/>
      <c r="N1513" s="17"/>
      <c r="O1513" s="17"/>
      <c r="P1513" s="18"/>
      <c r="Q1513" s="17"/>
      <c r="R1513" s="17"/>
      <c r="S1513" s="17"/>
      <c r="T1513" s="16"/>
    </row>
    <row r="1514">
      <c r="A1514" s="71"/>
      <c r="B1514" s="17"/>
      <c r="C1514" s="17"/>
      <c r="D1514" s="17"/>
      <c r="E1514" s="31"/>
      <c r="F1514" s="17"/>
      <c r="G1514" s="17"/>
      <c r="H1514" s="51"/>
      <c r="I1514" s="17"/>
      <c r="J1514" s="17"/>
      <c r="K1514" s="13"/>
      <c r="L1514" s="17"/>
      <c r="M1514" s="17"/>
      <c r="N1514" s="17"/>
      <c r="O1514" s="17"/>
      <c r="P1514" s="18"/>
      <c r="Q1514" s="17"/>
      <c r="R1514" s="17"/>
      <c r="S1514" s="17"/>
      <c r="T1514" s="16"/>
    </row>
    <row r="1515">
      <c r="A1515" s="71"/>
      <c r="B1515" s="17"/>
      <c r="C1515" s="17"/>
      <c r="D1515" s="17"/>
      <c r="E1515" s="31"/>
      <c r="F1515" s="17"/>
      <c r="G1515" s="17"/>
      <c r="H1515" s="51"/>
      <c r="I1515" s="17"/>
      <c r="J1515" s="17"/>
      <c r="K1515" s="13"/>
      <c r="L1515" s="17"/>
      <c r="M1515" s="17"/>
      <c r="N1515" s="17"/>
      <c r="O1515" s="17"/>
      <c r="P1515" s="18"/>
      <c r="Q1515" s="17"/>
      <c r="R1515" s="17"/>
      <c r="S1515" s="17"/>
      <c r="T1515" s="16"/>
    </row>
    <row r="1516">
      <c r="A1516" s="71"/>
      <c r="B1516" s="17"/>
      <c r="C1516" s="17"/>
      <c r="D1516" s="17"/>
      <c r="E1516" s="31"/>
      <c r="F1516" s="17"/>
      <c r="G1516" s="17"/>
      <c r="H1516" s="51"/>
      <c r="I1516" s="17"/>
      <c r="J1516" s="17"/>
      <c r="K1516" s="13"/>
      <c r="L1516" s="17"/>
      <c r="M1516" s="17"/>
      <c r="N1516" s="17"/>
      <c r="O1516" s="17"/>
      <c r="P1516" s="18"/>
      <c r="Q1516" s="17"/>
      <c r="R1516" s="17"/>
      <c r="S1516" s="17"/>
      <c r="T1516" s="16"/>
    </row>
    <row r="1517">
      <c r="A1517" s="71"/>
      <c r="B1517" s="17"/>
      <c r="C1517" s="17"/>
      <c r="D1517" s="17"/>
      <c r="E1517" s="31"/>
      <c r="F1517" s="17"/>
      <c r="G1517" s="17"/>
      <c r="H1517" s="51"/>
      <c r="I1517" s="17"/>
      <c r="J1517" s="17"/>
      <c r="K1517" s="13"/>
      <c r="L1517" s="17"/>
      <c r="M1517" s="17"/>
      <c r="N1517" s="17"/>
      <c r="O1517" s="17"/>
      <c r="P1517" s="18"/>
      <c r="Q1517" s="17"/>
      <c r="R1517" s="17"/>
      <c r="S1517" s="17"/>
      <c r="T1517" s="16"/>
    </row>
    <row r="1518">
      <c r="A1518" s="71"/>
      <c r="B1518" s="17"/>
      <c r="C1518" s="17"/>
      <c r="D1518" s="17"/>
      <c r="E1518" s="31"/>
      <c r="F1518" s="17"/>
      <c r="G1518" s="17"/>
      <c r="H1518" s="51"/>
      <c r="I1518" s="17"/>
      <c r="J1518" s="17"/>
      <c r="K1518" s="13"/>
      <c r="L1518" s="17"/>
      <c r="M1518" s="17"/>
      <c r="N1518" s="17"/>
      <c r="O1518" s="17"/>
      <c r="P1518" s="18"/>
      <c r="Q1518" s="17"/>
      <c r="R1518" s="17"/>
      <c r="S1518" s="17"/>
      <c r="T1518" s="16"/>
    </row>
    <row r="1519">
      <c r="A1519" s="71"/>
      <c r="B1519" s="17"/>
      <c r="C1519" s="17"/>
      <c r="D1519" s="17"/>
      <c r="E1519" s="31"/>
      <c r="F1519" s="17"/>
      <c r="G1519" s="17"/>
      <c r="H1519" s="51"/>
      <c r="I1519" s="17"/>
      <c r="J1519" s="17"/>
      <c r="K1519" s="13"/>
      <c r="L1519" s="17"/>
      <c r="M1519" s="17"/>
      <c r="N1519" s="17"/>
      <c r="O1519" s="17"/>
      <c r="P1519" s="18"/>
      <c r="Q1519" s="17"/>
      <c r="R1519" s="17"/>
      <c r="S1519" s="17"/>
      <c r="T1519" s="16"/>
    </row>
    <row r="1520">
      <c r="A1520" s="71"/>
      <c r="B1520" s="17"/>
      <c r="C1520" s="17"/>
      <c r="D1520" s="17"/>
      <c r="E1520" s="31"/>
      <c r="F1520" s="17"/>
      <c r="G1520" s="17"/>
      <c r="H1520" s="51"/>
      <c r="I1520" s="17"/>
      <c r="J1520" s="17"/>
      <c r="K1520" s="13"/>
      <c r="L1520" s="17"/>
      <c r="M1520" s="17"/>
      <c r="N1520" s="17"/>
      <c r="O1520" s="17"/>
      <c r="P1520" s="18"/>
      <c r="Q1520" s="17"/>
      <c r="R1520" s="17"/>
      <c r="S1520" s="17"/>
      <c r="T1520" s="16"/>
    </row>
    <row r="1521">
      <c r="A1521" s="71"/>
      <c r="B1521" s="17"/>
      <c r="C1521" s="17"/>
      <c r="D1521" s="17"/>
      <c r="E1521" s="31"/>
      <c r="F1521" s="17"/>
      <c r="G1521" s="17"/>
      <c r="H1521" s="51"/>
      <c r="I1521" s="17"/>
      <c r="J1521" s="17"/>
      <c r="K1521" s="13"/>
      <c r="L1521" s="17"/>
      <c r="M1521" s="17"/>
      <c r="N1521" s="17"/>
      <c r="O1521" s="17"/>
      <c r="P1521" s="18"/>
      <c r="Q1521" s="17"/>
      <c r="R1521" s="17"/>
      <c r="S1521" s="17"/>
      <c r="T1521" s="16"/>
    </row>
    <row r="1522">
      <c r="A1522" s="71"/>
      <c r="B1522" s="17"/>
      <c r="C1522" s="17"/>
      <c r="D1522" s="17"/>
      <c r="E1522" s="31"/>
      <c r="F1522" s="17"/>
      <c r="G1522" s="17"/>
      <c r="H1522" s="51"/>
      <c r="I1522" s="17"/>
      <c r="J1522" s="17"/>
      <c r="K1522" s="13"/>
      <c r="L1522" s="17"/>
      <c r="M1522" s="17"/>
      <c r="N1522" s="17"/>
      <c r="O1522" s="17"/>
      <c r="P1522" s="18"/>
      <c r="Q1522" s="17"/>
      <c r="R1522" s="17"/>
      <c r="S1522" s="17"/>
      <c r="T1522" s="16"/>
    </row>
    <row r="1523">
      <c r="A1523" s="71"/>
      <c r="B1523" s="17"/>
      <c r="C1523" s="17"/>
      <c r="D1523" s="17"/>
      <c r="E1523" s="31"/>
      <c r="F1523" s="17"/>
      <c r="G1523" s="17"/>
      <c r="H1523" s="51"/>
      <c r="I1523" s="17"/>
      <c r="J1523" s="17"/>
      <c r="K1523" s="13"/>
      <c r="L1523" s="17"/>
      <c r="M1523" s="17"/>
      <c r="N1523" s="17"/>
      <c r="O1523" s="17"/>
      <c r="P1523" s="18"/>
      <c r="Q1523" s="17"/>
      <c r="R1523" s="17"/>
      <c r="S1523" s="17"/>
      <c r="T1523" s="16"/>
    </row>
    <row r="1524">
      <c r="A1524" s="71"/>
      <c r="B1524" s="17"/>
      <c r="C1524" s="17"/>
      <c r="D1524" s="17"/>
      <c r="E1524" s="31"/>
      <c r="F1524" s="17"/>
      <c r="G1524" s="17"/>
      <c r="H1524" s="51"/>
      <c r="I1524" s="17"/>
      <c r="J1524" s="17"/>
      <c r="K1524" s="13"/>
      <c r="L1524" s="17"/>
      <c r="M1524" s="17"/>
      <c r="N1524" s="17"/>
      <c r="O1524" s="17"/>
      <c r="P1524" s="18"/>
      <c r="Q1524" s="17"/>
      <c r="R1524" s="17"/>
      <c r="S1524" s="17"/>
      <c r="T1524" s="16"/>
    </row>
    <row r="1525">
      <c r="A1525" s="71"/>
      <c r="B1525" s="17"/>
      <c r="C1525" s="17"/>
      <c r="D1525" s="17"/>
      <c r="E1525" s="31"/>
      <c r="F1525" s="17"/>
      <c r="G1525" s="17"/>
      <c r="H1525" s="51"/>
      <c r="I1525" s="17"/>
      <c r="J1525" s="17"/>
      <c r="K1525" s="13"/>
      <c r="L1525" s="17"/>
      <c r="M1525" s="17"/>
      <c r="N1525" s="17"/>
      <c r="O1525" s="17"/>
      <c r="P1525" s="18"/>
      <c r="Q1525" s="17"/>
      <c r="R1525" s="17"/>
      <c r="S1525" s="17"/>
      <c r="T1525" s="16"/>
    </row>
    <row r="1526">
      <c r="A1526" s="71"/>
      <c r="B1526" s="17"/>
      <c r="C1526" s="17"/>
      <c r="D1526" s="17"/>
      <c r="E1526" s="31"/>
      <c r="F1526" s="17"/>
      <c r="G1526" s="17"/>
      <c r="H1526" s="51"/>
      <c r="I1526" s="17"/>
      <c r="J1526" s="17"/>
      <c r="K1526" s="13"/>
      <c r="L1526" s="17"/>
      <c r="M1526" s="17"/>
      <c r="N1526" s="17"/>
      <c r="O1526" s="17"/>
      <c r="P1526" s="18"/>
      <c r="Q1526" s="17"/>
      <c r="R1526" s="17"/>
      <c r="S1526" s="17"/>
      <c r="T1526" s="16"/>
    </row>
    <row r="1527">
      <c r="A1527" s="71"/>
      <c r="B1527" s="17"/>
      <c r="C1527" s="17"/>
      <c r="D1527" s="17"/>
      <c r="E1527" s="31"/>
      <c r="F1527" s="17"/>
      <c r="G1527" s="17"/>
      <c r="H1527" s="51"/>
      <c r="I1527" s="17"/>
      <c r="J1527" s="17"/>
      <c r="K1527" s="13"/>
      <c r="L1527" s="17"/>
      <c r="M1527" s="17"/>
      <c r="N1527" s="17"/>
      <c r="O1527" s="17"/>
      <c r="P1527" s="18"/>
      <c r="Q1527" s="17"/>
      <c r="R1527" s="17"/>
      <c r="S1527" s="17"/>
      <c r="T1527" s="16"/>
    </row>
    <row r="1528">
      <c r="A1528" s="71"/>
      <c r="B1528" s="17"/>
      <c r="C1528" s="17"/>
      <c r="D1528" s="17"/>
      <c r="E1528" s="31"/>
      <c r="F1528" s="17"/>
      <c r="G1528" s="17"/>
      <c r="H1528" s="51"/>
      <c r="I1528" s="17"/>
      <c r="J1528" s="17"/>
      <c r="K1528" s="13"/>
      <c r="L1528" s="17"/>
      <c r="M1528" s="17"/>
      <c r="N1528" s="17"/>
      <c r="O1528" s="17"/>
      <c r="P1528" s="18"/>
      <c r="Q1528" s="17"/>
      <c r="R1528" s="17"/>
      <c r="S1528" s="17"/>
      <c r="T1528" s="16"/>
    </row>
    <row r="1529">
      <c r="A1529" s="71"/>
      <c r="B1529" s="17"/>
      <c r="C1529" s="17"/>
      <c r="D1529" s="17"/>
      <c r="E1529" s="31"/>
      <c r="F1529" s="17"/>
      <c r="G1529" s="17"/>
      <c r="H1529" s="51"/>
      <c r="I1529" s="17"/>
      <c r="J1529" s="17"/>
      <c r="K1529" s="13"/>
      <c r="L1529" s="17"/>
      <c r="M1529" s="17"/>
      <c r="N1529" s="17"/>
      <c r="O1529" s="17"/>
      <c r="P1529" s="18"/>
      <c r="Q1529" s="17"/>
      <c r="R1529" s="17"/>
      <c r="S1529" s="17"/>
      <c r="T1529" s="16"/>
    </row>
    <row r="1530">
      <c r="A1530" s="71"/>
      <c r="B1530" s="17"/>
      <c r="C1530" s="17"/>
      <c r="D1530" s="17"/>
      <c r="E1530" s="31"/>
      <c r="F1530" s="17"/>
      <c r="G1530" s="17"/>
      <c r="H1530" s="51"/>
      <c r="I1530" s="17"/>
      <c r="J1530" s="17"/>
      <c r="K1530" s="13"/>
      <c r="L1530" s="17"/>
      <c r="M1530" s="17"/>
      <c r="N1530" s="17"/>
      <c r="O1530" s="17"/>
      <c r="P1530" s="18"/>
      <c r="Q1530" s="17"/>
      <c r="R1530" s="17"/>
      <c r="S1530" s="17"/>
      <c r="T1530" s="16"/>
    </row>
    <row r="1531">
      <c r="A1531" s="71"/>
      <c r="B1531" s="17"/>
      <c r="C1531" s="17"/>
      <c r="D1531" s="17"/>
      <c r="E1531" s="31"/>
      <c r="F1531" s="17"/>
      <c r="G1531" s="17"/>
      <c r="H1531" s="51"/>
      <c r="I1531" s="17"/>
      <c r="J1531" s="17"/>
      <c r="K1531" s="13"/>
      <c r="L1531" s="17"/>
      <c r="M1531" s="17"/>
      <c r="N1531" s="17"/>
      <c r="O1531" s="17"/>
      <c r="P1531" s="18"/>
      <c r="Q1531" s="17"/>
      <c r="R1531" s="17"/>
      <c r="S1531" s="17"/>
      <c r="T1531" s="16"/>
    </row>
    <row r="1532">
      <c r="A1532" s="71"/>
      <c r="B1532" s="17"/>
      <c r="C1532" s="17"/>
      <c r="D1532" s="17"/>
      <c r="E1532" s="31"/>
      <c r="F1532" s="17"/>
      <c r="G1532" s="17"/>
      <c r="H1532" s="51"/>
      <c r="I1532" s="17"/>
      <c r="J1532" s="17"/>
      <c r="K1532" s="13"/>
      <c r="L1532" s="17"/>
      <c r="M1532" s="17"/>
      <c r="N1532" s="17"/>
      <c r="O1532" s="17"/>
      <c r="P1532" s="18"/>
      <c r="Q1532" s="17"/>
      <c r="R1532" s="17"/>
      <c r="S1532" s="17"/>
      <c r="T1532" s="16"/>
    </row>
    <row r="1533">
      <c r="A1533" s="71"/>
      <c r="B1533" s="17"/>
      <c r="C1533" s="17"/>
      <c r="D1533" s="17"/>
      <c r="E1533" s="31"/>
      <c r="F1533" s="17"/>
      <c r="G1533" s="17"/>
      <c r="H1533" s="51"/>
      <c r="I1533" s="17"/>
      <c r="J1533" s="17"/>
      <c r="K1533" s="13"/>
      <c r="L1533" s="17"/>
      <c r="M1533" s="17"/>
      <c r="N1533" s="17"/>
      <c r="O1533" s="17"/>
      <c r="P1533" s="18"/>
      <c r="Q1533" s="17"/>
      <c r="R1533" s="17"/>
      <c r="S1533" s="17"/>
      <c r="T1533" s="16"/>
    </row>
    <row r="1534">
      <c r="A1534" s="71"/>
      <c r="B1534" s="17"/>
      <c r="C1534" s="17"/>
      <c r="D1534" s="17"/>
      <c r="E1534" s="31"/>
      <c r="F1534" s="17"/>
      <c r="G1534" s="17"/>
      <c r="H1534" s="51"/>
      <c r="I1534" s="17"/>
      <c r="J1534" s="17"/>
      <c r="K1534" s="13"/>
      <c r="L1534" s="17"/>
      <c r="M1534" s="17"/>
      <c r="N1534" s="17"/>
      <c r="O1534" s="17"/>
      <c r="P1534" s="18"/>
      <c r="Q1534" s="17"/>
      <c r="R1534" s="17"/>
      <c r="S1534" s="17"/>
      <c r="T1534" s="16"/>
    </row>
    <row r="1535">
      <c r="A1535" s="71"/>
      <c r="B1535" s="17"/>
      <c r="C1535" s="17"/>
      <c r="D1535" s="17"/>
      <c r="E1535" s="31"/>
      <c r="F1535" s="17"/>
      <c r="G1535" s="17"/>
      <c r="H1535" s="51"/>
      <c r="I1535" s="17"/>
      <c r="J1535" s="17"/>
      <c r="K1535" s="13"/>
      <c r="L1535" s="17"/>
      <c r="M1535" s="17"/>
      <c r="N1535" s="17"/>
      <c r="O1535" s="17"/>
      <c r="P1535" s="18"/>
      <c r="Q1535" s="17"/>
      <c r="R1535" s="17"/>
      <c r="S1535" s="17"/>
      <c r="T1535" s="16"/>
    </row>
    <row r="1536">
      <c r="A1536" s="71"/>
      <c r="B1536" s="17"/>
      <c r="C1536" s="17"/>
      <c r="D1536" s="17"/>
      <c r="E1536" s="31"/>
      <c r="F1536" s="17"/>
      <c r="G1536" s="17"/>
      <c r="H1536" s="51"/>
      <c r="I1536" s="17"/>
      <c r="J1536" s="17"/>
      <c r="K1536" s="13"/>
      <c r="L1536" s="17"/>
      <c r="M1536" s="17"/>
      <c r="N1536" s="17"/>
      <c r="O1536" s="17"/>
      <c r="P1536" s="18"/>
      <c r="Q1536" s="17"/>
      <c r="R1536" s="17"/>
      <c r="S1536" s="17"/>
      <c r="T1536" s="16"/>
    </row>
    <row r="1537">
      <c r="A1537" s="71"/>
      <c r="B1537" s="17"/>
      <c r="C1537" s="17"/>
      <c r="D1537" s="17"/>
      <c r="E1537" s="31"/>
      <c r="F1537" s="17"/>
      <c r="G1537" s="17"/>
      <c r="H1537" s="51"/>
      <c r="I1537" s="17"/>
      <c r="J1537" s="17"/>
      <c r="K1537" s="13"/>
      <c r="L1537" s="17"/>
      <c r="M1537" s="17"/>
      <c r="N1537" s="17"/>
      <c r="O1537" s="17"/>
      <c r="P1537" s="18"/>
      <c r="Q1537" s="17"/>
      <c r="R1537" s="17"/>
      <c r="S1537" s="17"/>
      <c r="T1537" s="16"/>
    </row>
    <row r="1538">
      <c r="A1538" s="71"/>
      <c r="B1538" s="17"/>
      <c r="C1538" s="17"/>
      <c r="D1538" s="17"/>
      <c r="E1538" s="31"/>
      <c r="F1538" s="17"/>
      <c r="G1538" s="17"/>
      <c r="H1538" s="51"/>
      <c r="I1538" s="17"/>
      <c r="J1538" s="17"/>
      <c r="K1538" s="13"/>
      <c r="L1538" s="17"/>
      <c r="M1538" s="17"/>
      <c r="N1538" s="17"/>
      <c r="O1538" s="17"/>
      <c r="P1538" s="18"/>
      <c r="Q1538" s="17"/>
      <c r="R1538" s="17"/>
      <c r="S1538" s="17"/>
      <c r="T1538" s="16"/>
    </row>
    <row r="1539">
      <c r="A1539" s="71"/>
      <c r="B1539" s="17"/>
      <c r="C1539" s="17"/>
      <c r="D1539" s="17"/>
      <c r="E1539" s="31"/>
      <c r="F1539" s="17"/>
      <c r="G1539" s="17"/>
      <c r="H1539" s="51"/>
      <c r="I1539" s="17"/>
      <c r="J1539" s="17"/>
      <c r="K1539" s="13"/>
      <c r="L1539" s="17"/>
      <c r="M1539" s="17"/>
      <c r="N1539" s="17"/>
      <c r="O1539" s="17"/>
      <c r="P1539" s="18"/>
      <c r="Q1539" s="17"/>
      <c r="R1539" s="17"/>
      <c r="S1539" s="17"/>
      <c r="T1539" s="16"/>
    </row>
    <row r="1540">
      <c r="A1540" s="71"/>
      <c r="B1540" s="17"/>
      <c r="C1540" s="17"/>
      <c r="D1540" s="17"/>
      <c r="E1540" s="31"/>
      <c r="F1540" s="17"/>
      <c r="G1540" s="17"/>
      <c r="H1540" s="51"/>
      <c r="I1540" s="17"/>
      <c r="J1540" s="17"/>
      <c r="K1540" s="13"/>
      <c r="L1540" s="17"/>
      <c r="M1540" s="17"/>
      <c r="N1540" s="17"/>
      <c r="O1540" s="17"/>
      <c r="P1540" s="18"/>
      <c r="Q1540" s="17"/>
      <c r="R1540" s="17"/>
      <c r="S1540" s="17"/>
      <c r="T1540" s="16"/>
    </row>
    <row r="1541">
      <c r="A1541" s="71"/>
      <c r="B1541" s="17"/>
      <c r="C1541" s="17"/>
      <c r="D1541" s="17"/>
      <c r="E1541" s="31"/>
      <c r="F1541" s="17"/>
      <c r="G1541" s="17"/>
      <c r="H1541" s="51"/>
      <c r="I1541" s="17"/>
      <c r="J1541" s="17"/>
      <c r="K1541" s="13"/>
      <c r="L1541" s="17"/>
      <c r="M1541" s="17"/>
      <c r="N1541" s="17"/>
      <c r="O1541" s="17"/>
      <c r="P1541" s="18"/>
      <c r="Q1541" s="17"/>
      <c r="R1541" s="17"/>
      <c r="S1541" s="17"/>
      <c r="T1541" s="16"/>
    </row>
    <row r="1542">
      <c r="A1542" s="71"/>
      <c r="B1542" s="17"/>
      <c r="C1542" s="17"/>
      <c r="D1542" s="17"/>
      <c r="E1542" s="31"/>
      <c r="F1542" s="17"/>
      <c r="G1542" s="17"/>
      <c r="H1542" s="51"/>
      <c r="I1542" s="17"/>
      <c r="J1542" s="17"/>
      <c r="K1542" s="13"/>
      <c r="L1542" s="17"/>
      <c r="M1542" s="17"/>
      <c r="N1542" s="17"/>
      <c r="O1542" s="17"/>
      <c r="P1542" s="18"/>
      <c r="Q1542" s="17"/>
      <c r="R1542" s="17"/>
      <c r="S1542" s="17"/>
      <c r="T1542" s="16"/>
    </row>
    <row r="1543">
      <c r="A1543" s="71"/>
      <c r="B1543" s="17"/>
      <c r="C1543" s="17"/>
      <c r="D1543" s="17"/>
      <c r="E1543" s="31"/>
      <c r="F1543" s="17"/>
      <c r="G1543" s="17"/>
      <c r="H1543" s="51"/>
      <c r="I1543" s="17"/>
      <c r="J1543" s="17"/>
      <c r="K1543" s="13"/>
      <c r="L1543" s="17"/>
      <c r="M1543" s="17"/>
      <c r="N1543" s="17"/>
      <c r="O1543" s="17"/>
      <c r="P1543" s="18"/>
      <c r="Q1543" s="17"/>
      <c r="R1543" s="17"/>
      <c r="S1543" s="17"/>
      <c r="T1543" s="16"/>
    </row>
    <row r="1544">
      <c r="A1544" s="71"/>
      <c r="B1544" s="17"/>
      <c r="C1544" s="17"/>
      <c r="D1544" s="17"/>
      <c r="E1544" s="31"/>
      <c r="F1544" s="17"/>
      <c r="G1544" s="17"/>
      <c r="H1544" s="51"/>
      <c r="I1544" s="17"/>
      <c r="J1544" s="17"/>
      <c r="K1544" s="13"/>
      <c r="L1544" s="17"/>
      <c r="M1544" s="17"/>
      <c r="N1544" s="17"/>
      <c r="O1544" s="17"/>
      <c r="P1544" s="18"/>
      <c r="Q1544" s="17"/>
      <c r="R1544" s="17"/>
      <c r="S1544" s="17"/>
      <c r="T1544" s="16"/>
    </row>
    <row r="1545">
      <c r="A1545" s="71"/>
      <c r="B1545" s="17"/>
      <c r="C1545" s="17"/>
      <c r="D1545" s="17"/>
      <c r="E1545" s="31"/>
      <c r="F1545" s="17"/>
      <c r="G1545" s="17"/>
      <c r="H1545" s="51"/>
      <c r="I1545" s="17"/>
      <c r="J1545" s="17"/>
      <c r="K1545" s="13"/>
      <c r="L1545" s="17"/>
      <c r="M1545" s="17"/>
      <c r="N1545" s="17"/>
      <c r="O1545" s="17"/>
      <c r="P1545" s="18"/>
      <c r="Q1545" s="17"/>
      <c r="R1545" s="17"/>
      <c r="S1545" s="17"/>
      <c r="T1545" s="16"/>
    </row>
    <row r="1546">
      <c r="A1546" s="71"/>
      <c r="B1546" s="17"/>
      <c r="C1546" s="17"/>
      <c r="D1546" s="17"/>
      <c r="E1546" s="31"/>
      <c r="F1546" s="17"/>
      <c r="G1546" s="17"/>
      <c r="H1546" s="51"/>
      <c r="I1546" s="17"/>
      <c r="J1546" s="17"/>
      <c r="K1546" s="13"/>
      <c r="L1546" s="17"/>
      <c r="M1546" s="17"/>
      <c r="N1546" s="17"/>
      <c r="O1546" s="17"/>
      <c r="P1546" s="18"/>
      <c r="Q1546" s="17"/>
      <c r="R1546" s="17"/>
      <c r="S1546" s="17"/>
      <c r="T1546" s="16"/>
    </row>
    <row r="1547">
      <c r="A1547" s="71"/>
      <c r="B1547" s="17"/>
      <c r="C1547" s="17"/>
      <c r="D1547" s="17"/>
      <c r="E1547" s="31"/>
      <c r="F1547" s="17"/>
      <c r="G1547" s="17"/>
      <c r="H1547" s="51"/>
      <c r="I1547" s="17"/>
      <c r="J1547" s="17"/>
      <c r="K1547" s="13"/>
      <c r="L1547" s="17"/>
      <c r="M1547" s="17"/>
      <c r="N1547" s="17"/>
      <c r="O1547" s="17"/>
      <c r="P1547" s="18"/>
      <c r="Q1547" s="17"/>
      <c r="R1547" s="17"/>
      <c r="S1547" s="17"/>
      <c r="T1547" s="16"/>
    </row>
    <row r="1548">
      <c r="A1548" s="71"/>
      <c r="B1548" s="17"/>
      <c r="C1548" s="17"/>
      <c r="D1548" s="17"/>
      <c r="E1548" s="31"/>
      <c r="F1548" s="17"/>
      <c r="G1548" s="17"/>
      <c r="H1548" s="51"/>
      <c r="I1548" s="17"/>
      <c r="J1548" s="17"/>
      <c r="K1548" s="13"/>
      <c r="L1548" s="17"/>
      <c r="M1548" s="17"/>
      <c r="N1548" s="17"/>
      <c r="O1548" s="17"/>
      <c r="P1548" s="18"/>
      <c r="Q1548" s="17"/>
      <c r="R1548" s="17"/>
      <c r="S1548" s="17"/>
      <c r="T1548" s="16"/>
    </row>
    <row r="1549">
      <c r="A1549" s="71"/>
      <c r="B1549" s="17"/>
      <c r="C1549" s="17"/>
      <c r="D1549" s="17"/>
      <c r="E1549" s="31"/>
      <c r="F1549" s="17"/>
      <c r="G1549" s="17"/>
      <c r="H1549" s="51"/>
      <c r="I1549" s="17"/>
      <c r="J1549" s="17"/>
      <c r="K1549" s="13"/>
      <c r="L1549" s="17"/>
      <c r="M1549" s="17"/>
      <c r="N1549" s="17"/>
      <c r="O1549" s="17"/>
      <c r="P1549" s="18"/>
      <c r="Q1549" s="17"/>
      <c r="R1549" s="17"/>
      <c r="S1549" s="17"/>
      <c r="T1549" s="16"/>
    </row>
    <row r="1550">
      <c r="A1550" s="71"/>
      <c r="B1550" s="17"/>
      <c r="C1550" s="17"/>
      <c r="D1550" s="17"/>
      <c r="E1550" s="31"/>
      <c r="F1550" s="17"/>
      <c r="G1550" s="17"/>
      <c r="H1550" s="51"/>
      <c r="I1550" s="17"/>
      <c r="J1550" s="17"/>
      <c r="K1550" s="13"/>
      <c r="L1550" s="17"/>
      <c r="M1550" s="17"/>
      <c r="N1550" s="17"/>
      <c r="O1550" s="17"/>
      <c r="P1550" s="18"/>
      <c r="Q1550" s="17"/>
      <c r="R1550" s="17"/>
      <c r="S1550" s="17"/>
      <c r="T1550" s="16"/>
    </row>
    <row r="1551">
      <c r="A1551" s="71"/>
      <c r="B1551" s="17"/>
      <c r="C1551" s="17"/>
      <c r="D1551" s="17"/>
      <c r="E1551" s="31"/>
      <c r="F1551" s="17"/>
      <c r="G1551" s="17"/>
      <c r="H1551" s="51"/>
      <c r="I1551" s="17"/>
      <c r="J1551" s="17"/>
      <c r="K1551" s="13"/>
      <c r="L1551" s="17"/>
      <c r="M1551" s="17"/>
      <c r="N1551" s="17"/>
      <c r="O1551" s="17"/>
      <c r="P1551" s="18"/>
      <c r="Q1551" s="17"/>
      <c r="R1551" s="17"/>
      <c r="S1551" s="17"/>
      <c r="T1551" s="16"/>
    </row>
    <row r="1552">
      <c r="A1552" s="71"/>
      <c r="B1552" s="17"/>
      <c r="C1552" s="17"/>
      <c r="D1552" s="17"/>
      <c r="E1552" s="31"/>
      <c r="F1552" s="17"/>
      <c r="G1552" s="17"/>
      <c r="H1552" s="51"/>
      <c r="I1552" s="17"/>
      <c r="J1552" s="17"/>
      <c r="K1552" s="13"/>
      <c r="L1552" s="17"/>
      <c r="M1552" s="17"/>
      <c r="N1552" s="17"/>
      <c r="O1552" s="17"/>
      <c r="P1552" s="18"/>
      <c r="Q1552" s="17"/>
      <c r="R1552" s="17"/>
      <c r="S1552" s="17"/>
      <c r="T1552" s="16"/>
    </row>
    <row r="1553">
      <c r="A1553" s="71"/>
      <c r="B1553" s="17"/>
      <c r="C1553" s="17"/>
      <c r="D1553" s="17"/>
      <c r="E1553" s="31"/>
      <c r="F1553" s="17"/>
      <c r="G1553" s="17"/>
      <c r="H1553" s="51"/>
      <c r="I1553" s="17"/>
      <c r="J1553" s="17"/>
      <c r="K1553" s="13"/>
      <c r="L1553" s="17"/>
      <c r="M1553" s="17"/>
      <c r="N1553" s="17"/>
      <c r="O1553" s="17"/>
      <c r="P1553" s="18"/>
      <c r="Q1553" s="17"/>
      <c r="R1553" s="17"/>
      <c r="S1553" s="17"/>
      <c r="T1553" s="16"/>
    </row>
    <row r="1554">
      <c r="A1554" s="71"/>
      <c r="B1554" s="17"/>
      <c r="C1554" s="17"/>
      <c r="D1554" s="17"/>
      <c r="E1554" s="31"/>
      <c r="F1554" s="17"/>
      <c r="G1554" s="17"/>
      <c r="H1554" s="51"/>
      <c r="I1554" s="17"/>
      <c r="J1554" s="17"/>
      <c r="K1554" s="13"/>
      <c r="L1554" s="17"/>
      <c r="M1554" s="17"/>
      <c r="N1554" s="17"/>
      <c r="O1554" s="17"/>
      <c r="P1554" s="18"/>
      <c r="Q1554" s="17"/>
      <c r="R1554" s="17"/>
      <c r="S1554" s="17"/>
      <c r="T1554" s="16"/>
    </row>
    <row r="1555">
      <c r="A1555" s="71"/>
      <c r="B1555" s="17"/>
      <c r="C1555" s="17"/>
      <c r="D1555" s="17"/>
      <c r="E1555" s="31"/>
      <c r="F1555" s="17"/>
      <c r="G1555" s="17"/>
      <c r="H1555" s="51"/>
      <c r="I1555" s="17"/>
      <c r="J1555" s="17"/>
      <c r="K1555" s="13"/>
      <c r="L1555" s="17"/>
      <c r="M1555" s="17"/>
      <c r="N1555" s="17"/>
      <c r="O1555" s="17"/>
      <c r="P1555" s="18"/>
      <c r="Q1555" s="17"/>
      <c r="R1555" s="17"/>
      <c r="S1555" s="17"/>
      <c r="T1555" s="16"/>
    </row>
    <row r="1556">
      <c r="A1556" s="71"/>
      <c r="B1556" s="17"/>
      <c r="C1556" s="17"/>
      <c r="D1556" s="17"/>
      <c r="E1556" s="31"/>
      <c r="F1556" s="17"/>
      <c r="G1556" s="17"/>
      <c r="H1556" s="51"/>
      <c r="I1556" s="17"/>
      <c r="J1556" s="17"/>
      <c r="K1556" s="13"/>
      <c r="L1556" s="17"/>
      <c r="M1556" s="17"/>
      <c r="N1556" s="17"/>
      <c r="O1556" s="17"/>
      <c r="P1556" s="18"/>
      <c r="Q1556" s="17"/>
      <c r="R1556" s="17"/>
      <c r="S1556" s="17"/>
      <c r="T1556" s="16"/>
    </row>
    <row r="1557">
      <c r="A1557" s="71"/>
      <c r="B1557" s="17"/>
      <c r="C1557" s="17"/>
      <c r="D1557" s="17"/>
      <c r="E1557" s="31"/>
      <c r="F1557" s="17"/>
      <c r="G1557" s="17"/>
      <c r="H1557" s="51"/>
      <c r="I1557" s="17"/>
      <c r="J1557" s="17"/>
      <c r="K1557" s="13"/>
      <c r="L1557" s="17"/>
      <c r="M1557" s="17"/>
      <c r="N1557" s="17"/>
      <c r="O1557" s="17"/>
      <c r="P1557" s="18"/>
      <c r="Q1557" s="17"/>
      <c r="R1557" s="17"/>
      <c r="S1557" s="17"/>
      <c r="T1557" s="16"/>
    </row>
    <row r="1558">
      <c r="A1558" s="71"/>
      <c r="B1558" s="17"/>
      <c r="C1558" s="17"/>
      <c r="D1558" s="17"/>
      <c r="E1558" s="31"/>
      <c r="F1558" s="17"/>
      <c r="G1558" s="17"/>
      <c r="H1558" s="51"/>
      <c r="I1558" s="17"/>
      <c r="J1558" s="17"/>
      <c r="K1558" s="13"/>
      <c r="L1558" s="17"/>
      <c r="M1558" s="17"/>
      <c r="N1558" s="17"/>
      <c r="O1558" s="17"/>
      <c r="P1558" s="18"/>
      <c r="Q1558" s="17"/>
      <c r="R1558" s="17"/>
      <c r="S1558" s="17"/>
      <c r="T1558" s="16"/>
    </row>
    <row r="1559">
      <c r="A1559" s="71"/>
      <c r="B1559" s="17"/>
      <c r="C1559" s="17"/>
      <c r="D1559" s="17"/>
      <c r="E1559" s="31"/>
      <c r="F1559" s="17"/>
      <c r="G1559" s="17"/>
      <c r="H1559" s="51"/>
      <c r="I1559" s="17"/>
      <c r="J1559" s="17"/>
      <c r="K1559" s="13"/>
      <c r="L1559" s="17"/>
      <c r="M1559" s="17"/>
      <c r="N1559" s="17"/>
      <c r="O1559" s="17"/>
      <c r="P1559" s="18"/>
      <c r="Q1559" s="17"/>
      <c r="R1559" s="17"/>
      <c r="S1559" s="17"/>
      <c r="T1559" s="16"/>
    </row>
    <row r="1560">
      <c r="A1560" s="71"/>
      <c r="B1560" s="17"/>
      <c r="C1560" s="17"/>
      <c r="D1560" s="17"/>
      <c r="E1560" s="31"/>
      <c r="F1560" s="17"/>
      <c r="G1560" s="17"/>
      <c r="H1560" s="51"/>
      <c r="I1560" s="17"/>
      <c r="J1560" s="17"/>
      <c r="K1560" s="13"/>
      <c r="L1560" s="17"/>
      <c r="M1560" s="17"/>
      <c r="N1560" s="17"/>
      <c r="O1560" s="17"/>
      <c r="P1560" s="18"/>
      <c r="Q1560" s="17"/>
      <c r="R1560" s="17"/>
      <c r="S1560" s="17"/>
      <c r="T1560" s="16"/>
    </row>
    <row r="1561">
      <c r="A1561" s="71"/>
      <c r="B1561" s="17"/>
      <c r="C1561" s="17"/>
      <c r="D1561" s="17"/>
      <c r="E1561" s="31"/>
      <c r="F1561" s="17"/>
      <c r="G1561" s="17"/>
      <c r="H1561" s="51"/>
      <c r="I1561" s="17"/>
      <c r="J1561" s="17"/>
      <c r="K1561" s="13"/>
      <c r="L1561" s="17"/>
      <c r="M1561" s="17"/>
      <c r="N1561" s="17"/>
      <c r="O1561" s="17"/>
      <c r="P1561" s="18"/>
      <c r="Q1561" s="17"/>
      <c r="R1561" s="17"/>
      <c r="S1561" s="17"/>
      <c r="T1561" s="16"/>
    </row>
    <row r="1562">
      <c r="A1562" s="71"/>
      <c r="B1562" s="17"/>
      <c r="C1562" s="17"/>
      <c r="D1562" s="17"/>
      <c r="E1562" s="31"/>
      <c r="F1562" s="17"/>
      <c r="G1562" s="17"/>
      <c r="H1562" s="51"/>
      <c r="I1562" s="17"/>
      <c r="J1562" s="17"/>
      <c r="K1562" s="13"/>
      <c r="L1562" s="17"/>
      <c r="M1562" s="17"/>
      <c r="N1562" s="17"/>
      <c r="O1562" s="17"/>
      <c r="P1562" s="18"/>
      <c r="Q1562" s="17"/>
      <c r="R1562" s="17"/>
      <c r="S1562" s="17"/>
      <c r="T1562" s="16"/>
    </row>
    <row r="1563">
      <c r="A1563" s="71"/>
      <c r="B1563" s="17"/>
      <c r="C1563" s="17"/>
      <c r="D1563" s="17"/>
      <c r="E1563" s="31"/>
      <c r="F1563" s="17"/>
      <c r="G1563" s="17"/>
      <c r="H1563" s="51"/>
      <c r="I1563" s="17"/>
      <c r="J1563" s="17"/>
      <c r="K1563" s="13"/>
      <c r="L1563" s="17"/>
      <c r="M1563" s="17"/>
      <c r="N1563" s="17"/>
      <c r="O1563" s="17"/>
      <c r="P1563" s="18"/>
      <c r="Q1563" s="17"/>
      <c r="R1563" s="17"/>
      <c r="S1563" s="17"/>
      <c r="T1563" s="16"/>
    </row>
    <row r="1564">
      <c r="A1564" s="71"/>
      <c r="B1564" s="17"/>
      <c r="C1564" s="17"/>
      <c r="D1564" s="17"/>
      <c r="E1564" s="31"/>
      <c r="F1564" s="17"/>
      <c r="G1564" s="17"/>
      <c r="H1564" s="51"/>
      <c r="I1564" s="17"/>
      <c r="J1564" s="17"/>
      <c r="K1564" s="13"/>
      <c r="L1564" s="17"/>
      <c r="M1564" s="17"/>
      <c r="N1564" s="17"/>
      <c r="O1564" s="17"/>
      <c r="P1564" s="18"/>
      <c r="Q1564" s="17"/>
      <c r="R1564" s="17"/>
      <c r="S1564" s="17"/>
      <c r="T1564" s="16"/>
    </row>
    <row r="1565">
      <c r="A1565" s="71"/>
      <c r="B1565" s="17"/>
      <c r="C1565" s="17"/>
      <c r="D1565" s="17"/>
      <c r="E1565" s="31"/>
      <c r="F1565" s="17"/>
      <c r="G1565" s="17"/>
      <c r="H1565" s="51"/>
      <c r="I1565" s="17"/>
      <c r="J1565" s="17"/>
      <c r="K1565" s="13"/>
      <c r="L1565" s="17"/>
      <c r="M1565" s="17"/>
      <c r="N1565" s="17"/>
      <c r="O1565" s="17"/>
      <c r="P1565" s="18"/>
      <c r="Q1565" s="17"/>
      <c r="R1565" s="17"/>
      <c r="S1565" s="17"/>
      <c r="T1565" s="16"/>
    </row>
    <row r="1566">
      <c r="A1566" s="71"/>
      <c r="B1566" s="17"/>
      <c r="C1566" s="17"/>
      <c r="D1566" s="17"/>
      <c r="E1566" s="31"/>
      <c r="F1566" s="17"/>
      <c r="G1566" s="17"/>
      <c r="H1566" s="51"/>
      <c r="I1566" s="17"/>
      <c r="J1566" s="17"/>
      <c r="K1566" s="13"/>
      <c r="L1566" s="17"/>
      <c r="M1566" s="17"/>
      <c r="N1566" s="17"/>
      <c r="O1566" s="17"/>
      <c r="P1566" s="18"/>
      <c r="Q1566" s="17"/>
      <c r="R1566" s="17"/>
      <c r="S1566" s="17"/>
      <c r="T1566" s="16"/>
    </row>
    <row r="1567">
      <c r="A1567" s="71"/>
      <c r="B1567" s="17"/>
      <c r="C1567" s="17"/>
      <c r="D1567" s="17"/>
      <c r="E1567" s="31"/>
      <c r="F1567" s="17"/>
      <c r="G1567" s="17"/>
      <c r="H1567" s="51"/>
      <c r="I1567" s="17"/>
      <c r="J1567" s="17"/>
      <c r="K1567" s="13"/>
      <c r="L1567" s="17"/>
      <c r="M1567" s="17"/>
      <c r="N1567" s="17"/>
      <c r="O1567" s="17"/>
      <c r="P1567" s="18"/>
      <c r="Q1567" s="17"/>
      <c r="R1567" s="17"/>
      <c r="S1567" s="17"/>
      <c r="T1567" s="16"/>
    </row>
    <row r="1568">
      <c r="A1568" s="71"/>
      <c r="B1568" s="17"/>
      <c r="C1568" s="17"/>
      <c r="D1568" s="17"/>
      <c r="E1568" s="31"/>
      <c r="F1568" s="17"/>
      <c r="G1568" s="17"/>
      <c r="H1568" s="51"/>
      <c r="I1568" s="17"/>
      <c r="J1568" s="17"/>
      <c r="K1568" s="13"/>
      <c r="L1568" s="17"/>
      <c r="M1568" s="17"/>
      <c r="N1568" s="17"/>
      <c r="O1568" s="17"/>
      <c r="P1568" s="18"/>
      <c r="Q1568" s="17"/>
      <c r="R1568" s="17"/>
      <c r="S1568" s="17"/>
      <c r="T1568" s="16"/>
    </row>
    <row r="1569">
      <c r="A1569" s="71"/>
      <c r="B1569" s="17"/>
      <c r="C1569" s="17"/>
      <c r="D1569" s="17"/>
      <c r="E1569" s="31"/>
      <c r="F1569" s="17"/>
      <c r="G1569" s="17"/>
      <c r="H1569" s="51"/>
      <c r="I1569" s="17"/>
      <c r="J1569" s="17"/>
      <c r="K1569" s="13"/>
      <c r="L1569" s="17"/>
      <c r="M1569" s="17"/>
      <c r="N1569" s="17"/>
      <c r="O1569" s="17"/>
      <c r="P1569" s="18"/>
      <c r="Q1569" s="17"/>
      <c r="R1569" s="17"/>
      <c r="S1569" s="17"/>
      <c r="T1569" s="16"/>
    </row>
    <row r="1570">
      <c r="A1570" s="71"/>
      <c r="B1570" s="17"/>
      <c r="C1570" s="17"/>
      <c r="D1570" s="17"/>
      <c r="E1570" s="31"/>
      <c r="F1570" s="17"/>
      <c r="G1570" s="17"/>
      <c r="H1570" s="51"/>
      <c r="I1570" s="17"/>
      <c r="J1570" s="17"/>
      <c r="K1570" s="13"/>
      <c r="L1570" s="17"/>
      <c r="M1570" s="17"/>
      <c r="N1570" s="17"/>
      <c r="O1570" s="17"/>
      <c r="P1570" s="18"/>
      <c r="Q1570" s="17"/>
      <c r="R1570" s="17"/>
      <c r="S1570" s="17"/>
      <c r="T1570" s="16"/>
    </row>
    <row r="1571">
      <c r="A1571" s="71"/>
      <c r="B1571" s="17"/>
      <c r="C1571" s="17"/>
      <c r="D1571" s="17"/>
      <c r="E1571" s="31"/>
      <c r="F1571" s="17"/>
      <c r="G1571" s="17"/>
      <c r="H1571" s="51"/>
      <c r="I1571" s="17"/>
      <c r="J1571" s="17"/>
      <c r="K1571" s="13"/>
      <c r="L1571" s="17"/>
      <c r="M1571" s="17"/>
      <c r="N1571" s="17"/>
      <c r="O1571" s="17"/>
      <c r="P1571" s="18"/>
      <c r="Q1571" s="17"/>
      <c r="R1571" s="17"/>
      <c r="S1571" s="17"/>
      <c r="T1571" s="16"/>
    </row>
    <row r="1572">
      <c r="A1572" s="71"/>
      <c r="B1572" s="17"/>
      <c r="C1572" s="17"/>
      <c r="D1572" s="17"/>
      <c r="E1572" s="31"/>
      <c r="F1572" s="17"/>
      <c r="G1572" s="17"/>
      <c r="H1572" s="51"/>
      <c r="I1572" s="17"/>
      <c r="J1572" s="17"/>
      <c r="K1572" s="13"/>
      <c r="L1572" s="17"/>
      <c r="M1572" s="17"/>
      <c r="N1572" s="17"/>
      <c r="O1572" s="17"/>
      <c r="P1572" s="18"/>
      <c r="Q1572" s="17"/>
      <c r="R1572" s="17"/>
      <c r="S1572" s="17"/>
      <c r="T1572" s="16"/>
    </row>
    <row r="1573">
      <c r="A1573" s="71"/>
      <c r="B1573" s="17"/>
      <c r="C1573" s="17"/>
      <c r="D1573" s="17"/>
      <c r="E1573" s="31"/>
      <c r="F1573" s="17"/>
      <c r="G1573" s="17"/>
      <c r="H1573" s="51"/>
      <c r="I1573" s="17"/>
      <c r="J1573" s="17"/>
      <c r="K1573" s="13"/>
      <c r="L1573" s="17"/>
      <c r="M1573" s="17"/>
      <c r="N1573" s="17"/>
      <c r="O1573" s="17"/>
      <c r="P1573" s="18"/>
      <c r="Q1573" s="17"/>
      <c r="R1573" s="17"/>
      <c r="S1573" s="17"/>
      <c r="T1573" s="16"/>
    </row>
    <row r="1574">
      <c r="A1574" s="71"/>
      <c r="B1574" s="17"/>
      <c r="C1574" s="17"/>
      <c r="D1574" s="17"/>
      <c r="E1574" s="31"/>
      <c r="F1574" s="17"/>
      <c r="G1574" s="17"/>
      <c r="H1574" s="51"/>
      <c r="I1574" s="17"/>
      <c r="J1574" s="17"/>
      <c r="K1574" s="13"/>
      <c r="L1574" s="17"/>
      <c r="M1574" s="17"/>
      <c r="N1574" s="17"/>
      <c r="O1574" s="17"/>
      <c r="P1574" s="18"/>
      <c r="Q1574" s="17"/>
      <c r="R1574" s="17"/>
      <c r="S1574" s="17"/>
      <c r="T1574" s="16"/>
    </row>
    <row r="1575">
      <c r="A1575" s="71"/>
      <c r="B1575" s="17"/>
      <c r="C1575" s="17"/>
      <c r="D1575" s="17"/>
      <c r="E1575" s="31"/>
      <c r="F1575" s="17"/>
      <c r="G1575" s="17"/>
      <c r="H1575" s="51"/>
      <c r="I1575" s="17"/>
      <c r="J1575" s="17"/>
      <c r="K1575" s="13"/>
      <c r="L1575" s="17"/>
      <c r="M1575" s="17"/>
      <c r="N1575" s="17"/>
      <c r="O1575" s="17"/>
      <c r="P1575" s="18"/>
      <c r="Q1575" s="17"/>
      <c r="R1575" s="17"/>
      <c r="S1575" s="17"/>
      <c r="T1575" s="16"/>
    </row>
    <row r="1576">
      <c r="A1576" s="71"/>
      <c r="B1576" s="17"/>
      <c r="C1576" s="17"/>
      <c r="D1576" s="17"/>
      <c r="E1576" s="31"/>
      <c r="F1576" s="17"/>
      <c r="G1576" s="17"/>
      <c r="H1576" s="51"/>
      <c r="I1576" s="17"/>
      <c r="J1576" s="17"/>
      <c r="K1576" s="13"/>
      <c r="L1576" s="17"/>
      <c r="M1576" s="17"/>
      <c r="N1576" s="17"/>
      <c r="O1576" s="17"/>
      <c r="P1576" s="18"/>
      <c r="Q1576" s="17"/>
      <c r="R1576" s="17"/>
      <c r="S1576" s="17"/>
      <c r="T1576" s="16"/>
    </row>
    <row r="1577">
      <c r="A1577" s="71"/>
      <c r="B1577" s="17"/>
      <c r="C1577" s="17"/>
      <c r="D1577" s="17"/>
      <c r="E1577" s="31"/>
      <c r="F1577" s="17"/>
      <c r="G1577" s="17"/>
      <c r="H1577" s="51"/>
      <c r="I1577" s="17"/>
      <c r="J1577" s="17"/>
      <c r="K1577" s="13"/>
      <c r="L1577" s="17"/>
      <c r="M1577" s="17"/>
      <c r="N1577" s="17"/>
      <c r="O1577" s="17"/>
      <c r="P1577" s="18"/>
      <c r="Q1577" s="17"/>
      <c r="R1577" s="17"/>
      <c r="S1577" s="17"/>
      <c r="T1577" s="16"/>
    </row>
    <row r="1578">
      <c r="A1578" s="71"/>
      <c r="B1578" s="17"/>
      <c r="C1578" s="17"/>
      <c r="D1578" s="17"/>
      <c r="E1578" s="31"/>
      <c r="F1578" s="17"/>
      <c r="G1578" s="17"/>
      <c r="H1578" s="51"/>
      <c r="I1578" s="17"/>
      <c r="J1578" s="17"/>
      <c r="K1578" s="13"/>
      <c r="L1578" s="17"/>
      <c r="M1578" s="17"/>
      <c r="N1578" s="17"/>
      <c r="O1578" s="17"/>
      <c r="P1578" s="18"/>
      <c r="Q1578" s="17"/>
      <c r="R1578" s="17"/>
      <c r="S1578" s="17"/>
      <c r="T1578" s="16"/>
    </row>
    <row r="1579">
      <c r="A1579" s="71"/>
      <c r="B1579" s="17"/>
      <c r="C1579" s="17"/>
      <c r="D1579" s="17"/>
      <c r="E1579" s="31"/>
      <c r="F1579" s="17"/>
      <c r="G1579" s="17"/>
      <c r="H1579" s="51"/>
      <c r="I1579" s="17"/>
      <c r="J1579" s="17"/>
      <c r="K1579" s="13"/>
      <c r="L1579" s="17"/>
      <c r="M1579" s="17"/>
      <c r="N1579" s="17"/>
      <c r="O1579" s="17"/>
      <c r="P1579" s="18"/>
      <c r="Q1579" s="17"/>
      <c r="R1579" s="17"/>
      <c r="S1579" s="17"/>
      <c r="T1579" s="16"/>
    </row>
    <row r="1580">
      <c r="A1580" s="71"/>
      <c r="B1580" s="17"/>
      <c r="C1580" s="17"/>
      <c r="D1580" s="17"/>
      <c r="E1580" s="31"/>
      <c r="F1580" s="17"/>
      <c r="G1580" s="17"/>
      <c r="H1580" s="51"/>
      <c r="I1580" s="17"/>
      <c r="J1580" s="17"/>
      <c r="K1580" s="13"/>
      <c r="L1580" s="17"/>
      <c r="M1580" s="17"/>
      <c r="N1580" s="17"/>
      <c r="O1580" s="17"/>
      <c r="P1580" s="18"/>
      <c r="Q1580" s="17"/>
      <c r="R1580" s="17"/>
      <c r="S1580" s="17"/>
      <c r="T1580" s="16"/>
    </row>
    <row r="1581">
      <c r="A1581" s="71"/>
      <c r="B1581" s="17"/>
      <c r="C1581" s="17"/>
      <c r="D1581" s="17"/>
      <c r="E1581" s="31"/>
      <c r="F1581" s="17"/>
      <c r="G1581" s="17"/>
      <c r="H1581" s="51"/>
      <c r="I1581" s="17"/>
      <c r="J1581" s="17"/>
      <c r="K1581" s="13"/>
      <c r="L1581" s="17"/>
      <c r="M1581" s="17"/>
      <c r="N1581" s="17"/>
      <c r="O1581" s="17"/>
      <c r="P1581" s="18"/>
      <c r="Q1581" s="17"/>
      <c r="R1581" s="17"/>
      <c r="S1581" s="17"/>
      <c r="T1581" s="16"/>
    </row>
    <row r="1582">
      <c r="A1582" s="71"/>
      <c r="B1582" s="17"/>
      <c r="C1582" s="17"/>
      <c r="D1582" s="17"/>
      <c r="E1582" s="31"/>
      <c r="F1582" s="17"/>
      <c r="G1582" s="17"/>
      <c r="H1582" s="51"/>
      <c r="I1582" s="17"/>
      <c r="J1582" s="17"/>
      <c r="K1582" s="13"/>
      <c r="L1582" s="17"/>
      <c r="M1582" s="17"/>
      <c r="N1582" s="17"/>
      <c r="O1582" s="17"/>
      <c r="P1582" s="18"/>
      <c r="Q1582" s="17"/>
      <c r="R1582" s="17"/>
      <c r="S1582" s="17"/>
      <c r="T1582" s="16"/>
    </row>
    <row r="1583">
      <c r="A1583" s="71"/>
      <c r="B1583" s="17"/>
      <c r="C1583" s="17"/>
      <c r="D1583" s="17"/>
      <c r="E1583" s="31"/>
      <c r="F1583" s="17"/>
      <c r="G1583" s="17"/>
      <c r="H1583" s="51"/>
      <c r="I1583" s="17"/>
      <c r="J1583" s="17"/>
      <c r="K1583" s="13"/>
      <c r="L1583" s="17"/>
      <c r="M1583" s="17"/>
      <c r="N1583" s="17"/>
      <c r="O1583" s="17"/>
      <c r="P1583" s="18"/>
      <c r="Q1583" s="17"/>
      <c r="R1583" s="17"/>
      <c r="S1583" s="17"/>
      <c r="T1583" s="16"/>
    </row>
    <row r="1584">
      <c r="A1584" s="71"/>
      <c r="B1584" s="17"/>
      <c r="C1584" s="17"/>
      <c r="D1584" s="17"/>
      <c r="E1584" s="31"/>
      <c r="F1584" s="17"/>
      <c r="G1584" s="17"/>
      <c r="H1584" s="51"/>
      <c r="I1584" s="17"/>
      <c r="J1584" s="17"/>
      <c r="K1584" s="13"/>
      <c r="L1584" s="17"/>
      <c r="M1584" s="17"/>
      <c r="N1584" s="17"/>
      <c r="O1584" s="17"/>
      <c r="P1584" s="18"/>
      <c r="Q1584" s="17"/>
      <c r="R1584" s="17"/>
      <c r="S1584" s="17"/>
      <c r="T1584" s="16"/>
    </row>
    <row r="1585">
      <c r="A1585" s="71"/>
      <c r="B1585" s="17"/>
      <c r="C1585" s="17"/>
      <c r="D1585" s="17"/>
      <c r="E1585" s="31"/>
      <c r="F1585" s="17"/>
      <c r="G1585" s="17"/>
      <c r="H1585" s="51"/>
      <c r="I1585" s="17"/>
      <c r="J1585" s="17"/>
      <c r="K1585" s="13"/>
      <c r="L1585" s="17"/>
      <c r="M1585" s="17"/>
      <c r="N1585" s="17"/>
      <c r="O1585" s="17"/>
      <c r="P1585" s="18"/>
      <c r="Q1585" s="17"/>
      <c r="R1585" s="17"/>
      <c r="S1585" s="17"/>
      <c r="T1585" s="16"/>
    </row>
    <row r="1586">
      <c r="A1586" s="71"/>
      <c r="B1586" s="17"/>
      <c r="C1586" s="17"/>
      <c r="D1586" s="17"/>
      <c r="E1586" s="31"/>
      <c r="F1586" s="17"/>
      <c r="G1586" s="17"/>
      <c r="H1586" s="51"/>
      <c r="I1586" s="17"/>
      <c r="J1586" s="17"/>
      <c r="K1586" s="13"/>
      <c r="L1586" s="17"/>
      <c r="M1586" s="17"/>
      <c r="N1586" s="17"/>
      <c r="O1586" s="17"/>
      <c r="P1586" s="18"/>
      <c r="Q1586" s="17"/>
      <c r="R1586" s="17"/>
      <c r="S1586" s="17"/>
      <c r="T1586" s="16"/>
    </row>
    <row r="1587">
      <c r="A1587" s="71"/>
      <c r="B1587" s="17"/>
      <c r="C1587" s="17"/>
      <c r="D1587" s="17"/>
      <c r="E1587" s="31"/>
      <c r="F1587" s="17"/>
      <c r="G1587" s="17"/>
      <c r="H1587" s="51"/>
      <c r="I1587" s="17"/>
      <c r="J1587" s="17"/>
      <c r="K1587" s="13"/>
      <c r="L1587" s="17"/>
      <c r="M1587" s="17"/>
      <c r="N1587" s="17"/>
      <c r="O1587" s="17"/>
      <c r="P1587" s="18"/>
      <c r="Q1587" s="17"/>
      <c r="R1587" s="17"/>
      <c r="S1587" s="17"/>
      <c r="T1587" s="16"/>
    </row>
    <row r="1588">
      <c r="A1588" s="71"/>
      <c r="B1588" s="17"/>
      <c r="C1588" s="17"/>
      <c r="D1588" s="17"/>
      <c r="E1588" s="31"/>
      <c r="F1588" s="17"/>
      <c r="G1588" s="17"/>
      <c r="H1588" s="51"/>
      <c r="I1588" s="17"/>
      <c r="J1588" s="17"/>
      <c r="K1588" s="13"/>
      <c r="L1588" s="17"/>
      <c r="M1588" s="17"/>
      <c r="N1588" s="17"/>
      <c r="O1588" s="17"/>
      <c r="P1588" s="18"/>
      <c r="Q1588" s="17"/>
      <c r="R1588" s="17"/>
      <c r="S1588" s="17"/>
      <c r="T1588" s="16"/>
    </row>
    <row r="1589">
      <c r="A1589" s="71"/>
      <c r="B1589" s="17"/>
      <c r="C1589" s="17"/>
      <c r="D1589" s="17"/>
      <c r="E1589" s="31"/>
      <c r="F1589" s="17"/>
      <c r="G1589" s="17"/>
      <c r="H1589" s="51"/>
      <c r="I1589" s="17"/>
      <c r="J1589" s="17"/>
      <c r="K1589" s="13"/>
      <c r="L1589" s="17"/>
      <c r="M1589" s="17"/>
      <c r="N1589" s="17"/>
      <c r="O1589" s="17"/>
      <c r="P1589" s="18"/>
      <c r="Q1589" s="17"/>
      <c r="R1589" s="17"/>
      <c r="S1589" s="17"/>
      <c r="T1589" s="16"/>
    </row>
    <row r="1590">
      <c r="A1590" s="71"/>
      <c r="B1590" s="17"/>
      <c r="C1590" s="17"/>
      <c r="D1590" s="17"/>
      <c r="E1590" s="31"/>
      <c r="F1590" s="17"/>
      <c r="G1590" s="17"/>
      <c r="H1590" s="51"/>
      <c r="I1590" s="17"/>
      <c r="J1590" s="17"/>
      <c r="K1590" s="13"/>
      <c r="L1590" s="17"/>
      <c r="M1590" s="17"/>
      <c r="N1590" s="17"/>
      <c r="O1590" s="17"/>
      <c r="P1590" s="18"/>
      <c r="Q1590" s="17"/>
      <c r="R1590" s="17"/>
      <c r="S1590" s="17"/>
      <c r="T1590" s="16"/>
    </row>
    <row r="1591">
      <c r="A1591" s="71"/>
      <c r="B1591" s="17"/>
      <c r="C1591" s="17"/>
      <c r="D1591" s="17"/>
      <c r="E1591" s="31"/>
      <c r="F1591" s="17"/>
      <c r="G1591" s="17"/>
      <c r="H1591" s="51"/>
      <c r="I1591" s="17"/>
      <c r="J1591" s="17"/>
      <c r="K1591" s="13"/>
      <c r="L1591" s="17"/>
      <c r="M1591" s="17"/>
      <c r="N1591" s="17"/>
      <c r="O1591" s="17"/>
      <c r="P1591" s="18"/>
      <c r="Q1591" s="17"/>
      <c r="R1591" s="17"/>
      <c r="S1591" s="17"/>
      <c r="T1591" s="16"/>
    </row>
    <row r="1592">
      <c r="A1592" s="71"/>
      <c r="B1592" s="17"/>
      <c r="C1592" s="17"/>
      <c r="D1592" s="17"/>
      <c r="E1592" s="31"/>
      <c r="F1592" s="17"/>
      <c r="G1592" s="17"/>
      <c r="H1592" s="51"/>
      <c r="I1592" s="17"/>
      <c r="J1592" s="17"/>
      <c r="K1592" s="13"/>
      <c r="L1592" s="17"/>
      <c r="M1592" s="17"/>
      <c r="N1592" s="17"/>
      <c r="O1592" s="17"/>
      <c r="P1592" s="18"/>
      <c r="Q1592" s="17"/>
      <c r="R1592" s="17"/>
      <c r="S1592" s="17"/>
      <c r="T1592" s="16"/>
    </row>
    <row r="1593">
      <c r="A1593" s="71"/>
      <c r="B1593" s="17"/>
      <c r="C1593" s="17"/>
      <c r="D1593" s="17"/>
      <c r="E1593" s="31"/>
      <c r="F1593" s="17"/>
      <c r="G1593" s="17"/>
      <c r="H1593" s="51"/>
      <c r="I1593" s="17"/>
      <c r="J1593" s="17"/>
      <c r="K1593" s="13"/>
      <c r="L1593" s="17"/>
      <c r="M1593" s="17"/>
      <c r="N1593" s="17"/>
      <c r="O1593" s="17"/>
      <c r="P1593" s="18"/>
      <c r="Q1593" s="17"/>
      <c r="R1593" s="17"/>
      <c r="S1593" s="17"/>
      <c r="T1593" s="16"/>
    </row>
    <row r="1594">
      <c r="A1594" s="71"/>
      <c r="B1594" s="17"/>
      <c r="C1594" s="17"/>
      <c r="D1594" s="17"/>
      <c r="E1594" s="31"/>
      <c r="F1594" s="17"/>
      <c r="G1594" s="17"/>
      <c r="H1594" s="51"/>
      <c r="I1594" s="17"/>
      <c r="J1594" s="17"/>
      <c r="K1594" s="13"/>
      <c r="L1594" s="17"/>
      <c r="M1594" s="17"/>
      <c r="N1594" s="17"/>
      <c r="O1594" s="17"/>
      <c r="P1594" s="18"/>
      <c r="Q1594" s="17"/>
      <c r="R1594" s="17"/>
      <c r="S1594" s="17"/>
      <c r="T1594" s="16"/>
    </row>
    <row r="1595">
      <c r="A1595" s="71"/>
      <c r="B1595" s="17"/>
      <c r="C1595" s="17"/>
      <c r="D1595" s="17"/>
      <c r="E1595" s="31"/>
      <c r="F1595" s="17"/>
      <c r="G1595" s="17"/>
      <c r="H1595" s="51"/>
      <c r="I1595" s="17"/>
      <c r="J1595" s="17"/>
      <c r="K1595" s="13"/>
      <c r="L1595" s="17"/>
      <c r="M1595" s="17"/>
      <c r="N1595" s="17"/>
      <c r="O1595" s="17"/>
      <c r="P1595" s="18"/>
      <c r="Q1595" s="17"/>
      <c r="R1595" s="17"/>
      <c r="S1595" s="17"/>
      <c r="T1595" s="16"/>
    </row>
    <row r="1596">
      <c r="A1596" s="71"/>
      <c r="B1596" s="17"/>
      <c r="C1596" s="17"/>
      <c r="D1596" s="17"/>
      <c r="E1596" s="31"/>
      <c r="F1596" s="17"/>
      <c r="G1596" s="17"/>
      <c r="H1596" s="51"/>
      <c r="I1596" s="17"/>
      <c r="J1596" s="17"/>
      <c r="K1596" s="13"/>
      <c r="L1596" s="17"/>
      <c r="M1596" s="17"/>
      <c r="N1596" s="17"/>
      <c r="O1596" s="17"/>
      <c r="P1596" s="18"/>
      <c r="Q1596" s="17"/>
      <c r="R1596" s="17"/>
      <c r="S1596" s="17"/>
      <c r="T1596" s="16"/>
    </row>
    <row r="1597">
      <c r="A1597" s="71"/>
      <c r="B1597" s="17"/>
      <c r="C1597" s="17"/>
      <c r="D1597" s="17"/>
      <c r="E1597" s="31"/>
      <c r="F1597" s="17"/>
      <c r="G1597" s="17"/>
      <c r="H1597" s="51"/>
      <c r="I1597" s="17"/>
      <c r="J1597" s="17"/>
      <c r="K1597" s="13"/>
      <c r="L1597" s="17"/>
      <c r="M1597" s="17"/>
      <c r="N1597" s="17"/>
      <c r="O1597" s="17"/>
      <c r="P1597" s="18"/>
      <c r="Q1597" s="17"/>
      <c r="R1597" s="17"/>
      <c r="S1597" s="17"/>
      <c r="T1597" s="16"/>
    </row>
    <row r="1598">
      <c r="A1598" s="71"/>
      <c r="B1598" s="17"/>
      <c r="C1598" s="17"/>
      <c r="D1598" s="17"/>
      <c r="E1598" s="31"/>
      <c r="F1598" s="17"/>
      <c r="G1598" s="17"/>
      <c r="H1598" s="51"/>
      <c r="I1598" s="17"/>
      <c r="J1598" s="17"/>
      <c r="K1598" s="13"/>
      <c r="L1598" s="17"/>
      <c r="M1598" s="17"/>
      <c r="N1598" s="17"/>
      <c r="O1598" s="17"/>
      <c r="P1598" s="18"/>
      <c r="Q1598" s="17"/>
      <c r="R1598" s="17"/>
      <c r="S1598" s="17"/>
      <c r="T1598" s="16"/>
    </row>
    <row r="1599">
      <c r="A1599" s="71"/>
      <c r="B1599" s="17"/>
      <c r="C1599" s="17"/>
      <c r="D1599" s="17"/>
      <c r="E1599" s="31"/>
      <c r="F1599" s="17"/>
      <c r="G1599" s="17"/>
      <c r="H1599" s="51"/>
      <c r="I1599" s="17"/>
      <c r="J1599" s="17"/>
      <c r="K1599" s="13"/>
      <c r="L1599" s="17"/>
      <c r="M1599" s="17"/>
      <c r="N1599" s="17"/>
      <c r="O1599" s="17"/>
      <c r="P1599" s="18"/>
      <c r="Q1599" s="17"/>
      <c r="R1599" s="17"/>
      <c r="S1599" s="17"/>
      <c r="T1599" s="16"/>
    </row>
    <row r="1600">
      <c r="A1600" s="71"/>
      <c r="B1600" s="17"/>
      <c r="C1600" s="17"/>
      <c r="D1600" s="17"/>
      <c r="E1600" s="31"/>
      <c r="F1600" s="17"/>
      <c r="G1600" s="17"/>
      <c r="H1600" s="51"/>
      <c r="I1600" s="17"/>
      <c r="J1600" s="17"/>
      <c r="K1600" s="13"/>
      <c r="L1600" s="17"/>
      <c r="M1600" s="17"/>
      <c r="N1600" s="17"/>
      <c r="O1600" s="17"/>
      <c r="P1600" s="18"/>
      <c r="Q1600" s="17"/>
      <c r="R1600" s="17"/>
      <c r="S1600" s="17"/>
      <c r="T1600" s="16"/>
    </row>
    <row r="1601">
      <c r="A1601" s="71"/>
      <c r="B1601" s="17"/>
      <c r="C1601" s="17"/>
      <c r="D1601" s="17"/>
      <c r="E1601" s="31"/>
      <c r="F1601" s="17"/>
      <c r="G1601" s="17"/>
      <c r="H1601" s="51"/>
      <c r="I1601" s="17"/>
      <c r="J1601" s="17"/>
      <c r="K1601" s="13"/>
      <c r="L1601" s="17"/>
      <c r="M1601" s="17"/>
      <c r="N1601" s="17"/>
      <c r="O1601" s="17"/>
      <c r="P1601" s="18"/>
      <c r="Q1601" s="17"/>
      <c r="R1601" s="17"/>
      <c r="S1601" s="17"/>
      <c r="T1601" s="16"/>
    </row>
    <row r="1602">
      <c r="A1602" s="71"/>
      <c r="B1602" s="17"/>
      <c r="C1602" s="17"/>
      <c r="D1602" s="17"/>
      <c r="E1602" s="31"/>
      <c r="F1602" s="17"/>
      <c r="G1602" s="17"/>
      <c r="H1602" s="51"/>
      <c r="I1602" s="17"/>
      <c r="J1602" s="17"/>
      <c r="K1602" s="13"/>
      <c r="L1602" s="17"/>
      <c r="M1602" s="17"/>
      <c r="N1602" s="17"/>
      <c r="O1602" s="17"/>
      <c r="P1602" s="18"/>
      <c r="Q1602" s="17"/>
      <c r="R1602" s="17"/>
      <c r="S1602" s="17"/>
      <c r="T1602" s="16"/>
    </row>
    <row r="1603">
      <c r="A1603" s="71"/>
      <c r="B1603" s="17"/>
      <c r="C1603" s="17"/>
      <c r="D1603" s="17"/>
      <c r="E1603" s="31"/>
      <c r="F1603" s="17"/>
      <c r="G1603" s="17"/>
      <c r="H1603" s="51"/>
      <c r="I1603" s="17"/>
      <c r="J1603" s="17"/>
      <c r="K1603" s="13"/>
      <c r="L1603" s="17"/>
      <c r="M1603" s="17"/>
      <c r="N1603" s="17"/>
      <c r="O1603" s="17"/>
      <c r="P1603" s="18"/>
      <c r="Q1603" s="17"/>
      <c r="R1603" s="17"/>
      <c r="S1603" s="17"/>
      <c r="T1603" s="16"/>
    </row>
    <row r="1604">
      <c r="A1604" s="71"/>
      <c r="B1604" s="17"/>
      <c r="C1604" s="17"/>
      <c r="D1604" s="17"/>
      <c r="E1604" s="31"/>
      <c r="F1604" s="17"/>
      <c r="G1604" s="17"/>
      <c r="H1604" s="51"/>
      <c r="I1604" s="17"/>
      <c r="J1604" s="17"/>
      <c r="K1604" s="13"/>
      <c r="L1604" s="17"/>
      <c r="M1604" s="17"/>
      <c r="N1604" s="17"/>
      <c r="O1604" s="17"/>
      <c r="P1604" s="18"/>
      <c r="Q1604" s="17"/>
      <c r="R1604" s="17"/>
      <c r="S1604" s="17"/>
      <c r="T1604" s="16"/>
    </row>
    <row r="1605">
      <c r="A1605" s="71"/>
      <c r="B1605" s="17"/>
      <c r="C1605" s="17"/>
      <c r="D1605" s="17"/>
      <c r="E1605" s="31"/>
      <c r="F1605" s="17"/>
      <c r="G1605" s="17"/>
      <c r="H1605" s="51"/>
      <c r="I1605" s="17"/>
      <c r="J1605" s="17"/>
      <c r="K1605" s="13"/>
      <c r="L1605" s="17"/>
      <c r="M1605" s="17"/>
      <c r="N1605" s="17"/>
      <c r="O1605" s="17"/>
      <c r="P1605" s="18"/>
      <c r="Q1605" s="17"/>
      <c r="R1605" s="17"/>
      <c r="S1605" s="17"/>
      <c r="T1605" s="16"/>
    </row>
    <row r="1606">
      <c r="A1606" s="71"/>
      <c r="B1606" s="17"/>
      <c r="C1606" s="17"/>
      <c r="D1606" s="17"/>
      <c r="E1606" s="31"/>
      <c r="F1606" s="17"/>
      <c r="G1606" s="17"/>
      <c r="H1606" s="51"/>
      <c r="I1606" s="17"/>
      <c r="J1606" s="17"/>
      <c r="K1606" s="13"/>
      <c r="L1606" s="17"/>
      <c r="M1606" s="17"/>
      <c r="N1606" s="17"/>
      <c r="O1606" s="17"/>
      <c r="P1606" s="18"/>
      <c r="Q1606" s="17"/>
      <c r="R1606" s="17"/>
      <c r="S1606" s="17"/>
      <c r="T1606" s="16"/>
    </row>
    <row r="1607">
      <c r="A1607" s="71"/>
      <c r="B1607" s="17"/>
      <c r="C1607" s="17"/>
      <c r="D1607" s="17"/>
      <c r="E1607" s="31"/>
      <c r="F1607" s="17"/>
      <c r="G1607" s="17"/>
      <c r="H1607" s="51"/>
      <c r="I1607" s="17"/>
      <c r="J1607" s="17"/>
      <c r="K1607" s="13"/>
      <c r="L1607" s="17"/>
      <c r="M1607" s="17"/>
      <c r="N1607" s="17"/>
      <c r="O1607" s="17"/>
      <c r="P1607" s="18"/>
      <c r="Q1607" s="17"/>
      <c r="R1607" s="17"/>
      <c r="S1607" s="17"/>
      <c r="T1607" s="16"/>
    </row>
    <row r="1608">
      <c r="A1608" s="71"/>
      <c r="B1608" s="17"/>
      <c r="C1608" s="17"/>
      <c r="D1608" s="17"/>
      <c r="E1608" s="31"/>
      <c r="F1608" s="17"/>
      <c r="G1608" s="17"/>
      <c r="H1608" s="51"/>
      <c r="I1608" s="17"/>
      <c r="J1608" s="17"/>
      <c r="K1608" s="13"/>
      <c r="L1608" s="17"/>
      <c r="M1608" s="17"/>
      <c r="N1608" s="17"/>
      <c r="O1608" s="17"/>
      <c r="P1608" s="18"/>
      <c r="Q1608" s="17"/>
      <c r="R1608" s="17"/>
      <c r="S1608" s="17"/>
      <c r="T1608" s="16"/>
    </row>
    <row r="1609">
      <c r="A1609" s="71"/>
      <c r="B1609" s="17"/>
      <c r="C1609" s="17"/>
      <c r="D1609" s="17"/>
      <c r="E1609" s="31"/>
      <c r="F1609" s="17"/>
      <c r="G1609" s="17"/>
      <c r="H1609" s="51"/>
      <c r="I1609" s="17"/>
      <c r="J1609" s="17"/>
      <c r="K1609" s="13"/>
      <c r="L1609" s="17"/>
      <c r="M1609" s="17"/>
      <c r="N1609" s="17"/>
      <c r="O1609" s="17"/>
      <c r="P1609" s="18"/>
      <c r="Q1609" s="17"/>
      <c r="R1609" s="17"/>
      <c r="S1609" s="17"/>
      <c r="T1609" s="16"/>
    </row>
    <row r="1610">
      <c r="A1610" s="71"/>
      <c r="B1610" s="17"/>
      <c r="C1610" s="17"/>
      <c r="D1610" s="17"/>
      <c r="E1610" s="31"/>
      <c r="F1610" s="17"/>
      <c r="G1610" s="17"/>
      <c r="H1610" s="51"/>
      <c r="I1610" s="17"/>
      <c r="J1610" s="17"/>
      <c r="K1610" s="13"/>
      <c r="L1610" s="17"/>
      <c r="M1610" s="17"/>
      <c r="N1610" s="17"/>
      <c r="O1610" s="17"/>
      <c r="P1610" s="18"/>
      <c r="Q1610" s="17"/>
      <c r="R1610" s="17"/>
      <c r="S1610" s="17"/>
      <c r="T1610" s="16"/>
    </row>
    <row r="1611">
      <c r="A1611" s="71"/>
      <c r="B1611" s="17"/>
      <c r="C1611" s="17"/>
      <c r="D1611" s="17"/>
      <c r="E1611" s="31"/>
      <c r="F1611" s="17"/>
      <c r="G1611" s="17"/>
      <c r="H1611" s="51"/>
      <c r="I1611" s="17"/>
      <c r="J1611" s="17"/>
      <c r="K1611" s="13"/>
      <c r="L1611" s="17"/>
      <c r="M1611" s="17"/>
      <c r="N1611" s="17"/>
      <c r="O1611" s="17"/>
      <c r="P1611" s="18"/>
      <c r="Q1611" s="17"/>
      <c r="R1611" s="17"/>
      <c r="S1611" s="17"/>
      <c r="T1611" s="16"/>
    </row>
    <row r="1612">
      <c r="A1612" s="71"/>
      <c r="B1612" s="17"/>
      <c r="C1612" s="17"/>
      <c r="D1612" s="17"/>
      <c r="E1612" s="31"/>
      <c r="F1612" s="17"/>
      <c r="G1612" s="17"/>
      <c r="H1612" s="51"/>
      <c r="I1612" s="17"/>
      <c r="J1612" s="17"/>
      <c r="K1612" s="13"/>
      <c r="L1612" s="17"/>
      <c r="M1612" s="17"/>
      <c r="N1612" s="17"/>
      <c r="O1612" s="17"/>
      <c r="P1612" s="18"/>
      <c r="Q1612" s="17"/>
      <c r="R1612" s="17"/>
      <c r="S1612" s="17"/>
      <c r="T1612" s="16"/>
    </row>
    <row r="1613">
      <c r="A1613" s="71"/>
      <c r="B1613" s="17"/>
      <c r="C1613" s="17"/>
      <c r="D1613" s="17"/>
      <c r="E1613" s="31"/>
      <c r="F1613" s="17"/>
      <c r="G1613" s="17"/>
      <c r="H1613" s="51"/>
      <c r="I1613" s="17"/>
      <c r="J1613" s="17"/>
      <c r="K1613" s="13"/>
      <c r="L1613" s="17"/>
      <c r="M1613" s="17"/>
      <c r="N1613" s="17"/>
      <c r="O1613" s="17"/>
      <c r="P1613" s="18"/>
      <c r="Q1613" s="17"/>
      <c r="R1613" s="17"/>
      <c r="S1613" s="17"/>
      <c r="T1613" s="16"/>
    </row>
    <row r="1614">
      <c r="A1614" s="71"/>
      <c r="B1614" s="17"/>
      <c r="C1614" s="17"/>
      <c r="D1614" s="17"/>
      <c r="E1614" s="31"/>
      <c r="F1614" s="17"/>
      <c r="G1614" s="17"/>
      <c r="H1614" s="51"/>
      <c r="I1614" s="17"/>
      <c r="J1614" s="17"/>
      <c r="K1614" s="13"/>
      <c r="L1614" s="17"/>
      <c r="M1614" s="17"/>
      <c r="N1614" s="17"/>
      <c r="O1614" s="17"/>
      <c r="P1614" s="18"/>
      <c r="Q1614" s="17"/>
      <c r="R1614" s="17"/>
      <c r="S1614" s="17"/>
      <c r="T1614" s="16"/>
    </row>
    <row r="1615">
      <c r="A1615" s="71"/>
      <c r="B1615" s="17"/>
      <c r="C1615" s="17"/>
      <c r="D1615" s="17"/>
      <c r="E1615" s="31"/>
      <c r="F1615" s="17"/>
      <c r="G1615" s="17"/>
      <c r="H1615" s="51"/>
      <c r="I1615" s="17"/>
      <c r="J1615" s="17"/>
      <c r="K1615" s="13"/>
      <c r="L1615" s="17"/>
      <c r="M1615" s="17"/>
      <c r="N1615" s="17"/>
      <c r="O1615" s="17"/>
      <c r="P1615" s="18"/>
      <c r="Q1615" s="17"/>
      <c r="R1615" s="17"/>
      <c r="S1615" s="17"/>
      <c r="T1615" s="16"/>
    </row>
    <row r="1616">
      <c r="A1616" s="71"/>
      <c r="B1616" s="17"/>
      <c r="C1616" s="17"/>
      <c r="D1616" s="17"/>
      <c r="E1616" s="31"/>
      <c r="F1616" s="17"/>
      <c r="G1616" s="17"/>
      <c r="H1616" s="51"/>
      <c r="I1616" s="17"/>
      <c r="J1616" s="17"/>
      <c r="K1616" s="13"/>
      <c r="L1616" s="17"/>
      <c r="M1616" s="17"/>
      <c r="N1616" s="17"/>
      <c r="O1616" s="17"/>
      <c r="P1616" s="18"/>
      <c r="Q1616" s="17"/>
      <c r="R1616" s="17"/>
      <c r="S1616" s="17"/>
      <c r="T1616" s="16"/>
    </row>
    <row r="1617">
      <c r="A1617" s="71"/>
      <c r="B1617" s="17"/>
      <c r="C1617" s="17"/>
      <c r="D1617" s="17"/>
      <c r="E1617" s="31"/>
      <c r="F1617" s="17"/>
      <c r="G1617" s="17"/>
      <c r="H1617" s="51"/>
      <c r="I1617" s="17"/>
      <c r="J1617" s="17"/>
      <c r="K1617" s="13"/>
      <c r="L1617" s="17"/>
      <c r="M1617" s="17"/>
      <c r="N1617" s="17"/>
      <c r="O1617" s="17"/>
      <c r="P1617" s="18"/>
      <c r="Q1617" s="17"/>
      <c r="R1617" s="17"/>
      <c r="S1617" s="17"/>
      <c r="T1617" s="16"/>
    </row>
    <row r="1618">
      <c r="A1618" s="71"/>
      <c r="B1618" s="17"/>
      <c r="C1618" s="17"/>
      <c r="D1618" s="17"/>
      <c r="E1618" s="31"/>
      <c r="F1618" s="17"/>
      <c r="G1618" s="17"/>
      <c r="H1618" s="51"/>
      <c r="I1618" s="17"/>
      <c r="J1618" s="17"/>
      <c r="K1618" s="13"/>
      <c r="L1618" s="17"/>
      <c r="M1618" s="17"/>
      <c r="N1618" s="17"/>
      <c r="O1618" s="17"/>
      <c r="P1618" s="18"/>
      <c r="Q1618" s="17"/>
      <c r="R1618" s="17"/>
      <c r="S1618" s="17"/>
      <c r="T1618" s="16"/>
    </row>
    <row r="1619">
      <c r="A1619" s="71"/>
      <c r="B1619" s="17"/>
      <c r="C1619" s="17"/>
      <c r="D1619" s="17"/>
      <c r="E1619" s="31"/>
      <c r="F1619" s="17"/>
      <c r="G1619" s="17"/>
      <c r="H1619" s="51"/>
      <c r="I1619" s="17"/>
      <c r="J1619" s="17"/>
      <c r="K1619" s="13"/>
      <c r="L1619" s="17"/>
      <c r="M1619" s="17"/>
      <c r="N1619" s="17"/>
      <c r="O1619" s="17"/>
      <c r="P1619" s="18"/>
      <c r="Q1619" s="17"/>
      <c r="R1619" s="17"/>
      <c r="S1619" s="17"/>
      <c r="T1619" s="16"/>
    </row>
    <row r="1620">
      <c r="A1620" s="71"/>
      <c r="B1620" s="17"/>
      <c r="C1620" s="17"/>
      <c r="D1620" s="17"/>
      <c r="E1620" s="31"/>
      <c r="F1620" s="17"/>
      <c r="G1620" s="17"/>
      <c r="H1620" s="51"/>
      <c r="I1620" s="17"/>
      <c r="J1620" s="17"/>
      <c r="K1620" s="13"/>
      <c r="L1620" s="17"/>
      <c r="M1620" s="17"/>
      <c r="N1620" s="17"/>
      <c r="O1620" s="17"/>
      <c r="P1620" s="18"/>
      <c r="Q1620" s="17"/>
      <c r="R1620" s="17"/>
      <c r="S1620" s="17"/>
      <c r="T1620" s="16"/>
    </row>
    <row r="1621">
      <c r="A1621" s="71"/>
      <c r="B1621" s="17"/>
      <c r="C1621" s="17"/>
      <c r="D1621" s="17"/>
      <c r="E1621" s="31"/>
      <c r="F1621" s="17"/>
      <c r="G1621" s="17"/>
      <c r="H1621" s="51"/>
      <c r="I1621" s="17"/>
      <c r="J1621" s="17"/>
      <c r="K1621" s="13"/>
      <c r="L1621" s="17"/>
      <c r="M1621" s="17"/>
      <c r="N1621" s="17"/>
      <c r="O1621" s="17"/>
      <c r="P1621" s="18"/>
      <c r="Q1621" s="17"/>
      <c r="R1621" s="17"/>
      <c r="S1621" s="17"/>
      <c r="T1621" s="16"/>
    </row>
    <row r="1622">
      <c r="A1622" s="71"/>
      <c r="B1622" s="17"/>
      <c r="C1622" s="17"/>
      <c r="D1622" s="17"/>
      <c r="E1622" s="31"/>
      <c r="F1622" s="17"/>
      <c r="G1622" s="17"/>
      <c r="H1622" s="51"/>
      <c r="I1622" s="17"/>
      <c r="J1622" s="17"/>
      <c r="K1622" s="13"/>
      <c r="L1622" s="17"/>
      <c r="M1622" s="17"/>
      <c r="N1622" s="17"/>
      <c r="O1622" s="17"/>
      <c r="P1622" s="18"/>
      <c r="Q1622" s="17"/>
      <c r="R1622" s="17"/>
      <c r="S1622" s="17"/>
      <c r="T1622" s="16"/>
    </row>
    <row r="1623">
      <c r="A1623" s="71"/>
      <c r="B1623" s="17"/>
      <c r="C1623" s="17"/>
      <c r="D1623" s="17"/>
      <c r="E1623" s="31"/>
      <c r="F1623" s="17"/>
      <c r="G1623" s="17"/>
      <c r="H1623" s="51"/>
      <c r="I1623" s="17"/>
      <c r="J1623" s="17"/>
      <c r="K1623" s="13"/>
      <c r="L1623" s="17"/>
      <c r="M1623" s="17"/>
      <c r="N1623" s="17"/>
      <c r="O1623" s="17"/>
      <c r="P1623" s="18"/>
      <c r="Q1623" s="17"/>
      <c r="R1623" s="17"/>
      <c r="S1623" s="17"/>
      <c r="T1623" s="16"/>
    </row>
    <row r="1624">
      <c r="A1624" s="71"/>
      <c r="B1624" s="17"/>
      <c r="C1624" s="17"/>
      <c r="D1624" s="17"/>
      <c r="E1624" s="31"/>
      <c r="F1624" s="17"/>
      <c r="G1624" s="17"/>
      <c r="H1624" s="51"/>
      <c r="I1624" s="17"/>
      <c r="J1624" s="17"/>
      <c r="K1624" s="13"/>
      <c r="L1624" s="17"/>
      <c r="M1624" s="17"/>
      <c r="N1624" s="17"/>
      <c r="O1624" s="17"/>
      <c r="P1624" s="18"/>
      <c r="Q1624" s="17"/>
      <c r="R1624" s="17"/>
      <c r="S1624" s="17"/>
      <c r="T1624" s="16"/>
    </row>
    <row r="1625">
      <c r="A1625" s="71"/>
      <c r="B1625" s="17"/>
      <c r="C1625" s="17"/>
      <c r="D1625" s="17"/>
      <c r="E1625" s="31"/>
      <c r="F1625" s="17"/>
      <c r="G1625" s="17"/>
      <c r="H1625" s="51"/>
      <c r="I1625" s="17"/>
      <c r="J1625" s="17"/>
      <c r="K1625" s="13"/>
      <c r="L1625" s="17"/>
      <c r="M1625" s="17"/>
      <c r="N1625" s="17"/>
      <c r="O1625" s="17"/>
      <c r="P1625" s="18"/>
      <c r="Q1625" s="17"/>
      <c r="R1625" s="17"/>
      <c r="S1625" s="17"/>
      <c r="T1625" s="16"/>
    </row>
    <row r="1626">
      <c r="A1626" s="71"/>
      <c r="B1626" s="17"/>
      <c r="C1626" s="17"/>
      <c r="D1626" s="17"/>
      <c r="E1626" s="31"/>
      <c r="F1626" s="17"/>
      <c r="G1626" s="17"/>
      <c r="H1626" s="51"/>
      <c r="I1626" s="17"/>
      <c r="J1626" s="17"/>
      <c r="K1626" s="13"/>
      <c r="L1626" s="17"/>
      <c r="M1626" s="17"/>
      <c r="N1626" s="17"/>
      <c r="O1626" s="17"/>
      <c r="P1626" s="18"/>
      <c r="Q1626" s="17"/>
      <c r="R1626" s="17"/>
      <c r="S1626" s="17"/>
      <c r="T1626" s="16"/>
    </row>
    <row r="1627">
      <c r="A1627" s="71"/>
      <c r="B1627" s="17"/>
      <c r="C1627" s="17"/>
      <c r="D1627" s="17"/>
      <c r="E1627" s="31"/>
      <c r="F1627" s="17"/>
      <c r="G1627" s="17"/>
      <c r="H1627" s="51"/>
      <c r="I1627" s="17"/>
      <c r="J1627" s="17"/>
      <c r="K1627" s="13"/>
      <c r="L1627" s="17"/>
      <c r="M1627" s="17"/>
      <c r="N1627" s="17"/>
      <c r="O1627" s="17"/>
      <c r="P1627" s="18"/>
      <c r="Q1627" s="17"/>
      <c r="R1627" s="17"/>
      <c r="S1627" s="17"/>
      <c r="T1627" s="16"/>
    </row>
    <row r="1628">
      <c r="A1628" s="71"/>
      <c r="B1628" s="17"/>
      <c r="C1628" s="17"/>
      <c r="D1628" s="17"/>
      <c r="E1628" s="31"/>
      <c r="F1628" s="17"/>
      <c r="G1628" s="17"/>
      <c r="H1628" s="51"/>
      <c r="I1628" s="17"/>
      <c r="J1628" s="17"/>
      <c r="K1628" s="13"/>
      <c r="L1628" s="17"/>
      <c r="M1628" s="17"/>
      <c r="N1628" s="17"/>
      <c r="O1628" s="17"/>
      <c r="P1628" s="18"/>
      <c r="Q1628" s="17"/>
      <c r="R1628" s="17"/>
      <c r="S1628" s="17"/>
      <c r="T1628" s="16"/>
    </row>
    <row r="1629">
      <c r="A1629" s="71"/>
      <c r="B1629" s="17"/>
      <c r="C1629" s="17"/>
      <c r="D1629" s="17"/>
      <c r="E1629" s="31"/>
      <c r="F1629" s="17"/>
      <c r="G1629" s="17"/>
      <c r="H1629" s="51"/>
      <c r="I1629" s="17"/>
      <c r="J1629" s="17"/>
      <c r="K1629" s="13"/>
      <c r="L1629" s="17"/>
      <c r="M1629" s="17"/>
      <c r="N1629" s="17"/>
      <c r="O1629" s="17"/>
      <c r="P1629" s="18"/>
      <c r="Q1629" s="17"/>
      <c r="R1629" s="17"/>
      <c r="S1629" s="17"/>
      <c r="T1629" s="16"/>
    </row>
    <row r="1630">
      <c r="A1630" s="71"/>
      <c r="B1630" s="17"/>
      <c r="C1630" s="17"/>
      <c r="D1630" s="17"/>
      <c r="E1630" s="31"/>
      <c r="F1630" s="17"/>
      <c r="G1630" s="17"/>
      <c r="H1630" s="51"/>
      <c r="I1630" s="17"/>
      <c r="J1630" s="17"/>
      <c r="K1630" s="13"/>
      <c r="L1630" s="17"/>
      <c r="M1630" s="17"/>
      <c r="N1630" s="17"/>
      <c r="O1630" s="17"/>
      <c r="P1630" s="18"/>
      <c r="Q1630" s="17"/>
      <c r="R1630" s="17"/>
      <c r="S1630" s="17"/>
      <c r="T1630" s="16"/>
    </row>
    <row r="1631">
      <c r="A1631" s="71"/>
      <c r="B1631" s="17"/>
      <c r="C1631" s="17"/>
      <c r="D1631" s="17"/>
      <c r="E1631" s="31"/>
      <c r="F1631" s="17"/>
      <c r="G1631" s="17"/>
      <c r="H1631" s="51"/>
      <c r="I1631" s="17"/>
      <c r="J1631" s="17"/>
      <c r="K1631" s="13"/>
      <c r="L1631" s="17"/>
      <c r="M1631" s="17"/>
      <c r="N1631" s="17"/>
      <c r="O1631" s="17"/>
      <c r="P1631" s="18"/>
      <c r="Q1631" s="17"/>
      <c r="R1631" s="17"/>
      <c r="S1631" s="17"/>
      <c r="T1631" s="16"/>
    </row>
    <row r="1632">
      <c r="A1632" s="71"/>
      <c r="B1632" s="17"/>
      <c r="C1632" s="17"/>
      <c r="D1632" s="17"/>
      <c r="E1632" s="31"/>
      <c r="F1632" s="17"/>
      <c r="G1632" s="17"/>
      <c r="H1632" s="51"/>
      <c r="I1632" s="17"/>
      <c r="J1632" s="17"/>
      <c r="K1632" s="13"/>
      <c r="L1632" s="17"/>
      <c r="M1632" s="17"/>
      <c r="N1632" s="17"/>
      <c r="O1632" s="17"/>
      <c r="P1632" s="18"/>
      <c r="Q1632" s="17"/>
      <c r="R1632" s="17"/>
      <c r="S1632" s="17"/>
      <c r="T1632" s="16"/>
    </row>
    <row r="1633">
      <c r="A1633" s="71"/>
      <c r="B1633" s="17"/>
      <c r="C1633" s="17"/>
      <c r="D1633" s="17"/>
      <c r="E1633" s="31"/>
      <c r="F1633" s="17"/>
      <c r="G1633" s="17"/>
      <c r="H1633" s="51"/>
      <c r="I1633" s="17"/>
      <c r="J1633" s="17"/>
      <c r="K1633" s="13"/>
      <c r="L1633" s="17"/>
      <c r="M1633" s="17"/>
      <c r="N1633" s="17"/>
      <c r="O1633" s="17"/>
      <c r="P1633" s="18"/>
      <c r="Q1633" s="17"/>
      <c r="R1633" s="17"/>
      <c r="S1633" s="17"/>
      <c r="T1633" s="16"/>
    </row>
    <row r="1634">
      <c r="A1634" s="71"/>
      <c r="B1634" s="17"/>
      <c r="C1634" s="17"/>
      <c r="D1634" s="17"/>
      <c r="E1634" s="31"/>
      <c r="F1634" s="17"/>
      <c r="G1634" s="17"/>
      <c r="H1634" s="51"/>
      <c r="I1634" s="17"/>
      <c r="J1634" s="17"/>
      <c r="K1634" s="13"/>
      <c r="L1634" s="17"/>
      <c r="M1634" s="17"/>
      <c r="N1634" s="17"/>
      <c r="O1634" s="17"/>
      <c r="P1634" s="18"/>
      <c r="Q1634" s="17"/>
      <c r="R1634" s="17"/>
      <c r="S1634" s="17"/>
      <c r="T1634" s="16"/>
    </row>
    <row r="1635">
      <c r="A1635" s="71"/>
      <c r="B1635" s="17"/>
      <c r="C1635" s="17"/>
      <c r="D1635" s="17"/>
      <c r="E1635" s="31"/>
      <c r="F1635" s="17"/>
      <c r="G1635" s="17"/>
      <c r="H1635" s="51"/>
      <c r="I1635" s="17"/>
      <c r="J1635" s="17"/>
      <c r="K1635" s="13"/>
      <c r="L1635" s="17"/>
      <c r="M1635" s="17"/>
      <c r="N1635" s="17"/>
      <c r="O1635" s="17"/>
      <c r="P1635" s="18"/>
      <c r="Q1635" s="17"/>
      <c r="R1635" s="17"/>
      <c r="S1635" s="17"/>
      <c r="T1635" s="16"/>
    </row>
    <row r="1636">
      <c r="A1636" s="71"/>
      <c r="B1636" s="17"/>
      <c r="C1636" s="17"/>
      <c r="D1636" s="17"/>
      <c r="E1636" s="31"/>
      <c r="F1636" s="17"/>
      <c r="G1636" s="17"/>
      <c r="H1636" s="51"/>
      <c r="I1636" s="17"/>
      <c r="J1636" s="17"/>
      <c r="K1636" s="13"/>
      <c r="L1636" s="17"/>
      <c r="M1636" s="17"/>
      <c r="N1636" s="17"/>
      <c r="O1636" s="17"/>
      <c r="P1636" s="18"/>
      <c r="Q1636" s="17"/>
      <c r="R1636" s="17"/>
      <c r="S1636" s="17"/>
      <c r="T1636" s="16"/>
    </row>
    <row r="1637">
      <c r="A1637" s="71"/>
      <c r="B1637" s="17"/>
      <c r="C1637" s="17"/>
      <c r="D1637" s="17"/>
      <c r="E1637" s="31"/>
      <c r="F1637" s="17"/>
      <c r="G1637" s="17"/>
      <c r="H1637" s="51"/>
      <c r="I1637" s="17"/>
      <c r="J1637" s="17"/>
      <c r="K1637" s="13"/>
      <c r="L1637" s="17"/>
      <c r="M1637" s="17"/>
      <c r="N1637" s="17"/>
      <c r="O1637" s="17"/>
      <c r="P1637" s="18"/>
      <c r="Q1637" s="17"/>
      <c r="R1637" s="17"/>
      <c r="S1637" s="17"/>
      <c r="T1637" s="16"/>
    </row>
    <row r="1638">
      <c r="A1638" s="71"/>
      <c r="B1638" s="17"/>
      <c r="C1638" s="17"/>
      <c r="D1638" s="17"/>
      <c r="E1638" s="31"/>
      <c r="F1638" s="17"/>
      <c r="G1638" s="17"/>
      <c r="H1638" s="51"/>
      <c r="I1638" s="17"/>
      <c r="J1638" s="17"/>
      <c r="K1638" s="13"/>
      <c r="L1638" s="17"/>
      <c r="M1638" s="17"/>
      <c r="N1638" s="17"/>
      <c r="O1638" s="17"/>
      <c r="P1638" s="18"/>
      <c r="Q1638" s="17"/>
      <c r="R1638" s="17"/>
      <c r="S1638" s="17"/>
      <c r="T1638" s="16"/>
    </row>
    <row r="1639">
      <c r="A1639" s="71"/>
      <c r="B1639" s="17"/>
      <c r="C1639" s="17"/>
      <c r="D1639" s="17"/>
      <c r="E1639" s="31"/>
      <c r="F1639" s="17"/>
      <c r="G1639" s="17"/>
      <c r="H1639" s="51"/>
      <c r="I1639" s="17"/>
      <c r="J1639" s="17"/>
      <c r="K1639" s="13"/>
      <c r="L1639" s="17"/>
      <c r="M1639" s="17"/>
      <c r="N1639" s="17"/>
      <c r="O1639" s="17"/>
      <c r="P1639" s="18"/>
      <c r="Q1639" s="17"/>
      <c r="R1639" s="17"/>
      <c r="S1639" s="17"/>
      <c r="T1639" s="16"/>
    </row>
    <row r="1640">
      <c r="A1640" s="71"/>
      <c r="B1640" s="17"/>
      <c r="C1640" s="17"/>
      <c r="D1640" s="17"/>
      <c r="E1640" s="31"/>
      <c r="F1640" s="17"/>
      <c r="G1640" s="17"/>
      <c r="H1640" s="51"/>
      <c r="I1640" s="17"/>
      <c r="J1640" s="17"/>
      <c r="K1640" s="13"/>
      <c r="L1640" s="17"/>
      <c r="M1640" s="17"/>
      <c r="N1640" s="17"/>
      <c r="O1640" s="17"/>
      <c r="P1640" s="18"/>
      <c r="Q1640" s="17"/>
      <c r="R1640" s="17"/>
      <c r="S1640" s="17"/>
      <c r="T1640" s="16"/>
    </row>
    <row r="1641">
      <c r="A1641" s="71"/>
      <c r="B1641" s="17"/>
      <c r="C1641" s="17"/>
      <c r="D1641" s="17"/>
      <c r="E1641" s="31"/>
      <c r="F1641" s="17"/>
      <c r="G1641" s="17"/>
      <c r="H1641" s="51"/>
      <c r="I1641" s="17"/>
      <c r="J1641" s="17"/>
      <c r="K1641" s="13"/>
      <c r="L1641" s="17"/>
      <c r="M1641" s="17"/>
      <c r="N1641" s="17"/>
      <c r="O1641" s="17"/>
      <c r="P1641" s="18"/>
      <c r="Q1641" s="17"/>
      <c r="R1641" s="17"/>
      <c r="S1641" s="17"/>
      <c r="T1641" s="16"/>
    </row>
    <row r="1642">
      <c r="A1642" s="71"/>
      <c r="B1642" s="17"/>
      <c r="C1642" s="17"/>
      <c r="D1642" s="17"/>
      <c r="E1642" s="31"/>
      <c r="F1642" s="17"/>
      <c r="G1642" s="17"/>
      <c r="H1642" s="51"/>
      <c r="I1642" s="17"/>
      <c r="J1642" s="17"/>
      <c r="K1642" s="13"/>
      <c r="L1642" s="17"/>
      <c r="M1642" s="17"/>
      <c r="N1642" s="17"/>
      <c r="O1642" s="17"/>
      <c r="P1642" s="18"/>
      <c r="Q1642" s="17"/>
      <c r="R1642" s="17"/>
      <c r="S1642" s="17"/>
      <c r="T1642" s="16"/>
    </row>
    <row r="1643">
      <c r="A1643" s="71"/>
      <c r="B1643" s="17"/>
      <c r="C1643" s="17"/>
      <c r="D1643" s="17"/>
      <c r="E1643" s="31"/>
      <c r="F1643" s="17"/>
      <c r="G1643" s="17"/>
      <c r="H1643" s="51"/>
      <c r="I1643" s="17"/>
      <c r="J1643" s="17"/>
      <c r="K1643" s="13"/>
      <c r="L1643" s="17"/>
      <c r="M1643" s="17"/>
      <c r="N1643" s="17"/>
      <c r="O1643" s="17"/>
      <c r="P1643" s="18"/>
      <c r="Q1643" s="17"/>
      <c r="R1643" s="17"/>
      <c r="S1643" s="17"/>
      <c r="T1643" s="16"/>
    </row>
    <row r="1644">
      <c r="A1644" s="71"/>
      <c r="B1644" s="17"/>
      <c r="C1644" s="17"/>
      <c r="D1644" s="17"/>
      <c r="E1644" s="31"/>
      <c r="F1644" s="17"/>
      <c r="G1644" s="17"/>
      <c r="H1644" s="51"/>
      <c r="I1644" s="17"/>
      <c r="J1644" s="17"/>
      <c r="K1644" s="13"/>
      <c r="L1644" s="17"/>
      <c r="M1644" s="17"/>
      <c r="N1644" s="17"/>
      <c r="O1644" s="17"/>
      <c r="P1644" s="18"/>
      <c r="Q1644" s="17"/>
      <c r="R1644" s="17"/>
      <c r="S1644" s="17"/>
      <c r="T1644" s="16"/>
    </row>
    <row r="1645">
      <c r="A1645" s="71"/>
      <c r="B1645" s="17"/>
      <c r="C1645" s="17"/>
      <c r="D1645" s="17"/>
      <c r="E1645" s="31"/>
      <c r="F1645" s="17"/>
      <c r="G1645" s="17"/>
      <c r="H1645" s="51"/>
      <c r="I1645" s="17"/>
      <c r="J1645" s="17"/>
      <c r="K1645" s="13"/>
      <c r="L1645" s="17"/>
      <c r="M1645" s="17"/>
      <c r="N1645" s="17"/>
      <c r="O1645" s="17"/>
      <c r="P1645" s="18"/>
      <c r="Q1645" s="17"/>
      <c r="R1645" s="17"/>
      <c r="S1645" s="17"/>
      <c r="T1645" s="16"/>
    </row>
    <row r="1646">
      <c r="A1646" s="71"/>
      <c r="B1646" s="17"/>
      <c r="C1646" s="17"/>
      <c r="D1646" s="17"/>
      <c r="E1646" s="31"/>
      <c r="F1646" s="17"/>
      <c r="G1646" s="17"/>
      <c r="H1646" s="51"/>
      <c r="I1646" s="17"/>
      <c r="J1646" s="17"/>
      <c r="K1646" s="13"/>
      <c r="L1646" s="17"/>
      <c r="M1646" s="17"/>
      <c r="N1646" s="17"/>
      <c r="O1646" s="17"/>
      <c r="P1646" s="18"/>
      <c r="Q1646" s="17"/>
      <c r="R1646" s="17"/>
      <c r="S1646" s="17"/>
      <c r="T1646" s="16"/>
    </row>
    <row r="1647">
      <c r="A1647" s="71"/>
      <c r="B1647" s="17"/>
      <c r="C1647" s="17"/>
      <c r="D1647" s="17"/>
      <c r="E1647" s="31"/>
      <c r="F1647" s="17"/>
      <c r="G1647" s="17"/>
      <c r="H1647" s="51"/>
      <c r="I1647" s="17"/>
      <c r="J1647" s="17"/>
      <c r="K1647" s="13"/>
      <c r="L1647" s="17"/>
      <c r="M1647" s="17"/>
      <c r="N1647" s="17"/>
      <c r="O1647" s="17"/>
      <c r="P1647" s="18"/>
      <c r="Q1647" s="17"/>
      <c r="R1647" s="17"/>
      <c r="S1647" s="17"/>
      <c r="T1647" s="16"/>
    </row>
    <row r="1648">
      <c r="A1648" s="71"/>
      <c r="B1648" s="17"/>
      <c r="C1648" s="17"/>
      <c r="D1648" s="17"/>
      <c r="E1648" s="31"/>
      <c r="F1648" s="17"/>
      <c r="G1648" s="17"/>
      <c r="H1648" s="51"/>
      <c r="I1648" s="17"/>
      <c r="J1648" s="17"/>
      <c r="K1648" s="13"/>
      <c r="L1648" s="17"/>
      <c r="M1648" s="17"/>
      <c r="N1648" s="17"/>
      <c r="O1648" s="17"/>
      <c r="P1648" s="18"/>
      <c r="Q1648" s="17"/>
      <c r="R1648" s="17"/>
      <c r="S1648" s="17"/>
      <c r="T1648" s="16"/>
    </row>
    <row r="1649">
      <c r="A1649" s="71"/>
      <c r="B1649" s="17"/>
      <c r="C1649" s="17"/>
      <c r="D1649" s="17"/>
      <c r="E1649" s="31"/>
      <c r="F1649" s="17"/>
      <c r="G1649" s="17"/>
      <c r="H1649" s="51"/>
      <c r="I1649" s="17"/>
      <c r="J1649" s="17"/>
      <c r="K1649" s="13"/>
      <c r="L1649" s="17"/>
      <c r="M1649" s="17"/>
      <c r="N1649" s="17"/>
      <c r="O1649" s="17"/>
      <c r="P1649" s="18"/>
      <c r="Q1649" s="17"/>
      <c r="R1649" s="17"/>
      <c r="S1649" s="17"/>
      <c r="T1649" s="16"/>
    </row>
    <row r="1650">
      <c r="A1650" s="71"/>
      <c r="B1650" s="17"/>
      <c r="C1650" s="17"/>
      <c r="D1650" s="17"/>
      <c r="E1650" s="31"/>
      <c r="F1650" s="17"/>
      <c r="G1650" s="17"/>
      <c r="H1650" s="51"/>
      <c r="I1650" s="17"/>
      <c r="J1650" s="17"/>
      <c r="K1650" s="13"/>
      <c r="L1650" s="17"/>
      <c r="M1650" s="17"/>
      <c r="N1650" s="17"/>
      <c r="O1650" s="17"/>
      <c r="P1650" s="18"/>
      <c r="Q1650" s="17"/>
      <c r="R1650" s="17"/>
      <c r="S1650" s="17"/>
      <c r="T1650" s="16"/>
    </row>
    <row r="1651">
      <c r="A1651" s="71"/>
      <c r="B1651" s="17"/>
      <c r="C1651" s="17"/>
      <c r="D1651" s="17"/>
      <c r="E1651" s="31"/>
      <c r="F1651" s="17"/>
      <c r="G1651" s="17"/>
      <c r="H1651" s="51"/>
      <c r="I1651" s="17"/>
      <c r="J1651" s="17"/>
      <c r="K1651" s="13"/>
      <c r="L1651" s="17"/>
      <c r="M1651" s="17"/>
      <c r="N1651" s="17"/>
      <c r="O1651" s="17"/>
      <c r="P1651" s="18"/>
      <c r="Q1651" s="17"/>
      <c r="R1651" s="17"/>
      <c r="S1651" s="17"/>
      <c r="T1651" s="16"/>
    </row>
    <row r="1652">
      <c r="A1652" s="71"/>
      <c r="B1652" s="17"/>
      <c r="C1652" s="17"/>
      <c r="D1652" s="17"/>
      <c r="E1652" s="31"/>
      <c r="F1652" s="17"/>
      <c r="G1652" s="17"/>
      <c r="H1652" s="51"/>
      <c r="I1652" s="17"/>
      <c r="J1652" s="17"/>
      <c r="K1652" s="13"/>
      <c r="L1652" s="17"/>
      <c r="M1652" s="17"/>
      <c r="N1652" s="17"/>
      <c r="O1652" s="17"/>
      <c r="P1652" s="18"/>
      <c r="Q1652" s="17"/>
      <c r="R1652" s="17"/>
      <c r="S1652" s="17"/>
      <c r="T1652" s="16"/>
    </row>
    <row r="1653">
      <c r="A1653" s="71"/>
      <c r="B1653" s="17"/>
      <c r="C1653" s="17"/>
      <c r="D1653" s="17"/>
      <c r="E1653" s="31"/>
      <c r="F1653" s="17"/>
      <c r="G1653" s="17"/>
      <c r="H1653" s="51"/>
      <c r="I1653" s="17"/>
      <c r="J1653" s="17"/>
      <c r="K1653" s="13"/>
      <c r="L1653" s="17"/>
      <c r="M1653" s="17"/>
      <c r="N1653" s="17"/>
      <c r="O1653" s="17"/>
      <c r="P1653" s="18"/>
      <c r="Q1653" s="17"/>
      <c r="R1653" s="17"/>
      <c r="S1653" s="17"/>
      <c r="T1653" s="16"/>
    </row>
    <row r="1654">
      <c r="A1654" s="71"/>
      <c r="B1654" s="17"/>
      <c r="C1654" s="17"/>
      <c r="D1654" s="17"/>
      <c r="E1654" s="31"/>
      <c r="F1654" s="17"/>
      <c r="G1654" s="17"/>
      <c r="H1654" s="51"/>
      <c r="I1654" s="17"/>
      <c r="J1654" s="17"/>
      <c r="K1654" s="13"/>
      <c r="L1654" s="17"/>
      <c r="M1654" s="17"/>
      <c r="N1654" s="17"/>
      <c r="O1654" s="17"/>
      <c r="P1654" s="18"/>
      <c r="Q1654" s="17"/>
      <c r="R1654" s="17"/>
      <c r="S1654" s="17"/>
      <c r="T1654" s="16"/>
    </row>
    <row r="1655">
      <c r="A1655" s="71"/>
      <c r="B1655" s="17"/>
      <c r="C1655" s="17"/>
      <c r="D1655" s="17"/>
      <c r="E1655" s="31"/>
      <c r="F1655" s="17"/>
      <c r="G1655" s="17"/>
      <c r="H1655" s="51"/>
      <c r="I1655" s="17"/>
      <c r="J1655" s="17"/>
      <c r="K1655" s="13"/>
      <c r="L1655" s="17"/>
      <c r="M1655" s="17"/>
      <c r="N1655" s="17"/>
      <c r="O1655" s="17"/>
      <c r="P1655" s="18"/>
      <c r="Q1655" s="17"/>
      <c r="R1655" s="17"/>
      <c r="S1655" s="17"/>
      <c r="T1655" s="16"/>
    </row>
    <row r="1656">
      <c r="A1656" s="71"/>
      <c r="B1656" s="17"/>
      <c r="C1656" s="17"/>
      <c r="D1656" s="17"/>
      <c r="E1656" s="31"/>
      <c r="F1656" s="17"/>
      <c r="G1656" s="17"/>
      <c r="H1656" s="51"/>
      <c r="I1656" s="17"/>
      <c r="J1656" s="17"/>
      <c r="K1656" s="13"/>
      <c r="L1656" s="17"/>
      <c r="M1656" s="17"/>
      <c r="N1656" s="17"/>
      <c r="O1656" s="17"/>
      <c r="P1656" s="18"/>
      <c r="Q1656" s="17"/>
      <c r="R1656" s="17"/>
      <c r="S1656" s="17"/>
      <c r="T1656" s="16"/>
    </row>
    <row r="1657">
      <c r="A1657" s="71"/>
      <c r="B1657" s="17"/>
      <c r="C1657" s="17"/>
      <c r="D1657" s="17"/>
      <c r="E1657" s="31"/>
      <c r="F1657" s="17"/>
      <c r="G1657" s="17"/>
      <c r="H1657" s="51"/>
      <c r="I1657" s="17"/>
      <c r="J1657" s="17"/>
      <c r="K1657" s="13"/>
      <c r="L1657" s="17"/>
      <c r="M1657" s="17"/>
      <c r="N1657" s="17"/>
      <c r="O1657" s="17"/>
      <c r="P1657" s="18"/>
      <c r="Q1657" s="17"/>
      <c r="R1657" s="17"/>
      <c r="S1657" s="17"/>
      <c r="T1657" s="16"/>
    </row>
    <row r="1658">
      <c r="A1658" s="71"/>
      <c r="B1658" s="17"/>
      <c r="C1658" s="17"/>
      <c r="D1658" s="17"/>
      <c r="E1658" s="31"/>
      <c r="F1658" s="17"/>
      <c r="G1658" s="17"/>
      <c r="H1658" s="51"/>
      <c r="I1658" s="17"/>
      <c r="J1658" s="17"/>
      <c r="K1658" s="13"/>
      <c r="L1658" s="17"/>
      <c r="M1658" s="17"/>
      <c r="N1658" s="17"/>
      <c r="O1658" s="17"/>
      <c r="P1658" s="18"/>
      <c r="Q1658" s="17"/>
      <c r="R1658" s="17"/>
      <c r="S1658" s="17"/>
      <c r="T1658" s="16"/>
    </row>
    <row r="1659">
      <c r="A1659" s="71"/>
      <c r="B1659" s="17"/>
      <c r="C1659" s="17"/>
      <c r="D1659" s="17"/>
      <c r="E1659" s="31"/>
      <c r="F1659" s="17"/>
      <c r="G1659" s="17"/>
      <c r="H1659" s="51"/>
      <c r="I1659" s="17"/>
      <c r="J1659" s="17"/>
      <c r="K1659" s="13"/>
      <c r="L1659" s="17"/>
      <c r="M1659" s="17"/>
      <c r="N1659" s="17"/>
      <c r="O1659" s="17"/>
      <c r="P1659" s="18"/>
      <c r="Q1659" s="17"/>
      <c r="R1659" s="17"/>
      <c r="S1659" s="17"/>
      <c r="T1659" s="16"/>
    </row>
    <row r="1660">
      <c r="A1660" s="71"/>
      <c r="B1660" s="17"/>
      <c r="C1660" s="17"/>
      <c r="D1660" s="17"/>
      <c r="E1660" s="31"/>
      <c r="F1660" s="17"/>
      <c r="G1660" s="17"/>
      <c r="H1660" s="51"/>
      <c r="I1660" s="17"/>
      <c r="J1660" s="17"/>
      <c r="K1660" s="13"/>
      <c r="L1660" s="17"/>
      <c r="M1660" s="17"/>
      <c r="N1660" s="17"/>
      <c r="O1660" s="17"/>
      <c r="P1660" s="18"/>
      <c r="Q1660" s="17"/>
      <c r="R1660" s="17"/>
      <c r="S1660" s="17"/>
      <c r="T1660" s="16"/>
    </row>
    <row r="1661">
      <c r="A1661" s="71"/>
      <c r="B1661" s="17"/>
      <c r="C1661" s="17"/>
      <c r="D1661" s="17"/>
      <c r="E1661" s="31"/>
      <c r="F1661" s="17"/>
      <c r="G1661" s="17"/>
      <c r="H1661" s="51"/>
      <c r="I1661" s="17"/>
      <c r="J1661" s="17"/>
      <c r="K1661" s="13"/>
      <c r="L1661" s="17"/>
      <c r="M1661" s="17"/>
      <c r="N1661" s="17"/>
      <c r="O1661" s="17"/>
      <c r="P1661" s="18"/>
      <c r="Q1661" s="17"/>
      <c r="R1661" s="17"/>
      <c r="S1661" s="17"/>
      <c r="T1661" s="16"/>
    </row>
    <row r="1662">
      <c r="A1662" s="71"/>
      <c r="B1662" s="17"/>
      <c r="C1662" s="17"/>
      <c r="D1662" s="17"/>
      <c r="E1662" s="31"/>
      <c r="F1662" s="17"/>
      <c r="G1662" s="17"/>
      <c r="H1662" s="51"/>
      <c r="I1662" s="17"/>
      <c r="J1662" s="17"/>
      <c r="K1662" s="13"/>
      <c r="L1662" s="17"/>
      <c r="M1662" s="17"/>
      <c r="N1662" s="17"/>
      <c r="O1662" s="17"/>
      <c r="P1662" s="18"/>
      <c r="Q1662" s="17"/>
      <c r="R1662" s="17"/>
      <c r="S1662" s="17"/>
      <c r="T1662" s="16"/>
    </row>
    <row r="1663">
      <c r="A1663" s="71"/>
      <c r="B1663" s="17"/>
      <c r="C1663" s="17"/>
      <c r="D1663" s="17"/>
      <c r="E1663" s="31"/>
      <c r="F1663" s="17"/>
      <c r="G1663" s="17"/>
      <c r="H1663" s="51"/>
      <c r="I1663" s="17"/>
      <c r="J1663" s="17"/>
      <c r="K1663" s="13"/>
      <c r="L1663" s="17"/>
      <c r="M1663" s="17"/>
      <c r="N1663" s="17"/>
      <c r="O1663" s="17"/>
      <c r="P1663" s="18"/>
      <c r="Q1663" s="17"/>
      <c r="R1663" s="17"/>
      <c r="S1663" s="17"/>
      <c r="T1663" s="16"/>
    </row>
    <row r="1664">
      <c r="A1664" s="71"/>
      <c r="B1664" s="17"/>
      <c r="C1664" s="17"/>
      <c r="D1664" s="17"/>
      <c r="E1664" s="31"/>
      <c r="F1664" s="17"/>
      <c r="G1664" s="17"/>
      <c r="H1664" s="51"/>
      <c r="I1664" s="17"/>
      <c r="J1664" s="17"/>
      <c r="K1664" s="13"/>
      <c r="L1664" s="17"/>
      <c r="M1664" s="17"/>
      <c r="N1664" s="17"/>
      <c r="O1664" s="17"/>
      <c r="P1664" s="18"/>
      <c r="Q1664" s="17"/>
      <c r="R1664" s="17"/>
      <c r="S1664" s="17"/>
      <c r="T1664" s="16"/>
    </row>
    <row r="1665">
      <c r="A1665" s="71"/>
      <c r="B1665" s="17"/>
      <c r="C1665" s="17"/>
      <c r="D1665" s="17"/>
      <c r="E1665" s="31"/>
      <c r="F1665" s="17"/>
      <c r="G1665" s="17"/>
      <c r="H1665" s="51"/>
      <c r="I1665" s="17"/>
      <c r="J1665" s="17"/>
      <c r="K1665" s="13"/>
      <c r="L1665" s="17"/>
      <c r="M1665" s="17"/>
      <c r="N1665" s="17"/>
      <c r="O1665" s="17"/>
      <c r="P1665" s="18"/>
      <c r="Q1665" s="17"/>
      <c r="R1665" s="17"/>
      <c r="S1665" s="17"/>
      <c r="T1665" s="16"/>
    </row>
    <row r="1666">
      <c r="A1666" s="71"/>
      <c r="B1666" s="17"/>
      <c r="C1666" s="17"/>
      <c r="D1666" s="17"/>
      <c r="E1666" s="31"/>
      <c r="F1666" s="17"/>
      <c r="G1666" s="17"/>
      <c r="H1666" s="51"/>
      <c r="I1666" s="17"/>
      <c r="J1666" s="17"/>
      <c r="K1666" s="13"/>
      <c r="L1666" s="17"/>
      <c r="M1666" s="17"/>
      <c r="N1666" s="17"/>
      <c r="O1666" s="17"/>
      <c r="P1666" s="18"/>
      <c r="Q1666" s="17"/>
      <c r="R1666" s="17"/>
      <c r="S1666" s="17"/>
      <c r="T1666" s="16"/>
    </row>
    <row r="1667">
      <c r="A1667" s="71"/>
      <c r="B1667" s="17"/>
      <c r="C1667" s="17"/>
      <c r="D1667" s="17"/>
      <c r="E1667" s="31"/>
      <c r="F1667" s="17"/>
      <c r="G1667" s="17"/>
      <c r="H1667" s="51"/>
      <c r="I1667" s="17"/>
      <c r="J1667" s="17"/>
      <c r="K1667" s="13"/>
      <c r="L1667" s="17"/>
      <c r="M1667" s="17"/>
      <c r="N1667" s="17"/>
      <c r="O1667" s="17"/>
      <c r="P1667" s="18"/>
      <c r="Q1667" s="17"/>
      <c r="R1667" s="17"/>
      <c r="S1667" s="17"/>
      <c r="T1667" s="16"/>
    </row>
    <row r="1668">
      <c r="A1668" s="71"/>
      <c r="B1668" s="17"/>
      <c r="C1668" s="17"/>
      <c r="D1668" s="17"/>
      <c r="E1668" s="31"/>
      <c r="F1668" s="17"/>
      <c r="G1668" s="17"/>
      <c r="H1668" s="51"/>
      <c r="I1668" s="17"/>
      <c r="J1668" s="17"/>
      <c r="K1668" s="13"/>
      <c r="L1668" s="17"/>
      <c r="M1668" s="17"/>
      <c r="N1668" s="17"/>
      <c r="O1668" s="17"/>
      <c r="P1668" s="18"/>
      <c r="Q1668" s="17"/>
      <c r="R1668" s="17"/>
      <c r="S1668" s="17"/>
      <c r="T1668" s="16"/>
    </row>
    <row r="1669">
      <c r="A1669" s="71"/>
      <c r="B1669" s="17"/>
      <c r="C1669" s="17"/>
      <c r="D1669" s="17"/>
      <c r="E1669" s="31"/>
      <c r="F1669" s="17"/>
      <c r="G1669" s="17"/>
      <c r="H1669" s="51"/>
      <c r="I1669" s="17"/>
      <c r="J1669" s="17"/>
      <c r="K1669" s="13"/>
      <c r="L1669" s="17"/>
      <c r="M1669" s="17"/>
      <c r="N1669" s="17"/>
      <c r="O1669" s="17"/>
      <c r="P1669" s="18"/>
      <c r="Q1669" s="17"/>
      <c r="R1669" s="17"/>
      <c r="S1669" s="17"/>
      <c r="T1669" s="16"/>
    </row>
    <row r="1670">
      <c r="A1670" s="71"/>
      <c r="B1670" s="17"/>
      <c r="C1670" s="17"/>
      <c r="D1670" s="17"/>
      <c r="E1670" s="31"/>
      <c r="F1670" s="17"/>
      <c r="G1670" s="17"/>
      <c r="H1670" s="51"/>
      <c r="I1670" s="17"/>
      <c r="J1670" s="17"/>
      <c r="K1670" s="13"/>
      <c r="L1670" s="17"/>
      <c r="M1670" s="17"/>
      <c r="N1670" s="17"/>
      <c r="O1670" s="17"/>
      <c r="P1670" s="18"/>
      <c r="Q1670" s="17"/>
      <c r="R1670" s="17"/>
      <c r="S1670" s="17"/>
      <c r="T1670" s="16"/>
    </row>
    <row r="1671">
      <c r="A1671" s="71"/>
      <c r="B1671" s="17"/>
      <c r="C1671" s="17"/>
      <c r="D1671" s="17"/>
      <c r="E1671" s="31"/>
      <c r="F1671" s="17"/>
      <c r="G1671" s="17"/>
      <c r="H1671" s="51"/>
      <c r="I1671" s="17"/>
      <c r="J1671" s="17"/>
      <c r="K1671" s="13"/>
      <c r="L1671" s="17"/>
      <c r="M1671" s="17"/>
      <c r="N1671" s="17"/>
      <c r="O1671" s="17"/>
      <c r="P1671" s="18"/>
      <c r="Q1671" s="17"/>
      <c r="R1671" s="17"/>
      <c r="S1671" s="17"/>
      <c r="T1671" s="16"/>
    </row>
    <row r="1672">
      <c r="A1672" s="71"/>
      <c r="B1672" s="17"/>
      <c r="C1672" s="17"/>
      <c r="D1672" s="17"/>
      <c r="E1672" s="31"/>
      <c r="F1672" s="17"/>
      <c r="G1672" s="17"/>
      <c r="H1672" s="51"/>
      <c r="I1672" s="17"/>
      <c r="J1672" s="17"/>
      <c r="K1672" s="13"/>
      <c r="L1672" s="17"/>
      <c r="M1672" s="17"/>
      <c r="N1672" s="17"/>
      <c r="O1672" s="17"/>
      <c r="P1672" s="18"/>
      <c r="Q1672" s="17"/>
      <c r="R1672" s="17"/>
      <c r="S1672" s="17"/>
      <c r="T1672" s="16"/>
    </row>
    <row r="1673">
      <c r="A1673" s="71"/>
      <c r="B1673" s="17"/>
      <c r="C1673" s="17"/>
      <c r="D1673" s="17"/>
      <c r="E1673" s="31"/>
      <c r="F1673" s="17"/>
      <c r="G1673" s="17"/>
      <c r="H1673" s="51"/>
      <c r="I1673" s="17"/>
      <c r="J1673" s="17"/>
      <c r="K1673" s="13"/>
      <c r="L1673" s="17"/>
      <c r="M1673" s="17"/>
      <c r="N1673" s="17"/>
      <c r="O1673" s="17"/>
      <c r="P1673" s="18"/>
      <c r="Q1673" s="17"/>
      <c r="R1673" s="17"/>
      <c r="S1673" s="17"/>
      <c r="T1673" s="16"/>
    </row>
    <row r="1674">
      <c r="A1674" s="71"/>
      <c r="B1674" s="17"/>
      <c r="C1674" s="17"/>
      <c r="D1674" s="17"/>
      <c r="E1674" s="31"/>
      <c r="F1674" s="17"/>
      <c r="G1674" s="17"/>
      <c r="H1674" s="51"/>
      <c r="I1674" s="17"/>
      <c r="J1674" s="17"/>
      <c r="K1674" s="13"/>
      <c r="L1674" s="17"/>
      <c r="M1674" s="17"/>
      <c r="N1674" s="17"/>
      <c r="O1674" s="17"/>
      <c r="P1674" s="18"/>
      <c r="Q1674" s="17"/>
      <c r="R1674" s="17"/>
      <c r="S1674" s="17"/>
      <c r="T1674" s="16"/>
    </row>
    <row r="1675">
      <c r="A1675" s="71"/>
      <c r="B1675" s="17"/>
      <c r="C1675" s="17"/>
      <c r="D1675" s="17"/>
      <c r="E1675" s="31"/>
      <c r="F1675" s="17"/>
      <c r="G1675" s="17"/>
      <c r="H1675" s="51"/>
      <c r="I1675" s="17"/>
      <c r="J1675" s="17"/>
      <c r="K1675" s="13"/>
      <c r="L1675" s="17"/>
      <c r="M1675" s="17"/>
      <c r="N1675" s="17"/>
      <c r="O1675" s="17"/>
      <c r="P1675" s="18"/>
      <c r="Q1675" s="17"/>
      <c r="R1675" s="17"/>
      <c r="S1675" s="17"/>
      <c r="T1675" s="16"/>
    </row>
    <row r="1676">
      <c r="A1676" s="71"/>
      <c r="B1676" s="17"/>
      <c r="C1676" s="17"/>
      <c r="D1676" s="17"/>
      <c r="E1676" s="31"/>
      <c r="F1676" s="17"/>
      <c r="G1676" s="17"/>
      <c r="H1676" s="51"/>
      <c r="I1676" s="17"/>
      <c r="J1676" s="17"/>
      <c r="K1676" s="13"/>
      <c r="L1676" s="17"/>
      <c r="M1676" s="17"/>
      <c r="N1676" s="17"/>
      <c r="O1676" s="17"/>
      <c r="P1676" s="18"/>
      <c r="Q1676" s="17"/>
      <c r="R1676" s="17"/>
      <c r="S1676" s="17"/>
      <c r="T1676" s="16"/>
    </row>
    <row r="1677">
      <c r="A1677" s="71"/>
      <c r="B1677" s="17"/>
      <c r="C1677" s="17"/>
      <c r="D1677" s="17"/>
      <c r="E1677" s="31"/>
      <c r="F1677" s="17"/>
      <c r="G1677" s="17"/>
      <c r="H1677" s="51"/>
      <c r="I1677" s="17"/>
      <c r="J1677" s="17"/>
      <c r="K1677" s="13"/>
      <c r="L1677" s="17"/>
      <c r="M1677" s="17"/>
      <c r="N1677" s="17"/>
      <c r="O1677" s="17"/>
      <c r="P1677" s="18"/>
      <c r="Q1677" s="17"/>
      <c r="R1677" s="17"/>
      <c r="S1677" s="17"/>
      <c r="T1677" s="16"/>
    </row>
    <row r="1678">
      <c r="A1678" s="71"/>
      <c r="B1678" s="17"/>
      <c r="C1678" s="17"/>
      <c r="D1678" s="17"/>
      <c r="E1678" s="31"/>
      <c r="F1678" s="17"/>
      <c r="G1678" s="17"/>
      <c r="H1678" s="51"/>
      <c r="I1678" s="17"/>
      <c r="J1678" s="17"/>
      <c r="K1678" s="13"/>
      <c r="L1678" s="17"/>
      <c r="M1678" s="17"/>
      <c r="N1678" s="17"/>
      <c r="O1678" s="17"/>
      <c r="P1678" s="18"/>
      <c r="Q1678" s="17"/>
      <c r="R1678" s="17"/>
      <c r="S1678" s="17"/>
      <c r="T1678" s="16"/>
    </row>
    <row r="1679">
      <c r="A1679" s="71"/>
      <c r="B1679" s="17"/>
      <c r="C1679" s="17"/>
      <c r="D1679" s="17"/>
      <c r="E1679" s="31"/>
      <c r="F1679" s="17"/>
      <c r="G1679" s="17"/>
      <c r="H1679" s="51"/>
      <c r="I1679" s="17"/>
      <c r="J1679" s="17"/>
      <c r="K1679" s="13"/>
      <c r="L1679" s="17"/>
      <c r="M1679" s="17"/>
      <c r="N1679" s="17"/>
      <c r="O1679" s="17"/>
      <c r="P1679" s="18"/>
      <c r="Q1679" s="17"/>
      <c r="R1679" s="17"/>
      <c r="S1679" s="17"/>
      <c r="T1679" s="16"/>
    </row>
    <row r="1680">
      <c r="A1680" s="71"/>
      <c r="B1680" s="17"/>
      <c r="C1680" s="17"/>
      <c r="D1680" s="17"/>
      <c r="E1680" s="31"/>
      <c r="F1680" s="17"/>
      <c r="G1680" s="17"/>
      <c r="H1680" s="51"/>
      <c r="I1680" s="17"/>
      <c r="J1680" s="17"/>
      <c r="K1680" s="13"/>
      <c r="L1680" s="17"/>
      <c r="M1680" s="17"/>
      <c r="N1680" s="17"/>
      <c r="O1680" s="17"/>
      <c r="P1680" s="18"/>
      <c r="Q1680" s="17"/>
      <c r="R1680" s="17"/>
      <c r="S1680" s="17"/>
      <c r="T1680" s="16"/>
    </row>
    <row r="1681">
      <c r="A1681" s="71"/>
      <c r="B1681" s="17"/>
      <c r="C1681" s="17"/>
      <c r="D1681" s="17"/>
      <c r="E1681" s="31"/>
      <c r="F1681" s="17"/>
      <c r="G1681" s="17"/>
      <c r="H1681" s="51"/>
      <c r="I1681" s="17"/>
      <c r="J1681" s="17"/>
      <c r="K1681" s="13"/>
      <c r="L1681" s="17"/>
      <c r="M1681" s="17"/>
      <c r="N1681" s="17"/>
      <c r="O1681" s="17"/>
      <c r="P1681" s="18"/>
      <c r="Q1681" s="17"/>
      <c r="R1681" s="17"/>
      <c r="S1681" s="17"/>
      <c r="T1681" s="16"/>
    </row>
    <row r="1682">
      <c r="A1682" s="71"/>
      <c r="B1682" s="17"/>
      <c r="C1682" s="17"/>
      <c r="D1682" s="17"/>
      <c r="E1682" s="31"/>
      <c r="F1682" s="17"/>
      <c r="G1682" s="17"/>
      <c r="H1682" s="51"/>
      <c r="I1682" s="17"/>
      <c r="J1682" s="17"/>
      <c r="K1682" s="13"/>
      <c r="L1682" s="17"/>
      <c r="M1682" s="17"/>
      <c r="N1682" s="17"/>
      <c r="O1682" s="17"/>
      <c r="P1682" s="18"/>
      <c r="Q1682" s="17"/>
      <c r="R1682" s="17"/>
      <c r="S1682" s="17"/>
      <c r="T1682" s="16"/>
    </row>
    <row r="1683">
      <c r="A1683" s="71"/>
      <c r="B1683" s="17"/>
      <c r="C1683" s="17"/>
      <c r="D1683" s="17"/>
      <c r="E1683" s="31"/>
      <c r="F1683" s="17"/>
      <c r="G1683" s="17"/>
      <c r="H1683" s="51"/>
      <c r="I1683" s="17"/>
      <c r="J1683" s="17"/>
      <c r="K1683" s="13"/>
      <c r="L1683" s="17"/>
      <c r="M1683" s="17"/>
      <c r="N1683" s="17"/>
      <c r="O1683" s="17"/>
      <c r="P1683" s="18"/>
      <c r="Q1683" s="17"/>
      <c r="R1683" s="17"/>
      <c r="S1683" s="17"/>
      <c r="T1683" s="16"/>
    </row>
    <row r="1684">
      <c r="A1684" s="71"/>
      <c r="B1684" s="17"/>
      <c r="C1684" s="17"/>
      <c r="D1684" s="17"/>
      <c r="E1684" s="31"/>
      <c r="F1684" s="17"/>
      <c r="G1684" s="17"/>
      <c r="H1684" s="51"/>
      <c r="I1684" s="17"/>
      <c r="J1684" s="17"/>
      <c r="K1684" s="13"/>
      <c r="L1684" s="17"/>
      <c r="M1684" s="17"/>
      <c r="N1684" s="17"/>
      <c r="O1684" s="17"/>
      <c r="P1684" s="18"/>
      <c r="Q1684" s="17"/>
      <c r="R1684" s="17"/>
      <c r="S1684" s="17"/>
      <c r="T1684" s="16"/>
    </row>
    <row r="1685">
      <c r="A1685" s="71"/>
      <c r="B1685" s="17"/>
      <c r="C1685" s="17"/>
      <c r="D1685" s="17"/>
      <c r="E1685" s="31"/>
      <c r="F1685" s="17"/>
      <c r="G1685" s="17"/>
      <c r="H1685" s="51"/>
      <c r="I1685" s="17"/>
      <c r="J1685" s="17"/>
      <c r="K1685" s="13"/>
      <c r="L1685" s="17"/>
      <c r="M1685" s="17"/>
      <c r="N1685" s="17"/>
      <c r="O1685" s="17"/>
      <c r="P1685" s="18"/>
      <c r="Q1685" s="17"/>
      <c r="R1685" s="17"/>
      <c r="S1685" s="17"/>
      <c r="T1685" s="16"/>
    </row>
    <row r="1686">
      <c r="A1686" s="71"/>
      <c r="B1686" s="17"/>
      <c r="C1686" s="17"/>
      <c r="D1686" s="17"/>
      <c r="E1686" s="31"/>
      <c r="F1686" s="17"/>
      <c r="G1686" s="17"/>
      <c r="H1686" s="51"/>
      <c r="I1686" s="17"/>
      <c r="J1686" s="17"/>
      <c r="K1686" s="13"/>
      <c r="L1686" s="17"/>
      <c r="M1686" s="17"/>
      <c r="N1686" s="17"/>
      <c r="O1686" s="17"/>
      <c r="P1686" s="18"/>
      <c r="Q1686" s="17"/>
      <c r="R1686" s="17"/>
      <c r="S1686" s="17"/>
      <c r="T1686" s="16"/>
    </row>
    <row r="1687">
      <c r="A1687" s="71"/>
      <c r="B1687" s="17"/>
      <c r="C1687" s="17"/>
      <c r="D1687" s="17"/>
      <c r="E1687" s="31"/>
      <c r="F1687" s="17"/>
      <c r="G1687" s="17"/>
      <c r="H1687" s="51"/>
      <c r="I1687" s="17"/>
      <c r="J1687" s="17"/>
      <c r="K1687" s="13"/>
      <c r="L1687" s="17"/>
      <c r="M1687" s="17"/>
      <c r="N1687" s="17"/>
      <c r="O1687" s="17"/>
      <c r="P1687" s="18"/>
      <c r="Q1687" s="17"/>
      <c r="R1687" s="17"/>
      <c r="S1687" s="17"/>
      <c r="T1687" s="16"/>
    </row>
    <row r="1688">
      <c r="A1688" s="71"/>
      <c r="B1688" s="17"/>
      <c r="C1688" s="17"/>
      <c r="D1688" s="17"/>
      <c r="E1688" s="31"/>
      <c r="F1688" s="17"/>
      <c r="G1688" s="17"/>
      <c r="H1688" s="51"/>
      <c r="I1688" s="17"/>
      <c r="J1688" s="17"/>
      <c r="K1688" s="13"/>
      <c r="L1688" s="17"/>
      <c r="M1688" s="17"/>
      <c r="N1688" s="17"/>
      <c r="O1688" s="17"/>
      <c r="P1688" s="18"/>
      <c r="Q1688" s="17"/>
      <c r="R1688" s="17"/>
      <c r="S1688" s="17"/>
      <c r="T1688" s="16"/>
    </row>
    <row r="1689">
      <c r="A1689" s="71"/>
      <c r="B1689" s="17"/>
      <c r="C1689" s="17"/>
      <c r="D1689" s="17"/>
      <c r="E1689" s="31"/>
      <c r="F1689" s="17"/>
      <c r="G1689" s="17"/>
      <c r="H1689" s="51"/>
      <c r="I1689" s="17"/>
      <c r="J1689" s="17"/>
      <c r="K1689" s="13"/>
      <c r="L1689" s="17"/>
      <c r="M1689" s="17"/>
      <c r="N1689" s="17"/>
      <c r="O1689" s="17"/>
      <c r="P1689" s="18"/>
      <c r="Q1689" s="17"/>
      <c r="R1689" s="17"/>
      <c r="S1689" s="17"/>
      <c r="T1689" s="16"/>
    </row>
    <row r="1690">
      <c r="A1690" s="71"/>
      <c r="B1690" s="17"/>
      <c r="C1690" s="17"/>
      <c r="D1690" s="17"/>
      <c r="E1690" s="31"/>
      <c r="F1690" s="17"/>
      <c r="G1690" s="17"/>
      <c r="H1690" s="51"/>
      <c r="I1690" s="17"/>
      <c r="J1690" s="17"/>
      <c r="K1690" s="13"/>
      <c r="L1690" s="17"/>
      <c r="M1690" s="17"/>
      <c r="N1690" s="17"/>
      <c r="O1690" s="17"/>
      <c r="P1690" s="18"/>
      <c r="Q1690" s="17"/>
      <c r="R1690" s="17"/>
      <c r="S1690" s="17"/>
      <c r="T1690" s="16"/>
    </row>
    <row r="1691">
      <c r="A1691" s="71"/>
      <c r="B1691" s="17"/>
      <c r="C1691" s="17"/>
      <c r="D1691" s="17"/>
      <c r="E1691" s="31"/>
      <c r="F1691" s="17"/>
      <c r="G1691" s="17"/>
      <c r="H1691" s="51"/>
      <c r="I1691" s="17"/>
      <c r="J1691" s="17"/>
      <c r="K1691" s="13"/>
      <c r="L1691" s="17"/>
      <c r="M1691" s="17"/>
      <c r="N1691" s="17"/>
      <c r="O1691" s="17"/>
      <c r="P1691" s="18"/>
      <c r="Q1691" s="17"/>
      <c r="R1691" s="17"/>
      <c r="S1691" s="17"/>
      <c r="T1691" s="16"/>
    </row>
    <row r="1692">
      <c r="A1692" s="71"/>
      <c r="B1692" s="17"/>
      <c r="C1692" s="17"/>
      <c r="D1692" s="17"/>
      <c r="E1692" s="31"/>
      <c r="F1692" s="17"/>
      <c r="G1692" s="17"/>
      <c r="H1692" s="51"/>
      <c r="I1692" s="17"/>
      <c r="J1692" s="17"/>
      <c r="K1692" s="13"/>
      <c r="L1692" s="17"/>
      <c r="M1692" s="17"/>
      <c r="N1692" s="17"/>
      <c r="O1692" s="17"/>
      <c r="P1692" s="18"/>
      <c r="Q1692" s="17"/>
      <c r="R1692" s="17"/>
      <c r="S1692" s="17"/>
      <c r="T1692" s="16"/>
    </row>
    <row r="1693">
      <c r="A1693" s="71"/>
      <c r="B1693" s="17"/>
      <c r="C1693" s="17"/>
      <c r="D1693" s="17"/>
      <c r="E1693" s="31"/>
      <c r="F1693" s="17"/>
      <c r="G1693" s="17"/>
      <c r="H1693" s="51"/>
      <c r="I1693" s="17"/>
      <c r="J1693" s="17"/>
      <c r="K1693" s="13"/>
      <c r="L1693" s="17"/>
      <c r="M1693" s="17"/>
      <c r="N1693" s="17"/>
      <c r="O1693" s="17"/>
      <c r="P1693" s="18"/>
      <c r="Q1693" s="17"/>
      <c r="R1693" s="17"/>
      <c r="S1693" s="17"/>
      <c r="T1693" s="16"/>
    </row>
    <row r="1694">
      <c r="A1694" s="71"/>
      <c r="B1694" s="17"/>
      <c r="C1694" s="17"/>
      <c r="D1694" s="17"/>
      <c r="E1694" s="31"/>
      <c r="F1694" s="17"/>
      <c r="G1694" s="17"/>
      <c r="H1694" s="51"/>
      <c r="I1694" s="17"/>
      <c r="J1694" s="17"/>
      <c r="K1694" s="13"/>
      <c r="L1694" s="17"/>
      <c r="M1694" s="17"/>
      <c r="N1694" s="17"/>
      <c r="O1694" s="17"/>
      <c r="P1694" s="18"/>
      <c r="Q1694" s="17"/>
      <c r="R1694" s="17"/>
      <c r="S1694" s="17"/>
      <c r="T1694" s="16"/>
    </row>
    <row r="1695">
      <c r="A1695" s="71"/>
      <c r="B1695" s="17"/>
      <c r="C1695" s="17"/>
      <c r="D1695" s="17"/>
      <c r="E1695" s="31"/>
      <c r="F1695" s="17"/>
      <c r="G1695" s="17"/>
      <c r="H1695" s="51"/>
      <c r="I1695" s="17"/>
      <c r="J1695" s="17"/>
      <c r="K1695" s="13"/>
      <c r="L1695" s="17"/>
      <c r="M1695" s="17"/>
      <c r="N1695" s="17"/>
      <c r="O1695" s="17"/>
      <c r="P1695" s="18"/>
      <c r="Q1695" s="17"/>
      <c r="R1695" s="17"/>
      <c r="S1695" s="17"/>
      <c r="T1695" s="16"/>
    </row>
    <row r="1696">
      <c r="A1696" s="71"/>
      <c r="B1696" s="17"/>
      <c r="C1696" s="17"/>
      <c r="D1696" s="17"/>
      <c r="E1696" s="31"/>
      <c r="F1696" s="17"/>
      <c r="G1696" s="17"/>
      <c r="H1696" s="51"/>
      <c r="I1696" s="17"/>
      <c r="J1696" s="17"/>
      <c r="K1696" s="13"/>
      <c r="L1696" s="17"/>
      <c r="M1696" s="17"/>
      <c r="N1696" s="17"/>
      <c r="O1696" s="17"/>
      <c r="P1696" s="18"/>
      <c r="Q1696" s="17"/>
      <c r="R1696" s="17"/>
      <c r="S1696" s="17"/>
      <c r="T1696" s="16"/>
    </row>
    <row r="1697">
      <c r="A1697" s="71"/>
      <c r="B1697" s="17"/>
      <c r="C1697" s="17"/>
      <c r="D1697" s="17"/>
      <c r="E1697" s="31"/>
      <c r="F1697" s="17"/>
      <c r="G1697" s="17"/>
      <c r="H1697" s="51"/>
      <c r="I1697" s="17"/>
      <c r="J1697" s="17"/>
      <c r="K1697" s="13"/>
      <c r="L1697" s="17"/>
      <c r="M1697" s="17"/>
      <c r="N1697" s="17"/>
      <c r="O1697" s="17"/>
      <c r="P1697" s="18"/>
      <c r="Q1697" s="17"/>
      <c r="R1697" s="17"/>
      <c r="S1697" s="17"/>
      <c r="T1697" s="16"/>
    </row>
    <row r="1698">
      <c r="A1698" s="71"/>
      <c r="B1698" s="17"/>
      <c r="C1698" s="17"/>
      <c r="D1698" s="17"/>
      <c r="E1698" s="31"/>
      <c r="F1698" s="17"/>
      <c r="G1698" s="17"/>
      <c r="H1698" s="51"/>
      <c r="I1698" s="17"/>
      <c r="J1698" s="17"/>
      <c r="K1698" s="13"/>
      <c r="L1698" s="17"/>
      <c r="M1698" s="17"/>
      <c r="N1698" s="17"/>
      <c r="O1698" s="17"/>
      <c r="P1698" s="18"/>
      <c r="Q1698" s="17"/>
      <c r="R1698" s="17"/>
      <c r="S1698" s="17"/>
      <c r="T1698" s="16"/>
    </row>
    <row r="1699">
      <c r="A1699" s="71"/>
      <c r="B1699" s="17"/>
      <c r="C1699" s="17"/>
      <c r="D1699" s="17"/>
      <c r="E1699" s="31"/>
      <c r="F1699" s="17"/>
      <c r="G1699" s="17"/>
      <c r="H1699" s="51"/>
      <c r="I1699" s="17"/>
      <c r="J1699" s="17"/>
      <c r="K1699" s="13"/>
      <c r="L1699" s="17"/>
      <c r="M1699" s="17"/>
      <c r="N1699" s="17"/>
      <c r="O1699" s="17"/>
      <c r="P1699" s="18"/>
      <c r="Q1699" s="17"/>
      <c r="R1699" s="17"/>
      <c r="S1699" s="17"/>
      <c r="T1699" s="16"/>
    </row>
    <row r="1700">
      <c r="A1700" s="71"/>
      <c r="B1700" s="17"/>
      <c r="C1700" s="17"/>
      <c r="D1700" s="17"/>
      <c r="E1700" s="31"/>
      <c r="F1700" s="17"/>
      <c r="G1700" s="17"/>
      <c r="H1700" s="51"/>
      <c r="I1700" s="17"/>
      <c r="J1700" s="17"/>
      <c r="K1700" s="13"/>
      <c r="L1700" s="17"/>
      <c r="M1700" s="17"/>
      <c r="N1700" s="17"/>
      <c r="O1700" s="17"/>
      <c r="P1700" s="18"/>
      <c r="Q1700" s="17"/>
      <c r="R1700" s="17"/>
      <c r="S1700" s="17"/>
      <c r="T1700" s="16"/>
    </row>
    <row r="1701">
      <c r="A1701" s="71"/>
      <c r="B1701" s="17"/>
      <c r="C1701" s="17"/>
      <c r="D1701" s="17"/>
      <c r="E1701" s="31"/>
      <c r="F1701" s="17"/>
      <c r="G1701" s="17"/>
      <c r="H1701" s="51"/>
      <c r="I1701" s="17"/>
      <c r="J1701" s="17"/>
      <c r="K1701" s="13"/>
      <c r="L1701" s="17"/>
      <c r="M1701" s="17"/>
      <c r="N1701" s="17"/>
      <c r="O1701" s="17"/>
      <c r="P1701" s="18"/>
      <c r="Q1701" s="17"/>
      <c r="R1701" s="17"/>
      <c r="S1701" s="17"/>
      <c r="T1701" s="16"/>
    </row>
    <row r="1702">
      <c r="A1702" s="71"/>
      <c r="B1702" s="17"/>
      <c r="C1702" s="17"/>
      <c r="D1702" s="17"/>
      <c r="E1702" s="31"/>
      <c r="F1702" s="17"/>
      <c r="G1702" s="17"/>
      <c r="H1702" s="51"/>
      <c r="I1702" s="17"/>
      <c r="J1702" s="17"/>
      <c r="K1702" s="13"/>
      <c r="L1702" s="17"/>
      <c r="M1702" s="17"/>
      <c r="N1702" s="17"/>
      <c r="O1702" s="17"/>
      <c r="P1702" s="18"/>
      <c r="Q1702" s="17"/>
      <c r="R1702" s="17"/>
      <c r="S1702" s="17"/>
      <c r="T1702" s="16"/>
    </row>
    <row r="1703">
      <c r="A1703" s="71"/>
      <c r="B1703" s="17"/>
      <c r="C1703" s="17"/>
      <c r="D1703" s="17"/>
      <c r="E1703" s="31"/>
      <c r="F1703" s="17"/>
      <c r="G1703" s="17"/>
      <c r="H1703" s="51"/>
      <c r="I1703" s="17"/>
      <c r="J1703" s="17"/>
      <c r="K1703" s="13"/>
      <c r="L1703" s="17"/>
      <c r="M1703" s="17"/>
      <c r="N1703" s="17"/>
      <c r="O1703" s="17"/>
      <c r="P1703" s="18"/>
      <c r="Q1703" s="17"/>
      <c r="R1703" s="17"/>
      <c r="S1703" s="17"/>
      <c r="T1703" s="16"/>
    </row>
    <row r="1704">
      <c r="A1704" s="71"/>
      <c r="B1704" s="17"/>
      <c r="C1704" s="17"/>
      <c r="D1704" s="17"/>
      <c r="E1704" s="31"/>
      <c r="F1704" s="17"/>
      <c r="G1704" s="17"/>
      <c r="H1704" s="51"/>
      <c r="I1704" s="17"/>
      <c r="J1704" s="17"/>
      <c r="K1704" s="13"/>
      <c r="L1704" s="17"/>
      <c r="M1704" s="17"/>
      <c r="N1704" s="17"/>
      <c r="O1704" s="17"/>
      <c r="P1704" s="18"/>
      <c r="Q1704" s="17"/>
      <c r="R1704" s="17"/>
      <c r="S1704" s="17"/>
      <c r="T1704" s="16"/>
    </row>
    <row r="1705">
      <c r="A1705" s="71"/>
      <c r="B1705" s="17"/>
      <c r="C1705" s="17"/>
      <c r="D1705" s="17"/>
      <c r="E1705" s="31"/>
      <c r="F1705" s="17"/>
      <c r="G1705" s="17"/>
      <c r="H1705" s="51"/>
      <c r="I1705" s="17"/>
      <c r="J1705" s="17"/>
      <c r="K1705" s="13"/>
      <c r="L1705" s="17"/>
      <c r="M1705" s="17"/>
      <c r="N1705" s="17"/>
      <c r="O1705" s="17"/>
      <c r="P1705" s="18"/>
      <c r="Q1705" s="17"/>
      <c r="R1705" s="17"/>
      <c r="S1705" s="17"/>
      <c r="T1705" s="16"/>
    </row>
    <row r="1706">
      <c r="A1706" s="71"/>
      <c r="B1706" s="17"/>
      <c r="C1706" s="17"/>
      <c r="D1706" s="17"/>
      <c r="E1706" s="31"/>
      <c r="F1706" s="17"/>
      <c r="G1706" s="17"/>
      <c r="H1706" s="51"/>
      <c r="I1706" s="17"/>
      <c r="J1706" s="17"/>
      <c r="K1706" s="13"/>
      <c r="L1706" s="17"/>
      <c r="M1706" s="17"/>
      <c r="N1706" s="17"/>
      <c r="O1706" s="17"/>
      <c r="P1706" s="18"/>
      <c r="Q1706" s="17"/>
      <c r="R1706" s="17"/>
      <c r="S1706" s="17"/>
      <c r="T1706" s="16"/>
    </row>
    <row r="1707">
      <c r="A1707" s="71"/>
      <c r="B1707" s="17"/>
      <c r="C1707" s="17"/>
      <c r="D1707" s="17"/>
      <c r="E1707" s="31"/>
      <c r="F1707" s="17"/>
      <c r="G1707" s="17"/>
      <c r="H1707" s="51"/>
      <c r="I1707" s="17"/>
      <c r="J1707" s="17"/>
      <c r="K1707" s="13"/>
      <c r="L1707" s="17"/>
      <c r="M1707" s="17"/>
      <c r="N1707" s="17"/>
      <c r="O1707" s="17"/>
      <c r="P1707" s="18"/>
      <c r="Q1707" s="17"/>
      <c r="R1707" s="17"/>
      <c r="S1707" s="17"/>
      <c r="T1707" s="16"/>
    </row>
    <row r="1708">
      <c r="A1708" s="71"/>
      <c r="B1708" s="17"/>
      <c r="C1708" s="17"/>
      <c r="D1708" s="17"/>
      <c r="E1708" s="31"/>
      <c r="F1708" s="17"/>
      <c r="G1708" s="17"/>
      <c r="H1708" s="51"/>
      <c r="I1708" s="17"/>
      <c r="J1708" s="17"/>
      <c r="K1708" s="13"/>
      <c r="L1708" s="17"/>
      <c r="M1708" s="17"/>
      <c r="N1708" s="17"/>
      <c r="O1708" s="17"/>
      <c r="P1708" s="18"/>
      <c r="Q1708" s="17"/>
      <c r="R1708" s="17"/>
      <c r="S1708" s="17"/>
      <c r="T1708" s="16"/>
    </row>
    <row r="1709">
      <c r="A1709" s="71"/>
      <c r="B1709" s="17"/>
      <c r="C1709" s="17"/>
      <c r="D1709" s="17"/>
      <c r="E1709" s="31"/>
      <c r="F1709" s="17"/>
      <c r="G1709" s="17"/>
      <c r="H1709" s="51"/>
      <c r="I1709" s="17"/>
      <c r="J1709" s="17"/>
      <c r="K1709" s="13"/>
      <c r="L1709" s="17"/>
      <c r="M1709" s="17"/>
      <c r="N1709" s="17"/>
      <c r="O1709" s="17"/>
      <c r="P1709" s="18"/>
      <c r="Q1709" s="17"/>
      <c r="R1709" s="17"/>
      <c r="S1709" s="17"/>
      <c r="T1709" s="16"/>
    </row>
    <row r="1710">
      <c r="A1710" s="71"/>
      <c r="B1710" s="17"/>
      <c r="C1710" s="17"/>
      <c r="D1710" s="17"/>
      <c r="E1710" s="31"/>
      <c r="F1710" s="17"/>
      <c r="G1710" s="17"/>
      <c r="H1710" s="51"/>
      <c r="I1710" s="17"/>
      <c r="J1710" s="17"/>
      <c r="K1710" s="13"/>
      <c r="L1710" s="17"/>
      <c r="M1710" s="17"/>
      <c r="N1710" s="17"/>
      <c r="O1710" s="17"/>
      <c r="P1710" s="18"/>
      <c r="Q1710" s="17"/>
      <c r="R1710" s="17"/>
      <c r="S1710" s="17"/>
      <c r="T1710" s="16"/>
    </row>
    <row r="1711">
      <c r="A1711" s="71"/>
      <c r="B1711" s="17"/>
      <c r="C1711" s="17"/>
      <c r="D1711" s="17"/>
      <c r="E1711" s="31"/>
      <c r="F1711" s="17"/>
      <c r="G1711" s="17"/>
      <c r="H1711" s="51"/>
      <c r="I1711" s="17"/>
      <c r="J1711" s="17"/>
      <c r="K1711" s="13"/>
      <c r="L1711" s="17"/>
      <c r="M1711" s="17"/>
      <c r="N1711" s="17"/>
      <c r="O1711" s="17"/>
      <c r="P1711" s="18"/>
      <c r="Q1711" s="17"/>
      <c r="R1711" s="17"/>
      <c r="S1711" s="17"/>
      <c r="T1711" s="16"/>
    </row>
    <row r="1712">
      <c r="A1712" s="71"/>
      <c r="B1712" s="17"/>
      <c r="C1712" s="17"/>
      <c r="D1712" s="17"/>
      <c r="E1712" s="31"/>
      <c r="F1712" s="17"/>
      <c r="G1712" s="17"/>
      <c r="H1712" s="51"/>
      <c r="I1712" s="17"/>
      <c r="J1712" s="17"/>
      <c r="K1712" s="13"/>
      <c r="L1712" s="17"/>
      <c r="M1712" s="17"/>
      <c r="N1712" s="17"/>
      <c r="O1712" s="17"/>
      <c r="P1712" s="18"/>
      <c r="Q1712" s="17"/>
      <c r="R1712" s="17"/>
      <c r="S1712" s="17"/>
      <c r="T1712" s="16"/>
    </row>
    <row r="1713">
      <c r="A1713" s="71"/>
      <c r="B1713" s="17"/>
      <c r="C1713" s="17"/>
      <c r="D1713" s="17"/>
      <c r="E1713" s="31"/>
      <c r="F1713" s="17"/>
      <c r="G1713" s="17"/>
      <c r="H1713" s="51"/>
      <c r="I1713" s="17"/>
      <c r="J1713" s="17"/>
      <c r="K1713" s="13"/>
      <c r="L1713" s="17"/>
      <c r="M1713" s="17"/>
      <c r="N1713" s="17"/>
      <c r="O1713" s="17"/>
      <c r="P1713" s="18"/>
      <c r="Q1713" s="17"/>
      <c r="R1713" s="17"/>
      <c r="S1713" s="17"/>
      <c r="T1713" s="16"/>
    </row>
    <row r="1714">
      <c r="A1714" s="71"/>
      <c r="B1714" s="17"/>
      <c r="C1714" s="17"/>
      <c r="D1714" s="17"/>
      <c r="E1714" s="31"/>
      <c r="F1714" s="17"/>
      <c r="G1714" s="17"/>
      <c r="H1714" s="51"/>
      <c r="I1714" s="17"/>
      <c r="J1714" s="17"/>
      <c r="K1714" s="13"/>
      <c r="L1714" s="17"/>
      <c r="M1714" s="17"/>
      <c r="N1714" s="17"/>
      <c r="O1714" s="17"/>
      <c r="P1714" s="18"/>
      <c r="Q1714" s="17"/>
      <c r="R1714" s="17"/>
      <c r="S1714" s="17"/>
      <c r="T1714" s="16"/>
    </row>
    <row r="1715">
      <c r="A1715" s="71"/>
      <c r="B1715" s="17"/>
      <c r="C1715" s="17"/>
      <c r="D1715" s="17"/>
      <c r="E1715" s="31"/>
      <c r="F1715" s="17"/>
      <c r="G1715" s="17"/>
      <c r="H1715" s="51"/>
      <c r="I1715" s="17"/>
      <c r="J1715" s="17"/>
      <c r="K1715" s="13"/>
      <c r="L1715" s="17"/>
      <c r="M1715" s="17"/>
      <c r="N1715" s="17"/>
      <c r="O1715" s="17"/>
      <c r="P1715" s="18"/>
      <c r="Q1715" s="17"/>
      <c r="R1715" s="17"/>
      <c r="S1715" s="17"/>
      <c r="T1715" s="16"/>
    </row>
    <row r="1716">
      <c r="A1716" s="71"/>
      <c r="B1716" s="17"/>
      <c r="C1716" s="17"/>
      <c r="D1716" s="17"/>
      <c r="E1716" s="31"/>
      <c r="F1716" s="17"/>
      <c r="G1716" s="17"/>
      <c r="H1716" s="51"/>
      <c r="I1716" s="17"/>
      <c r="J1716" s="17"/>
      <c r="K1716" s="13"/>
      <c r="L1716" s="17"/>
      <c r="M1716" s="17"/>
      <c r="N1716" s="17"/>
      <c r="O1716" s="17"/>
      <c r="P1716" s="18"/>
      <c r="Q1716" s="17"/>
      <c r="R1716" s="17"/>
      <c r="S1716" s="17"/>
      <c r="T1716" s="16"/>
    </row>
    <row r="1717">
      <c r="A1717" s="71"/>
      <c r="B1717" s="17"/>
      <c r="C1717" s="17"/>
      <c r="D1717" s="17"/>
      <c r="E1717" s="31"/>
      <c r="F1717" s="17"/>
      <c r="G1717" s="17"/>
      <c r="H1717" s="51"/>
      <c r="I1717" s="17"/>
      <c r="J1717" s="17"/>
      <c r="K1717" s="13"/>
      <c r="L1717" s="17"/>
      <c r="M1717" s="17"/>
      <c r="N1717" s="17"/>
      <c r="O1717" s="17"/>
      <c r="P1717" s="18"/>
      <c r="Q1717" s="17"/>
      <c r="R1717" s="17"/>
      <c r="S1717" s="17"/>
      <c r="T1717" s="16"/>
    </row>
    <row r="1718">
      <c r="A1718" s="71"/>
      <c r="B1718" s="17"/>
      <c r="C1718" s="17"/>
      <c r="D1718" s="17"/>
      <c r="E1718" s="31"/>
      <c r="F1718" s="17"/>
      <c r="G1718" s="17"/>
      <c r="H1718" s="51"/>
      <c r="I1718" s="17"/>
      <c r="J1718" s="17"/>
      <c r="K1718" s="13"/>
      <c r="L1718" s="17"/>
      <c r="M1718" s="17"/>
      <c r="N1718" s="17"/>
      <c r="O1718" s="17"/>
      <c r="P1718" s="18"/>
      <c r="Q1718" s="17"/>
      <c r="R1718" s="17"/>
      <c r="S1718" s="17"/>
      <c r="T1718" s="16"/>
    </row>
    <row r="1719">
      <c r="A1719" s="71"/>
      <c r="B1719" s="17"/>
      <c r="C1719" s="17"/>
      <c r="D1719" s="17"/>
      <c r="E1719" s="31"/>
      <c r="F1719" s="17"/>
      <c r="G1719" s="17"/>
      <c r="H1719" s="51"/>
      <c r="I1719" s="17"/>
      <c r="J1719" s="17"/>
      <c r="K1719" s="13"/>
      <c r="L1719" s="17"/>
      <c r="M1719" s="17"/>
      <c r="N1719" s="17"/>
      <c r="O1719" s="17"/>
      <c r="P1719" s="18"/>
      <c r="Q1719" s="17"/>
      <c r="R1719" s="17"/>
      <c r="S1719" s="17"/>
      <c r="T1719" s="16"/>
    </row>
    <row r="1720">
      <c r="A1720" s="71"/>
      <c r="B1720" s="17"/>
      <c r="C1720" s="17"/>
      <c r="D1720" s="17"/>
      <c r="E1720" s="31"/>
      <c r="F1720" s="17"/>
      <c r="G1720" s="17"/>
      <c r="H1720" s="51"/>
      <c r="I1720" s="17"/>
      <c r="J1720" s="17"/>
      <c r="K1720" s="13"/>
      <c r="L1720" s="17"/>
      <c r="M1720" s="17"/>
      <c r="N1720" s="17"/>
      <c r="O1720" s="17"/>
      <c r="P1720" s="18"/>
      <c r="Q1720" s="17"/>
      <c r="R1720" s="17"/>
      <c r="S1720" s="17"/>
      <c r="T1720" s="16"/>
    </row>
    <row r="1721">
      <c r="A1721" s="71"/>
      <c r="B1721" s="17"/>
      <c r="C1721" s="17"/>
      <c r="D1721" s="17"/>
      <c r="E1721" s="31"/>
      <c r="F1721" s="17"/>
      <c r="G1721" s="17"/>
      <c r="H1721" s="51"/>
      <c r="I1721" s="17"/>
      <c r="J1721" s="17"/>
      <c r="K1721" s="13"/>
      <c r="L1721" s="17"/>
      <c r="M1721" s="17"/>
      <c r="N1721" s="17"/>
      <c r="O1721" s="17"/>
      <c r="P1721" s="18"/>
      <c r="Q1721" s="17"/>
      <c r="R1721" s="17"/>
      <c r="S1721" s="17"/>
      <c r="T1721" s="16"/>
    </row>
    <row r="1722">
      <c r="A1722" s="71"/>
      <c r="B1722" s="17"/>
      <c r="C1722" s="17"/>
      <c r="D1722" s="17"/>
      <c r="E1722" s="31"/>
      <c r="F1722" s="17"/>
      <c r="G1722" s="17"/>
      <c r="H1722" s="51"/>
      <c r="I1722" s="17"/>
      <c r="J1722" s="17"/>
      <c r="K1722" s="13"/>
      <c r="L1722" s="17"/>
      <c r="M1722" s="17"/>
      <c r="N1722" s="17"/>
      <c r="O1722" s="17"/>
      <c r="P1722" s="18"/>
      <c r="Q1722" s="17"/>
      <c r="R1722" s="17"/>
      <c r="S1722" s="17"/>
      <c r="T1722" s="16"/>
    </row>
    <row r="1723">
      <c r="A1723" s="71"/>
      <c r="B1723" s="17"/>
      <c r="C1723" s="17"/>
      <c r="D1723" s="17"/>
      <c r="E1723" s="31"/>
      <c r="F1723" s="17"/>
      <c r="G1723" s="17"/>
      <c r="H1723" s="51"/>
      <c r="I1723" s="17"/>
      <c r="J1723" s="17"/>
      <c r="K1723" s="13"/>
      <c r="L1723" s="17"/>
      <c r="M1723" s="17"/>
      <c r="N1723" s="17"/>
      <c r="O1723" s="17"/>
      <c r="P1723" s="18"/>
      <c r="Q1723" s="17"/>
      <c r="R1723" s="17"/>
      <c r="S1723" s="17"/>
      <c r="T1723" s="16"/>
    </row>
    <row r="1724">
      <c r="A1724" s="71"/>
      <c r="B1724" s="17"/>
      <c r="C1724" s="17"/>
      <c r="D1724" s="17"/>
      <c r="E1724" s="31"/>
      <c r="F1724" s="17"/>
      <c r="G1724" s="17"/>
      <c r="H1724" s="51"/>
      <c r="I1724" s="17"/>
      <c r="J1724" s="17"/>
      <c r="K1724" s="13"/>
      <c r="L1724" s="17"/>
      <c r="M1724" s="17"/>
      <c r="N1724" s="17"/>
      <c r="O1724" s="17"/>
      <c r="P1724" s="18"/>
      <c r="Q1724" s="17"/>
      <c r="R1724" s="17"/>
      <c r="S1724" s="17"/>
      <c r="T1724" s="16"/>
    </row>
    <row r="1725">
      <c r="A1725" s="71"/>
      <c r="B1725" s="17"/>
      <c r="C1725" s="17"/>
      <c r="D1725" s="17"/>
      <c r="E1725" s="31"/>
      <c r="F1725" s="17"/>
      <c r="G1725" s="17"/>
      <c r="H1725" s="51"/>
      <c r="I1725" s="17"/>
      <c r="J1725" s="17"/>
      <c r="K1725" s="13"/>
      <c r="L1725" s="17"/>
      <c r="M1725" s="17"/>
      <c r="N1725" s="17"/>
      <c r="O1725" s="17"/>
      <c r="P1725" s="18"/>
      <c r="Q1725" s="17"/>
      <c r="R1725" s="17"/>
      <c r="S1725" s="17"/>
      <c r="T1725" s="16"/>
    </row>
    <row r="1726">
      <c r="A1726" s="71"/>
      <c r="B1726" s="17"/>
      <c r="C1726" s="17"/>
      <c r="D1726" s="17"/>
      <c r="E1726" s="31"/>
      <c r="F1726" s="17"/>
      <c r="G1726" s="17"/>
      <c r="H1726" s="51"/>
      <c r="I1726" s="17"/>
      <c r="J1726" s="17"/>
      <c r="K1726" s="13"/>
      <c r="L1726" s="17"/>
      <c r="M1726" s="17"/>
      <c r="N1726" s="17"/>
      <c r="O1726" s="17"/>
      <c r="P1726" s="18"/>
      <c r="Q1726" s="17"/>
      <c r="R1726" s="17"/>
      <c r="S1726" s="17"/>
      <c r="T1726" s="16"/>
    </row>
    <row r="1727">
      <c r="A1727" s="71"/>
      <c r="B1727" s="17"/>
      <c r="C1727" s="17"/>
      <c r="D1727" s="17"/>
      <c r="E1727" s="31"/>
      <c r="F1727" s="17"/>
      <c r="G1727" s="17"/>
      <c r="H1727" s="51"/>
      <c r="I1727" s="17"/>
      <c r="J1727" s="17"/>
      <c r="K1727" s="13"/>
      <c r="L1727" s="17"/>
      <c r="M1727" s="17"/>
      <c r="N1727" s="17"/>
      <c r="O1727" s="17"/>
      <c r="P1727" s="18"/>
      <c r="Q1727" s="17"/>
      <c r="R1727" s="17"/>
      <c r="S1727" s="17"/>
      <c r="T1727" s="16"/>
    </row>
    <row r="1728">
      <c r="A1728" s="71"/>
      <c r="B1728" s="17"/>
      <c r="C1728" s="17"/>
      <c r="D1728" s="17"/>
      <c r="E1728" s="31"/>
      <c r="F1728" s="17"/>
      <c r="G1728" s="17"/>
      <c r="H1728" s="51"/>
      <c r="I1728" s="17"/>
      <c r="J1728" s="17"/>
      <c r="K1728" s="13"/>
      <c r="L1728" s="17"/>
      <c r="M1728" s="17"/>
      <c r="N1728" s="17"/>
      <c r="O1728" s="17"/>
      <c r="P1728" s="18"/>
      <c r="Q1728" s="17"/>
      <c r="R1728" s="17"/>
      <c r="S1728" s="17"/>
      <c r="T1728" s="16"/>
    </row>
    <row r="1729">
      <c r="A1729" s="71"/>
      <c r="B1729" s="17"/>
      <c r="C1729" s="17"/>
      <c r="D1729" s="17"/>
      <c r="E1729" s="31"/>
      <c r="F1729" s="17"/>
      <c r="G1729" s="17"/>
      <c r="H1729" s="51"/>
      <c r="I1729" s="17"/>
      <c r="J1729" s="17"/>
      <c r="K1729" s="13"/>
      <c r="L1729" s="17"/>
      <c r="M1729" s="17"/>
      <c r="N1729" s="17"/>
      <c r="O1729" s="17"/>
      <c r="P1729" s="18"/>
      <c r="Q1729" s="17"/>
      <c r="R1729" s="17"/>
      <c r="S1729" s="17"/>
      <c r="T1729" s="16"/>
    </row>
    <row r="1730">
      <c r="A1730" s="71"/>
      <c r="B1730" s="17"/>
      <c r="C1730" s="17"/>
      <c r="D1730" s="17"/>
      <c r="E1730" s="31"/>
      <c r="F1730" s="17"/>
      <c r="G1730" s="17"/>
      <c r="H1730" s="51"/>
      <c r="I1730" s="17"/>
      <c r="J1730" s="17"/>
      <c r="K1730" s="13"/>
      <c r="L1730" s="17"/>
      <c r="M1730" s="17"/>
      <c r="N1730" s="17"/>
      <c r="O1730" s="17"/>
      <c r="P1730" s="18"/>
      <c r="Q1730" s="17"/>
      <c r="R1730" s="17"/>
      <c r="S1730" s="17"/>
      <c r="T1730" s="16"/>
    </row>
    <row r="1731">
      <c r="A1731" s="71"/>
      <c r="B1731" s="17"/>
      <c r="C1731" s="17"/>
      <c r="D1731" s="17"/>
      <c r="E1731" s="31"/>
      <c r="F1731" s="17"/>
      <c r="G1731" s="17"/>
      <c r="H1731" s="51"/>
      <c r="I1731" s="17"/>
      <c r="J1731" s="17"/>
      <c r="K1731" s="13"/>
      <c r="L1731" s="17"/>
      <c r="M1731" s="17"/>
      <c r="N1731" s="17"/>
      <c r="O1731" s="17"/>
      <c r="P1731" s="18"/>
      <c r="Q1731" s="17"/>
      <c r="R1731" s="17"/>
      <c r="S1731" s="17"/>
      <c r="T1731" s="16"/>
    </row>
    <row r="1732">
      <c r="A1732" s="71"/>
      <c r="B1732" s="17"/>
      <c r="C1732" s="17"/>
      <c r="D1732" s="17"/>
      <c r="E1732" s="31"/>
      <c r="F1732" s="17"/>
      <c r="G1732" s="17"/>
      <c r="H1732" s="51"/>
      <c r="I1732" s="17"/>
      <c r="J1732" s="17"/>
      <c r="K1732" s="13"/>
      <c r="L1732" s="17"/>
      <c r="M1732" s="17"/>
      <c r="N1732" s="17"/>
      <c r="O1732" s="17"/>
      <c r="P1732" s="18"/>
      <c r="Q1732" s="17"/>
      <c r="R1732" s="17"/>
      <c r="S1732" s="17"/>
      <c r="T1732" s="16"/>
    </row>
    <row r="1733">
      <c r="A1733" s="71"/>
      <c r="B1733" s="17"/>
      <c r="C1733" s="17"/>
      <c r="D1733" s="17"/>
      <c r="E1733" s="31"/>
      <c r="F1733" s="17"/>
      <c r="G1733" s="17"/>
      <c r="H1733" s="51"/>
      <c r="I1733" s="17"/>
      <c r="J1733" s="17"/>
      <c r="K1733" s="13"/>
      <c r="L1733" s="17"/>
      <c r="M1733" s="17"/>
      <c r="N1733" s="17"/>
      <c r="O1733" s="17"/>
      <c r="P1733" s="18"/>
      <c r="Q1733" s="17"/>
      <c r="R1733" s="17"/>
      <c r="S1733" s="17"/>
      <c r="T1733" s="16"/>
    </row>
    <row r="1734">
      <c r="A1734" s="71"/>
      <c r="B1734" s="17"/>
      <c r="C1734" s="17"/>
      <c r="D1734" s="17"/>
      <c r="E1734" s="31"/>
      <c r="F1734" s="17"/>
      <c r="G1734" s="17"/>
      <c r="H1734" s="51"/>
      <c r="I1734" s="17"/>
      <c r="J1734" s="17"/>
      <c r="K1734" s="13"/>
      <c r="L1734" s="17"/>
      <c r="M1734" s="17"/>
      <c r="N1734" s="17"/>
      <c r="O1734" s="17"/>
      <c r="P1734" s="18"/>
      <c r="Q1734" s="17"/>
      <c r="R1734" s="17"/>
      <c r="S1734" s="17"/>
      <c r="T1734" s="16"/>
    </row>
    <row r="1735">
      <c r="A1735" s="71"/>
      <c r="B1735" s="17"/>
      <c r="C1735" s="17"/>
      <c r="D1735" s="17"/>
      <c r="E1735" s="31"/>
      <c r="F1735" s="17"/>
      <c r="G1735" s="17"/>
      <c r="H1735" s="51"/>
      <c r="I1735" s="17"/>
      <c r="J1735" s="17"/>
      <c r="K1735" s="13"/>
      <c r="L1735" s="17"/>
      <c r="M1735" s="17"/>
      <c r="N1735" s="17"/>
      <c r="O1735" s="17"/>
      <c r="P1735" s="18"/>
      <c r="Q1735" s="17"/>
      <c r="R1735" s="17"/>
      <c r="S1735" s="17"/>
      <c r="T1735" s="16"/>
    </row>
    <row r="1736">
      <c r="A1736" s="71"/>
      <c r="B1736" s="17"/>
      <c r="C1736" s="17"/>
      <c r="D1736" s="17"/>
      <c r="E1736" s="31"/>
      <c r="F1736" s="17"/>
      <c r="G1736" s="17"/>
      <c r="H1736" s="51"/>
      <c r="I1736" s="17"/>
      <c r="J1736" s="17"/>
      <c r="K1736" s="13"/>
      <c r="L1736" s="17"/>
      <c r="M1736" s="17"/>
      <c r="N1736" s="17"/>
      <c r="O1736" s="17"/>
      <c r="P1736" s="18"/>
      <c r="Q1736" s="17"/>
      <c r="R1736" s="17"/>
      <c r="S1736" s="17"/>
      <c r="T1736" s="16"/>
    </row>
    <row r="1737">
      <c r="A1737" s="71"/>
      <c r="B1737" s="17"/>
      <c r="C1737" s="17"/>
      <c r="D1737" s="17"/>
      <c r="E1737" s="31"/>
      <c r="F1737" s="17"/>
      <c r="G1737" s="17"/>
      <c r="H1737" s="51"/>
      <c r="I1737" s="17"/>
      <c r="J1737" s="17"/>
      <c r="K1737" s="13"/>
      <c r="L1737" s="17"/>
      <c r="M1737" s="17"/>
      <c r="N1737" s="17"/>
      <c r="O1737" s="17"/>
      <c r="P1737" s="18"/>
      <c r="Q1737" s="17"/>
      <c r="R1737" s="17"/>
      <c r="S1737" s="17"/>
      <c r="T1737" s="16"/>
    </row>
    <row r="1738">
      <c r="A1738" s="71"/>
      <c r="B1738" s="17"/>
      <c r="C1738" s="17"/>
      <c r="D1738" s="17"/>
      <c r="E1738" s="31"/>
      <c r="F1738" s="17"/>
      <c r="G1738" s="17"/>
      <c r="H1738" s="51"/>
      <c r="I1738" s="17"/>
      <c r="J1738" s="17"/>
      <c r="K1738" s="13"/>
      <c r="L1738" s="17"/>
      <c r="M1738" s="17"/>
      <c r="N1738" s="17"/>
      <c r="O1738" s="17"/>
      <c r="P1738" s="18"/>
      <c r="Q1738" s="17"/>
      <c r="R1738" s="17"/>
      <c r="S1738" s="17"/>
      <c r="T1738" s="16"/>
    </row>
    <row r="1739">
      <c r="A1739" s="71"/>
      <c r="B1739" s="17"/>
      <c r="C1739" s="17"/>
      <c r="D1739" s="17"/>
      <c r="E1739" s="31"/>
      <c r="F1739" s="17"/>
      <c r="G1739" s="17"/>
      <c r="H1739" s="51"/>
      <c r="I1739" s="17"/>
      <c r="J1739" s="17"/>
      <c r="K1739" s="13"/>
      <c r="L1739" s="17"/>
      <c r="M1739" s="17"/>
      <c r="N1739" s="17"/>
      <c r="O1739" s="17"/>
      <c r="P1739" s="18"/>
      <c r="Q1739" s="17"/>
      <c r="R1739" s="17"/>
      <c r="S1739" s="17"/>
      <c r="T1739" s="16"/>
    </row>
    <row r="1740">
      <c r="A1740" s="71"/>
      <c r="B1740" s="17"/>
      <c r="C1740" s="17"/>
      <c r="D1740" s="17"/>
      <c r="E1740" s="31"/>
      <c r="F1740" s="17"/>
      <c r="G1740" s="17"/>
      <c r="H1740" s="51"/>
      <c r="I1740" s="17"/>
      <c r="J1740" s="17"/>
      <c r="K1740" s="13"/>
      <c r="L1740" s="17"/>
      <c r="M1740" s="17"/>
      <c r="N1740" s="17"/>
      <c r="O1740" s="17"/>
      <c r="P1740" s="18"/>
      <c r="Q1740" s="17"/>
      <c r="R1740" s="17"/>
      <c r="S1740" s="17"/>
      <c r="T1740" s="16"/>
    </row>
    <row r="1741">
      <c r="A1741" s="71"/>
      <c r="B1741" s="17"/>
      <c r="C1741" s="17"/>
      <c r="D1741" s="17"/>
      <c r="E1741" s="31"/>
      <c r="F1741" s="17"/>
      <c r="G1741" s="17"/>
      <c r="H1741" s="51"/>
      <c r="I1741" s="17"/>
      <c r="J1741" s="17"/>
      <c r="K1741" s="13"/>
      <c r="L1741" s="17"/>
      <c r="M1741" s="17"/>
      <c r="N1741" s="17"/>
      <c r="O1741" s="17"/>
      <c r="P1741" s="18"/>
      <c r="Q1741" s="17"/>
      <c r="R1741" s="17"/>
      <c r="S1741" s="17"/>
      <c r="T1741" s="16"/>
    </row>
    <row r="1742">
      <c r="A1742" s="71"/>
      <c r="B1742" s="17"/>
      <c r="C1742" s="17"/>
      <c r="D1742" s="17"/>
      <c r="E1742" s="31"/>
      <c r="F1742" s="17"/>
      <c r="G1742" s="17"/>
      <c r="H1742" s="51"/>
      <c r="I1742" s="17"/>
      <c r="J1742" s="17"/>
      <c r="K1742" s="13"/>
      <c r="L1742" s="17"/>
      <c r="M1742" s="17"/>
      <c r="N1742" s="17"/>
      <c r="O1742" s="17"/>
      <c r="P1742" s="18"/>
      <c r="Q1742" s="17"/>
      <c r="R1742" s="17"/>
      <c r="S1742" s="17"/>
      <c r="T1742" s="16"/>
    </row>
    <row r="1743">
      <c r="A1743" s="71"/>
      <c r="B1743" s="17"/>
      <c r="C1743" s="17"/>
      <c r="D1743" s="17"/>
      <c r="E1743" s="31"/>
      <c r="F1743" s="17"/>
      <c r="G1743" s="17"/>
      <c r="H1743" s="51"/>
      <c r="I1743" s="17"/>
      <c r="J1743" s="17"/>
      <c r="K1743" s="13"/>
      <c r="L1743" s="17"/>
      <c r="M1743" s="17"/>
      <c r="N1743" s="17"/>
      <c r="O1743" s="17"/>
      <c r="P1743" s="18"/>
      <c r="Q1743" s="17"/>
      <c r="R1743" s="17"/>
      <c r="S1743" s="17"/>
      <c r="T1743" s="16"/>
    </row>
    <row r="1744">
      <c r="A1744" s="71"/>
      <c r="B1744" s="17"/>
      <c r="C1744" s="17"/>
      <c r="D1744" s="17"/>
      <c r="E1744" s="31"/>
      <c r="F1744" s="17"/>
      <c r="G1744" s="17"/>
      <c r="H1744" s="51"/>
      <c r="I1744" s="17"/>
      <c r="J1744" s="17"/>
      <c r="K1744" s="13"/>
      <c r="L1744" s="17"/>
      <c r="M1744" s="17"/>
      <c r="N1744" s="17"/>
      <c r="O1744" s="17"/>
      <c r="P1744" s="18"/>
      <c r="Q1744" s="17"/>
      <c r="R1744" s="17"/>
      <c r="S1744" s="17"/>
      <c r="T1744" s="16"/>
    </row>
    <row r="1745">
      <c r="A1745" s="71"/>
      <c r="B1745" s="17"/>
      <c r="C1745" s="17"/>
      <c r="D1745" s="17"/>
      <c r="E1745" s="31"/>
      <c r="F1745" s="17"/>
      <c r="G1745" s="17"/>
      <c r="H1745" s="51"/>
      <c r="I1745" s="17"/>
      <c r="J1745" s="17"/>
      <c r="K1745" s="13"/>
      <c r="L1745" s="17"/>
      <c r="M1745" s="17"/>
      <c r="N1745" s="17"/>
      <c r="O1745" s="17"/>
      <c r="P1745" s="18"/>
      <c r="Q1745" s="17"/>
      <c r="R1745" s="17"/>
      <c r="S1745" s="17"/>
      <c r="T1745" s="16"/>
    </row>
    <row r="1746">
      <c r="A1746" s="71"/>
      <c r="B1746" s="17"/>
      <c r="C1746" s="17"/>
      <c r="D1746" s="17"/>
      <c r="E1746" s="31"/>
      <c r="F1746" s="17"/>
      <c r="G1746" s="17"/>
      <c r="H1746" s="51"/>
      <c r="I1746" s="17"/>
      <c r="J1746" s="17"/>
      <c r="K1746" s="13"/>
      <c r="L1746" s="17"/>
      <c r="M1746" s="17"/>
      <c r="N1746" s="17"/>
      <c r="O1746" s="17"/>
      <c r="P1746" s="18"/>
      <c r="Q1746" s="17"/>
      <c r="R1746" s="17"/>
      <c r="S1746" s="17"/>
      <c r="T1746" s="16"/>
    </row>
    <row r="1747">
      <c r="A1747" s="71"/>
      <c r="B1747" s="17"/>
      <c r="C1747" s="17"/>
      <c r="D1747" s="17"/>
      <c r="E1747" s="31"/>
      <c r="F1747" s="17"/>
      <c r="G1747" s="17"/>
      <c r="H1747" s="51"/>
      <c r="I1747" s="17"/>
      <c r="J1747" s="17"/>
      <c r="K1747" s="13"/>
      <c r="L1747" s="17"/>
      <c r="M1747" s="17"/>
      <c r="N1747" s="17"/>
      <c r="O1747" s="17"/>
      <c r="P1747" s="18"/>
      <c r="Q1747" s="17"/>
      <c r="R1747" s="17"/>
      <c r="S1747" s="17"/>
      <c r="T1747" s="16"/>
    </row>
    <row r="1748">
      <c r="A1748" s="71"/>
      <c r="B1748" s="17"/>
      <c r="C1748" s="17"/>
      <c r="D1748" s="17"/>
      <c r="E1748" s="31"/>
      <c r="F1748" s="17"/>
      <c r="G1748" s="17"/>
      <c r="H1748" s="51"/>
      <c r="I1748" s="17"/>
      <c r="J1748" s="17"/>
      <c r="K1748" s="13"/>
      <c r="L1748" s="17"/>
      <c r="M1748" s="17"/>
      <c r="N1748" s="17"/>
      <c r="O1748" s="17"/>
      <c r="P1748" s="18"/>
      <c r="Q1748" s="17"/>
      <c r="R1748" s="17"/>
      <c r="S1748" s="17"/>
      <c r="T1748" s="16"/>
    </row>
    <row r="1749">
      <c r="A1749" s="71"/>
      <c r="B1749" s="17"/>
      <c r="C1749" s="17"/>
      <c r="D1749" s="17"/>
      <c r="E1749" s="31"/>
      <c r="F1749" s="17"/>
      <c r="G1749" s="17"/>
      <c r="H1749" s="51"/>
      <c r="I1749" s="17"/>
      <c r="J1749" s="17"/>
      <c r="K1749" s="13"/>
      <c r="L1749" s="17"/>
      <c r="M1749" s="17"/>
      <c r="N1749" s="17"/>
      <c r="O1749" s="17"/>
      <c r="P1749" s="18"/>
      <c r="Q1749" s="17"/>
      <c r="R1749" s="17"/>
      <c r="S1749" s="17"/>
      <c r="T1749" s="16"/>
    </row>
    <row r="1750">
      <c r="A1750" s="71"/>
      <c r="B1750" s="17"/>
      <c r="C1750" s="17"/>
      <c r="D1750" s="17"/>
      <c r="E1750" s="31"/>
      <c r="F1750" s="17"/>
      <c r="G1750" s="17"/>
      <c r="H1750" s="51"/>
      <c r="I1750" s="17"/>
      <c r="J1750" s="17"/>
      <c r="K1750" s="13"/>
      <c r="L1750" s="17"/>
      <c r="M1750" s="17"/>
      <c r="N1750" s="17"/>
      <c r="O1750" s="17"/>
      <c r="P1750" s="18"/>
      <c r="Q1750" s="17"/>
      <c r="R1750" s="17"/>
      <c r="S1750" s="17"/>
      <c r="T1750" s="16"/>
    </row>
    <row r="1751">
      <c r="A1751" s="71"/>
      <c r="B1751" s="17"/>
      <c r="C1751" s="17"/>
      <c r="D1751" s="17"/>
      <c r="E1751" s="31"/>
      <c r="F1751" s="17"/>
      <c r="G1751" s="17"/>
      <c r="H1751" s="51"/>
      <c r="I1751" s="17"/>
      <c r="J1751" s="17"/>
      <c r="K1751" s="13"/>
      <c r="L1751" s="17"/>
      <c r="M1751" s="17"/>
      <c r="N1751" s="17"/>
      <c r="O1751" s="17"/>
      <c r="P1751" s="18"/>
      <c r="Q1751" s="17"/>
      <c r="R1751" s="17"/>
      <c r="S1751" s="17"/>
      <c r="T1751" s="16"/>
    </row>
    <row r="1752">
      <c r="A1752" s="71"/>
      <c r="B1752" s="17"/>
      <c r="C1752" s="17"/>
      <c r="D1752" s="17"/>
      <c r="E1752" s="31"/>
      <c r="F1752" s="17"/>
      <c r="G1752" s="17"/>
      <c r="H1752" s="51"/>
      <c r="I1752" s="17"/>
      <c r="J1752" s="17"/>
      <c r="K1752" s="13"/>
      <c r="L1752" s="17"/>
      <c r="M1752" s="17"/>
      <c r="N1752" s="17"/>
      <c r="O1752" s="17"/>
      <c r="P1752" s="18"/>
      <c r="Q1752" s="17"/>
      <c r="R1752" s="17"/>
      <c r="S1752" s="17"/>
      <c r="T1752" s="16"/>
    </row>
    <row r="1753">
      <c r="A1753" s="71"/>
      <c r="B1753" s="17"/>
      <c r="C1753" s="17"/>
      <c r="D1753" s="17"/>
      <c r="E1753" s="31"/>
      <c r="F1753" s="17"/>
      <c r="G1753" s="17"/>
      <c r="H1753" s="51"/>
      <c r="I1753" s="17"/>
      <c r="J1753" s="17"/>
      <c r="K1753" s="13"/>
      <c r="L1753" s="17"/>
      <c r="M1753" s="17"/>
      <c r="N1753" s="17"/>
      <c r="O1753" s="17"/>
      <c r="P1753" s="18"/>
      <c r="Q1753" s="17"/>
      <c r="R1753" s="17"/>
      <c r="S1753" s="17"/>
      <c r="T1753" s="16"/>
    </row>
    <row r="1754">
      <c r="A1754" s="71"/>
      <c r="B1754" s="17"/>
      <c r="C1754" s="17"/>
      <c r="D1754" s="17"/>
      <c r="E1754" s="31"/>
      <c r="F1754" s="17"/>
      <c r="G1754" s="17"/>
      <c r="H1754" s="51"/>
      <c r="I1754" s="17"/>
      <c r="J1754" s="17"/>
      <c r="K1754" s="13"/>
      <c r="L1754" s="17"/>
      <c r="M1754" s="17"/>
      <c r="N1754" s="17"/>
      <c r="O1754" s="17"/>
      <c r="P1754" s="18"/>
      <c r="Q1754" s="17"/>
      <c r="R1754" s="17"/>
      <c r="S1754" s="17"/>
      <c r="T1754" s="16"/>
    </row>
    <row r="1755">
      <c r="A1755" s="71"/>
      <c r="B1755" s="17"/>
      <c r="C1755" s="17"/>
      <c r="D1755" s="17"/>
      <c r="E1755" s="31"/>
      <c r="F1755" s="17"/>
      <c r="G1755" s="17"/>
      <c r="H1755" s="51"/>
      <c r="I1755" s="17"/>
      <c r="J1755" s="17"/>
      <c r="K1755" s="13"/>
      <c r="L1755" s="17"/>
      <c r="M1755" s="17"/>
      <c r="N1755" s="17"/>
      <c r="O1755" s="17"/>
      <c r="P1755" s="18"/>
      <c r="Q1755" s="17"/>
      <c r="R1755" s="17"/>
      <c r="S1755" s="17"/>
      <c r="T1755" s="16"/>
    </row>
    <row r="1756">
      <c r="A1756" s="71"/>
      <c r="B1756" s="17"/>
      <c r="C1756" s="17"/>
      <c r="D1756" s="17"/>
      <c r="E1756" s="31"/>
      <c r="F1756" s="17"/>
      <c r="G1756" s="17"/>
      <c r="H1756" s="51"/>
      <c r="I1756" s="17"/>
      <c r="J1756" s="17"/>
      <c r="K1756" s="13"/>
      <c r="L1756" s="17"/>
      <c r="M1756" s="17"/>
      <c r="N1756" s="17"/>
      <c r="O1756" s="17"/>
      <c r="P1756" s="18"/>
      <c r="Q1756" s="17"/>
      <c r="R1756" s="17"/>
      <c r="S1756" s="17"/>
      <c r="T1756" s="16"/>
    </row>
    <row r="1757">
      <c r="A1757" s="71"/>
      <c r="B1757" s="17"/>
      <c r="C1757" s="17"/>
      <c r="D1757" s="17"/>
      <c r="E1757" s="31"/>
      <c r="F1757" s="17"/>
      <c r="G1757" s="17"/>
      <c r="H1757" s="51"/>
      <c r="I1757" s="17"/>
      <c r="J1757" s="17"/>
      <c r="K1757" s="13"/>
      <c r="L1757" s="17"/>
      <c r="M1757" s="17"/>
      <c r="N1757" s="17"/>
      <c r="O1757" s="17"/>
      <c r="P1757" s="18"/>
      <c r="Q1757" s="17"/>
      <c r="R1757" s="17"/>
      <c r="S1757" s="17"/>
      <c r="T1757" s="16"/>
    </row>
    <row r="1758">
      <c r="A1758" s="71"/>
      <c r="B1758" s="17"/>
      <c r="C1758" s="17"/>
      <c r="D1758" s="17"/>
      <c r="E1758" s="31"/>
      <c r="F1758" s="17"/>
      <c r="G1758" s="17"/>
      <c r="H1758" s="51"/>
      <c r="I1758" s="17"/>
      <c r="J1758" s="17"/>
      <c r="K1758" s="13"/>
      <c r="L1758" s="17"/>
      <c r="M1758" s="17"/>
      <c r="N1758" s="17"/>
      <c r="O1758" s="17"/>
      <c r="P1758" s="18"/>
      <c r="Q1758" s="17"/>
      <c r="R1758" s="17"/>
      <c r="S1758" s="17"/>
      <c r="T1758" s="16"/>
    </row>
    <row r="1759">
      <c r="A1759" s="71"/>
      <c r="B1759" s="17"/>
      <c r="C1759" s="17"/>
      <c r="D1759" s="17"/>
      <c r="E1759" s="31"/>
      <c r="F1759" s="17"/>
      <c r="G1759" s="17"/>
      <c r="H1759" s="51"/>
      <c r="I1759" s="17"/>
      <c r="J1759" s="17"/>
      <c r="K1759" s="13"/>
      <c r="L1759" s="17"/>
      <c r="M1759" s="17"/>
      <c r="N1759" s="17"/>
      <c r="O1759" s="17"/>
      <c r="P1759" s="18"/>
      <c r="Q1759" s="17"/>
      <c r="R1759" s="17"/>
      <c r="S1759" s="17"/>
      <c r="T1759" s="16"/>
    </row>
    <row r="1760">
      <c r="A1760" s="71"/>
      <c r="B1760" s="17"/>
      <c r="C1760" s="17"/>
      <c r="D1760" s="17"/>
      <c r="E1760" s="31"/>
      <c r="F1760" s="17"/>
      <c r="G1760" s="17"/>
      <c r="H1760" s="51"/>
      <c r="I1760" s="17"/>
      <c r="J1760" s="17"/>
      <c r="K1760" s="13"/>
      <c r="L1760" s="17"/>
      <c r="M1760" s="17"/>
      <c r="N1760" s="17"/>
      <c r="O1760" s="17"/>
      <c r="P1760" s="18"/>
      <c r="Q1760" s="17"/>
      <c r="R1760" s="17"/>
      <c r="S1760" s="17"/>
      <c r="T1760" s="16"/>
    </row>
    <row r="1761">
      <c r="A1761" s="71"/>
      <c r="B1761" s="17"/>
      <c r="C1761" s="17"/>
      <c r="D1761" s="17"/>
      <c r="E1761" s="31"/>
      <c r="F1761" s="17"/>
      <c r="G1761" s="17"/>
      <c r="H1761" s="51"/>
      <c r="I1761" s="17"/>
      <c r="J1761" s="17"/>
      <c r="K1761" s="13"/>
      <c r="L1761" s="17"/>
      <c r="M1761" s="17"/>
      <c r="N1761" s="17"/>
      <c r="O1761" s="17"/>
      <c r="P1761" s="18"/>
      <c r="Q1761" s="17"/>
      <c r="R1761" s="17"/>
      <c r="S1761" s="17"/>
      <c r="T1761" s="16"/>
    </row>
    <row r="1762">
      <c r="A1762" s="71"/>
      <c r="B1762" s="17"/>
      <c r="C1762" s="17"/>
      <c r="D1762" s="17"/>
      <c r="E1762" s="31"/>
      <c r="F1762" s="17"/>
      <c r="G1762" s="17"/>
      <c r="H1762" s="51"/>
      <c r="I1762" s="17"/>
      <c r="J1762" s="17"/>
      <c r="K1762" s="13"/>
      <c r="L1762" s="17"/>
      <c r="M1762" s="17"/>
      <c r="N1762" s="17"/>
      <c r="O1762" s="17"/>
      <c r="P1762" s="18"/>
      <c r="Q1762" s="17"/>
      <c r="R1762" s="17"/>
      <c r="S1762" s="17"/>
      <c r="T1762" s="16"/>
    </row>
    <row r="1763">
      <c r="A1763" s="71"/>
      <c r="B1763" s="17"/>
      <c r="C1763" s="17"/>
      <c r="D1763" s="17"/>
      <c r="E1763" s="31"/>
      <c r="F1763" s="17"/>
      <c r="G1763" s="17"/>
      <c r="H1763" s="51"/>
      <c r="I1763" s="17"/>
      <c r="J1763" s="17"/>
      <c r="K1763" s="13"/>
      <c r="L1763" s="17"/>
      <c r="M1763" s="17"/>
      <c r="N1763" s="17"/>
      <c r="O1763" s="17"/>
      <c r="P1763" s="18"/>
      <c r="Q1763" s="17"/>
      <c r="R1763" s="17"/>
      <c r="S1763" s="17"/>
      <c r="T1763" s="16"/>
    </row>
    <row r="1764">
      <c r="A1764" s="71"/>
      <c r="B1764" s="17"/>
      <c r="C1764" s="17"/>
      <c r="D1764" s="17"/>
      <c r="E1764" s="31"/>
      <c r="F1764" s="17"/>
      <c r="G1764" s="17"/>
      <c r="H1764" s="51"/>
      <c r="I1764" s="17"/>
      <c r="J1764" s="17"/>
      <c r="K1764" s="13"/>
      <c r="L1764" s="17"/>
      <c r="M1764" s="17"/>
      <c r="N1764" s="17"/>
      <c r="O1764" s="17"/>
      <c r="P1764" s="18"/>
      <c r="Q1764" s="17"/>
      <c r="R1764" s="17"/>
      <c r="S1764" s="17"/>
      <c r="T1764" s="16"/>
    </row>
    <row r="1765">
      <c r="A1765" s="71"/>
      <c r="B1765" s="17"/>
      <c r="C1765" s="17"/>
      <c r="D1765" s="17"/>
      <c r="E1765" s="31"/>
      <c r="F1765" s="17"/>
      <c r="G1765" s="17"/>
      <c r="H1765" s="51"/>
      <c r="I1765" s="17"/>
      <c r="J1765" s="17"/>
      <c r="K1765" s="13"/>
      <c r="L1765" s="17"/>
      <c r="M1765" s="17"/>
      <c r="N1765" s="17"/>
      <c r="O1765" s="17"/>
      <c r="P1765" s="18"/>
      <c r="Q1765" s="17"/>
      <c r="R1765" s="17"/>
      <c r="S1765" s="17"/>
      <c r="T1765" s="16"/>
    </row>
    <row r="1766">
      <c r="A1766" s="71"/>
      <c r="B1766" s="17"/>
      <c r="C1766" s="17"/>
      <c r="D1766" s="17"/>
      <c r="E1766" s="31"/>
      <c r="F1766" s="17"/>
      <c r="G1766" s="17"/>
      <c r="H1766" s="51"/>
      <c r="I1766" s="17"/>
      <c r="J1766" s="17"/>
      <c r="K1766" s="13"/>
      <c r="L1766" s="17"/>
      <c r="M1766" s="17"/>
      <c r="N1766" s="17"/>
      <c r="O1766" s="17"/>
      <c r="P1766" s="18"/>
      <c r="Q1766" s="17"/>
      <c r="R1766" s="17"/>
      <c r="S1766" s="17"/>
      <c r="T1766" s="16"/>
    </row>
    <row r="1767">
      <c r="A1767" s="71"/>
      <c r="B1767" s="17"/>
      <c r="C1767" s="17"/>
      <c r="D1767" s="17"/>
      <c r="E1767" s="31"/>
      <c r="F1767" s="17"/>
      <c r="G1767" s="17"/>
      <c r="H1767" s="51"/>
      <c r="I1767" s="17"/>
      <c r="J1767" s="17"/>
      <c r="K1767" s="13"/>
      <c r="L1767" s="17"/>
      <c r="M1767" s="17"/>
      <c r="N1767" s="17"/>
      <c r="O1767" s="17"/>
      <c r="P1767" s="18"/>
      <c r="Q1767" s="17"/>
      <c r="R1767" s="17"/>
      <c r="S1767" s="17"/>
      <c r="T1767" s="16"/>
    </row>
    <row r="1768">
      <c r="A1768" s="71"/>
      <c r="B1768" s="17"/>
      <c r="C1768" s="17"/>
      <c r="D1768" s="17"/>
      <c r="E1768" s="31"/>
      <c r="F1768" s="17"/>
      <c r="G1768" s="17"/>
      <c r="H1768" s="51"/>
      <c r="I1768" s="17"/>
      <c r="J1768" s="17"/>
      <c r="K1768" s="13"/>
      <c r="L1768" s="17"/>
      <c r="M1768" s="17"/>
      <c r="N1768" s="17"/>
      <c r="O1768" s="17"/>
      <c r="P1768" s="18"/>
      <c r="Q1768" s="17"/>
      <c r="R1768" s="17"/>
      <c r="S1768" s="17"/>
      <c r="T1768" s="16"/>
    </row>
    <row r="1769">
      <c r="A1769" s="71"/>
      <c r="B1769" s="17"/>
      <c r="C1769" s="17"/>
      <c r="D1769" s="17"/>
      <c r="E1769" s="31"/>
      <c r="F1769" s="17"/>
      <c r="G1769" s="17"/>
      <c r="H1769" s="51"/>
      <c r="I1769" s="17"/>
      <c r="J1769" s="17"/>
      <c r="K1769" s="13"/>
      <c r="L1769" s="17"/>
      <c r="M1769" s="17"/>
      <c r="N1769" s="17"/>
      <c r="O1769" s="17"/>
      <c r="P1769" s="18"/>
      <c r="Q1769" s="17"/>
      <c r="R1769" s="17"/>
      <c r="S1769" s="17"/>
      <c r="T1769" s="16"/>
    </row>
    <row r="1770">
      <c r="A1770" s="71"/>
      <c r="B1770" s="17"/>
      <c r="C1770" s="17"/>
      <c r="D1770" s="17"/>
      <c r="E1770" s="31"/>
      <c r="F1770" s="17"/>
      <c r="G1770" s="17"/>
      <c r="H1770" s="51"/>
      <c r="I1770" s="17"/>
      <c r="J1770" s="17"/>
      <c r="K1770" s="13"/>
      <c r="L1770" s="17"/>
      <c r="M1770" s="17"/>
      <c r="N1770" s="17"/>
      <c r="O1770" s="17"/>
      <c r="P1770" s="18"/>
      <c r="Q1770" s="17"/>
      <c r="R1770" s="17"/>
      <c r="S1770" s="17"/>
      <c r="T1770" s="16"/>
    </row>
    <row r="1771">
      <c r="A1771" s="71"/>
      <c r="B1771" s="17"/>
      <c r="C1771" s="17"/>
      <c r="D1771" s="17"/>
      <c r="E1771" s="31"/>
      <c r="F1771" s="17"/>
      <c r="G1771" s="17"/>
      <c r="H1771" s="51"/>
      <c r="I1771" s="17"/>
      <c r="J1771" s="17"/>
      <c r="K1771" s="13"/>
      <c r="L1771" s="17"/>
      <c r="M1771" s="17"/>
      <c r="N1771" s="17"/>
      <c r="O1771" s="17"/>
      <c r="P1771" s="18"/>
      <c r="Q1771" s="17"/>
      <c r="R1771" s="17"/>
      <c r="S1771" s="17"/>
      <c r="T1771" s="16"/>
    </row>
    <row r="1772">
      <c r="A1772" s="71"/>
      <c r="B1772" s="17"/>
      <c r="C1772" s="17"/>
      <c r="D1772" s="17"/>
      <c r="E1772" s="31"/>
      <c r="F1772" s="17"/>
      <c r="G1772" s="17"/>
      <c r="H1772" s="51"/>
      <c r="I1772" s="17"/>
      <c r="J1772" s="17"/>
      <c r="K1772" s="13"/>
      <c r="L1772" s="17"/>
      <c r="M1772" s="17"/>
      <c r="N1772" s="17"/>
      <c r="O1772" s="17"/>
      <c r="P1772" s="18"/>
      <c r="Q1772" s="17"/>
      <c r="R1772" s="17"/>
      <c r="S1772" s="17"/>
      <c r="T1772" s="16"/>
    </row>
    <row r="1773">
      <c r="A1773" s="71"/>
      <c r="B1773" s="17"/>
      <c r="C1773" s="17"/>
      <c r="D1773" s="17"/>
      <c r="E1773" s="31"/>
      <c r="F1773" s="17"/>
      <c r="G1773" s="17"/>
      <c r="H1773" s="51"/>
      <c r="I1773" s="17"/>
      <c r="J1773" s="17"/>
      <c r="K1773" s="13"/>
      <c r="L1773" s="17"/>
      <c r="M1773" s="17"/>
      <c r="N1773" s="17"/>
      <c r="O1773" s="17"/>
      <c r="P1773" s="18"/>
      <c r="Q1773" s="17"/>
      <c r="R1773" s="17"/>
      <c r="S1773" s="17"/>
      <c r="T1773" s="16"/>
    </row>
    <row r="1774">
      <c r="A1774" s="71"/>
      <c r="B1774" s="17"/>
      <c r="C1774" s="17"/>
      <c r="D1774" s="17"/>
      <c r="E1774" s="31"/>
      <c r="F1774" s="17"/>
      <c r="G1774" s="17"/>
      <c r="H1774" s="51"/>
      <c r="I1774" s="17"/>
      <c r="J1774" s="17"/>
      <c r="K1774" s="13"/>
      <c r="L1774" s="17"/>
      <c r="M1774" s="17"/>
      <c r="N1774" s="17"/>
      <c r="O1774" s="17"/>
      <c r="P1774" s="18"/>
      <c r="Q1774" s="17"/>
      <c r="R1774" s="17"/>
      <c r="S1774" s="17"/>
      <c r="T1774" s="16"/>
    </row>
    <row r="1775">
      <c r="A1775" s="71"/>
      <c r="B1775" s="17"/>
      <c r="C1775" s="17"/>
      <c r="D1775" s="17"/>
      <c r="E1775" s="31"/>
      <c r="F1775" s="17"/>
      <c r="G1775" s="17"/>
      <c r="H1775" s="51"/>
      <c r="I1775" s="17"/>
      <c r="J1775" s="17"/>
      <c r="K1775" s="13"/>
      <c r="L1775" s="17"/>
      <c r="M1775" s="17"/>
      <c r="N1775" s="17"/>
      <c r="O1775" s="17"/>
      <c r="P1775" s="18"/>
      <c r="Q1775" s="17"/>
      <c r="R1775" s="17"/>
      <c r="S1775" s="17"/>
      <c r="T1775" s="16"/>
    </row>
    <row r="1776">
      <c r="A1776" s="71"/>
      <c r="B1776" s="17"/>
      <c r="C1776" s="17"/>
      <c r="D1776" s="17"/>
      <c r="E1776" s="31"/>
      <c r="F1776" s="17"/>
      <c r="G1776" s="17"/>
      <c r="H1776" s="51"/>
      <c r="I1776" s="17"/>
      <c r="J1776" s="17"/>
      <c r="K1776" s="13"/>
      <c r="L1776" s="17"/>
      <c r="M1776" s="17"/>
      <c r="N1776" s="17"/>
      <c r="O1776" s="17"/>
      <c r="P1776" s="18"/>
      <c r="Q1776" s="17"/>
      <c r="R1776" s="17"/>
      <c r="S1776" s="17"/>
      <c r="T1776" s="16"/>
    </row>
    <row r="1777">
      <c r="A1777" s="71"/>
      <c r="B1777" s="17"/>
      <c r="C1777" s="17"/>
      <c r="D1777" s="17"/>
      <c r="E1777" s="31"/>
      <c r="F1777" s="17"/>
      <c r="G1777" s="17"/>
      <c r="H1777" s="51"/>
      <c r="I1777" s="17"/>
      <c r="J1777" s="17"/>
      <c r="K1777" s="13"/>
      <c r="L1777" s="17"/>
      <c r="M1777" s="17"/>
      <c r="N1777" s="17"/>
      <c r="O1777" s="17"/>
      <c r="P1777" s="18"/>
      <c r="Q1777" s="17"/>
      <c r="R1777" s="17"/>
      <c r="S1777" s="17"/>
      <c r="T1777" s="16"/>
    </row>
    <row r="1778">
      <c r="A1778" s="71"/>
      <c r="B1778" s="17"/>
      <c r="C1778" s="17"/>
      <c r="D1778" s="17"/>
      <c r="E1778" s="31"/>
      <c r="F1778" s="17"/>
      <c r="G1778" s="17"/>
      <c r="H1778" s="51"/>
      <c r="I1778" s="17"/>
      <c r="J1778" s="17"/>
      <c r="K1778" s="13"/>
      <c r="L1778" s="17"/>
      <c r="M1778" s="17"/>
      <c r="N1778" s="17"/>
      <c r="O1778" s="17"/>
      <c r="P1778" s="18"/>
      <c r="Q1778" s="17"/>
      <c r="R1778" s="17"/>
      <c r="S1778" s="17"/>
      <c r="T1778" s="16"/>
    </row>
    <row r="1779">
      <c r="A1779" s="71"/>
      <c r="B1779" s="17"/>
      <c r="C1779" s="17"/>
      <c r="D1779" s="17"/>
      <c r="E1779" s="31"/>
      <c r="F1779" s="17"/>
      <c r="G1779" s="17"/>
      <c r="H1779" s="51"/>
      <c r="I1779" s="17"/>
      <c r="J1779" s="17"/>
      <c r="K1779" s="13"/>
      <c r="L1779" s="17"/>
      <c r="M1779" s="17"/>
      <c r="N1779" s="17"/>
      <c r="O1779" s="17"/>
      <c r="P1779" s="18"/>
      <c r="Q1779" s="17"/>
      <c r="R1779" s="17"/>
      <c r="S1779" s="17"/>
      <c r="T1779" s="16"/>
    </row>
    <row r="1780">
      <c r="A1780" s="71"/>
      <c r="B1780" s="17"/>
      <c r="C1780" s="17"/>
      <c r="D1780" s="17"/>
      <c r="E1780" s="31"/>
      <c r="F1780" s="17"/>
      <c r="G1780" s="17"/>
      <c r="H1780" s="51"/>
      <c r="I1780" s="17"/>
      <c r="J1780" s="17"/>
      <c r="K1780" s="13"/>
      <c r="L1780" s="17"/>
      <c r="M1780" s="17"/>
      <c r="N1780" s="17"/>
      <c r="O1780" s="17"/>
      <c r="P1780" s="18"/>
      <c r="Q1780" s="17"/>
      <c r="R1780" s="17"/>
      <c r="S1780" s="17"/>
      <c r="T1780" s="16"/>
    </row>
    <row r="1781">
      <c r="A1781" s="71"/>
      <c r="B1781" s="17"/>
      <c r="C1781" s="17"/>
      <c r="D1781" s="17"/>
      <c r="E1781" s="31"/>
      <c r="F1781" s="17"/>
      <c r="G1781" s="17"/>
      <c r="H1781" s="51"/>
      <c r="I1781" s="17"/>
      <c r="J1781" s="17"/>
      <c r="K1781" s="13"/>
      <c r="L1781" s="17"/>
      <c r="M1781" s="17"/>
      <c r="N1781" s="17"/>
      <c r="O1781" s="17"/>
      <c r="P1781" s="18"/>
      <c r="Q1781" s="17"/>
      <c r="R1781" s="17"/>
      <c r="S1781" s="17"/>
      <c r="T1781" s="16"/>
    </row>
    <row r="1782">
      <c r="A1782" s="71"/>
      <c r="B1782" s="17"/>
      <c r="C1782" s="17"/>
      <c r="D1782" s="17"/>
      <c r="E1782" s="31"/>
      <c r="F1782" s="17"/>
      <c r="G1782" s="17"/>
      <c r="H1782" s="51"/>
      <c r="I1782" s="17"/>
      <c r="J1782" s="17"/>
      <c r="K1782" s="13"/>
      <c r="L1782" s="17"/>
      <c r="M1782" s="17"/>
      <c r="N1782" s="17"/>
      <c r="O1782" s="17"/>
      <c r="P1782" s="18"/>
      <c r="Q1782" s="17"/>
      <c r="R1782" s="17"/>
      <c r="S1782" s="17"/>
      <c r="T1782" s="16"/>
    </row>
    <row r="1783">
      <c r="A1783" s="71"/>
      <c r="B1783" s="17"/>
      <c r="C1783" s="17"/>
      <c r="D1783" s="17"/>
      <c r="E1783" s="31"/>
      <c r="F1783" s="17"/>
      <c r="G1783" s="17"/>
      <c r="H1783" s="51"/>
      <c r="I1783" s="17"/>
      <c r="J1783" s="17"/>
      <c r="K1783" s="13"/>
      <c r="L1783" s="17"/>
      <c r="M1783" s="17"/>
      <c r="N1783" s="17"/>
      <c r="O1783" s="17"/>
      <c r="P1783" s="18"/>
      <c r="Q1783" s="17"/>
      <c r="R1783" s="17"/>
      <c r="S1783" s="17"/>
      <c r="T1783" s="16"/>
    </row>
    <row r="1784">
      <c r="A1784" s="71"/>
      <c r="B1784" s="17"/>
      <c r="C1784" s="17"/>
      <c r="D1784" s="17"/>
      <c r="E1784" s="31"/>
      <c r="F1784" s="17"/>
      <c r="G1784" s="17"/>
      <c r="H1784" s="51"/>
      <c r="I1784" s="17"/>
      <c r="J1784" s="17"/>
      <c r="K1784" s="13"/>
      <c r="L1784" s="17"/>
      <c r="M1784" s="17"/>
      <c r="N1784" s="17"/>
      <c r="O1784" s="17"/>
      <c r="P1784" s="18"/>
      <c r="Q1784" s="17"/>
      <c r="R1784" s="17"/>
      <c r="S1784" s="17"/>
      <c r="T1784" s="16"/>
    </row>
    <row r="1785">
      <c r="A1785" s="71"/>
      <c r="B1785" s="17"/>
      <c r="C1785" s="17"/>
      <c r="D1785" s="17"/>
      <c r="E1785" s="31"/>
      <c r="F1785" s="17"/>
      <c r="G1785" s="17"/>
      <c r="H1785" s="51"/>
      <c r="I1785" s="17"/>
      <c r="J1785" s="17"/>
      <c r="K1785" s="13"/>
      <c r="L1785" s="17"/>
      <c r="M1785" s="17"/>
      <c r="N1785" s="17"/>
      <c r="O1785" s="17"/>
      <c r="P1785" s="18"/>
      <c r="Q1785" s="17"/>
      <c r="R1785" s="17"/>
      <c r="S1785" s="17"/>
      <c r="T1785" s="16"/>
    </row>
    <row r="1786">
      <c r="A1786" s="71"/>
      <c r="B1786" s="17"/>
      <c r="C1786" s="17"/>
      <c r="D1786" s="17"/>
      <c r="E1786" s="31"/>
      <c r="F1786" s="17"/>
      <c r="G1786" s="17"/>
      <c r="H1786" s="51"/>
      <c r="I1786" s="17"/>
      <c r="J1786" s="17"/>
      <c r="K1786" s="13"/>
      <c r="L1786" s="17"/>
      <c r="M1786" s="17"/>
      <c r="N1786" s="17"/>
      <c r="O1786" s="17"/>
      <c r="P1786" s="18"/>
      <c r="Q1786" s="17"/>
      <c r="R1786" s="17"/>
      <c r="S1786" s="17"/>
      <c r="T1786" s="16"/>
    </row>
    <row r="1787">
      <c r="A1787" s="71"/>
      <c r="B1787" s="17"/>
      <c r="C1787" s="17"/>
      <c r="D1787" s="17"/>
      <c r="E1787" s="31"/>
      <c r="F1787" s="17"/>
      <c r="G1787" s="17"/>
      <c r="H1787" s="51"/>
      <c r="I1787" s="17"/>
      <c r="J1787" s="17"/>
      <c r="K1787" s="13"/>
      <c r="L1787" s="17"/>
      <c r="M1787" s="17"/>
      <c r="N1787" s="17"/>
      <c r="O1787" s="17"/>
      <c r="P1787" s="18"/>
      <c r="Q1787" s="17"/>
      <c r="R1787" s="17"/>
      <c r="S1787" s="17"/>
      <c r="T1787" s="16"/>
    </row>
    <row r="1788">
      <c r="A1788" s="71"/>
      <c r="B1788" s="17"/>
      <c r="C1788" s="17"/>
      <c r="D1788" s="17"/>
      <c r="E1788" s="31"/>
      <c r="F1788" s="17"/>
      <c r="G1788" s="17"/>
      <c r="H1788" s="51"/>
      <c r="I1788" s="17"/>
      <c r="J1788" s="17"/>
      <c r="K1788" s="13"/>
      <c r="L1788" s="17"/>
      <c r="M1788" s="17"/>
      <c r="N1788" s="17"/>
      <c r="O1788" s="17"/>
      <c r="P1788" s="18"/>
      <c r="Q1788" s="17"/>
      <c r="R1788" s="17"/>
      <c r="S1788" s="17"/>
      <c r="T1788" s="16"/>
    </row>
    <row r="1789">
      <c r="A1789" s="71"/>
      <c r="B1789" s="17"/>
      <c r="C1789" s="17"/>
      <c r="D1789" s="17"/>
      <c r="E1789" s="31"/>
      <c r="F1789" s="17"/>
      <c r="G1789" s="17"/>
      <c r="H1789" s="51"/>
      <c r="I1789" s="17"/>
      <c r="J1789" s="17"/>
      <c r="K1789" s="13"/>
      <c r="L1789" s="17"/>
      <c r="M1789" s="17"/>
      <c r="N1789" s="17"/>
      <c r="O1789" s="17"/>
      <c r="P1789" s="18"/>
      <c r="Q1789" s="17"/>
      <c r="R1789" s="17"/>
      <c r="S1789" s="17"/>
      <c r="T1789" s="16"/>
    </row>
    <row r="1790">
      <c r="A1790" s="71"/>
      <c r="B1790" s="17"/>
      <c r="C1790" s="17"/>
      <c r="D1790" s="17"/>
      <c r="E1790" s="31"/>
      <c r="F1790" s="17"/>
      <c r="G1790" s="17"/>
      <c r="H1790" s="51"/>
      <c r="I1790" s="17"/>
      <c r="J1790" s="17"/>
      <c r="K1790" s="13"/>
      <c r="L1790" s="17"/>
      <c r="M1790" s="17"/>
      <c r="N1790" s="17"/>
      <c r="O1790" s="17"/>
      <c r="P1790" s="18"/>
      <c r="Q1790" s="17"/>
      <c r="R1790" s="17"/>
      <c r="S1790" s="17"/>
      <c r="T1790" s="16"/>
    </row>
    <row r="1791">
      <c r="A1791" s="71"/>
      <c r="B1791" s="17"/>
      <c r="C1791" s="17"/>
      <c r="D1791" s="17"/>
      <c r="E1791" s="31"/>
      <c r="F1791" s="17"/>
      <c r="G1791" s="17"/>
      <c r="H1791" s="51"/>
      <c r="I1791" s="17"/>
      <c r="J1791" s="17"/>
      <c r="K1791" s="13"/>
      <c r="L1791" s="17"/>
      <c r="M1791" s="17"/>
      <c r="N1791" s="17"/>
      <c r="O1791" s="17"/>
      <c r="P1791" s="18"/>
      <c r="Q1791" s="17"/>
      <c r="R1791" s="17"/>
      <c r="S1791" s="17"/>
      <c r="T1791" s="16"/>
    </row>
    <row r="1792">
      <c r="A1792" s="71"/>
      <c r="B1792" s="17"/>
      <c r="C1792" s="17"/>
      <c r="D1792" s="17"/>
      <c r="E1792" s="31"/>
      <c r="F1792" s="17"/>
      <c r="G1792" s="17"/>
      <c r="H1792" s="51"/>
      <c r="I1792" s="17"/>
      <c r="J1792" s="17"/>
      <c r="K1792" s="13"/>
      <c r="L1792" s="17"/>
      <c r="M1792" s="17"/>
      <c r="N1792" s="17"/>
      <c r="O1792" s="17"/>
      <c r="P1792" s="18"/>
      <c r="Q1792" s="17"/>
      <c r="R1792" s="17"/>
      <c r="S1792" s="17"/>
      <c r="T1792" s="16"/>
    </row>
    <row r="1793">
      <c r="A1793" s="71"/>
      <c r="B1793" s="17"/>
      <c r="C1793" s="17"/>
      <c r="D1793" s="17"/>
      <c r="E1793" s="31"/>
      <c r="F1793" s="17"/>
      <c r="G1793" s="17"/>
      <c r="H1793" s="51"/>
      <c r="I1793" s="17"/>
      <c r="J1793" s="17"/>
      <c r="K1793" s="13"/>
      <c r="L1793" s="17"/>
      <c r="M1793" s="17"/>
      <c r="N1793" s="17"/>
      <c r="O1793" s="17"/>
      <c r="P1793" s="18"/>
      <c r="Q1793" s="17"/>
      <c r="R1793" s="17"/>
      <c r="S1793" s="17"/>
      <c r="T1793" s="16"/>
    </row>
    <row r="1794">
      <c r="A1794" s="71"/>
      <c r="B1794" s="17"/>
      <c r="C1794" s="17"/>
      <c r="D1794" s="17"/>
      <c r="E1794" s="31"/>
      <c r="F1794" s="17"/>
      <c r="G1794" s="17"/>
      <c r="H1794" s="51"/>
      <c r="I1794" s="17"/>
      <c r="J1794" s="17"/>
      <c r="K1794" s="13"/>
      <c r="L1794" s="17"/>
      <c r="M1794" s="17"/>
      <c r="N1794" s="17"/>
      <c r="O1794" s="17"/>
      <c r="P1794" s="18"/>
      <c r="Q1794" s="17"/>
      <c r="R1794" s="17"/>
      <c r="S1794" s="17"/>
      <c r="T1794" s="16"/>
    </row>
    <row r="1795">
      <c r="A1795" s="71"/>
      <c r="B1795" s="17"/>
      <c r="C1795" s="17"/>
      <c r="D1795" s="17"/>
      <c r="E1795" s="31"/>
      <c r="F1795" s="17"/>
      <c r="G1795" s="17"/>
      <c r="H1795" s="51"/>
      <c r="I1795" s="17"/>
      <c r="J1795" s="17"/>
      <c r="K1795" s="13"/>
      <c r="L1795" s="17"/>
      <c r="M1795" s="17"/>
      <c r="N1795" s="17"/>
      <c r="O1795" s="17"/>
      <c r="P1795" s="18"/>
      <c r="Q1795" s="17"/>
      <c r="R1795" s="17"/>
      <c r="S1795" s="17"/>
      <c r="T1795" s="16"/>
    </row>
    <row r="1796">
      <c r="A1796" s="71"/>
      <c r="B1796" s="17"/>
      <c r="C1796" s="17"/>
      <c r="D1796" s="17"/>
      <c r="E1796" s="31"/>
      <c r="F1796" s="17"/>
      <c r="G1796" s="17"/>
      <c r="H1796" s="51"/>
      <c r="I1796" s="17"/>
      <c r="J1796" s="17"/>
      <c r="K1796" s="13"/>
      <c r="L1796" s="17"/>
      <c r="M1796" s="17"/>
      <c r="N1796" s="17"/>
      <c r="O1796" s="17"/>
      <c r="P1796" s="18"/>
      <c r="Q1796" s="17"/>
      <c r="R1796" s="17"/>
      <c r="S1796" s="17"/>
      <c r="T1796" s="16"/>
    </row>
    <row r="1797">
      <c r="A1797" s="71"/>
      <c r="B1797" s="17"/>
      <c r="C1797" s="17"/>
      <c r="D1797" s="17"/>
      <c r="E1797" s="31"/>
      <c r="F1797" s="17"/>
      <c r="G1797" s="17"/>
      <c r="H1797" s="51"/>
      <c r="I1797" s="17"/>
      <c r="J1797" s="17"/>
      <c r="K1797" s="13"/>
      <c r="L1797" s="17"/>
      <c r="M1797" s="17"/>
      <c r="N1797" s="17"/>
      <c r="O1797" s="17"/>
      <c r="P1797" s="18"/>
      <c r="Q1797" s="17"/>
      <c r="R1797" s="17"/>
      <c r="S1797" s="17"/>
      <c r="T1797" s="16"/>
    </row>
    <row r="1798">
      <c r="A1798" s="71"/>
      <c r="B1798" s="17"/>
      <c r="C1798" s="17"/>
      <c r="D1798" s="17"/>
      <c r="E1798" s="31"/>
      <c r="F1798" s="17"/>
      <c r="G1798" s="17"/>
      <c r="H1798" s="51"/>
      <c r="I1798" s="17"/>
      <c r="J1798" s="17"/>
      <c r="K1798" s="13"/>
      <c r="L1798" s="17"/>
      <c r="M1798" s="17"/>
      <c r="N1798" s="17"/>
      <c r="O1798" s="17"/>
      <c r="P1798" s="18"/>
      <c r="Q1798" s="17"/>
      <c r="R1798" s="17"/>
      <c r="S1798" s="17"/>
      <c r="T1798" s="16"/>
    </row>
    <row r="1799">
      <c r="A1799" s="71"/>
      <c r="B1799" s="17"/>
      <c r="C1799" s="17"/>
      <c r="D1799" s="17"/>
      <c r="E1799" s="31"/>
      <c r="F1799" s="17"/>
      <c r="G1799" s="17"/>
      <c r="H1799" s="51"/>
      <c r="I1799" s="17"/>
      <c r="J1799" s="17"/>
      <c r="K1799" s="13"/>
      <c r="L1799" s="17"/>
      <c r="M1799" s="17"/>
      <c r="N1799" s="17"/>
      <c r="O1799" s="17"/>
      <c r="P1799" s="18"/>
      <c r="Q1799" s="17"/>
      <c r="R1799" s="17"/>
      <c r="S1799" s="17"/>
      <c r="T1799" s="16"/>
    </row>
    <row r="1800">
      <c r="A1800" s="71"/>
      <c r="B1800" s="17"/>
      <c r="C1800" s="17"/>
      <c r="D1800" s="17"/>
      <c r="E1800" s="31"/>
      <c r="F1800" s="17"/>
      <c r="G1800" s="17"/>
      <c r="H1800" s="51"/>
      <c r="I1800" s="17"/>
      <c r="J1800" s="17"/>
      <c r="K1800" s="13"/>
      <c r="L1800" s="17"/>
      <c r="M1800" s="17"/>
      <c r="N1800" s="17"/>
      <c r="O1800" s="17"/>
      <c r="P1800" s="18"/>
      <c r="Q1800" s="17"/>
      <c r="R1800" s="17"/>
      <c r="S1800" s="17"/>
      <c r="T1800" s="16"/>
    </row>
    <row r="1801">
      <c r="A1801" s="71"/>
      <c r="B1801" s="17"/>
      <c r="C1801" s="17"/>
      <c r="D1801" s="17"/>
      <c r="E1801" s="31"/>
      <c r="F1801" s="17"/>
      <c r="G1801" s="17"/>
      <c r="H1801" s="51"/>
      <c r="I1801" s="17"/>
      <c r="J1801" s="17"/>
      <c r="K1801" s="13"/>
      <c r="L1801" s="17"/>
      <c r="M1801" s="17"/>
      <c r="N1801" s="17"/>
      <c r="O1801" s="17"/>
      <c r="P1801" s="18"/>
      <c r="Q1801" s="17"/>
      <c r="R1801" s="17"/>
      <c r="S1801" s="17"/>
      <c r="T1801" s="16"/>
    </row>
    <row r="1802">
      <c r="A1802" s="71"/>
      <c r="B1802" s="17"/>
      <c r="C1802" s="17"/>
      <c r="D1802" s="17"/>
      <c r="E1802" s="31"/>
      <c r="F1802" s="17"/>
      <c r="G1802" s="17"/>
      <c r="H1802" s="51"/>
      <c r="I1802" s="17"/>
      <c r="J1802" s="17"/>
      <c r="K1802" s="13"/>
      <c r="L1802" s="17"/>
      <c r="M1802" s="17"/>
      <c r="N1802" s="17"/>
      <c r="O1802" s="17"/>
      <c r="P1802" s="18"/>
      <c r="Q1802" s="17"/>
      <c r="R1802" s="17"/>
      <c r="S1802" s="17"/>
      <c r="T1802" s="16"/>
    </row>
    <row r="1803">
      <c r="A1803" s="71"/>
      <c r="B1803" s="17"/>
      <c r="C1803" s="17"/>
      <c r="D1803" s="17"/>
      <c r="E1803" s="31"/>
      <c r="F1803" s="17"/>
      <c r="G1803" s="17"/>
      <c r="H1803" s="51"/>
      <c r="I1803" s="17"/>
      <c r="J1803" s="17"/>
      <c r="K1803" s="13"/>
      <c r="L1803" s="17"/>
      <c r="M1803" s="17"/>
      <c r="N1803" s="17"/>
      <c r="O1803" s="17"/>
      <c r="P1803" s="18"/>
      <c r="Q1803" s="17"/>
      <c r="R1803" s="17"/>
      <c r="S1803" s="17"/>
      <c r="T1803" s="16"/>
    </row>
    <row r="1804">
      <c r="A1804" s="71"/>
      <c r="B1804" s="17"/>
      <c r="C1804" s="17"/>
      <c r="D1804" s="17"/>
      <c r="E1804" s="31"/>
      <c r="F1804" s="17"/>
      <c r="G1804" s="17"/>
      <c r="H1804" s="51"/>
      <c r="I1804" s="17"/>
      <c r="J1804" s="17"/>
      <c r="K1804" s="13"/>
      <c r="L1804" s="17"/>
      <c r="M1804" s="17"/>
      <c r="N1804" s="17"/>
      <c r="O1804" s="17"/>
      <c r="P1804" s="18"/>
      <c r="Q1804" s="17"/>
      <c r="R1804" s="17"/>
      <c r="S1804" s="17"/>
      <c r="T1804" s="16"/>
    </row>
    <row r="1805">
      <c r="A1805" s="71"/>
      <c r="B1805" s="17"/>
      <c r="C1805" s="17"/>
      <c r="D1805" s="17"/>
      <c r="E1805" s="31"/>
      <c r="F1805" s="17"/>
      <c r="G1805" s="17"/>
      <c r="H1805" s="51"/>
      <c r="I1805" s="17"/>
      <c r="J1805" s="17"/>
      <c r="K1805" s="13"/>
      <c r="L1805" s="17"/>
      <c r="M1805" s="17"/>
      <c r="N1805" s="17"/>
      <c r="O1805" s="17"/>
      <c r="P1805" s="18"/>
      <c r="Q1805" s="17"/>
      <c r="R1805" s="17"/>
      <c r="S1805" s="17"/>
      <c r="T1805" s="16"/>
    </row>
    <row r="1806">
      <c r="A1806" s="71"/>
      <c r="B1806" s="17"/>
      <c r="C1806" s="17"/>
      <c r="D1806" s="17"/>
      <c r="E1806" s="31"/>
      <c r="F1806" s="17"/>
      <c r="G1806" s="17"/>
      <c r="H1806" s="51"/>
      <c r="I1806" s="17"/>
      <c r="J1806" s="17"/>
      <c r="K1806" s="13"/>
      <c r="L1806" s="17"/>
      <c r="M1806" s="17"/>
      <c r="N1806" s="17"/>
      <c r="O1806" s="17"/>
      <c r="P1806" s="18"/>
      <c r="Q1806" s="17"/>
      <c r="R1806" s="17"/>
      <c r="S1806" s="17"/>
      <c r="T1806" s="16"/>
    </row>
    <row r="1807">
      <c r="A1807" s="71"/>
      <c r="B1807" s="17"/>
      <c r="C1807" s="17"/>
      <c r="D1807" s="17"/>
      <c r="E1807" s="31"/>
      <c r="F1807" s="17"/>
      <c r="G1807" s="17"/>
      <c r="H1807" s="51"/>
      <c r="I1807" s="17"/>
      <c r="J1807" s="17"/>
      <c r="K1807" s="13"/>
      <c r="L1807" s="17"/>
      <c r="M1807" s="17"/>
      <c r="N1807" s="17"/>
      <c r="O1807" s="17"/>
      <c r="P1807" s="18"/>
      <c r="Q1807" s="17"/>
      <c r="R1807" s="17"/>
      <c r="S1807" s="17"/>
      <c r="T1807" s="16"/>
    </row>
    <row r="1808">
      <c r="A1808" s="71"/>
      <c r="B1808" s="17"/>
      <c r="C1808" s="17"/>
      <c r="D1808" s="17"/>
      <c r="E1808" s="31"/>
      <c r="F1808" s="17"/>
      <c r="G1808" s="17"/>
      <c r="H1808" s="51"/>
      <c r="I1808" s="17"/>
      <c r="J1808" s="17"/>
      <c r="K1808" s="13"/>
      <c r="L1808" s="17"/>
      <c r="M1808" s="17"/>
      <c r="N1808" s="17"/>
      <c r="O1808" s="17"/>
      <c r="P1808" s="18"/>
      <c r="Q1808" s="17"/>
      <c r="R1808" s="17"/>
      <c r="S1808" s="17"/>
      <c r="T1808" s="16"/>
    </row>
    <row r="1809">
      <c r="A1809" s="71"/>
      <c r="B1809" s="17"/>
      <c r="C1809" s="17"/>
      <c r="D1809" s="17"/>
      <c r="E1809" s="31"/>
      <c r="F1809" s="17"/>
      <c r="G1809" s="17"/>
      <c r="H1809" s="51"/>
      <c r="I1809" s="17"/>
      <c r="J1809" s="17"/>
      <c r="K1809" s="13"/>
      <c r="L1809" s="17"/>
      <c r="M1809" s="17"/>
      <c r="N1809" s="17"/>
      <c r="O1809" s="17"/>
      <c r="P1809" s="18"/>
      <c r="Q1809" s="17"/>
      <c r="R1809" s="17"/>
      <c r="S1809" s="17"/>
      <c r="T1809" s="16"/>
    </row>
    <row r="1810">
      <c r="A1810" s="71"/>
      <c r="B1810" s="17"/>
      <c r="C1810" s="17"/>
      <c r="D1810" s="17"/>
      <c r="E1810" s="31"/>
      <c r="F1810" s="17"/>
      <c r="G1810" s="17"/>
      <c r="H1810" s="51"/>
      <c r="I1810" s="17"/>
      <c r="J1810" s="17"/>
      <c r="K1810" s="13"/>
      <c r="L1810" s="17"/>
      <c r="M1810" s="17"/>
      <c r="N1810" s="17"/>
      <c r="O1810" s="17"/>
      <c r="P1810" s="18"/>
      <c r="Q1810" s="17"/>
      <c r="R1810" s="17"/>
      <c r="S1810" s="17"/>
      <c r="T1810" s="16"/>
    </row>
    <row r="1811">
      <c r="A1811" s="71"/>
      <c r="B1811" s="17"/>
      <c r="C1811" s="17"/>
      <c r="D1811" s="17"/>
      <c r="E1811" s="31"/>
      <c r="F1811" s="17"/>
      <c r="G1811" s="17"/>
      <c r="H1811" s="51"/>
      <c r="I1811" s="17"/>
      <c r="J1811" s="17"/>
      <c r="K1811" s="13"/>
      <c r="L1811" s="17"/>
      <c r="M1811" s="17"/>
      <c r="N1811" s="17"/>
      <c r="O1811" s="17"/>
      <c r="P1811" s="18"/>
      <c r="Q1811" s="17"/>
      <c r="R1811" s="17"/>
      <c r="S1811" s="17"/>
      <c r="T1811" s="16"/>
    </row>
    <row r="1812">
      <c r="A1812" s="71"/>
      <c r="B1812" s="17"/>
      <c r="C1812" s="17"/>
      <c r="D1812" s="17"/>
      <c r="E1812" s="31"/>
      <c r="F1812" s="17"/>
      <c r="G1812" s="17"/>
      <c r="H1812" s="51"/>
      <c r="I1812" s="17"/>
      <c r="J1812" s="17"/>
      <c r="K1812" s="13"/>
      <c r="L1812" s="17"/>
      <c r="M1812" s="17"/>
      <c r="N1812" s="17"/>
      <c r="O1812" s="17"/>
      <c r="P1812" s="18"/>
      <c r="Q1812" s="17"/>
      <c r="R1812" s="17"/>
      <c r="S1812" s="17"/>
      <c r="T1812" s="16"/>
    </row>
    <row r="1813">
      <c r="A1813" s="71"/>
      <c r="B1813" s="17"/>
      <c r="C1813" s="17"/>
      <c r="D1813" s="17"/>
      <c r="E1813" s="31"/>
      <c r="F1813" s="17"/>
      <c r="G1813" s="17"/>
      <c r="H1813" s="51"/>
      <c r="I1813" s="17"/>
      <c r="J1813" s="17"/>
      <c r="K1813" s="13"/>
      <c r="L1813" s="17"/>
      <c r="M1813" s="17"/>
      <c r="N1813" s="17"/>
      <c r="O1813" s="17"/>
      <c r="P1813" s="18"/>
      <c r="Q1813" s="17"/>
      <c r="R1813" s="17"/>
      <c r="S1813" s="17"/>
      <c r="T1813" s="16"/>
    </row>
    <row r="1814">
      <c r="A1814" s="71"/>
      <c r="B1814" s="17"/>
      <c r="C1814" s="17"/>
      <c r="D1814" s="17"/>
      <c r="E1814" s="31"/>
      <c r="F1814" s="17"/>
      <c r="G1814" s="17"/>
      <c r="H1814" s="51"/>
      <c r="I1814" s="17"/>
      <c r="J1814" s="17"/>
      <c r="K1814" s="13"/>
      <c r="L1814" s="17"/>
      <c r="M1814" s="17"/>
      <c r="N1814" s="17"/>
      <c r="O1814" s="17"/>
      <c r="P1814" s="18"/>
      <c r="Q1814" s="17"/>
      <c r="R1814" s="17"/>
      <c r="S1814" s="17"/>
      <c r="T1814" s="16"/>
    </row>
    <row r="1815">
      <c r="A1815" s="71"/>
      <c r="B1815" s="17"/>
      <c r="C1815" s="17"/>
      <c r="D1815" s="17"/>
      <c r="E1815" s="31"/>
      <c r="F1815" s="17"/>
      <c r="G1815" s="17"/>
      <c r="H1815" s="51"/>
      <c r="I1815" s="17"/>
      <c r="J1815" s="17"/>
      <c r="K1815" s="13"/>
      <c r="L1815" s="17"/>
      <c r="M1815" s="17"/>
      <c r="N1815" s="17"/>
      <c r="O1815" s="17"/>
      <c r="P1815" s="18"/>
      <c r="Q1815" s="17"/>
      <c r="R1815" s="17"/>
      <c r="S1815" s="17"/>
      <c r="T1815" s="16"/>
    </row>
    <row r="1816">
      <c r="A1816" s="71"/>
      <c r="B1816" s="17"/>
      <c r="C1816" s="17"/>
      <c r="D1816" s="17"/>
      <c r="E1816" s="31"/>
      <c r="F1816" s="17"/>
      <c r="G1816" s="17"/>
      <c r="H1816" s="51"/>
      <c r="I1816" s="17"/>
      <c r="J1816" s="17"/>
      <c r="K1816" s="13"/>
      <c r="L1816" s="17"/>
      <c r="M1816" s="17"/>
      <c r="N1816" s="17"/>
      <c r="O1816" s="17"/>
      <c r="P1816" s="18"/>
      <c r="Q1816" s="17"/>
      <c r="R1816" s="17"/>
      <c r="S1816" s="17"/>
      <c r="T1816" s="16"/>
    </row>
    <row r="1817">
      <c r="A1817" s="71"/>
      <c r="B1817" s="17"/>
      <c r="C1817" s="17"/>
      <c r="D1817" s="17"/>
      <c r="E1817" s="31"/>
      <c r="F1817" s="17"/>
      <c r="G1817" s="17"/>
      <c r="H1817" s="51"/>
      <c r="I1817" s="17"/>
      <c r="J1817" s="17"/>
      <c r="K1817" s="13"/>
      <c r="L1817" s="17"/>
      <c r="M1817" s="17"/>
      <c r="N1817" s="17"/>
      <c r="O1817" s="17"/>
      <c r="P1817" s="18"/>
      <c r="Q1817" s="17"/>
      <c r="R1817" s="17"/>
      <c r="S1817" s="17"/>
      <c r="T1817" s="16"/>
    </row>
  </sheetData>
  <autoFilter ref="$A$1:$T$956"/>
  <hyperlinks>
    <hyperlink r:id="rId1" ref="P362"/>
    <hyperlink r:id="rId2" ref="P364"/>
    <hyperlink r:id="rId3" ref="P365"/>
    <hyperlink r:id="rId4" ref="P430"/>
    <hyperlink r:id="rId5" ref="P432"/>
    <hyperlink r:id="rId6" ref="P433"/>
    <hyperlink r:id="rId7" ref="P434"/>
    <hyperlink r:id="rId8" ref="P435"/>
    <hyperlink r:id="rId9" ref="P436"/>
    <hyperlink r:id="rId10" ref="P437"/>
    <hyperlink r:id="rId11" ref="P438"/>
    <hyperlink r:id="rId12" ref="P439"/>
    <hyperlink r:id="rId13" ref="P440"/>
    <hyperlink r:id="rId14" ref="P441"/>
    <hyperlink r:id="rId15" ref="P442"/>
    <hyperlink r:id="rId16" ref="P443"/>
    <hyperlink r:id="rId17" ref="P444"/>
    <hyperlink r:id="rId18" ref="P445"/>
    <hyperlink r:id="rId19" ref="P446"/>
    <hyperlink r:id="rId20" ref="P462"/>
    <hyperlink r:id="rId21" ref="P463"/>
    <hyperlink r:id="rId22" ref="P668"/>
    <hyperlink r:id="rId23" ref="P669"/>
    <hyperlink r:id="rId24" ref="P814"/>
  </hyperlinks>
  <drawing r:id="rId2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3" width="21.63"/>
    <col customWidth="1" min="4" max="4" width="15.63"/>
    <col customWidth="1" min="5" max="5" width="13.5"/>
    <col customWidth="1" min="6" max="6" width="14.5"/>
    <col customWidth="1" min="7" max="7" width="17.88"/>
    <col customWidth="1" min="8" max="8" width="16.0"/>
    <col customWidth="1" min="9" max="9" width="13.5"/>
    <col customWidth="1" min="11" max="11" width="22.88"/>
    <col customWidth="1" min="14" max="14" width="12.25"/>
    <col customWidth="1" min="15" max="15" width="31.63"/>
  </cols>
  <sheetData>
    <row r="1" ht="21.75" customHeight="1">
      <c r="A1" s="22" t="str">
        <f>IFERROR(__xludf.DUMMYFUNCTION("QUERY(MASTER_ARCHIVE_V3!A:S, ""SELECT * WHERE B = 'WINDOW' ORDER BY A DESC"", 1)"),"System Date")</f>
        <v>System Date</v>
      </c>
      <c r="B1" s="22" t="str">
        <f>IFERROR(__xludf.DUMMYFUNCTION("""COMPUTED_VALUE"""),"Type")</f>
        <v>Type</v>
      </c>
      <c r="C1" s="22" t="str">
        <f>IFERROR(__xludf.DUMMYFUNCTION("""COMPUTED_VALUE"""),"Name")</f>
        <v>Name</v>
      </c>
      <c r="D1" s="22" t="str">
        <f>IFERROR(__xludf.DUMMYFUNCTION("""COMPUTED_VALUE"""),"GC")</f>
        <v>GC</v>
      </c>
      <c r="E1" s="22" t="str">
        <f>IFERROR(__xludf.DUMMYFUNCTION("""COMPUTED_VALUE"""),"Po#")</f>
        <v>Po#</v>
      </c>
      <c r="F1" s="22" t="str">
        <f>IFERROR(__xludf.DUMMYFUNCTION("""COMPUTED_VALUE"""),"Qty")</f>
        <v>Qty</v>
      </c>
      <c r="G1" s="22" t="str">
        <f>IFERROR(__xludf.DUMMYFUNCTION("""COMPUTED_VALUE"""),"Unit")</f>
        <v>Unit</v>
      </c>
      <c r="H1" s="22" t="str">
        <f>IFERROR(__xludf.DUMMYFUNCTION("""COMPUTED_VALUE"""),"Date Received")</f>
        <v>Date Received</v>
      </c>
      <c r="I1" s="22" t="str">
        <f>IFERROR(__xludf.DUMMYFUNCTION("""COMPUTED_VALUE"""),"Loc")</f>
        <v>Loc</v>
      </c>
      <c r="J1" s="22" t="str">
        <f>IFERROR(__xludf.DUMMYFUNCTION("""COMPUTED_VALUE"""),"Supplier")</f>
        <v>Supplier</v>
      </c>
      <c r="K1" s="22" t="str">
        <f>IFERROR(__xludf.DUMMYFUNCTION("""COMPUTED_VALUE"""),"Comments")</f>
        <v>Comments</v>
      </c>
      <c r="L1" s="22" t="str">
        <f>IFERROR(__xludf.DUMMYFUNCTION("""COMPUTED_VALUE"""),"In Stock")</f>
        <v>In Stock</v>
      </c>
      <c r="M1" s="22" t="str">
        <f>IFERROR(__xludf.DUMMYFUNCTION("""COMPUTED_VALUE"""),"Responsible")</f>
        <v>Responsible</v>
      </c>
      <c r="N1" s="22" t="str">
        <f>IFERROR(__xludf.DUMMYFUNCTION("""COMPUTED_VALUE"""),"Project")</f>
        <v>Project</v>
      </c>
      <c r="O1" s="22" t="str">
        <f>IFERROR(__xludf.DUMMYFUNCTION("""COMPUTED_VALUE"""),"Mat ID")</f>
        <v>Mat ID</v>
      </c>
      <c r="P1" s="22" t="str">
        <f>IFERROR(__xludf.DUMMYFUNCTION("""COMPUTED_VALUE"""),"Document link")</f>
        <v>Document link</v>
      </c>
      <c r="Q1" s="22" t="str">
        <f>IFERROR(__xludf.DUMMYFUNCTION("""COMPUTED_VALUE"""),"User")</f>
        <v>User</v>
      </c>
      <c r="R1" s="22" t="str">
        <f>IFERROR(__xludf.DUMMYFUNCTION("""COMPUTED_VALUE"""),"Destination")</f>
        <v>Destination</v>
      </c>
      <c r="S1" s="22" t="str">
        <f>IFERROR(__xludf.DUMMYFUNCTION("""COMPUTED_VALUE"""),"MoveType")</f>
        <v>MoveType</v>
      </c>
    </row>
    <row r="2" ht="21.75" customHeight="1">
      <c r="A2" s="23">
        <f>IFERROR(__xludf.DUMMYFUNCTION("""COMPUTED_VALUE"""),46232.58108833333)</f>
        <v>46232.58109</v>
      </c>
      <c r="B2" s="24" t="str">
        <f>IFERROR(__xludf.DUMMYFUNCTION("""COMPUTED_VALUE"""),"WINDOW")</f>
        <v>WINDOW</v>
      </c>
      <c r="C2" s="25" t="str">
        <f>IFERROR(__xludf.DUMMYFUNCTION("""COMPUTED_VALUE"""),"HIGHLAND REMODEL_MAIN OFFICE")</f>
        <v>HIGHLAND REMODEL_MAIN OFFICE</v>
      </c>
      <c r="D2" s="26"/>
      <c r="E2" s="27"/>
      <c r="F2" s="28">
        <f>IFERROR(__xludf.DUMMYFUNCTION("""COMPUTED_VALUE"""),1.0)</f>
        <v>1</v>
      </c>
      <c r="G2" s="27" t="str">
        <f>IFERROR(__xludf.DUMMYFUNCTION("""COMPUTED_VALUE"""),"UNIT")</f>
        <v>UNIT</v>
      </c>
      <c r="H2" s="29">
        <f>IFERROR(__xludf.DUMMYFUNCTION("""COMPUTED_VALUE"""),46213.0)</f>
        <v>46213</v>
      </c>
      <c r="I2" s="24" t="str">
        <f>IFERROR(__xludf.DUMMYFUNCTION("""COMPUTED_VALUE"""),"B1A")</f>
        <v>B1A</v>
      </c>
      <c r="J2" s="30"/>
      <c r="K2" s="27"/>
      <c r="L2" s="2" t="str">
        <f>IFERROR(__xludf.DUMMYFUNCTION("""COMPUTED_VALUE"""),"Dispatched")</f>
        <v>Dispatched</v>
      </c>
      <c r="M2" s="27" t="str">
        <f>IFERROR(__xludf.DUMMYFUNCTION("""COMPUTED_VALUE"""),"jose@ox-glass.com")</f>
        <v>jose@ox-glass.com</v>
      </c>
      <c r="N2" s="27"/>
      <c r="O2" s="27" t="str">
        <f>IFERROR(__xludf.DUMMYFUNCTION("""COMPUTED_VALUE"""),"WINDOW|||HIGHLAND REMODEL_MAIN OFFICE")</f>
        <v>WINDOW|||HIGHLAND REMODEL_MAIN OFFICE</v>
      </c>
      <c r="P2" s="27"/>
      <c r="Q2" s="27" t="str">
        <f>IFERROR(__xludf.DUMMYFUNCTION("""COMPUTED_VALUE"""),"jose@ox-glass.com")</f>
        <v>jose@ox-glass.com</v>
      </c>
      <c r="R2" s="27" t="str">
        <f>IFERROR(__xludf.DUMMYFUNCTION("""COMPUTED_VALUE"""),"HIGHLAND REMODEL")</f>
        <v>HIGHLAND REMODEL</v>
      </c>
      <c r="S2" s="27" t="str">
        <f>IFERROR(__xludf.DUMMYFUNCTION("""COMPUTED_VALUE"""),"EXIT")</f>
        <v>EXIT</v>
      </c>
    </row>
    <row r="3" ht="21.75" customHeight="1">
      <c r="A3" s="23">
        <f>IFERROR(__xludf.DUMMYFUNCTION("""COMPUTED_VALUE"""),46232.323082939816)</f>
        <v>46232.32308</v>
      </c>
      <c r="B3" s="24" t="str">
        <f>IFERROR(__xludf.DUMMYFUNCTION("""COMPUTED_VALUE"""),"WINDOW")</f>
        <v>WINDOW</v>
      </c>
      <c r="C3" s="25" t="str">
        <f>IFERROR(__xludf.DUMMYFUNCTION("""COMPUTED_VALUE"""),"SP648 TRACIE")</f>
        <v>SP648 TRACIE</v>
      </c>
      <c r="D3" s="26"/>
      <c r="E3" s="27"/>
      <c r="F3" s="28">
        <f>IFERROR(__xludf.DUMMYFUNCTION("""COMPUTED_VALUE"""),20.0)</f>
        <v>20</v>
      </c>
      <c r="G3" s="27" t="str">
        <f>IFERROR(__xludf.DUMMYFUNCTION("""COMPUTED_VALUE"""),"UNIT")</f>
        <v>UNIT</v>
      </c>
      <c r="H3" s="29">
        <f>IFERROR(__xludf.DUMMYFUNCTION("""COMPUTED_VALUE"""),46224.0)</f>
        <v>46224</v>
      </c>
      <c r="I3" s="24" t="str">
        <f>IFERROR(__xludf.DUMMYFUNCTION("""COMPUTED_VALUE"""),"A3A")</f>
        <v>A3A</v>
      </c>
      <c r="J3" s="30"/>
      <c r="K3" s="27"/>
      <c r="L3" s="2" t="str">
        <f>IFERROR(__xludf.DUMMYFUNCTION("""COMPUTED_VALUE"""),"Dispatched")</f>
        <v>Dispatched</v>
      </c>
      <c r="M3" s="27" t="str">
        <f>IFERROR(__xludf.DUMMYFUNCTION("""COMPUTED_VALUE"""),"jose@ox-glass.com")</f>
        <v>jose@ox-glass.com</v>
      </c>
      <c r="N3" s="27"/>
      <c r="O3" s="27" t="str">
        <f>IFERROR(__xludf.DUMMYFUNCTION("""COMPUTED_VALUE"""),"WINDOW|||SP648 TRACIE")</f>
        <v>WINDOW|||SP648 TRACIE</v>
      </c>
      <c r="P3" s="27"/>
      <c r="Q3" s="27" t="str">
        <f>IFERROR(__xludf.DUMMYFUNCTION("""COMPUTED_VALUE"""),"jose@ox-glass.com")</f>
        <v>jose@ox-glass.com</v>
      </c>
      <c r="R3" s="27" t="str">
        <f>IFERROR(__xludf.DUMMYFUNCTION("""COMPUTED_VALUE"""),"PAT SP648 TRACIE")</f>
        <v>PAT SP648 TRACIE</v>
      </c>
      <c r="S3" s="27" t="str">
        <f>IFERROR(__xludf.DUMMYFUNCTION("""COMPUTED_VALUE"""),"EXIT")</f>
        <v>EXIT</v>
      </c>
    </row>
    <row r="4" ht="21.75" customHeight="1">
      <c r="A4" s="23">
        <f>IFERROR(__xludf.DUMMYFUNCTION("""COMPUTED_VALUE"""),46232.323082939816)</f>
        <v>46232.32308</v>
      </c>
      <c r="B4" s="24" t="str">
        <f>IFERROR(__xludf.DUMMYFUNCTION("""COMPUTED_VALUE"""),"WINDOW")</f>
        <v>WINDOW</v>
      </c>
      <c r="C4" s="25" t="str">
        <f>IFERROR(__xludf.DUMMYFUNCTION("""COMPUTED_VALUE"""),"SP 648 TRACIE")</f>
        <v>SP 648 TRACIE</v>
      </c>
      <c r="D4" s="26"/>
      <c r="E4" s="27"/>
      <c r="F4" s="28">
        <f>IFERROR(__xludf.DUMMYFUNCTION("""COMPUTED_VALUE"""),1.0)</f>
        <v>1</v>
      </c>
      <c r="G4" s="27" t="str">
        <f>IFERROR(__xludf.DUMMYFUNCTION("""COMPUTED_VALUE"""),"UNIT")</f>
        <v>UNIT</v>
      </c>
      <c r="H4" s="29">
        <f>IFERROR(__xludf.DUMMYFUNCTION("""COMPUTED_VALUE"""),46224.0)</f>
        <v>46224</v>
      </c>
      <c r="I4" s="24" t="str">
        <f>IFERROR(__xludf.DUMMYFUNCTION("""COMPUTED_VALUE"""),"C6A")</f>
        <v>C6A</v>
      </c>
      <c r="J4" s="30"/>
      <c r="K4" s="27"/>
      <c r="L4" s="2" t="str">
        <f>IFERROR(__xludf.DUMMYFUNCTION("""COMPUTED_VALUE"""),"Dispatched")</f>
        <v>Dispatched</v>
      </c>
      <c r="M4" s="27" t="str">
        <f>IFERROR(__xludf.DUMMYFUNCTION("""COMPUTED_VALUE"""),"jose@ox-glass.com")</f>
        <v>jose@ox-glass.com</v>
      </c>
      <c r="N4" s="27"/>
      <c r="O4" s="27" t="str">
        <f>IFERROR(__xludf.DUMMYFUNCTION("""COMPUTED_VALUE"""),"WINDOW|||SP 648 TRACIE")</f>
        <v>WINDOW|||SP 648 TRACIE</v>
      </c>
      <c r="P4" s="27"/>
      <c r="Q4" s="27" t="str">
        <f>IFERROR(__xludf.DUMMYFUNCTION("""COMPUTED_VALUE"""),"jose@ox-glass.com")</f>
        <v>jose@ox-glass.com</v>
      </c>
      <c r="R4" s="27" t="str">
        <f>IFERROR(__xludf.DUMMYFUNCTION("""COMPUTED_VALUE"""),"PAT SP648 TRACIE")</f>
        <v>PAT SP648 TRACIE</v>
      </c>
      <c r="S4" s="27" t="str">
        <f>IFERROR(__xludf.DUMMYFUNCTION("""COMPUTED_VALUE"""),"EXIT")</f>
        <v>EXIT</v>
      </c>
    </row>
    <row r="5" ht="21.75" customHeight="1">
      <c r="A5" s="23">
        <f>IFERROR(__xludf.DUMMYFUNCTION("""COMPUTED_VALUE"""),46231.536919583334)</f>
        <v>46231.53692</v>
      </c>
      <c r="B5" s="24" t="str">
        <f>IFERROR(__xludf.DUMMYFUNCTION("""COMPUTED_VALUE"""),"WINDOW")</f>
        <v>WINDOW</v>
      </c>
      <c r="C5" s="25" t="str">
        <f>IFERROR(__xludf.DUMMYFUNCTION("""COMPUTED_VALUE"""),"MM 104(3060 - REORDER)")</f>
        <v>MM 104(3060 - REORDER)</v>
      </c>
      <c r="D5" s="26"/>
      <c r="E5" s="27"/>
      <c r="F5" s="28">
        <f>IFERROR(__xludf.DUMMYFUNCTION("""COMPUTED_VALUE"""),2.0)</f>
        <v>2</v>
      </c>
      <c r="G5" s="27" t="str">
        <f>IFERROR(__xludf.DUMMYFUNCTION("""COMPUTED_VALUE"""),"UNIT")</f>
        <v>UNIT</v>
      </c>
      <c r="H5" s="29">
        <f>IFERROR(__xludf.DUMMYFUNCTION("""COMPUTED_VALUE"""),46227.0)</f>
        <v>46227</v>
      </c>
      <c r="I5" s="24" t="str">
        <f>IFERROR(__xludf.DUMMYFUNCTION("""COMPUTED_VALUE"""),"A")</f>
        <v>A</v>
      </c>
      <c r="J5" s="30"/>
      <c r="K5" s="27"/>
      <c r="L5" s="2" t="str">
        <f>IFERROR(__xludf.DUMMYFUNCTION("""COMPUTED_VALUE"""),"Dispatched")</f>
        <v>Dispatched</v>
      </c>
      <c r="M5" s="27" t="str">
        <f>IFERROR(__xludf.DUMMYFUNCTION("""COMPUTED_VALUE"""),"jose@ox-glass.com")</f>
        <v>jose@ox-glass.com</v>
      </c>
      <c r="N5" s="27"/>
      <c r="O5" s="27" t="str">
        <f>IFERROR(__xludf.DUMMYFUNCTION("""COMPUTED_VALUE"""),"WINDOW|||MM 104(3060 REORDER)")</f>
        <v>WINDOW|||MM 104(3060 REORDER)</v>
      </c>
      <c r="P5" s="27"/>
      <c r="Q5" s="27" t="str">
        <f>IFERROR(__xludf.DUMMYFUNCTION("""COMPUTED_VALUE"""),"jose@ox-glass.com")</f>
        <v>jose@ox-glass.com</v>
      </c>
      <c r="R5" s="27" t="str">
        <f>IFERROR(__xludf.DUMMYFUNCTION("""COMPUTED_VALUE"""),"SR MM 104(3060 REORDER)")</f>
        <v>SR MM 104(3060 REORDER)</v>
      </c>
      <c r="S5" s="27" t="str">
        <f>IFERROR(__xludf.DUMMYFUNCTION("""COMPUTED_VALUE"""),"EXIT")</f>
        <v>EXIT</v>
      </c>
    </row>
    <row r="6" ht="21.75" customHeight="1">
      <c r="A6" s="23">
        <f>IFERROR(__xludf.DUMMYFUNCTION("""COMPUTED_VALUE"""),46231.53585832176)</f>
        <v>46231.53586</v>
      </c>
      <c r="B6" s="24" t="str">
        <f>IFERROR(__xludf.DUMMYFUNCTION("""COMPUTED_VALUE"""),"WINDOW")</f>
        <v>WINDOW</v>
      </c>
      <c r="C6" s="25" t="str">
        <f>IFERROR(__xludf.DUMMYFUNCTION("""COMPUTED_VALUE"""),"MM 104(3060 - REORDER)")</f>
        <v>MM 104(3060 - REORDER)</v>
      </c>
      <c r="D6" s="26" t="str">
        <f>IFERROR(__xludf.DUMMYFUNCTION("""COMPUTED_VALUE"""),"SR")</f>
        <v>SR</v>
      </c>
      <c r="E6" s="27" t="str">
        <f>IFERROR(__xludf.DUMMYFUNCTION("""COMPUTED_VALUE"""),"07-1239")</f>
        <v>07-1239</v>
      </c>
      <c r="F6" s="28">
        <f>IFERROR(__xludf.DUMMYFUNCTION("""COMPUTED_VALUE"""),2.0)</f>
        <v>2</v>
      </c>
      <c r="G6" s="27" t="str">
        <f>IFERROR(__xludf.DUMMYFUNCTION("""COMPUTED_VALUE"""),"UNIT")</f>
        <v>UNIT</v>
      </c>
      <c r="H6" s="29">
        <f>IFERROR(__xludf.DUMMYFUNCTION("""COMPUTED_VALUE"""),46226.0)</f>
        <v>46226</v>
      </c>
      <c r="I6" s="24"/>
      <c r="J6" s="30" t="str">
        <f>IFERROR(__xludf.DUMMYFUNCTION("""COMPUTED_VALUE"""),"AMSCO")</f>
        <v>AMSCO</v>
      </c>
      <c r="K6" s="27"/>
      <c r="L6" s="2" t="str">
        <f>IFERROR(__xludf.DUMMYFUNCTION("""COMPUTED_VALUE"""),"In Stock")</f>
        <v>In Stock</v>
      </c>
      <c r="M6" s="27" t="str">
        <f>IFERROR(__xludf.DUMMYFUNCTION("""COMPUTED_VALUE"""),"JOSE")</f>
        <v>JOSE</v>
      </c>
      <c r="N6" s="27" t="str">
        <f>IFERROR(__xludf.DUMMYFUNCTION("""COMPUTED_VALUE"""),"SR MM 104(3060 REORDER)")</f>
        <v>SR MM 104(3060 REORDER)</v>
      </c>
      <c r="O6" s="27" t="str">
        <f>IFERROR(__xludf.DUMMYFUNCTION("""COMPUTED_VALUE"""),"WINDOW|||MM 104(3060 REORDER)")</f>
        <v>WINDOW|||MM 104(3060 REORDER)</v>
      </c>
      <c r="P6" s="27"/>
      <c r="Q6" s="27" t="str">
        <f>IFERROR(__xludf.DUMMYFUNCTION("""COMPUTED_VALUE"""),"jose@ox-glass.com")</f>
        <v>jose@ox-glass.com</v>
      </c>
      <c r="R6" s="27" t="str">
        <f>IFERROR(__xludf.DUMMYFUNCTION("""COMPUTED_VALUE"""),"A")</f>
        <v>A</v>
      </c>
      <c r="S6" s="27" t="str">
        <f>IFERROR(__xludf.DUMMYFUNCTION("""COMPUTED_VALUE"""),"ENTRY")</f>
        <v>ENTRY</v>
      </c>
    </row>
    <row r="7" ht="21.75" customHeight="1">
      <c r="A7" s="23">
        <f>IFERROR(__xludf.DUMMYFUNCTION("""COMPUTED_VALUE"""),46231.53151835648)</f>
        <v>46231.53152</v>
      </c>
      <c r="B7" s="24" t="str">
        <f>IFERROR(__xludf.DUMMYFUNCTION("""COMPUTED_VALUE"""),"WINDOW")</f>
        <v>WINDOW</v>
      </c>
      <c r="C7" s="25" t="str">
        <f>IFERROR(__xludf.DUMMYFUNCTION("""COMPUTED_VALUE"""),"TIMP VALLEY CONTRUCTION")</f>
        <v>TIMP VALLEY CONTRUCTION</v>
      </c>
      <c r="D7" s="26"/>
      <c r="E7" s="27" t="str">
        <f>IFERROR(__xludf.DUMMYFUNCTION("""COMPUTED_VALUE"""),"7444")</f>
        <v>7444</v>
      </c>
      <c r="F7" s="28">
        <f>IFERROR(__xludf.DUMMYFUNCTION("""COMPUTED_VALUE"""),2.0)</f>
        <v>2</v>
      </c>
      <c r="G7" s="27" t="str">
        <f>IFERROR(__xludf.DUMMYFUNCTION("""COMPUTED_VALUE"""),"UNIT")</f>
        <v>UNIT</v>
      </c>
      <c r="H7" s="29">
        <f>IFERROR(__xludf.DUMMYFUNCTION("""COMPUTED_VALUE"""),46230.0)</f>
        <v>46230</v>
      </c>
      <c r="I7" s="24"/>
      <c r="J7" s="30" t="str">
        <f>IFERROR(__xludf.DUMMYFUNCTION("""COMPUTED_VALUE"""),"ALSIDE")</f>
        <v>ALSIDE</v>
      </c>
      <c r="K7" s="27"/>
      <c r="L7" s="2" t="str">
        <f>IFERROR(__xludf.DUMMYFUNCTION("""COMPUTED_VALUE"""),"In Stock")</f>
        <v>In Stock</v>
      </c>
      <c r="M7" s="27" t="str">
        <f>IFERROR(__xludf.DUMMYFUNCTION("""COMPUTED_VALUE"""),"JOSE")</f>
        <v>JOSE</v>
      </c>
      <c r="N7" s="27" t="str">
        <f>IFERROR(__xludf.DUMMYFUNCTION("""COMPUTED_VALUE"""),"TIMP VALLEY CONTRUCTION")</f>
        <v>TIMP VALLEY CONTRUCTION</v>
      </c>
      <c r="O7" s="27" t="str">
        <f>IFERROR(__xludf.DUMMYFUNCTION("""COMPUTED_VALUE"""),"WINDOW|||TIMP VALLEY CONTRUCTION")</f>
        <v>WINDOW|||TIMP VALLEY CONTRUCTION</v>
      </c>
      <c r="P7" s="27"/>
      <c r="Q7" s="27" t="str">
        <f>IFERROR(__xludf.DUMMYFUNCTION("""COMPUTED_VALUE"""),"jose@ox-glass.com")</f>
        <v>jose@ox-glass.com</v>
      </c>
      <c r="R7" s="27" t="str">
        <f>IFERROR(__xludf.DUMMYFUNCTION("""COMPUTED_VALUE"""),"A")</f>
        <v>A</v>
      </c>
      <c r="S7" s="27" t="str">
        <f>IFERROR(__xludf.DUMMYFUNCTION("""COMPUTED_VALUE"""),"ENTRY")</f>
        <v>ENTRY</v>
      </c>
    </row>
    <row r="8" ht="21.75" customHeight="1">
      <c r="A8" s="23">
        <f>IFERROR(__xludf.DUMMYFUNCTION("""COMPUTED_VALUE"""),46226.58757560185)</f>
        <v>46226.58758</v>
      </c>
      <c r="B8" s="24" t="str">
        <f>IFERROR(__xludf.DUMMYFUNCTION("""COMPUTED_VALUE"""),"WINDOW")</f>
        <v>WINDOW</v>
      </c>
      <c r="C8" s="25" t="str">
        <f>IFERROR(__xludf.DUMMYFUNCTION("""COMPUTED_VALUE"""),"FAIRFIELD INN &amp; SUITES")</f>
        <v>FAIRFIELD INN &amp; SUITES</v>
      </c>
      <c r="D8" s="26"/>
      <c r="E8" s="27"/>
      <c r="F8" s="28">
        <f>IFERROR(__xludf.DUMMYFUNCTION("""COMPUTED_VALUE"""),3.0)</f>
        <v>3</v>
      </c>
      <c r="G8" s="27" t="str">
        <f>IFERROR(__xludf.DUMMYFUNCTION("""COMPUTED_VALUE"""),"UNIT")</f>
        <v>UNIT</v>
      </c>
      <c r="H8" s="29">
        <f>IFERROR(__xludf.DUMMYFUNCTION("""COMPUTED_VALUE"""),46226.0)</f>
        <v>46226</v>
      </c>
      <c r="I8" s="24" t="str">
        <f>IFERROR(__xludf.DUMMYFUNCTION("""COMPUTED_VALUE"""),"WINDOW WAREHOUSE")</f>
        <v>WINDOW WAREHOUSE</v>
      </c>
      <c r="J8" s="30"/>
      <c r="K8" s="27"/>
      <c r="L8" s="2" t="str">
        <f>IFERROR(__xludf.DUMMYFUNCTION("""COMPUTED_VALUE"""),"In Stock")</f>
        <v>In Stock</v>
      </c>
      <c r="M8" s="27" t="str">
        <f>IFERROR(__xludf.DUMMYFUNCTION("""COMPUTED_VALUE"""),"JOSE")</f>
        <v>JOSE</v>
      </c>
      <c r="N8" s="27" t="str">
        <f>IFERROR(__xludf.DUMMYFUNCTION("""COMPUTED_VALUE"""),"GENERIC")</f>
        <v>GENERIC</v>
      </c>
      <c r="O8" s="27" t="str">
        <f>IFERROR(__xludf.DUMMYFUNCTION("""COMPUTED_VALUE"""),"WINDOW|||FAIRFIELD INN &amp; SUITES")</f>
        <v>WINDOW|||FAIRFIELD INN &amp; SUITES</v>
      </c>
      <c r="P8" s="27"/>
      <c r="Q8" s="27" t="str">
        <f>IFERROR(__xludf.DUMMYFUNCTION("""COMPUTED_VALUE"""),"jose@ox-glass.com")</f>
        <v>jose@ox-glass.com</v>
      </c>
      <c r="R8" s="27" t="str">
        <f>IFERROR(__xludf.DUMMYFUNCTION("""COMPUTED_VALUE"""),"C2A")</f>
        <v>C2A</v>
      </c>
      <c r="S8" s="27" t="str">
        <f>IFERROR(__xludf.DUMMYFUNCTION("""COMPUTED_VALUE"""),"TRANSFER")</f>
        <v>TRANSFER</v>
      </c>
    </row>
    <row r="9" ht="21.75" customHeight="1">
      <c r="A9" s="23">
        <f>IFERROR(__xludf.DUMMYFUNCTION("""COMPUTED_VALUE"""),46226.51197115741)</f>
        <v>46226.51197</v>
      </c>
      <c r="B9" s="24" t="str">
        <f>IFERROR(__xludf.DUMMYFUNCTION("""COMPUTED_VALUE"""),"WINDOW")</f>
        <v>WINDOW</v>
      </c>
      <c r="C9" s="25" t="str">
        <f>IFERROR(__xludf.DUMMYFUNCTION("""COMPUTED_VALUE"""),"BRYLEE 7 (REORDER-SGD)")</f>
        <v>BRYLEE 7 (REORDER-SGD)</v>
      </c>
      <c r="D9" s="26"/>
      <c r="E9" s="27"/>
      <c r="F9" s="28">
        <f>IFERROR(__xludf.DUMMYFUNCTION("""COMPUTED_VALUE"""),7.0)</f>
        <v>7</v>
      </c>
      <c r="G9" s="27" t="str">
        <f>IFERROR(__xludf.DUMMYFUNCTION("""COMPUTED_VALUE"""),"UNIT")</f>
        <v>UNIT</v>
      </c>
      <c r="H9" s="29">
        <f>IFERROR(__xludf.DUMMYFUNCTION("""COMPUTED_VALUE"""),46226.0)</f>
        <v>46226</v>
      </c>
      <c r="I9" s="24" t="str">
        <f>IFERROR(__xludf.DUMMYFUNCTION("""COMPUTED_VALUE"""),"A")</f>
        <v>A</v>
      </c>
      <c r="J9" s="30"/>
      <c r="K9" s="27"/>
      <c r="L9" s="2" t="str">
        <f>IFERROR(__xludf.DUMMYFUNCTION("""COMPUTED_VALUE"""),"Dispatched")</f>
        <v>Dispatched</v>
      </c>
      <c r="M9" s="27" t="str">
        <f>IFERROR(__xludf.DUMMYFUNCTION("""COMPUTED_VALUE"""),"DANE AND TEAM")</f>
        <v>DANE AND TEAM</v>
      </c>
      <c r="N9" s="27"/>
      <c r="O9" s="27" t="str">
        <f>IFERROR(__xludf.DUMMYFUNCTION("""COMPUTED_VALUE"""),"WINDOW|||BRYLEE 7 (REORDER SGD)")</f>
        <v>WINDOW|||BRYLEE 7 (REORDER SGD)</v>
      </c>
      <c r="P9" s="27"/>
      <c r="Q9" s="27" t="str">
        <f>IFERROR(__xludf.DUMMYFUNCTION("""COMPUTED_VALUE"""),"jose@ox-glass.com")</f>
        <v>jose@ox-glass.com</v>
      </c>
      <c r="R9" s="27" t="str">
        <f>IFERROR(__xludf.DUMMYFUNCTION("""COMPUTED_VALUE"""),"ELE BRYLEE 7 (A C E B C B D)")</f>
        <v>ELE BRYLEE 7 (A C E B C B D)</v>
      </c>
      <c r="S9" s="27" t="str">
        <f>IFERROR(__xludf.DUMMYFUNCTION("""COMPUTED_VALUE"""),"EXIT")</f>
        <v>EXIT</v>
      </c>
    </row>
    <row r="10" ht="21.75" customHeight="1">
      <c r="A10" s="23">
        <f>IFERROR(__xludf.DUMMYFUNCTION("""COMPUTED_VALUE"""),46226.51197115741)</f>
        <v>46226.51197</v>
      </c>
      <c r="B10" s="24" t="str">
        <f>IFERROR(__xludf.DUMMYFUNCTION("""COMPUTED_VALUE"""),"WINDOW")</f>
        <v>WINDOW</v>
      </c>
      <c r="C10" s="25" t="str">
        <f>IFERROR(__xludf.DUMMYFUNCTION("""COMPUTED_VALUE"""),"TRENT B JAMES ANDERSON (FX-REORDERE)")</f>
        <v>TRENT B JAMES ANDERSON (FX-REORDERE)</v>
      </c>
      <c r="D10" s="26"/>
      <c r="E10" s="27"/>
      <c r="F10" s="28">
        <f>IFERROR(__xludf.DUMMYFUNCTION("""COMPUTED_VALUE"""),2.0)</f>
        <v>2</v>
      </c>
      <c r="G10" s="27" t="str">
        <f>IFERROR(__xludf.DUMMYFUNCTION("""COMPUTED_VALUE"""),"UNIT")</f>
        <v>UNIT</v>
      </c>
      <c r="H10" s="29">
        <f>IFERROR(__xludf.DUMMYFUNCTION("""COMPUTED_VALUE"""),46226.0)</f>
        <v>46226</v>
      </c>
      <c r="I10" s="24" t="str">
        <f>IFERROR(__xludf.DUMMYFUNCTION("""COMPUTED_VALUE"""),"C6B")</f>
        <v>C6B</v>
      </c>
      <c r="J10" s="30"/>
      <c r="K10" s="27"/>
      <c r="L10" s="2" t="str">
        <f>IFERROR(__xludf.DUMMYFUNCTION("""COMPUTED_VALUE"""),"Dispatched")</f>
        <v>Dispatched</v>
      </c>
      <c r="M10" s="27" t="str">
        <f>IFERROR(__xludf.DUMMYFUNCTION("""COMPUTED_VALUE"""),"DANE AND TEAM")</f>
        <v>DANE AND TEAM</v>
      </c>
      <c r="N10" s="27"/>
      <c r="O10" s="27" t="str">
        <f>IFERROR(__xludf.DUMMYFUNCTION("""COMPUTED_VALUE"""),"WINDOW|||TRENT B JAMES ANDERSON (FX REORDERE)")</f>
        <v>WINDOW|||TRENT B JAMES ANDERSON (FX REORDERE)</v>
      </c>
      <c r="P10" s="27"/>
      <c r="Q10" s="27" t="str">
        <f>IFERROR(__xludf.DUMMYFUNCTION("""COMPUTED_VALUE"""),"jose@ox-glass.com")</f>
        <v>jose@ox-glass.com</v>
      </c>
      <c r="R10" s="27" t="str">
        <f>IFERROR(__xludf.DUMMYFUNCTION("""COMPUTED_VALUE"""),"JAMES ANDERSON")</f>
        <v>JAMES ANDERSON</v>
      </c>
      <c r="S10" s="27" t="str">
        <f>IFERROR(__xludf.DUMMYFUNCTION("""COMPUTED_VALUE"""),"EXIT")</f>
        <v>EXIT</v>
      </c>
    </row>
    <row r="11" ht="21.75" customHeight="1">
      <c r="A11" s="23">
        <f>IFERROR(__xludf.DUMMYFUNCTION("""COMPUTED_VALUE"""),46226.51058888889)</f>
        <v>46226.51059</v>
      </c>
      <c r="B11" s="24" t="str">
        <f>IFERROR(__xludf.DUMMYFUNCTION("""COMPUTED_VALUE"""),"WINDOW")</f>
        <v>WINDOW</v>
      </c>
      <c r="C11" s="25" t="str">
        <f>IFERROR(__xludf.DUMMYFUNCTION("""COMPUTED_VALUE"""),"TRENT B JAMES ANDERSON (FX-REORDERE)")</f>
        <v>TRENT B JAMES ANDERSON (FX-REORDERE)</v>
      </c>
      <c r="D11" s="26"/>
      <c r="E11" s="27" t="str">
        <f>IFERROR(__xludf.DUMMYFUNCTION("""COMPUTED_VALUE"""),"07-1903")</f>
        <v>07-1903</v>
      </c>
      <c r="F11" s="28">
        <f>IFERROR(__xludf.DUMMYFUNCTION("""COMPUTED_VALUE"""),2.0)</f>
        <v>2</v>
      </c>
      <c r="G11" s="27" t="str">
        <f>IFERROR(__xludf.DUMMYFUNCTION("""COMPUTED_VALUE"""),"UNIT")</f>
        <v>UNIT</v>
      </c>
      <c r="H11" s="29">
        <f>IFERROR(__xludf.DUMMYFUNCTION("""COMPUTED_VALUE"""),46226.0)</f>
        <v>46226</v>
      </c>
      <c r="I11" s="24"/>
      <c r="J11" s="30" t="str">
        <f>IFERROR(__xludf.DUMMYFUNCTION("""COMPUTED_VALUE"""),"AMSCO")</f>
        <v>AMSCO</v>
      </c>
      <c r="K11" s="27" t="str">
        <f>IFERROR(__xludf.DUMMYFUNCTION("""COMPUTED_VALUE"""),"2 WINDOWS, BLACK ON WHITE.")</f>
        <v>2 WINDOWS, BLACK ON WHITE.</v>
      </c>
      <c r="L11" s="2" t="str">
        <f>IFERROR(__xludf.DUMMYFUNCTION("""COMPUTED_VALUE"""),"In Stock")</f>
        <v>In Stock</v>
      </c>
      <c r="M11" s="27" t="str">
        <f>IFERROR(__xludf.DUMMYFUNCTION("""COMPUTED_VALUE"""),"JOSE")</f>
        <v>JOSE</v>
      </c>
      <c r="N11" s="27" t="str">
        <f>IFERROR(__xludf.DUMMYFUNCTION("""COMPUTED_VALUE"""),"JAMES ANDERSON")</f>
        <v>JAMES ANDERSON</v>
      </c>
      <c r="O11" s="27" t="str">
        <f>IFERROR(__xludf.DUMMYFUNCTION("""COMPUTED_VALUE"""),"WINDOW|||TRENT B JAMES ANDERSON (FX REORDERE)")</f>
        <v>WINDOW|||TRENT B JAMES ANDERSON (FX REORDERE)</v>
      </c>
      <c r="P11" s="27"/>
      <c r="Q11" s="27" t="str">
        <f>IFERROR(__xludf.DUMMYFUNCTION("""COMPUTED_VALUE"""),"jose@ox-glass.com")</f>
        <v>jose@ox-glass.com</v>
      </c>
      <c r="R11" s="27" t="str">
        <f>IFERROR(__xludf.DUMMYFUNCTION("""COMPUTED_VALUE"""),"C6B")</f>
        <v>C6B</v>
      </c>
      <c r="S11" s="27" t="str">
        <f>IFERROR(__xludf.DUMMYFUNCTION("""COMPUTED_VALUE"""),"ENTRY")</f>
        <v>ENTRY</v>
      </c>
    </row>
    <row r="12" ht="21.75" customHeight="1">
      <c r="A12" s="23">
        <f>IFERROR(__xludf.DUMMYFUNCTION("""COMPUTED_VALUE"""),46226.50193828704)</f>
        <v>46226.50194</v>
      </c>
      <c r="B12" s="24" t="str">
        <f>IFERROR(__xludf.DUMMYFUNCTION("""COMPUTED_VALUE"""),"WINDOW")</f>
        <v>WINDOW</v>
      </c>
      <c r="C12" s="25" t="str">
        <f>IFERROR(__xludf.DUMMYFUNCTION("""COMPUTED_VALUE"""),"BRYLEE 7 (REORDER-SGD)")</f>
        <v>BRYLEE 7 (REORDER-SGD)</v>
      </c>
      <c r="D12" s="26" t="str">
        <f>IFERROR(__xludf.DUMMYFUNCTION("""COMPUTED_VALUE"""),"ELE")</f>
        <v>ELE</v>
      </c>
      <c r="E12" s="27" t="str">
        <f>IFERROR(__xludf.DUMMYFUNCTION("""COMPUTED_VALUE"""),"06-6263")</f>
        <v>06-6263</v>
      </c>
      <c r="F12" s="28">
        <f>IFERROR(__xludf.DUMMYFUNCTION("""COMPUTED_VALUE"""),7.0)</f>
        <v>7</v>
      </c>
      <c r="G12" s="27" t="str">
        <f>IFERROR(__xludf.DUMMYFUNCTION("""COMPUTED_VALUE"""),"UNIT")</f>
        <v>UNIT</v>
      </c>
      <c r="H12" s="29">
        <f>IFERROR(__xludf.DUMMYFUNCTION("""COMPUTED_VALUE"""),46226.0)</f>
        <v>46226</v>
      </c>
      <c r="I12" s="24"/>
      <c r="J12" s="30" t="str">
        <f>IFERROR(__xludf.DUMMYFUNCTION("""COMPUTED_VALUE"""),"AMSCO")</f>
        <v>AMSCO</v>
      </c>
      <c r="K12" s="27" t="str">
        <f>IFERROR(__xludf.DUMMYFUNCTION("""COMPUTED_VALUE"""),"7 DOOR FRAMES AND SASHES, IN FRONT OF RACK ""A""")</f>
        <v>7 DOOR FRAMES AND SASHES, IN FRONT OF RACK "A"</v>
      </c>
      <c r="L12" s="2" t="str">
        <f>IFERROR(__xludf.DUMMYFUNCTION("""COMPUTED_VALUE"""),"In Stock")</f>
        <v>In Stock</v>
      </c>
      <c r="M12" s="27" t="str">
        <f>IFERROR(__xludf.DUMMYFUNCTION("""COMPUTED_VALUE"""),"JOSE")</f>
        <v>JOSE</v>
      </c>
      <c r="N12" s="27" t="str">
        <f>IFERROR(__xludf.DUMMYFUNCTION("""COMPUTED_VALUE"""),"ELE BRYLEE 7 (A C E B C B D)")</f>
        <v>ELE BRYLEE 7 (A C E B C B D)</v>
      </c>
      <c r="O12" s="27" t="str">
        <f>IFERROR(__xludf.DUMMYFUNCTION("""COMPUTED_VALUE"""),"WINDOW|||BRYLEE 7 (REORDER SGD)")</f>
        <v>WINDOW|||BRYLEE 7 (REORDER SGD)</v>
      </c>
      <c r="P12" s="27"/>
      <c r="Q12" s="27" t="str">
        <f>IFERROR(__xludf.DUMMYFUNCTION("""COMPUTED_VALUE"""),"jose@ox-glass.com")</f>
        <v>jose@ox-glass.com</v>
      </c>
      <c r="R12" s="27" t="str">
        <f>IFERROR(__xludf.DUMMYFUNCTION("""COMPUTED_VALUE"""),"A")</f>
        <v>A</v>
      </c>
      <c r="S12" s="27" t="str">
        <f>IFERROR(__xludf.DUMMYFUNCTION("""COMPUTED_VALUE"""),"ENTRY")</f>
        <v>ENTRY</v>
      </c>
    </row>
    <row r="13" ht="21.75" customHeight="1">
      <c r="A13" s="23">
        <f>IFERROR(__xludf.DUMMYFUNCTION("""COMPUTED_VALUE"""),46226.495948518525)</f>
        <v>46226.49595</v>
      </c>
      <c r="B13" s="24" t="str">
        <f>IFERROR(__xludf.DUMMYFUNCTION("""COMPUTED_VALUE"""),"WINDOW")</f>
        <v>WINDOW</v>
      </c>
      <c r="C13" s="25" t="str">
        <f>IFERROR(__xludf.DUMMYFUNCTION("""COMPUTED_VALUE"""),"PROVO REMODEL")</f>
        <v>PROVO REMODEL</v>
      </c>
      <c r="D13" s="26" t="str">
        <f>IFERROR(__xludf.DUMMYFUNCTION("""COMPUTED_VALUE"""),"HH")</f>
        <v>HH</v>
      </c>
      <c r="E13" s="27" t="str">
        <f>IFERROR(__xludf.DUMMYFUNCTION("""COMPUTED_VALUE"""),"06-7016")</f>
        <v>06-7016</v>
      </c>
      <c r="F13" s="28">
        <f>IFERROR(__xludf.DUMMYFUNCTION("""COMPUTED_VALUE"""),1.0)</f>
        <v>1</v>
      </c>
      <c r="G13" s="27" t="str">
        <f>IFERROR(__xludf.DUMMYFUNCTION("""COMPUTED_VALUE"""),"UNIT")</f>
        <v>UNIT</v>
      </c>
      <c r="H13" s="29">
        <f>IFERROR(__xludf.DUMMYFUNCTION("""COMPUTED_VALUE"""),46226.0)</f>
        <v>46226</v>
      </c>
      <c r="I13" s="24"/>
      <c r="J13" s="30" t="str">
        <f>IFERROR(__xludf.DUMMYFUNCTION("""COMPUTED_VALUE"""),"AMSCO")</f>
        <v>AMSCO</v>
      </c>
      <c r="K13" s="27" t="str">
        <f>IFERROR(__xludf.DUMMYFUNCTION("""COMPUTED_VALUE"""),"THE WINDOW WAS BROKEN AND RETURNED TO THE SUPPLIER LAST WEEK, NOW IT'S WITH THE REST OF PROVO WINDOWS.")</f>
        <v>THE WINDOW WAS BROKEN AND RETURNED TO THE SUPPLIER LAST WEEK, NOW IT'S WITH THE REST OF PROVO WINDOWS.</v>
      </c>
      <c r="L13" s="2" t="str">
        <f>IFERROR(__xludf.DUMMYFUNCTION("""COMPUTED_VALUE"""),"In Stock")</f>
        <v>In Stock</v>
      </c>
      <c r="M13" s="27" t="str">
        <f>IFERROR(__xludf.DUMMYFUNCTION("""COMPUTED_VALUE"""),"JOSE")</f>
        <v>JOSE</v>
      </c>
      <c r="N13" s="27" t="str">
        <f>IFERROR(__xludf.DUMMYFUNCTION("""COMPUTED_VALUE"""),"HH PROVO REMODEL")</f>
        <v>HH PROVO REMODEL</v>
      </c>
      <c r="O13" s="27" t="str">
        <f>IFERROR(__xludf.DUMMYFUNCTION("""COMPUTED_VALUE"""),"WINDOW|||PROVO REMODEL")</f>
        <v>WINDOW|||PROVO REMODEL</v>
      </c>
      <c r="P13" s="27"/>
      <c r="Q13" s="27" t="str">
        <f>IFERROR(__xludf.DUMMYFUNCTION("""COMPUTED_VALUE"""),"jose@ox-glass.com")</f>
        <v>jose@ox-glass.com</v>
      </c>
      <c r="R13" s="27" t="str">
        <f>IFERROR(__xludf.DUMMYFUNCTION("""COMPUTED_VALUE"""),"B4A")</f>
        <v>B4A</v>
      </c>
      <c r="S13" s="27" t="str">
        <f>IFERROR(__xludf.DUMMYFUNCTION("""COMPUTED_VALUE"""),"ENTRY")</f>
        <v>ENTRY</v>
      </c>
    </row>
    <row r="14" ht="21.75" customHeight="1">
      <c r="A14" s="23">
        <f>IFERROR(__xludf.DUMMYFUNCTION("""COMPUTED_VALUE"""),46226.493271527776)</f>
        <v>46226.49327</v>
      </c>
      <c r="B14" s="24" t="str">
        <f>IFERROR(__xludf.DUMMYFUNCTION("""COMPUTED_VALUE"""),"WINDOW")</f>
        <v>WINDOW</v>
      </c>
      <c r="C14" s="25" t="str">
        <f>IFERROR(__xludf.DUMMYFUNCTION("""COMPUTED_VALUE"""),"FREEMAN #2 REORDER")</f>
        <v>FREEMAN #2 REORDER</v>
      </c>
      <c r="D14" s="26"/>
      <c r="E14" s="27"/>
      <c r="F14" s="28">
        <f>IFERROR(__xludf.DUMMYFUNCTION("""COMPUTED_VALUE"""),1.0)</f>
        <v>1</v>
      </c>
      <c r="G14" s="27" t="str">
        <f>IFERROR(__xludf.DUMMYFUNCTION("""COMPUTED_VALUE"""),"UNIT")</f>
        <v>UNIT</v>
      </c>
      <c r="H14" s="29">
        <f>IFERROR(__xludf.DUMMYFUNCTION("""COMPUTED_VALUE"""),46226.0)</f>
        <v>46226</v>
      </c>
      <c r="I14" s="24"/>
      <c r="J14" s="30" t="str">
        <f>IFERROR(__xludf.DUMMYFUNCTION("""COMPUTED_VALUE"""),"CASCADE")</f>
        <v>CASCADE</v>
      </c>
      <c r="K14" s="27" t="str">
        <f>IFERROR(__xludf.DUMMYFUNCTION("""COMPUTED_VALUE"""),"ONLY ONE WINDOW")</f>
        <v>ONLY ONE WINDOW</v>
      </c>
      <c r="L14" s="2" t="str">
        <f>IFERROR(__xludf.DUMMYFUNCTION("""COMPUTED_VALUE"""),"In Stock")</f>
        <v>In Stock</v>
      </c>
      <c r="M14" s="27" t="str">
        <f>IFERROR(__xludf.DUMMYFUNCTION("""COMPUTED_VALUE"""),"JOSE")</f>
        <v>JOSE</v>
      </c>
      <c r="N14" s="27" t="str">
        <f>IFERROR(__xludf.DUMMYFUNCTION("""COMPUTED_VALUE"""),"FREEMAN #2 REORDER")</f>
        <v>FREEMAN #2 REORDER</v>
      </c>
      <c r="O14" s="27" t="str">
        <f>IFERROR(__xludf.DUMMYFUNCTION("""COMPUTED_VALUE"""),"WINDOW|||FREEMAN #2 REORDER")</f>
        <v>WINDOW|||FREEMAN #2 REORDER</v>
      </c>
      <c r="P14" s="27"/>
      <c r="Q14" s="27" t="str">
        <f>IFERROR(__xludf.DUMMYFUNCTION("""COMPUTED_VALUE"""),"jose@ox-glass.com")</f>
        <v>jose@ox-glass.com</v>
      </c>
      <c r="R14" s="27" t="str">
        <f>IFERROR(__xludf.DUMMYFUNCTION("""COMPUTED_VALUE"""),"C6A")</f>
        <v>C6A</v>
      </c>
      <c r="S14" s="27" t="str">
        <f>IFERROR(__xludf.DUMMYFUNCTION("""COMPUTED_VALUE"""),"ENTRY")</f>
        <v>ENTRY</v>
      </c>
    </row>
    <row r="15" ht="21.75" customHeight="1">
      <c r="A15" s="23">
        <f>IFERROR(__xludf.DUMMYFUNCTION("""COMPUTED_VALUE"""),46226.490724166666)</f>
        <v>46226.49072</v>
      </c>
      <c r="B15" s="24" t="str">
        <f>IFERROR(__xludf.DUMMYFUNCTION("""COMPUTED_VALUE"""),"WINDOW")</f>
        <v>WINDOW</v>
      </c>
      <c r="C15" s="25" t="str">
        <f>IFERROR(__xludf.DUMMYFUNCTION("""COMPUTED_VALUE"""),"3500 RESIDENCES")</f>
        <v>3500 RESIDENCES</v>
      </c>
      <c r="D15" s="26" t="str">
        <f>IFERROR(__xludf.DUMMYFUNCTION("""COMPUTED_VALUE"""),"GHH")</f>
        <v>GHH</v>
      </c>
      <c r="E15" s="27"/>
      <c r="F15" s="28">
        <f>IFERROR(__xludf.DUMMYFUNCTION("""COMPUTED_VALUE"""),1.0)</f>
        <v>1</v>
      </c>
      <c r="G15" s="27" t="str">
        <f>IFERROR(__xludf.DUMMYFUNCTION("""COMPUTED_VALUE"""),"UNIT")</f>
        <v>UNIT</v>
      </c>
      <c r="H15" s="29">
        <f>IFERROR(__xludf.DUMMYFUNCTION("""COMPUTED_VALUE"""),46226.0)</f>
        <v>46226</v>
      </c>
      <c r="I15" s="24"/>
      <c r="J15" s="30" t="str">
        <f>IFERROR(__xludf.DUMMYFUNCTION("""COMPUTED_VALUE"""),"WINDSOR")</f>
        <v>WINDSOR</v>
      </c>
      <c r="K15" s="27" t="str">
        <f>IFERROR(__xludf.DUMMYFUNCTION("""COMPUTED_VALUE"""),"MISSING SASH FROM 3500 RESIDENCES")</f>
        <v>MISSING SASH FROM 3500 RESIDENCES</v>
      </c>
      <c r="L15" s="2" t="str">
        <f>IFERROR(__xludf.DUMMYFUNCTION("""COMPUTED_VALUE"""),"In Stock")</f>
        <v>In Stock</v>
      </c>
      <c r="M15" s="27" t="str">
        <f>IFERROR(__xludf.DUMMYFUNCTION("""COMPUTED_VALUE"""),"JOSE")</f>
        <v>JOSE</v>
      </c>
      <c r="N15" s="27" t="str">
        <f>IFERROR(__xludf.DUMMYFUNCTION("""COMPUTED_VALUE"""),"GHH3500 RESIDENCES")</f>
        <v>GHH3500 RESIDENCES</v>
      </c>
      <c r="O15" s="27" t="str">
        <f>IFERROR(__xludf.DUMMYFUNCTION("""COMPUTED_VALUE"""),"WINDOW|||3500 RESIDENCES")</f>
        <v>WINDOW|||3500 RESIDENCES</v>
      </c>
      <c r="P15" s="27"/>
      <c r="Q15" s="27" t="str">
        <f>IFERROR(__xludf.DUMMYFUNCTION("""COMPUTED_VALUE"""),"jose@ox-glass.com")</f>
        <v>jose@ox-glass.com</v>
      </c>
      <c r="R15" s="27" t="str">
        <f>IFERROR(__xludf.DUMMYFUNCTION("""COMPUTED_VALUE"""),"C6A")</f>
        <v>C6A</v>
      </c>
      <c r="S15" s="27" t="str">
        <f>IFERROR(__xludf.DUMMYFUNCTION("""COMPUTED_VALUE"""),"ENTRY")</f>
        <v>ENTRY</v>
      </c>
    </row>
    <row r="16" ht="21.75" customHeight="1">
      <c r="A16" s="23">
        <f>IFERROR(__xludf.DUMMYFUNCTION("""COMPUTED_VALUE"""),46225.364422673614)</f>
        <v>46225.36442</v>
      </c>
      <c r="B16" s="24" t="str">
        <f>IFERROR(__xludf.DUMMYFUNCTION("""COMPUTED_VALUE"""),"WINDOW")</f>
        <v>WINDOW</v>
      </c>
      <c r="C16" s="25" t="str">
        <f>IFERROR(__xludf.DUMMYFUNCTION("""COMPUTED_VALUE"""),"3500 RESIDENCES")</f>
        <v>3500 RESIDENCES</v>
      </c>
      <c r="D16" s="26"/>
      <c r="E16" s="27"/>
      <c r="F16" s="28">
        <f>IFERROR(__xludf.DUMMYFUNCTION("""COMPUTED_VALUE"""),68.0)</f>
        <v>68</v>
      </c>
      <c r="G16" s="27" t="str">
        <f>IFERROR(__xludf.DUMMYFUNCTION("""COMPUTED_VALUE"""),"UNIT")</f>
        <v>UNIT</v>
      </c>
      <c r="H16" s="29">
        <f>IFERROR(__xludf.DUMMYFUNCTION("""COMPUTED_VALUE"""),46225.0)</f>
        <v>46225</v>
      </c>
      <c r="I16" s="24" t="str">
        <f>IFERROR(__xludf.DUMMYFUNCTION("""COMPUTED_VALUE"""),"C3A")</f>
        <v>C3A</v>
      </c>
      <c r="J16" s="30"/>
      <c r="K16" s="27"/>
      <c r="L16" s="2" t="str">
        <f>IFERROR(__xludf.DUMMYFUNCTION("""COMPUTED_VALUE"""),"Dispatched")</f>
        <v>Dispatched</v>
      </c>
      <c r="M16" s="27" t="str">
        <f>IFERROR(__xludf.DUMMYFUNCTION("""COMPUTED_VALUE"""),"JOSHUA AND TEAM, AND DANE AND TEAM.")</f>
        <v>JOSHUA AND TEAM, AND DANE AND TEAM.</v>
      </c>
      <c r="N16" s="27"/>
      <c r="O16" s="27" t="str">
        <f>IFERROR(__xludf.DUMMYFUNCTION("""COMPUTED_VALUE"""),"WINDOW|||3500 RESIDENCES")</f>
        <v>WINDOW|||3500 RESIDENCES</v>
      </c>
      <c r="P16" s="27"/>
      <c r="Q16" s="27" t="str">
        <f>IFERROR(__xludf.DUMMYFUNCTION("""COMPUTED_VALUE"""),"jose@ox-glass.com")</f>
        <v>jose@ox-glass.com</v>
      </c>
      <c r="R16" s="27" t="str">
        <f>IFERROR(__xludf.DUMMYFUNCTION("""COMPUTED_VALUE"""),"GHH3500 RESIDENCES")</f>
        <v>GHH3500 RESIDENCES</v>
      </c>
      <c r="S16" s="27" t="str">
        <f>IFERROR(__xludf.DUMMYFUNCTION("""COMPUTED_VALUE"""),"EXIT")</f>
        <v>EXIT</v>
      </c>
    </row>
    <row r="17" ht="21.75" customHeight="1">
      <c r="A17" s="23">
        <f>IFERROR(__xludf.DUMMYFUNCTION("""COMPUTED_VALUE"""),46224.423685127316)</f>
        <v>46224.42369</v>
      </c>
      <c r="B17" s="24" t="str">
        <f>IFERROR(__xludf.DUMMYFUNCTION("""COMPUTED_VALUE"""),"WINDOW")</f>
        <v>WINDOW</v>
      </c>
      <c r="C17" s="25" t="str">
        <f>IFERROR(__xludf.DUMMYFUNCTION("""COMPUTED_VALUE"""),"BRYLEE 7 (A, C, E, B, C, B, D)")</f>
        <v>BRYLEE 7 (A, C, E, B, C, B, D)</v>
      </c>
      <c r="D17" s="26" t="str">
        <f>IFERROR(__xludf.DUMMYFUNCTION("""COMPUTED_VALUE"""),"ELE")</f>
        <v>ELE</v>
      </c>
      <c r="E17" s="27" t="str">
        <f>IFERROR(__xludf.DUMMYFUNCTION("""COMPUTED_VALUE"""),"06-6263")</f>
        <v>06-6263</v>
      </c>
      <c r="F17" s="28">
        <f>IFERROR(__xludf.DUMMYFUNCTION("""COMPUTED_VALUE"""),7.0)</f>
        <v>7</v>
      </c>
      <c r="G17" s="27" t="str">
        <f>IFERROR(__xludf.DUMMYFUNCTION("""COMPUTED_VALUE"""),"UNIT")</f>
        <v>UNIT</v>
      </c>
      <c r="H17" s="29">
        <f>IFERROR(__xludf.DUMMYFUNCTION("""COMPUTED_VALUE"""),46220.0)</f>
        <v>46220</v>
      </c>
      <c r="I17" s="24"/>
      <c r="J17" s="30" t="str">
        <f>IFERROR(__xludf.DUMMYFUNCTION("""COMPUTED_VALUE"""),"AMSCO")</f>
        <v>AMSCO</v>
      </c>
      <c r="K17" s="27"/>
      <c r="L17" s="2" t="str">
        <f>IFERROR(__xludf.DUMMYFUNCTION("""COMPUTED_VALUE"""),"In Stock")</f>
        <v>In Stock</v>
      </c>
      <c r="M17" s="27" t="str">
        <f>IFERROR(__xludf.DUMMYFUNCTION("""COMPUTED_VALUE"""),"JOSE")</f>
        <v>JOSE</v>
      </c>
      <c r="N17" s="27" t="str">
        <f>IFERROR(__xludf.DUMMYFUNCTION("""COMPUTED_VALUE"""),"ELE BRYLEE 7 (A C E B C B D)")</f>
        <v>ELE BRYLEE 7 (A C E B C B D)</v>
      </c>
      <c r="O17" s="27" t="str">
        <f>IFERROR(__xludf.DUMMYFUNCTION("""COMPUTED_VALUE"""),"WINDOW|||BRYLEE 7 (A C E B C B D)")</f>
        <v>WINDOW|||BRYLEE 7 (A C E B C B D)</v>
      </c>
      <c r="P17" s="27"/>
      <c r="Q17" s="27" t="str">
        <f>IFERROR(__xludf.DUMMYFUNCTION("""COMPUTED_VALUE"""),"jose@ox-glass.com")</f>
        <v>jose@ox-glass.com</v>
      </c>
      <c r="R17" s="27" t="str">
        <f>IFERROR(__xludf.DUMMYFUNCTION("""COMPUTED_VALUE"""),"P4C")</f>
        <v>P4C</v>
      </c>
      <c r="S17" s="27" t="str">
        <f>IFERROR(__xludf.DUMMYFUNCTION("""COMPUTED_VALUE"""),"ENTRY")</f>
        <v>ENTRY</v>
      </c>
    </row>
    <row r="18" ht="21.75" customHeight="1">
      <c r="A18" s="23">
        <f>IFERROR(__xludf.DUMMYFUNCTION("""COMPUTED_VALUE"""),46224.41550894676)</f>
        <v>46224.41551</v>
      </c>
      <c r="B18" s="24" t="str">
        <f>IFERROR(__xludf.DUMMYFUNCTION("""COMPUTED_VALUE"""),"WINDOW")</f>
        <v>WINDOW</v>
      </c>
      <c r="C18" s="25" t="str">
        <f>IFERROR(__xludf.DUMMYFUNCTION("""COMPUTED_VALUE"""),"FAIRFIELD INN &amp; SUITES")</f>
        <v>FAIRFIELD INN &amp; SUITES</v>
      </c>
      <c r="D18" s="26"/>
      <c r="E18" s="27"/>
      <c r="F18" s="28">
        <f>IFERROR(__xludf.DUMMYFUNCTION("""COMPUTED_VALUE"""),3.0)</f>
        <v>3</v>
      </c>
      <c r="G18" s="27" t="str">
        <f>IFERROR(__xludf.DUMMYFUNCTION("""COMPUTED_VALUE"""),"UNIT")</f>
        <v>UNIT</v>
      </c>
      <c r="H18" s="29">
        <f>IFERROR(__xludf.DUMMYFUNCTION("""COMPUTED_VALUE"""),46224.0)</f>
        <v>46224</v>
      </c>
      <c r="I18" s="24"/>
      <c r="J18" s="30" t="str">
        <f>IFERROR(__xludf.DUMMYFUNCTION("""COMPUTED_VALUE"""),"QUAKER")</f>
        <v>QUAKER</v>
      </c>
      <c r="K18" s="27"/>
      <c r="L18" s="2" t="str">
        <f>IFERROR(__xludf.DUMMYFUNCTION("""COMPUTED_VALUE"""),"In Stock")</f>
        <v>In Stock</v>
      </c>
      <c r="M18" s="27" t="str">
        <f>IFERROR(__xludf.DUMMYFUNCTION("""COMPUTED_VALUE"""),"JOSE")</f>
        <v>JOSE</v>
      </c>
      <c r="N18" s="27" t="str">
        <f>IFERROR(__xludf.DUMMYFUNCTION("""COMPUTED_VALUE"""),"FAIRFIELD INN &amp; SUITES")</f>
        <v>FAIRFIELD INN &amp; SUITES</v>
      </c>
      <c r="O18" s="27" t="str">
        <f>IFERROR(__xludf.DUMMYFUNCTION("""COMPUTED_VALUE"""),"WINDOW|||FAIRFIELD INN &amp; SUITES")</f>
        <v>WINDOW|||FAIRFIELD INN &amp; SUITES</v>
      </c>
      <c r="P18" s="27"/>
      <c r="Q18" s="27" t="str">
        <f>IFERROR(__xludf.DUMMYFUNCTION("""COMPUTED_VALUE"""),"jose@ox-glass.com")</f>
        <v>jose@ox-glass.com</v>
      </c>
      <c r="R18" s="27" t="str">
        <f>IFERROR(__xludf.DUMMYFUNCTION("""COMPUTED_VALUE"""),"WINDOW WAREHOUSE")</f>
        <v>WINDOW WAREHOUSE</v>
      </c>
      <c r="S18" s="27" t="str">
        <f>IFERROR(__xludf.DUMMYFUNCTION("""COMPUTED_VALUE"""),"ENTRY")</f>
        <v>ENTRY</v>
      </c>
    </row>
    <row r="19" ht="21.75" customHeight="1">
      <c r="A19" s="23">
        <f>IFERROR(__xludf.DUMMYFUNCTION("""COMPUTED_VALUE"""),46223.400379722225)</f>
        <v>46223.40038</v>
      </c>
      <c r="B19" s="24" t="str">
        <f>IFERROR(__xludf.DUMMYFUNCTION("""COMPUTED_VALUE"""),"WINDOW")</f>
        <v>WINDOW</v>
      </c>
      <c r="C19" s="25" t="str">
        <f>IFERROR(__xludf.DUMMYFUNCTION("""COMPUTED_VALUE"""),"MH 160")</f>
        <v>MH 160</v>
      </c>
      <c r="D19" s="26"/>
      <c r="E19" s="27"/>
      <c r="F19" s="28">
        <f>IFERROR(__xludf.DUMMYFUNCTION("""COMPUTED_VALUE"""),31.0)</f>
        <v>31</v>
      </c>
      <c r="G19" s="27" t="str">
        <f>IFERROR(__xludf.DUMMYFUNCTION("""COMPUTED_VALUE"""),"UNIT")</f>
        <v>UNIT</v>
      </c>
      <c r="H19" s="29">
        <f>IFERROR(__xludf.DUMMYFUNCTION("""COMPUTED_VALUE"""),46223.0)</f>
        <v>46223</v>
      </c>
      <c r="I19" s="24" t="str">
        <f>IFERROR(__xludf.DUMMYFUNCTION("""COMPUTED_VALUE"""),"C2A")</f>
        <v>C2A</v>
      </c>
      <c r="J19" s="30"/>
      <c r="K19" s="27"/>
      <c r="L19" s="2" t="str">
        <f>IFERROR(__xludf.DUMMYFUNCTION("""COMPUTED_VALUE"""),"Dispatched")</f>
        <v>Dispatched</v>
      </c>
      <c r="M19" s="27" t="str">
        <f>IFERROR(__xludf.DUMMYFUNCTION("""COMPUTED_VALUE"""),"BRANDON AND TEAM")</f>
        <v>BRANDON AND TEAM</v>
      </c>
      <c r="N19" s="27"/>
      <c r="O19" s="27" t="str">
        <f>IFERROR(__xludf.DUMMYFUNCTION("""COMPUTED_VALUE"""),"WINDOW|||MH 160")</f>
        <v>WINDOW|||MH 160</v>
      </c>
      <c r="P19" s="27"/>
      <c r="Q19" s="27" t="str">
        <f>IFERROR(__xludf.DUMMYFUNCTION("""COMPUTED_VALUE"""),"jose@ox-glass.com")</f>
        <v>jose@ox-glass.com</v>
      </c>
      <c r="R19" s="27" t="str">
        <f>IFERROR(__xludf.DUMMYFUNCTION("""COMPUTED_VALUE"""),"TOLL MH 160")</f>
        <v>TOLL MH 160</v>
      </c>
      <c r="S19" s="27" t="str">
        <f>IFERROR(__xludf.DUMMYFUNCTION("""COMPUTED_VALUE"""),"EXIT")</f>
        <v>EXIT</v>
      </c>
    </row>
    <row r="20" ht="21.75" customHeight="1">
      <c r="A20" s="23">
        <f>IFERROR(__xludf.DUMMYFUNCTION("""COMPUTED_VALUE"""),46223.3998146875)</f>
        <v>46223.39981</v>
      </c>
      <c r="B20" s="24" t="str">
        <f>IFERROR(__xludf.DUMMYFUNCTION("""COMPUTED_VALUE"""),"WINDOW")</f>
        <v>WINDOW</v>
      </c>
      <c r="C20" s="25" t="str">
        <f>IFERROR(__xludf.DUMMYFUNCTION("""COMPUTED_VALUE"""),"CODY RESIDENCE")</f>
        <v>CODY RESIDENCE</v>
      </c>
      <c r="D20" s="26"/>
      <c r="E20" s="27"/>
      <c r="F20" s="28">
        <f>IFERROR(__xludf.DUMMYFUNCTION("""COMPUTED_VALUE"""),17.0)</f>
        <v>17</v>
      </c>
      <c r="G20" s="27" t="str">
        <f>IFERROR(__xludf.DUMMYFUNCTION("""COMPUTED_VALUE"""),"UNIT")</f>
        <v>UNIT</v>
      </c>
      <c r="H20" s="29">
        <f>IFERROR(__xludf.DUMMYFUNCTION("""COMPUTED_VALUE"""),46223.0)</f>
        <v>46223</v>
      </c>
      <c r="I20" s="24" t="str">
        <f>IFERROR(__xludf.DUMMYFUNCTION("""COMPUTED_VALUE"""),"B")</f>
        <v>B</v>
      </c>
      <c r="J20" s="30"/>
      <c r="K20" s="27"/>
      <c r="L20" s="2" t="str">
        <f>IFERROR(__xludf.DUMMYFUNCTION("""COMPUTED_VALUE"""),"Dispatched")</f>
        <v>Dispatched</v>
      </c>
      <c r="M20" s="27" t="str">
        <f>IFERROR(__xludf.DUMMYFUNCTION("""COMPUTED_VALUE"""),"jose@ox-glass.com")</f>
        <v>jose@ox-glass.com</v>
      </c>
      <c r="N20" s="27"/>
      <c r="O20" s="27" t="str">
        <f>IFERROR(__xludf.DUMMYFUNCTION("""COMPUTED_VALUE"""),"WINDOW|||CODY RESIDENCE")</f>
        <v>WINDOW|||CODY RESIDENCE</v>
      </c>
      <c r="P20" s="27"/>
      <c r="Q20" s="27" t="str">
        <f>IFERROR(__xludf.DUMMYFUNCTION("""COMPUTED_VALUE"""),"jose@ox-glass.com")</f>
        <v>jose@ox-glass.com</v>
      </c>
      <c r="R20" s="27" t="str">
        <f>IFERROR(__xludf.DUMMYFUNCTION("""COMPUTED_VALUE"""),"SWE CODY RESIDENCE")</f>
        <v>SWE CODY RESIDENCE</v>
      </c>
      <c r="S20" s="27" t="str">
        <f>IFERROR(__xludf.DUMMYFUNCTION("""COMPUTED_VALUE"""),"EXIT")</f>
        <v>EXIT</v>
      </c>
    </row>
    <row r="21" ht="21.75" customHeight="1">
      <c r="A21" s="23">
        <f>IFERROR(__xludf.DUMMYFUNCTION("""COMPUTED_VALUE"""),46223.3998146875)</f>
        <v>46223.39981</v>
      </c>
      <c r="B21" s="24" t="str">
        <f>IFERROR(__xludf.DUMMYFUNCTION("""COMPUTED_VALUE"""),"WINDOW")</f>
        <v>WINDOW</v>
      </c>
      <c r="C21" s="25" t="str">
        <f>IFERROR(__xludf.DUMMYFUNCTION("""COMPUTED_VALUE"""),"CODY RESIDENCE")</f>
        <v>CODY RESIDENCE</v>
      </c>
      <c r="D21" s="26"/>
      <c r="E21" s="27"/>
      <c r="F21" s="28">
        <f>IFERROR(__xludf.DUMMYFUNCTION("""COMPUTED_VALUE"""),10.0)</f>
        <v>10</v>
      </c>
      <c r="G21" s="27" t="str">
        <f>IFERROR(__xludf.DUMMYFUNCTION("""COMPUTED_VALUE"""),"UNIT")</f>
        <v>UNIT</v>
      </c>
      <c r="H21" s="29">
        <f>IFERROR(__xludf.DUMMYFUNCTION("""COMPUTED_VALUE"""),46223.0)</f>
        <v>46223</v>
      </c>
      <c r="I21" s="24" t="str">
        <f>IFERROR(__xludf.DUMMYFUNCTION("""COMPUTED_VALUE"""),"C")</f>
        <v>C</v>
      </c>
      <c r="J21" s="30"/>
      <c r="K21" s="27"/>
      <c r="L21" s="2" t="str">
        <f>IFERROR(__xludf.DUMMYFUNCTION("""COMPUTED_VALUE"""),"Dispatched")</f>
        <v>Dispatched</v>
      </c>
      <c r="M21" s="27" t="str">
        <f>IFERROR(__xludf.DUMMYFUNCTION("""COMPUTED_VALUE"""),"jose@ox-glass.com")</f>
        <v>jose@ox-glass.com</v>
      </c>
      <c r="N21" s="27"/>
      <c r="O21" s="27" t="str">
        <f>IFERROR(__xludf.DUMMYFUNCTION("""COMPUTED_VALUE"""),"WINDOW|||CODY RESIDENCE")</f>
        <v>WINDOW|||CODY RESIDENCE</v>
      </c>
      <c r="P21" s="27"/>
      <c r="Q21" s="27" t="str">
        <f>IFERROR(__xludf.DUMMYFUNCTION("""COMPUTED_VALUE"""),"jose@ox-glass.com")</f>
        <v>jose@ox-glass.com</v>
      </c>
      <c r="R21" s="27" t="str">
        <f>IFERROR(__xludf.DUMMYFUNCTION("""COMPUTED_VALUE"""),"SWE CODY RESIDENCE")</f>
        <v>SWE CODY RESIDENCE</v>
      </c>
      <c r="S21" s="27" t="str">
        <f>IFERROR(__xludf.DUMMYFUNCTION("""COMPUTED_VALUE"""),"EXIT")</f>
        <v>EXIT</v>
      </c>
    </row>
    <row r="22" ht="21.75" customHeight="1">
      <c r="A22" s="23">
        <f>IFERROR(__xludf.DUMMYFUNCTION("""COMPUTED_VALUE"""),46223.372311226856)</f>
        <v>46223.37231</v>
      </c>
      <c r="B22" s="24" t="str">
        <f>IFERROR(__xludf.DUMMYFUNCTION("""COMPUTED_VALUE"""),"WINDOW")</f>
        <v>WINDOW</v>
      </c>
      <c r="C22" s="25" t="str">
        <f>IFERROR(__xludf.DUMMYFUNCTION("""COMPUTED_VALUE"""),"SP 638 REORDER")</f>
        <v>SP 638 REORDER</v>
      </c>
      <c r="D22" s="26" t="str">
        <f>IFERROR(__xludf.DUMMYFUNCTION("""COMPUTED_VALUE"""),"PAT")</f>
        <v>PAT</v>
      </c>
      <c r="E22" s="27"/>
      <c r="F22" s="28">
        <f>IFERROR(__xludf.DUMMYFUNCTION("""COMPUTED_VALUE"""),1.0)</f>
        <v>1</v>
      </c>
      <c r="G22" s="27" t="str">
        <f>IFERROR(__xludf.DUMMYFUNCTION("""COMPUTED_VALUE"""),"UNIT")</f>
        <v>UNIT</v>
      </c>
      <c r="H22" s="29">
        <f>IFERROR(__xludf.DUMMYFUNCTION("""COMPUTED_VALUE"""),46223.0)</f>
        <v>46223</v>
      </c>
      <c r="I22" s="24"/>
      <c r="J22" s="30" t="str">
        <f>IFERROR(__xludf.DUMMYFUNCTION("""COMPUTED_VALUE"""),"ALSIDE")</f>
        <v>ALSIDE</v>
      </c>
      <c r="K22" s="27" t="str">
        <f>IFERROR(__xludf.DUMMYFUNCTION("""COMPUTED_VALUE"""),"2 WINDOWS, 2 SCREENS, TAKEN BY JOE L.")</f>
        <v>2 WINDOWS, 2 SCREENS, TAKEN BY JOE L.</v>
      </c>
      <c r="L22" s="2" t="str">
        <f>IFERROR(__xludf.DUMMYFUNCTION("""COMPUTED_VALUE"""),"In Stock")</f>
        <v>In Stock</v>
      </c>
      <c r="M22" s="27" t="str">
        <f>IFERROR(__xludf.DUMMYFUNCTION("""COMPUTED_VALUE"""),"JOSE")</f>
        <v>JOSE</v>
      </c>
      <c r="N22" s="27" t="str">
        <f>IFERROR(__xludf.DUMMYFUNCTION("""COMPUTED_VALUE"""),"PAT SP 638 REORDER")</f>
        <v>PAT SP 638 REORDER</v>
      </c>
      <c r="O22" s="27" t="str">
        <f>IFERROR(__xludf.DUMMYFUNCTION("""COMPUTED_VALUE"""),"WINDOW|||SP 638 REORDER")</f>
        <v>WINDOW|||SP 638 REORDER</v>
      </c>
      <c r="P22" s="27"/>
      <c r="Q22" s="27" t="str">
        <f>IFERROR(__xludf.DUMMYFUNCTION("""COMPUTED_VALUE"""),"jose@ox-glass.com")</f>
        <v>jose@ox-glass.com</v>
      </c>
      <c r="R22" s="27" t="str">
        <f>IFERROR(__xludf.DUMMYFUNCTION("""COMPUTED_VALUE"""),"PM'S OFFICE")</f>
        <v>PM'S OFFICE</v>
      </c>
      <c r="S22" s="27" t="str">
        <f>IFERROR(__xludf.DUMMYFUNCTION("""COMPUTED_VALUE"""),"ENTRY")</f>
        <v>ENTRY</v>
      </c>
    </row>
    <row r="23" ht="21.75" customHeight="1">
      <c r="A23" s="23">
        <f>IFERROR(__xludf.DUMMYFUNCTION("""COMPUTED_VALUE"""),46220.599767534724)</f>
        <v>46220.59977</v>
      </c>
      <c r="B23" s="24" t="str">
        <f>IFERROR(__xludf.DUMMYFUNCTION("""COMPUTED_VALUE"""),"WINDOW")</f>
        <v>WINDOW</v>
      </c>
      <c r="C23" s="25" t="str">
        <f>IFERROR(__xludf.DUMMYFUNCTION("""COMPUTED_VALUE"""),"PAO225")</f>
        <v>PAO225</v>
      </c>
      <c r="D23" s="26" t="str">
        <f>IFERROR(__xludf.DUMMYFUNCTION("""COMPUTED_VALUE"""),"WHI")</f>
        <v>WHI</v>
      </c>
      <c r="E23" s="27" t="str">
        <f>IFERROR(__xludf.DUMMYFUNCTION("""COMPUTED_VALUE"""),"07-758")</f>
        <v>07-758</v>
      </c>
      <c r="F23" s="28">
        <f>IFERROR(__xludf.DUMMYFUNCTION("""COMPUTED_VALUE"""),9.0)</f>
        <v>9</v>
      </c>
      <c r="G23" s="27" t="str">
        <f>IFERROR(__xludf.DUMMYFUNCTION("""COMPUTED_VALUE"""),"UNIT")</f>
        <v>UNIT</v>
      </c>
      <c r="H23" s="29">
        <f>IFERROR(__xludf.DUMMYFUNCTION("""COMPUTED_VALUE"""),46220.0)</f>
        <v>46220</v>
      </c>
      <c r="I23" s="24"/>
      <c r="J23" s="30" t="str">
        <f>IFERROR(__xludf.DUMMYFUNCTION("""COMPUTED_VALUE"""),"AMSCO")</f>
        <v>AMSCO</v>
      </c>
      <c r="K23" s="27"/>
      <c r="L23" s="2" t="str">
        <f>IFERROR(__xludf.DUMMYFUNCTION("""COMPUTED_VALUE"""),"In Stock")</f>
        <v>In Stock</v>
      </c>
      <c r="M23" s="27" t="str">
        <f>IFERROR(__xludf.DUMMYFUNCTION("""COMPUTED_VALUE"""),"JOSE")</f>
        <v>JOSE</v>
      </c>
      <c r="N23" s="27" t="str">
        <f>IFERROR(__xludf.DUMMYFUNCTION("""COMPUTED_VALUE"""),"WHI PAO225")</f>
        <v>WHI PAO225</v>
      </c>
      <c r="O23" s="27" t="str">
        <f>IFERROR(__xludf.DUMMYFUNCTION("""COMPUTED_VALUE"""),"WINDOW|||PAO225")</f>
        <v>WINDOW|||PAO225</v>
      </c>
      <c r="P23" s="27"/>
      <c r="Q23" s="27" t="str">
        <f>IFERROR(__xludf.DUMMYFUNCTION("""COMPUTED_VALUE"""),"jose@ox-glass.com")</f>
        <v>jose@ox-glass.com</v>
      </c>
      <c r="R23" s="27" t="str">
        <f>IFERROR(__xludf.DUMMYFUNCTION("""COMPUTED_VALUE"""),"C4A")</f>
        <v>C4A</v>
      </c>
      <c r="S23" s="27" t="str">
        <f>IFERROR(__xludf.DUMMYFUNCTION("""COMPUTED_VALUE"""),"ENTRY")</f>
        <v>ENTRY</v>
      </c>
    </row>
    <row r="24" ht="21.75" customHeight="1">
      <c r="A24" s="23">
        <f>IFERROR(__xludf.DUMMYFUNCTION("""COMPUTED_VALUE"""),46220.59887399306)</f>
        <v>46220.59887</v>
      </c>
      <c r="B24" s="24" t="str">
        <f>IFERROR(__xludf.DUMMYFUNCTION("""COMPUTED_VALUE"""),"WINDOW")</f>
        <v>WINDOW</v>
      </c>
      <c r="C24" s="25" t="str">
        <f>IFERROR(__xludf.DUMMYFUNCTION("""COMPUTED_VALUE"""),"PAO223")</f>
        <v>PAO223</v>
      </c>
      <c r="D24" s="26" t="str">
        <f>IFERROR(__xludf.DUMMYFUNCTION("""COMPUTED_VALUE"""),"WHI")</f>
        <v>WHI</v>
      </c>
      <c r="E24" s="27" t="str">
        <f>IFERROR(__xludf.DUMMYFUNCTION("""COMPUTED_VALUE"""),"07-733")</f>
        <v>07-733</v>
      </c>
      <c r="F24" s="28">
        <f>IFERROR(__xludf.DUMMYFUNCTION("""COMPUTED_VALUE"""),12.0)</f>
        <v>12</v>
      </c>
      <c r="G24" s="27" t="str">
        <f>IFERROR(__xludf.DUMMYFUNCTION("""COMPUTED_VALUE"""),"UNIT")</f>
        <v>UNIT</v>
      </c>
      <c r="H24" s="29">
        <f>IFERROR(__xludf.DUMMYFUNCTION("""COMPUTED_VALUE"""),46220.0)</f>
        <v>46220</v>
      </c>
      <c r="I24" s="24"/>
      <c r="J24" s="30" t="str">
        <f>IFERROR(__xludf.DUMMYFUNCTION("""COMPUTED_VALUE"""),"AMSCO")</f>
        <v>AMSCO</v>
      </c>
      <c r="K24" s="27"/>
      <c r="L24" s="2" t="str">
        <f>IFERROR(__xludf.DUMMYFUNCTION("""COMPUTED_VALUE"""),"In Stock")</f>
        <v>In Stock</v>
      </c>
      <c r="M24" s="27" t="str">
        <f>IFERROR(__xludf.DUMMYFUNCTION("""COMPUTED_VALUE"""),"JOSE")</f>
        <v>JOSE</v>
      </c>
      <c r="N24" s="27" t="str">
        <f>IFERROR(__xludf.DUMMYFUNCTION("""COMPUTED_VALUE"""),"WHI PAO223")</f>
        <v>WHI PAO223</v>
      </c>
      <c r="O24" s="27" t="str">
        <f>IFERROR(__xludf.DUMMYFUNCTION("""COMPUTED_VALUE"""),"WINDOW|||PAO223")</f>
        <v>WINDOW|||PAO223</v>
      </c>
      <c r="P24" s="27"/>
      <c r="Q24" s="27" t="str">
        <f>IFERROR(__xludf.DUMMYFUNCTION("""COMPUTED_VALUE"""),"jose@ox-glass.com")</f>
        <v>jose@ox-glass.com</v>
      </c>
      <c r="R24" s="27" t="str">
        <f>IFERROR(__xludf.DUMMYFUNCTION("""COMPUTED_VALUE"""),"B4A")</f>
        <v>B4A</v>
      </c>
      <c r="S24" s="27" t="str">
        <f>IFERROR(__xludf.DUMMYFUNCTION("""COMPUTED_VALUE"""),"ENTRY")</f>
        <v>ENTRY</v>
      </c>
    </row>
    <row r="25" ht="21.75" customHeight="1">
      <c r="A25" s="23">
        <f>IFERROR(__xludf.DUMMYFUNCTION("""COMPUTED_VALUE"""),46220.59792917824)</f>
        <v>46220.59793</v>
      </c>
      <c r="B25" s="24" t="str">
        <f>IFERROR(__xludf.DUMMYFUNCTION("""COMPUTED_VALUE"""),"WINDOW")</f>
        <v>WINDOW</v>
      </c>
      <c r="C25" s="25" t="str">
        <f>IFERROR(__xludf.DUMMYFUNCTION("""COMPUTED_VALUE"""),"JJFARMS LOT 106")</f>
        <v>JJFARMS LOT 106</v>
      </c>
      <c r="D25" s="26" t="str">
        <f>IFERROR(__xludf.DUMMYFUNCTION("""COMPUTED_VALUE"""),"WHI")</f>
        <v>WHI</v>
      </c>
      <c r="E25" s="27" t="str">
        <f>IFERROR(__xludf.DUMMYFUNCTION("""COMPUTED_VALUE"""),"06-786")</f>
        <v>06-786</v>
      </c>
      <c r="F25" s="28">
        <f>IFERROR(__xludf.DUMMYFUNCTION("""COMPUTED_VALUE"""),14.0)</f>
        <v>14</v>
      </c>
      <c r="G25" s="27" t="str">
        <f>IFERROR(__xludf.DUMMYFUNCTION("""COMPUTED_VALUE"""),"UNIT")</f>
        <v>UNIT</v>
      </c>
      <c r="H25" s="29">
        <f>IFERROR(__xludf.DUMMYFUNCTION("""COMPUTED_VALUE"""),46220.0)</f>
        <v>46220</v>
      </c>
      <c r="I25" s="24"/>
      <c r="J25" s="30" t="str">
        <f>IFERROR(__xludf.DUMMYFUNCTION("""COMPUTED_VALUE"""),"AMSCO")</f>
        <v>AMSCO</v>
      </c>
      <c r="K25" s="27"/>
      <c r="L25" s="2" t="str">
        <f>IFERROR(__xludf.DUMMYFUNCTION("""COMPUTED_VALUE"""),"In Stock")</f>
        <v>In Stock</v>
      </c>
      <c r="M25" s="27" t="str">
        <f>IFERROR(__xludf.DUMMYFUNCTION("""COMPUTED_VALUE"""),"JOSE")</f>
        <v>JOSE</v>
      </c>
      <c r="N25" s="27" t="str">
        <f>IFERROR(__xludf.DUMMYFUNCTION("""COMPUTED_VALUE"""),"WHI JJFARMS LOT 104")</f>
        <v>WHI JJFARMS LOT 104</v>
      </c>
      <c r="O25" s="27" t="str">
        <f>IFERROR(__xludf.DUMMYFUNCTION("""COMPUTED_VALUE"""),"WINDOW|||JJFARMS LOT 106")</f>
        <v>WINDOW|||JJFARMS LOT 106</v>
      </c>
      <c r="P25" s="27"/>
      <c r="Q25" s="27" t="str">
        <f>IFERROR(__xludf.DUMMYFUNCTION("""COMPUTED_VALUE"""),"jose@ox-glass.com")</f>
        <v>jose@ox-glass.com</v>
      </c>
      <c r="R25" s="27" t="str">
        <f>IFERROR(__xludf.DUMMYFUNCTION("""COMPUTED_VALUE"""),"C4A")</f>
        <v>C4A</v>
      </c>
      <c r="S25" s="27" t="str">
        <f>IFERROR(__xludf.DUMMYFUNCTION("""COMPUTED_VALUE"""),"ENTRY")</f>
        <v>ENTRY</v>
      </c>
    </row>
    <row r="26" ht="21.75" customHeight="1">
      <c r="A26" s="23">
        <f>IFERROR(__xludf.DUMMYFUNCTION("""COMPUTED_VALUE"""),46220.596667893515)</f>
        <v>46220.59667</v>
      </c>
      <c r="B26" s="24" t="str">
        <f>IFERROR(__xludf.DUMMYFUNCTION("""COMPUTED_VALUE"""),"WINDOW")</f>
        <v>WINDOW</v>
      </c>
      <c r="C26" s="25" t="str">
        <f>IFERROR(__xludf.DUMMYFUNCTION("""COMPUTED_VALUE"""),"CODY RESIDENCE")</f>
        <v>CODY RESIDENCE</v>
      </c>
      <c r="D26" s="26" t="str">
        <f>IFERROR(__xludf.DUMMYFUNCTION("""COMPUTED_VALUE"""),"SWE")</f>
        <v>SWE</v>
      </c>
      <c r="E26" s="27" t="str">
        <f>IFERROR(__xludf.DUMMYFUNCTION("""COMPUTED_VALUE"""),"06-5807")</f>
        <v>06-5807</v>
      </c>
      <c r="F26" s="28">
        <f>IFERROR(__xludf.DUMMYFUNCTION("""COMPUTED_VALUE"""),17.0)</f>
        <v>17</v>
      </c>
      <c r="G26" s="27" t="str">
        <f>IFERROR(__xludf.DUMMYFUNCTION("""COMPUTED_VALUE"""),"UNIT")</f>
        <v>UNIT</v>
      </c>
      <c r="H26" s="29">
        <f>IFERROR(__xludf.DUMMYFUNCTION("""COMPUTED_VALUE"""),46220.0)</f>
        <v>46220</v>
      </c>
      <c r="I26" s="24"/>
      <c r="J26" s="30" t="str">
        <f>IFERROR(__xludf.DUMMYFUNCTION("""COMPUTED_VALUE"""),"AMSCO")</f>
        <v>AMSCO</v>
      </c>
      <c r="K26" s="27"/>
      <c r="L26" s="2" t="str">
        <f>IFERROR(__xludf.DUMMYFUNCTION("""COMPUTED_VALUE"""),"In Stock")</f>
        <v>In Stock</v>
      </c>
      <c r="M26" s="27" t="str">
        <f>IFERROR(__xludf.DUMMYFUNCTION("""COMPUTED_VALUE"""),"JOSE")</f>
        <v>JOSE</v>
      </c>
      <c r="N26" s="27" t="str">
        <f>IFERROR(__xludf.DUMMYFUNCTION("""COMPUTED_VALUE"""),"SWE CODY RESIDENCE")</f>
        <v>SWE CODY RESIDENCE</v>
      </c>
      <c r="O26" s="27" t="str">
        <f>IFERROR(__xludf.DUMMYFUNCTION("""COMPUTED_VALUE"""),"WINDOW|||CODY RESIDENCE")</f>
        <v>WINDOW|||CODY RESIDENCE</v>
      </c>
      <c r="P26" s="27"/>
      <c r="Q26" s="27" t="str">
        <f>IFERROR(__xludf.DUMMYFUNCTION("""COMPUTED_VALUE"""),"jose@ox-glass.com")</f>
        <v>jose@ox-glass.com</v>
      </c>
      <c r="R26" s="27" t="str">
        <f>IFERROR(__xludf.DUMMYFUNCTION("""COMPUTED_VALUE"""),"B")</f>
        <v>B</v>
      </c>
      <c r="S26" s="27" t="str">
        <f>IFERROR(__xludf.DUMMYFUNCTION("""COMPUTED_VALUE"""),"ENTRY")</f>
        <v>ENTRY</v>
      </c>
    </row>
    <row r="27" ht="21.75" customHeight="1">
      <c r="A27" s="23">
        <f>IFERROR(__xludf.DUMMYFUNCTION("""COMPUTED_VALUE"""),46220.596667893515)</f>
        <v>46220.59667</v>
      </c>
      <c r="B27" s="24" t="str">
        <f>IFERROR(__xludf.DUMMYFUNCTION("""COMPUTED_VALUE"""),"WINDOW")</f>
        <v>WINDOW</v>
      </c>
      <c r="C27" s="25" t="str">
        <f>IFERROR(__xludf.DUMMYFUNCTION("""COMPUTED_VALUE"""),"CODY RESIDENCE")</f>
        <v>CODY RESIDENCE</v>
      </c>
      <c r="D27" s="26" t="str">
        <f>IFERROR(__xludf.DUMMYFUNCTION("""COMPUTED_VALUE"""),"SWE")</f>
        <v>SWE</v>
      </c>
      <c r="E27" s="27" t="str">
        <f>IFERROR(__xludf.DUMMYFUNCTION("""COMPUTED_VALUE"""),"06-5807")</f>
        <v>06-5807</v>
      </c>
      <c r="F27" s="28">
        <f>IFERROR(__xludf.DUMMYFUNCTION("""COMPUTED_VALUE"""),10.0)</f>
        <v>10</v>
      </c>
      <c r="G27" s="27" t="str">
        <f>IFERROR(__xludf.DUMMYFUNCTION("""COMPUTED_VALUE"""),"UNIT")</f>
        <v>UNIT</v>
      </c>
      <c r="H27" s="29">
        <f>IFERROR(__xludf.DUMMYFUNCTION("""COMPUTED_VALUE"""),46220.0)</f>
        <v>46220</v>
      </c>
      <c r="I27" s="24"/>
      <c r="J27" s="30" t="str">
        <f>IFERROR(__xludf.DUMMYFUNCTION("""COMPUTED_VALUE"""),"AMSCO")</f>
        <v>AMSCO</v>
      </c>
      <c r="K27" s="27"/>
      <c r="L27" s="2" t="str">
        <f>IFERROR(__xludf.DUMMYFUNCTION("""COMPUTED_VALUE"""),"In Stock")</f>
        <v>In Stock</v>
      </c>
      <c r="M27" s="27" t="str">
        <f>IFERROR(__xludf.DUMMYFUNCTION("""COMPUTED_VALUE"""),"JOSE")</f>
        <v>JOSE</v>
      </c>
      <c r="N27" s="27" t="str">
        <f>IFERROR(__xludf.DUMMYFUNCTION("""COMPUTED_VALUE"""),"SWE CODY RESIDENCE")</f>
        <v>SWE CODY RESIDENCE</v>
      </c>
      <c r="O27" s="27" t="str">
        <f>IFERROR(__xludf.DUMMYFUNCTION("""COMPUTED_VALUE"""),"WINDOW|||CODY RESIDENCE")</f>
        <v>WINDOW|||CODY RESIDENCE</v>
      </c>
      <c r="P27" s="27"/>
      <c r="Q27" s="27" t="str">
        <f>IFERROR(__xludf.DUMMYFUNCTION("""COMPUTED_VALUE"""),"jose@ox-glass.com")</f>
        <v>jose@ox-glass.com</v>
      </c>
      <c r="R27" s="27" t="str">
        <f>IFERROR(__xludf.DUMMYFUNCTION("""COMPUTED_VALUE"""),"C")</f>
        <v>C</v>
      </c>
      <c r="S27" s="27" t="str">
        <f>IFERROR(__xludf.DUMMYFUNCTION("""COMPUTED_VALUE"""),"ENTRY")</f>
        <v>ENTRY</v>
      </c>
    </row>
    <row r="28" ht="21.75" customHeight="1">
      <c r="A28" s="23">
        <f>IFERROR(__xludf.DUMMYFUNCTION("""COMPUTED_VALUE"""),46220.595168437496)</f>
        <v>46220.59517</v>
      </c>
      <c r="B28" s="24" t="str">
        <f>IFERROR(__xludf.DUMMYFUNCTION("""COMPUTED_VALUE"""),"WINDOW")</f>
        <v>WINDOW</v>
      </c>
      <c r="C28" s="25" t="str">
        <f>IFERROR(__xludf.DUMMYFUNCTION("""COMPUTED_VALUE"""),"MM210")</f>
        <v>MM210</v>
      </c>
      <c r="D28" s="26" t="str">
        <f>IFERROR(__xludf.DUMMYFUNCTION("""COMPUTED_VALUE"""),"SWE")</f>
        <v>SWE</v>
      </c>
      <c r="E28" s="27" t="str">
        <f>IFERROR(__xludf.DUMMYFUNCTION("""COMPUTED_VALUE"""),"06-5800")</f>
        <v>06-5800</v>
      </c>
      <c r="F28" s="28">
        <f>IFERROR(__xludf.DUMMYFUNCTION("""COMPUTED_VALUE"""),32.0)</f>
        <v>32</v>
      </c>
      <c r="G28" s="27" t="str">
        <f>IFERROR(__xludf.DUMMYFUNCTION("""COMPUTED_VALUE"""),"UNIT")</f>
        <v>UNIT</v>
      </c>
      <c r="H28" s="29">
        <f>IFERROR(__xludf.DUMMYFUNCTION("""COMPUTED_VALUE"""),46220.0)</f>
        <v>46220</v>
      </c>
      <c r="I28" s="24"/>
      <c r="J28" s="30" t="str">
        <f>IFERROR(__xludf.DUMMYFUNCTION("""COMPUTED_VALUE"""),"AMSCO")</f>
        <v>AMSCO</v>
      </c>
      <c r="K28" s="27"/>
      <c r="L28" s="2" t="str">
        <f>IFERROR(__xludf.DUMMYFUNCTION("""COMPUTED_VALUE"""),"In Stock")</f>
        <v>In Stock</v>
      </c>
      <c r="M28" s="27" t="str">
        <f>IFERROR(__xludf.DUMMYFUNCTION("""COMPUTED_VALUE"""),"JOSE")</f>
        <v>JOSE</v>
      </c>
      <c r="N28" s="27" t="str">
        <f>IFERROR(__xludf.DUMMYFUNCTION("""COMPUTED_VALUE"""),"SWE MM210")</f>
        <v>SWE MM210</v>
      </c>
      <c r="O28" s="27" t="str">
        <f>IFERROR(__xludf.DUMMYFUNCTION("""COMPUTED_VALUE"""),"WINDOW|||MM210")</f>
        <v>WINDOW|||MM210</v>
      </c>
      <c r="P28" s="27"/>
      <c r="Q28" s="27" t="str">
        <f>IFERROR(__xludf.DUMMYFUNCTION("""COMPUTED_VALUE"""),"jose@ox-glass.com")</f>
        <v>jose@ox-glass.com</v>
      </c>
      <c r="R28" s="27" t="str">
        <f>IFERROR(__xludf.DUMMYFUNCTION("""COMPUTED_VALUE"""),"B5A")</f>
        <v>B5A</v>
      </c>
      <c r="S28" s="27" t="str">
        <f>IFERROR(__xludf.DUMMYFUNCTION("""COMPUTED_VALUE"""),"ENTRY")</f>
        <v>ENTRY</v>
      </c>
    </row>
    <row r="29" ht="21.75" customHeight="1">
      <c r="A29" s="23">
        <f>IFERROR(__xludf.DUMMYFUNCTION("""COMPUTED_VALUE"""),46220.593946203706)</f>
        <v>46220.59395</v>
      </c>
      <c r="B29" s="24" t="str">
        <f>IFERROR(__xludf.DUMMYFUNCTION("""COMPUTED_VALUE"""),"WINDOW")</f>
        <v>WINDOW</v>
      </c>
      <c r="C29" s="25" t="str">
        <f>IFERROR(__xludf.DUMMYFUNCTION("""COMPUTED_VALUE"""),"VINEYARD BLACK 13C MOCKUP")</f>
        <v>VINEYARD BLACK 13C MOCKUP</v>
      </c>
      <c r="D29" s="26"/>
      <c r="E29" s="27" t="str">
        <f>IFERROR(__xludf.DUMMYFUNCTION("""COMPUTED_VALUE"""),"06-6480")</f>
        <v>06-6480</v>
      </c>
      <c r="F29" s="28">
        <f>IFERROR(__xludf.DUMMYFUNCTION("""COMPUTED_VALUE"""),2.0)</f>
        <v>2</v>
      </c>
      <c r="G29" s="27" t="str">
        <f>IFERROR(__xludf.DUMMYFUNCTION("""COMPUTED_VALUE"""),"UNIT")</f>
        <v>UNIT</v>
      </c>
      <c r="H29" s="29">
        <f>IFERROR(__xludf.DUMMYFUNCTION("""COMPUTED_VALUE"""),46220.0)</f>
        <v>46220</v>
      </c>
      <c r="I29" s="24"/>
      <c r="J29" s="30" t="str">
        <f>IFERROR(__xludf.DUMMYFUNCTION("""COMPUTED_VALUE"""),"AMSCO")</f>
        <v>AMSCO</v>
      </c>
      <c r="K29" s="27" t="str">
        <f>IFERROR(__xludf.DUMMYFUNCTION("""COMPUTED_VALUE"""),"WINDOW MISSING THE OPENING CONTROL DEVICE WAS RETURNED, BUT LATER DANE WENT TO PICK IT UP.")</f>
        <v>WINDOW MISSING THE OPENING CONTROL DEVICE WAS RETURNED, BUT LATER DANE WENT TO PICK IT UP.</v>
      </c>
      <c r="L29" s="2" t="str">
        <f>IFERROR(__xludf.DUMMYFUNCTION("""COMPUTED_VALUE"""),"In Stock")</f>
        <v>In Stock</v>
      </c>
      <c r="M29" s="27" t="str">
        <f>IFERROR(__xludf.DUMMYFUNCTION("""COMPUTED_VALUE"""),"JOSE")</f>
        <v>JOSE</v>
      </c>
      <c r="N29" s="27" t="str">
        <f>IFERROR(__xludf.DUMMYFUNCTION("""COMPUTED_VALUE"""),"VINEYARD BLACK 13C MOCKUP")</f>
        <v>VINEYARD BLACK 13C MOCKUP</v>
      </c>
      <c r="O29" s="27" t="str">
        <f>IFERROR(__xludf.DUMMYFUNCTION("""COMPUTED_VALUE"""),"WINDOW|||VINEYARD BLACK 13C MOCKUP")</f>
        <v>WINDOW|||VINEYARD BLACK 13C MOCKUP</v>
      </c>
      <c r="P29" s="27"/>
      <c r="Q29" s="27" t="str">
        <f>IFERROR(__xludf.DUMMYFUNCTION("""COMPUTED_VALUE"""),"jose@ox-glass.com")</f>
        <v>jose@ox-glass.com</v>
      </c>
      <c r="R29" s="27" t="str">
        <f>IFERROR(__xludf.DUMMYFUNCTION("""COMPUTED_VALUE"""),"WINDOW WAREHOUSE")</f>
        <v>WINDOW WAREHOUSE</v>
      </c>
      <c r="S29" s="27" t="str">
        <f>IFERROR(__xludf.DUMMYFUNCTION("""COMPUTED_VALUE"""),"ENTRY")</f>
        <v>ENTRY</v>
      </c>
    </row>
    <row r="30" ht="21.75" customHeight="1">
      <c r="A30" s="23">
        <f>IFERROR(__xludf.DUMMYFUNCTION("""COMPUTED_VALUE"""),46220.59189497685)</f>
        <v>46220.59189</v>
      </c>
      <c r="B30" s="24" t="str">
        <f>IFERROR(__xludf.DUMMYFUNCTION("""COMPUTED_VALUE"""),"WINDOW")</f>
        <v>WINDOW</v>
      </c>
      <c r="C30" s="25" t="str">
        <f>IFERROR(__xludf.DUMMYFUNCTION("""COMPUTED_VALUE"""),"PROVO REMODEL")</f>
        <v>PROVO REMODEL</v>
      </c>
      <c r="D30" s="26" t="str">
        <f>IFERROR(__xludf.DUMMYFUNCTION("""COMPUTED_VALUE"""),"HH")</f>
        <v>HH</v>
      </c>
      <c r="E30" s="27" t="str">
        <f>IFERROR(__xludf.DUMMYFUNCTION("""COMPUTED_VALUE"""),"06-7016")</f>
        <v>06-7016</v>
      </c>
      <c r="F30" s="28">
        <f>IFERROR(__xludf.DUMMYFUNCTION("""COMPUTED_VALUE"""),15.0)</f>
        <v>15</v>
      </c>
      <c r="G30" s="27" t="str">
        <f>IFERROR(__xludf.DUMMYFUNCTION("""COMPUTED_VALUE"""),"UNIT")</f>
        <v>UNIT</v>
      </c>
      <c r="H30" s="29">
        <f>IFERROR(__xludf.DUMMYFUNCTION("""COMPUTED_VALUE"""),46220.0)</f>
        <v>46220</v>
      </c>
      <c r="I30" s="24"/>
      <c r="J30" s="30" t="str">
        <f>IFERROR(__xludf.DUMMYFUNCTION("""COMPUTED_VALUE"""),"AMSCO")</f>
        <v>AMSCO</v>
      </c>
      <c r="K30" s="27" t="str">
        <f>IFERROR(__xludf.DUMMYFUNCTION("""COMPUTED_VALUE"""),"1 WINDOW WAS REJECTED BECAUSE IT WAS BROKEN (NOT INCLUDED IN THE QTY)")</f>
        <v>1 WINDOW WAS REJECTED BECAUSE IT WAS BROKEN (NOT INCLUDED IN THE QTY)</v>
      </c>
      <c r="L30" s="2" t="str">
        <f>IFERROR(__xludf.DUMMYFUNCTION("""COMPUTED_VALUE"""),"In Stock")</f>
        <v>In Stock</v>
      </c>
      <c r="M30" s="27" t="str">
        <f>IFERROR(__xludf.DUMMYFUNCTION("""COMPUTED_VALUE"""),"JOSE")</f>
        <v>JOSE</v>
      </c>
      <c r="N30" s="27" t="str">
        <f>IFERROR(__xludf.DUMMYFUNCTION("""COMPUTED_VALUE"""),"HH PROVO REMODEL")</f>
        <v>HH PROVO REMODEL</v>
      </c>
      <c r="O30" s="27" t="str">
        <f>IFERROR(__xludf.DUMMYFUNCTION("""COMPUTED_VALUE"""),"WINDOW|||PROVO REMODEL")</f>
        <v>WINDOW|||PROVO REMODEL</v>
      </c>
      <c r="P30" s="27"/>
      <c r="Q30" s="27" t="str">
        <f>IFERROR(__xludf.DUMMYFUNCTION("""COMPUTED_VALUE"""),"jose@ox-glass.com")</f>
        <v>jose@ox-glass.com</v>
      </c>
      <c r="R30" s="27" t="str">
        <f>IFERROR(__xludf.DUMMYFUNCTION("""COMPUTED_VALUE"""),"B4A")</f>
        <v>B4A</v>
      </c>
      <c r="S30" s="27" t="str">
        <f>IFERROR(__xludf.DUMMYFUNCTION("""COMPUTED_VALUE"""),"ENTRY")</f>
        <v>ENTRY</v>
      </c>
    </row>
    <row r="31" ht="21.75" customHeight="1">
      <c r="A31" s="23">
        <f>IFERROR(__xludf.DUMMYFUNCTION("""COMPUTED_VALUE"""),46220.58664728009)</f>
        <v>46220.58665</v>
      </c>
      <c r="B31" s="24" t="str">
        <f>IFERROR(__xludf.DUMMYFUNCTION("""COMPUTED_VALUE"""),"WINDOW")</f>
        <v>WINDOW</v>
      </c>
      <c r="C31" s="25" t="str">
        <f>IFERROR(__xludf.DUMMYFUNCTION("""COMPUTED_VALUE"""),"ELKWOOD SCREENS T284")</f>
        <v>ELKWOOD SCREENS T284</v>
      </c>
      <c r="D31" s="26"/>
      <c r="E31" s="27"/>
      <c r="F31" s="28">
        <f>IFERROR(__xludf.DUMMYFUNCTION("""COMPUTED_VALUE"""),1.0)</f>
        <v>1</v>
      </c>
      <c r="G31" s="27" t="str">
        <f>IFERROR(__xludf.DUMMYFUNCTION("""COMPUTED_VALUE"""),"UNIT")</f>
        <v>UNIT</v>
      </c>
      <c r="H31" s="29">
        <f>IFERROR(__xludf.DUMMYFUNCTION("""COMPUTED_VALUE"""),46218.0)</f>
        <v>46218</v>
      </c>
      <c r="I31" s="24" t="str">
        <f>IFERROR(__xludf.DUMMYFUNCTION("""COMPUTED_VALUE"""),"PM'S OFFICE")</f>
        <v>PM'S OFFICE</v>
      </c>
      <c r="J31" s="30"/>
      <c r="K31" s="27"/>
      <c r="L31" s="2" t="str">
        <f>IFERROR(__xludf.DUMMYFUNCTION("""COMPUTED_VALUE"""),"Dispatched")</f>
        <v>Dispatched</v>
      </c>
      <c r="M31" s="27" t="str">
        <f>IFERROR(__xludf.DUMMYFUNCTION("""COMPUTED_VALUE"""),"TERRY T.")</f>
        <v>TERRY T.</v>
      </c>
      <c r="N31" s="27"/>
      <c r="O31" s="27" t="str">
        <f>IFERROR(__xludf.DUMMYFUNCTION("""COMPUTED_VALUE"""),"WINDOW|||ELKWOOD SCREENS T284")</f>
        <v>WINDOW|||ELKWOOD SCREENS T284</v>
      </c>
      <c r="P31" s="27"/>
      <c r="Q31" s="27" t="str">
        <f>IFERROR(__xludf.DUMMYFUNCTION("""COMPUTED_VALUE"""),"jose@ox-glass.com")</f>
        <v>jose@ox-glass.com</v>
      </c>
      <c r="R31" s="27" t="str">
        <f>IFERROR(__xludf.DUMMYFUNCTION("""COMPUTED_VALUE"""),"ELKWOOD")</f>
        <v>ELKWOOD</v>
      </c>
      <c r="S31" s="27" t="str">
        <f>IFERROR(__xludf.DUMMYFUNCTION("""COMPUTED_VALUE"""),"EXIT")</f>
        <v>EXIT</v>
      </c>
    </row>
    <row r="32" ht="21.75" customHeight="1">
      <c r="A32" s="23">
        <f>IFERROR(__xludf.DUMMYFUNCTION("""COMPUTED_VALUE"""),46220.58324762732)</f>
        <v>46220.58325</v>
      </c>
      <c r="B32" s="24" t="str">
        <f>IFERROR(__xludf.DUMMYFUNCTION("""COMPUTED_VALUE"""),"WINDOW")</f>
        <v>WINDOW</v>
      </c>
      <c r="C32" s="25" t="str">
        <f>IFERROR(__xludf.DUMMYFUNCTION("""COMPUTED_VALUE"""),"ELKWOOD SCREENS T284")</f>
        <v>ELKWOOD SCREENS T284</v>
      </c>
      <c r="D32" s="26"/>
      <c r="E32" s="27"/>
      <c r="F32" s="28">
        <f>IFERROR(__xludf.DUMMYFUNCTION("""COMPUTED_VALUE"""),1.0)</f>
        <v>1</v>
      </c>
      <c r="G32" s="27" t="str">
        <f>IFERROR(__xludf.DUMMYFUNCTION("""COMPUTED_VALUE"""),"UNIT")</f>
        <v>UNIT</v>
      </c>
      <c r="H32" s="29">
        <f>IFERROR(__xludf.DUMMYFUNCTION("""COMPUTED_VALUE"""),46218.0)</f>
        <v>46218</v>
      </c>
      <c r="I32" s="24"/>
      <c r="J32" s="30" t="str">
        <f>IFERROR(__xludf.DUMMYFUNCTION("""COMPUTED_VALUE"""),"ALSIDE")</f>
        <v>ALSIDE</v>
      </c>
      <c r="K32" s="27" t="str">
        <f>IFERROR(__xludf.DUMMYFUNCTION("""COMPUTED_VALUE"""),"SCREENS NEEDED BY TERRY T.")</f>
        <v>SCREENS NEEDED BY TERRY T.</v>
      </c>
      <c r="L32" s="2" t="str">
        <f>IFERROR(__xludf.DUMMYFUNCTION("""COMPUTED_VALUE"""),"In Stock")</f>
        <v>In Stock</v>
      </c>
      <c r="M32" s="27" t="str">
        <f>IFERROR(__xludf.DUMMYFUNCTION("""COMPUTED_VALUE"""),"jose@ox-glass.com")</f>
        <v>jose@ox-glass.com</v>
      </c>
      <c r="N32" s="27" t="str">
        <f>IFERROR(__xludf.DUMMYFUNCTION("""COMPUTED_VALUE"""),"GENERIC")</f>
        <v>GENERIC</v>
      </c>
      <c r="O32" s="27" t="str">
        <f>IFERROR(__xludf.DUMMYFUNCTION("""COMPUTED_VALUE"""),"WINDOW|||ELKWOOD SCREENS T284")</f>
        <v>WINDOW|||ELKWOOD SCREENS T284</v>
      </c>
      <c r="P32" s="27"/>
      <c r="Q32" s="27" t="str">
        <f>IFERROR(__xludf.DUMMYFUNCTION("""COMPUTED_VALUE"""),"jose@ox-glass.com")</f>
        <v>jose@ox-glass.com</v>
      </c>
      <c r="R32" s="27" t="str">
        <f>IFERROR(__xludf.DUMMYFUNCTION("""COMPUTED_VALUE"""),"PM'S OFFICE")</f>
        <v>PM'S OFFICE</v>
      </c>
      <c r="S32" s="27" t="str">
        <f>IFERROR(__xludf.DUMMYFUNCTION("""COMPUTED_VALUE"""),"ENTRY")</f>
        <v>ENTRY</v>
      </c>
    </row>
    <row r="33" ht="21.75" customHeight="1">
      <c r="A33" s="23">
        <f>IFERROR(__xludf.DUMMYFUNCTION("""COMPUTED_VALUE"""),46220.57861039352)</f>
        <v>46220.57861</v>
      </c>
      <c r="B33" s="24" t="str">
        <f>IFERROR(__xludf.DUMMYFUNCTION("""COMPUTED_VALUE"""),"WINDOW")</f>
        <v>WINDOW</v>
      </c>
      <c r="C33" s="25" t="str">
        <f>IFERROR(__xludf.DUMMYFUNCTION("""COMPUTED_VALUE"""),"LGI 46 SASH")</f>
        <v>LGI 46 SASH</v>
      </c>
      <c r="D33" s="26"/>
      <c r="E33" s="27"/>
      <c r="F33" s="28">
        <f>IFERROR(__xludf.DUMMYFUNCTION("""COMPUTED_VALUE"""),1.0)</f>
        <v>1</v>
      </c>
      <c r="G33" s="27" t="str">
        <f>IFERROR(__xludf.DUMMYFUNCTION("""COMPUTED_VALUE"""),"UNIT")</f>
        <v>UNIT</v>
      </c>
      <c r="H33" s="29">
        <f>IFERROR(__xludf.DUMMYFUNCTION("""COMPUTED_VALUE"""),46218.0)</f>
        <v>46218</v>
      </c>
      <c r="I33" s="24"/>
      <c r="J33" s="30" t="str">
        <f>IFERROR(__xludf.DUMMYFUNCTION("""COMPUTED_VALUE"""),"ALSIDE")</f>
        <v>ALSIDE</v>
      </c>
      <c r="K33" s="27"/>
      <c r="L33" s="2" t="str">
        <f>IFERROR(__xludf.DUMMYFUNCTION("""COMPUTED_VALUE"""),"In Stock")</f>
        <v>In Stock</v>
      </c>
      <c r="M33" s="27" t="str">
        <f>IFERROR(__xludf.DUMMYFUNCTION("""COMPUTED_VALUE"""),"jose@ox-glass.com")</f>
        <v>jose@ox-glass.com</v>
      </c>
      <c r="N33" s="27" t="str">
        <f>IFERROR(__xludf.DUMMYFUNCTION("""COMPUTED_VALUE"""),"LGI 46 SASH")</f>
        <v>LGI 46 SASH</v>
      </c>
      <c r="O33" s="27" t="str">
        <f>IFERROR(__xludf.DUMMYFUNCTION("""COMPUTED_VALUE"""),"WINDOW|||LGI 46 SASH")</f>
        <v>WINDOW|||LGI 46 SASH</v>
      </c>
      <c r="P33" s="27"/>
      <c r="Q33" s="27" t="str">
        <f>IFERROR(__xludf.DUMMYFUNCTION("""COMPUTED_VALUE"""),"jose@ox-glass.com")</f>
        <v>jose@ox-glass.com</v>
      </c>
      <c r="R33" s="27" t="str">
        <f>IFERROR(__xludf.DUMMYFUNCTION("""COMPUTED_VALUE"""),"B6A")</f>
        <v>B6A</v>
      </c>
      <c r="S33" s="27" t="str">
        <f>IFERROR(__xludf.DUMMYFUNCTION("""COMPUTED_VALUE"""),"ENTRY")</f>
        <v>ENTRY</v>
      </c>
    </row>
    <row r="34" ht="21.75" customHeight="1">
      <c r="A34" s="23">
        <f>IFERROR(__xludf.DUMMYFUNCTION("""COMPUTED_VALUE"""),46220.57861039352)</f>
        <v>46220.57861</v>
      </c>
      <c r="B34" s="24" t="str">
        <f>IFERROR(__xludf.DUMMYFUNCTION("""COMPUTED_VALUE"""),"WINDOW")</f>
        <v>WINDOW</v>
      </c>
      <c r="C34" s="25" t="str">
        <f>IFERROR(__xludf.DUMMYFUNCTION("""COMPUTED_VALUE"""),"LGI 44 SASH")</f>
        <v>LGI 44 SASH</v>
      </c>
      <c r="D34" s="26"/>
      <c r="E34" s="27"/>
      <c r="F34" s="28">
        <f>IFERROR(__xludf.DUMMYFUNCTION("""COMPUTED_VALUE"""),1.0)</f>
        <v>1</v>
      </c>
      <c r="G34" s="27" t="str">
        <f>IFERROR(__xludf.DUMMYFUNCTION("""COMPUTED_VALUE"""),"UNIT")</f>
        <v>UNIT</v>
      </c>
      <c r="H34" s="29">
        <f>IFERROR(__xludf.DUMMYFUNCTION("""COMPUTED_VALUE"""),46218.0)</f>
        <v>46218</v>
      </c>
      <c r="I34" s="24"/>
      <c r="J34" s="30" t="str">
        <f>IFERROR(__xludf.DUMMYFUNCTION("""COMPUTED_VALUE"""),"ALSIDE")</f>
        <v>ALSIDE</v>
      </c>
      <c r="K34" s="27"/>
      <c r="L34" s="2" t="str">
        <f>IFERROR(__xludf.DUMMYFUNCTION("""COMPUTED_VALUE"""),"In Stock")</f>
        <v>In Stock</v>
      </c>
      <c r="M34" s="27" t="str">
        <f>IFERROR(__xludf.DUMMYFUNCTION("""COMPUTED_VALUE"""),"jose@ox-glass.com")</f>
        <v>jose@ox-glass.com</v>
      </c>
      <c r="N34" s="27" t="str">
        <f>IFERROR(__xludf.DUMMYFUNCTION("""COMPUTED_VALUE"""),"LGI 46 SASH")</f>
        <v>LGI 46 SASH</v>
      </c>
      <c r="O34" s="27" t="str">
        <f>IFERROR(__xludf.DUMMYFUNCTION("""COMPUTED_VALUE"""),"WINDOW|||LGI 44 SASH")</f>
        <v>WINDOW|||LGI 44 SASH</v>
      </c>
      <c r="P34" s="27"/>
      <c r="Q34" s="27" t="str">
        <f>IFERROR(__xludf.DUMMYFUNCTION("""COMPUTED_VALUE"""),"jose@ox-glass.com")</f>
        <v>jose@ox-glass.com</v>
      </c>
      <c r="R34" s="27" t="str">
        <f>IFERROR(__xludf.DUMMYFUNCTION("""COMPUTED_VALUE"""),"B6A")</f>
        <v>B6A</v>
      </c>
      <c r="S34" s="27" t="str">
        <f>IFERROR(__xludf.DUMMYFUNCTION("""COMPUTED_VALUE"""),"ENTRY")</f>
        <v>ENTRY</v>
      </c>
    </row>
    <row r="35" ht="21.75" customHeight="1">
      <c r="A35" s="23">
        <f>IFERROR(__xludf.DUMMYFUNCTION("""COMPUTED_VALUE"""),46220.57753520834)</f>
        <v>46220.57754</v>
      </c>
      <c r="B35" s="24" t="str">
        <f>IFERROR(__xludf.DUMMYFUNCTION("""COMPUTED_VALUE"""),"WINDOW")</f>
        <v>WINDOW</v>
      </c>
      <c r="C35" s="25" t="str">
        <f>IFERROR(__xludf.DUMMYFUNCTION("""COMPUTED_VALUE"""),"BLUEJAY-DAY POOL 7303")</f>
        <v>BLUEJAY-DAY POOL 7303</v>
      </c>
      <c r="D35" s="26"/>
      <c r="E35" s="27"/>
      <c r="F35" s="28">
        <f>IFERROR(__xludf.DUMMYFUNCTION("""COMPUTED_VALUE"""),1.0)</f>
        <v>1</v>
      </c>
      <c r="G35" s="27" t="str">
        <f>IFERROR(__xludf.DUMMYFUNCTION("""COMPUTED_VALUE"""),"UNIT")</f>
        <v>UNIT</v>
      </c>
      <c r="H35" s="29">
        <f>IFERROR(__xludf.DUMMYFUNCTION("""COMPUTED_VALUE"""),46218.0)</f>
        <v>46218</v>
      </c>
      <c r="I35" s="24"/>
      <c r="J35" s="30" t="str">
        <f>IFERROR(__xludf.DUMMYFUNCTION("""COMPUTED_VALUE"""),"ALSIDE")</f>
        <v>ALSIDE</v>
      </c>
      <c r="K35" s="27"/>
      <c r="L35" s="2" t="str">
        <f>IFERROR(__xludf.DUMMYFUNCTION("""COMPUTED_VALUE"""),"In Stock")</f>
        <v>In Stock</v>
      </c>
      <c r="M35" s="27" t="str">
        <f>IFERROR(__xludf.DUMMYFUNCTION("""COMPUTED_VALUE"""),"JOSE")</f>
        <v>JOSE</v>
      </c>
      <c r="N35" s="27" t="str">
        <f>IFERROR(__xludf.DUMMYFUNCTION("""COMPUTED_VALUE"""),"BLUEJAY DAY POOL 7303")</f>
        <v>BLUEJAY DAY POOL 7303</v>
      </c>
      <c r="O35" s="27" t="str">
        <f>IFERROR(__xludf.DUMMYFUNCTION("""COMPUTED_VALUE"""),"WINDOW|||BLUEJAY DAY POOL 7303")</f>
        <v>WINDOW|||BLUEJAY DAY POOL 7303</v>
      </c>
      <c r="P35" s="27"/>
      <c r="Q35" s="27" t="str">
        <f>IFERROR(__xludf.DUMMYFUNCTION("""COMPUTED_VALUE"""),"jose@ox-glass.com")</f>
        <v>jose@ox-glass.com</v>
      </c>
      <c r="R35" s="27" t="str">
        <f>IFERROR(__xludf.DUMMYFUNCTION("""COMPUTED_VALUE"""),"B6A")</f>
        <v>B6A</v>
      </c>
      <c r="S35" s="27" t="str">
        <f>IFERROR(__xludf.DUMMYFUNCTION("""COMPUTED_VALUE"""),"ENTRY")</f>
        <v>ENTRY</v>
      </c>
    </row>
    <row r="36" ht="21.75" customHeight="1">
      <c r="A36" s="23">
        <f>IFERROR(__xludf.DUMMYFUNCTION("""COMPUTED_VALUE"""),46219.669474768525)</f>
        <v>46219.66947</v>
      </c>
      <c r="B36" s="24" t="str">
        <f>IFERROR(__xludf.DUMMYFUNCTION("""COMPUTED_VALUE"""),"WINDOW")</f>
        <v>WINDOW</v>
      </c>
      <c r="C36" s="25" t="str">
        <f>IFERROR(__xludf.DUMMYFUNCTION("""COMPUTED_VALUE"""),"3500 RESIDENCES")</f>
        <v>3500 RESIDENCES</v>
      </c>
      <c r="D36" s="26" t="str">
        <f>IFERROR(__xludf.DUMMYFUNCTION("""COMPUTED_VALUE"""),"GHH")</f>
        <v>GHH</v>
      </c>
      <c r="E36" s="27"/>
      <c r="F36" s="28">
        <f>IFERROR(__xludf.DUMMYFUNCTION("""COMPUTED_VALUE"""),68.0)</f>
        <v>68</v>
      </c>
      <c r="G36" s="27" t="str">
        <f>IFERROR(__xludf.DUMMYFUNCTION("""COMPUTED_VALUE"""),"UNIT")</f>
        <v>UNIT</v>
      </c>
      <c r="H36" s="29">
        <f>IFERROR(__xludf.DUMMYFUNCTION("""COMPUTED_VALUE"""),46219.0)</f>
        <v>46219</v>
      </c>
      <c r="I36" s="24"/>
      <c r="J36" s="30" t="str">
        <f>IFERROR(__xludf.DUMMYFUNCTION("""COMPUTED_VALUE"""),"WINDSOR")</f>
        <v>WINDSOR</v>
      </c>
      <c r="K36" s="27" t="str">
        <f>IFERROR(__xludf.DUMMYFUNCTION("""COMPUTED_VALUE"""),"BOX RAPED WINDOWS")</f>
        <v>BOX RAPED WINDOWS</v>
      </c>
      <c r="L36" s="2" t="str">
        <f>IFERROR(__xludf.DUMMYFUNCTION("""COMPUTED_VALUE"""),"In Stock")</f>
        <v>In Stock</v>
      </c>
      <c r="M36" s="27" t="str">
        <f>IFERROR(__xludf.DUMMYFUNCTION("""COMPUTED_VALUE"""),"JOSE")</f>
        <v>JOSE</v>
      </c>
      <c r="N36" s="27" t="str">
        <f>IFERROR(__xludf.DUMMYFUNCTION("""COMPUTED_VALUE"""),"GHH3500 RESIDENCES")</f>
        <v>GHH3500 RESIDENCES</v>
      </c>
      <c r="O36" s="27" t="str">
        <f>IFERROR(__xludf.DUMMYFUNCTION("""COMPUTED_VALUE"""),"WINDOW|||3500 RESIDENCES")</f>
        <v>WINDOW|||3500 RESIDENCES</v>
      </c>
      <c r="P36" s="27"/>
      <c r="Q36" s="27" t="str">
        <f>IFERROR(__xludf.DUMMYFUNCTION("""COMPUTED_VALUE"""),"jose@ox-glass.com")</f>
        <v>jose@ox-glass.com</v>
      </c>
      <c r="R36" s="27" t="str">
        <f>IFERROR(__xludf.DUMMYFUNCTION("""COMPUTED_VALUE"""),"C3A")</f>
        <v>C3A</v>
      </c>
      <c r="S36" s="27" t="str">
        <f>IFERROR(__xludf.DUMMYFUNCTION("""COMPUTED_VALUE"""),"ENTRY")</f>
        <v>ENTRY</v>
      </c>
    </row>
    <row r="37" ht="21.75" customHeight="1">
      <c r="A37" s="23">
        <f>IFERROR(__xludf.DUMMYFUNCTION("""COMPUTED_VALUE"""),46219.66724054398)</f>
        <v>46219.66724</v>
      </c>
      <c r="B37" s="24" t="str">
        <f>IFERROR(__xludf.DUMMYFUNCTION("""COMPUTED_VALUE"""),"WINDOW")</f>
        <v>WINDOW</v>
      </c>
      <c r="C37" s="25" t="str">
        <f>IFERROR(__xludf.DUMMYFUNCTION("""COMPUTED_VALUE"""),"HF 156")</f>
        <v>HF 156</v>
      </c>
      <c r="D37" s="26" t="str">
        <f>IFERROR(__xludf.DUMMYFUNCTION("""COMPUTED_VALUE"""),"GOO")</f>
        <v>GOO</v>
      </c>
      <c r="E37" s="27"/>
      <c r="F37" s="28">
        <f>IFERROR(__xludf.DUMMYFUNCTION("""COMPUTED_VALUE"""),79.0)</f>
        <v>79</v>
      </c>
      <c r="G37" s="27" t="str">
        <f>IFERROR(__xludf.DUMMYFUNCTION("""COMPUTED_VALUE"""),"UNIT")</f>
        <v>UNIT</v>
      </c>
      <c r="H37" s="29">
        <f>IFERROR(__xludf.DUMMYFUNCTION("""COMPUTED_VALUE"""),46219.0)</f>
        <v>46219</v>
      </c>
      <c r="I37" s="24"/>
      <c r="J37" s="30" t="str">
        <f>IFERROR(__xludf.DUMMYFUNCTION("""COMPUTED_VALUE"""),"WINDSOR")</f>
        <v>WINDSOR</v>
      </c>
      <c r="K37" s="27" t="str">
        <f>IFERROR(__xludf.DUMMYFUNCTION("""COMPUTED_VALUE"""),"CLAY WINDOWS IN FRONT OF THE MIRROR PALLETS.")</f>
        <v>CLAY WINDOWS IN FRONT OF THE MIRROR PALLETS.</v>
      </c>
      <c r="L37" s="2" t="str">
        <f>IFERROR(__xludf.DUMMYFUNCTION("""COMPUTED_VALUE"""),"In Stock")</f>
        <v>In Stock</v>
      </c>
      <c r="M37" s="27" t="str">
        <f>IFERROR(__xludf.DUMMYFUNCTION("""COMPUTED_VALUE"""),"JOSE")</f>
        <v>JOSE</v>
      </c>
      <c r="N37" s="27" t="str">
        <f>IFERROR(__xludf.DUMMYFUNCTION("""COMPUTED_VALUE"""),"GOO HF 156")</f>
        <v>GOO HF 156</v>
      </c>
      <c r="O37" s="27" t="str">
        <f>IFERROR(__xludf.DUMMYFUNCTION("""COMPUTED_VALUE"""),"WINDOW|||HF 156")</f>
        <v>WINDOW|||HF 156</v>
      </c>
      <c r="P37" s="27"/>
      <c r="Q37" s="27" t="str">
        <f>IFERROR(__xludf.DUMMYFUNCTION("""COMPUTED_VALUE"""),"jose@ox-glass.com")</f>
        <v>jose@ox-glass.com</v>
      </c>
      <c r="R37" s="27" t="str">
        <f>IFERROR(__xludf.DUMMYFUNCTION("""COMPUTED_VALUE"""),"WINDOW WAREHOUSE")</f>
        <v>WINDOW WAREHOUSE</v>
      </c>
      <c r="S37" s="27" t="str">
        <f>IFERROR(__xludf.DUMMYFUNCTION("""COMPUTED_VALUE"""),"ENTRY")</f>
        <v>ENTRY</v>
      </c>
    </row>
    <row r="38" ht="21.75" customHeight="1">
      <c r="A38" s="23">
        <f>IFERROR(__xludf.DUMMYFUNCTION("""COMPUTED_VALUE"""),46219.58233805555)</f>
        <v>46219.58234</v>
      </c>
      <c r="B38" s="24" t="str">
        <f>IFERROR(__xludf.DUMMYFUNCTION("""COMPUTED_VALUE"""),"WINDOW")</f>
        <v>WINDOW</v>
      </c>
      <c r="C38" s="25" t="str">
        <f>IFERROR(__xludf.DUMMYFUNCTION("""COMPUTED_VALUE"""),"DE 10 CASCADE")</f>
        <v>DE 10 CASCADE</v>
      </c>
      <c r="D38" s="26"/>
      <c r="E38" s="27"/>
      <c r="F38" s="28">
        <f>IFERROR(__xludf.DUMMYFUNCTION("""COMPUTED_VALUE"""),8.0)</f>
        <v>8</v>
      </c>
      <c r="G38" s="27" t="str">
        <f>IFERROR(__xludf.DUMMYFUNCTION("""COMPUTED_VALUE"""),"UNIT")</f>
        <v>UNIT</v>
      </c>
      <c r="H38" s="29">
        <f>IFERROR(__xludf.DUMMYFUNCTION("""COMPUTED_VALUE"""),46219.0)</f>
        <v>46219</v>
      </c>
      <c r="I38" s="24" t="str">
        <f>IFERROR(__xludf.DUMMYFUNCTION("""COMPUTED_VALUE"""),"C4A")</f>
        <v>C4A</v>
      </c>
      <c r="J38" s="30"/>
      <c r="K38" s="27"/>
      <c r="L38" s="2" t="str">
        <f>IFERROR(__xludf.DUMMYFUNCTION("""COMPUTED_VALUE"""),"In Stock")</f>
        <v>In Stock</v>
      </c>
      <c r="M38" s="27" t="str">
        <f>IFERROR(__xludf.DUMMYFUNCTION("""COMPUTED_VALUE"""),"Jose")</f>
        <v>Jose</v>
      </c>
      <c r="N38" s="27" t="str">
        <f>IFERROR(__xludf.DUMMYFUNCTION("""COMPUTED_VALUE"""),"GENERIC")</f>
        <v>GENERIC</v>
      </c>
      <c r="O38" s="27" t="str">
        <f>IFERROR(__xludf.DUMMYFUNCTION("""COMPUTED_VALUE"""),"WINDOW|||DE 10 CASCADE")</f>
        <v>WINDOW|||DE 10 CASCADE</v>
      </c>
      <c r="P38" s="27"/>
      <c r="Q38" s="27" t="str">
        <f>IFERROR(__xludf.DUMMYFUNCTION("""COMPUTED_VALUE"""),"jose@ox-glass.com")</f>
        <v>jose@ox-glass.com</v>
      </c>
      <c r="R38" s="27" t="str">
        <f>IFERROR(__xludf.DUMMYFUNCTION("""COMPUTED_VALUE"""),"C6A")</f>
        <v>C6A</v>
      </c>
      <c r="S38" s="27" t="str">
        <f>IFERROR(__xludf.DUMMYFUNCTION("""COMPUTED_VALUE"""),"TRANSFER")</f>
        <v>TRANSFER</v>
      </c>
    </row>
    <row r="39" ht="21.75" customHeight="1">
      <c r="A39" s="23">
        <f>IFERROR(__xludf.DUMMYFUNCTION("""COMPUTED_VALUE"""),46219.58202508102)</f>
        <v>46219.58203</v>
      </c>
      <c r="B39" s="24" t="str">
        <f>IFERROR(__xludf.DUMMYFUNCTION("""COMPUTED_VALUE"""),"WINDOW")</f>
        <v>WINDOW</v>
      </c>
      <c r="C39" s="25" t="str">
        <f>IFERROR(__xludf.DUMMYFUNCTION("""COMPUTED_VALUE"""),"LGI DE 12 GRANITE")</f>
        <v>LGI DE 12 GRANITE</v>
      </c>
      <c r="D39" s="26"/>
      <c r="E39" s="27"/>
      <c r="F39" s="28">
        <f>IFERROR(__xludf.DUMMYFUNCTION("""COMPUTED_VALUE"""),10.0)</f>
        <v>10</v>
      </c>
      <c r="G39" s="27" t="str">
        <f>IFERROR(__xludf.DUMMYFUNCTION("""COMPUTED_VALUE"""),"UNIT")</f>
        <v>UNIT</v>
      </c>
      <c r="H39" s="29">
        <f>IFERROR(__xludf.DUMMYFUNCTION("""COMPUTED_VALUE"""),46219.0)</f>
        <v>46219</v>
      </c>
      <c r="I39" s="24" t="str">
        <f>IFERROR(__xludf.DUMMYFUNCTION("""COMPUTED_VALUE"""),"C4A")</f>
        <v>C4A</v>
      </c>
      <c r="J39" s="30"/>
      <c r="K39" s="27"/>
      <c r="L39" s="2" t="str">
        <f>IFERROR(__xludf.DUMMYFUNCTION("""COMPUTED_VALUE"""),"In Stock")</f>
        <v>In Stock</v>
      </c>
      <c r="M39" s="27" t="str">
        <f>IFERROR(__xludf.DUMMYFUNCTION("""COMPUTED_VALUE"""),"Jose")</f>
        <v>Jose</v>
      </c>
      <c r="N39" s="27" t="str">
        <f>IFERROR(__xludf.DUMMYFUNCTION("""COMPUTED_VALUE"""),"GENERIC")</f>
        <v>GENERIC</v>
      </c>
      <c r="O39" s="27" t="str">
        <f>IFERROR(__xludf.DUMMYFUNCTION("""COMPUTED_VALUE"""),"WINDOW|||LGI DE 12 GRANITE")</f>
        <v>WINDOW|||LGI DE 12 GRANITE</v>
      </c>
      <c r="P39" s="27"/>
      <c r="Q39" s="27" t="str">
        <f>IFERROR(__xludf.DUMMYFUNCTION("""COMPUTED_VALUE"""),"jose@ox-glass.com")</f>
        <v>jose@ox-glass.com</v>
      </c>
      <c r="R39" s="27" t="str">
        <f>IFERROR(__xludf.DUMMYFUNCTION("""COMPUTED_VALUE"""),"C6A")</f>
        <v>C6A</v>
      </c>
      <c r="S39" s="27" t="str">
        <f>IFERROR(__xludf.DUMMYFUNCTION("""COMPUTED_VALUE"""),"TRANSFER")</f>
        <v>TRANSFER</v>
      </c>
    </row>
    <row r="40" ht="21.75" customHeight="1">
      <c r="A40" s="23">
        <f>IFERROR(__xludf.DUMMYFUNCTION("""COMPUTED_VALUE"""),46219.58091805556)</f>
        <v>46219.58092</v>
      </c>
      <c r="B40" s="24" t="str">
        <f>IFERROR(__xludf.DUMMYFUNCTION("""COMPUTED_VALUE"""),"WINDOW")</f>
        <v>WINDOW</v>
      </c>
      <c r="C40" s="25" t="str">
        <f>IFERROR(__xludf.DUMMYFUNCTION("""COMPUTED_VALUE"""),"LGI DE 11 DELANO")</f>
        <v>LGI DE 11 DELANO</v>
      </c>
      <c r="D40" s="26"/>
      <c r="E40" s="27"/>
      <c r="F40" s="28">
        <f>IFERROR(__xludf.DUMMYFUNCTION("""COMPUTED_VALUE"""),11.0)</f>
        <v>11</v>
      </c>
      <c r="G40" s="27" t="str">
        <f>IFERROR(__xludf.DUMMYFUNCTION("""COMPUTED_VALUE"""),"UNIT")</f>
        <v>UNIT</v>
      </c>
      <c r="H40" s="29">
        <f>IFERROR(__xludf.DUMMYFUNCTION("""COMPUTED_VALUE"""),46219.0)</f>
        <v>46219</v>
      </c>
      <c r="I40" s="24" t="str">
        <f>IFERROR(__xludf.DUMMYFUNCTION("""COMPUTED_VALUE"""),"B4A")</f>
        <v>B4A</v>
      </c>
      <c r="J40" s="30"/>
      <c r="K40" s="27"/>
      <c r="L40" s="2" t="str">
        <f>IFERROR(__xludf.DUMMYFUNCTION("""COMPUTED_VALUE"""),"In Stock")</f>
        <v>In Stock</v>
      </c>
      <c r="M40" s="27" t="str">
        <f>IFERROR(__xludf.DUMMYFUNCTION("""COMPUTED_VALUE"""),"Jose")</f>
        <v>Jose</v>
      </c>
      <c r="N40" s="27" t="str">
        <f>IFERROR(__xludf.DUMMYFUNCTION("""COMPUTED_VALUE"""),"GENERIC")</f>
        <v>GENERIC</v>
      </c>
      <c r="O40" s="27" t="str">
        <f>IFERROR(__xludf.DUMMYFUNCTION("""COMPUTED_VALUE"""),"WINDOW|||LGI DE 11 DELANO")</f>
        <v>WINDOW|||LGI DE 11 DELANO</v>
      </c>
      <c r="P40" s="27"/>
      <c r="Q40" s="27" t="str">
        <f>IFERROR(__xludf.DUMMYFUNCTION("""COMPUTED_VALUE"""),"jose@ox-glass.com")</f>
        <v>jose@ox-glass.com</v>
      </c>
      <c r="R40" s="27" t="str">
        <f>IFERROR(__xludf.DUMMYFUNCTION("""COMPUTED_VALUE"""),"C6A")</f>
        <v>C6A</v>
      </c>
      <c r="S40" s="27" t="str">
        <f>IFERROR(__xludf.DUMMYFUNCTION("""COMPUTED_VALUE"""),"TRANSFER")</f>
        <v>TRANSFER</v>
      </c>
    </row>
    <row r="41" ht="21.75" customHeight="1">
      <c r="A41" s="23">
        <f>IFERROR(__xludf.DUMMYFUNCTION("""COMPUTED_VALUE"""),46219.569730393516)</f>
        <v>46219.56973</v>
      </c>
      <c r="B41" s="24" t="str">
        <f>IFERROR(__xludf.DUMMYFUNCTION("""COMPUTED_VALUE"""),"WINDOW")</f>
        <v>WINDOW</v>
      </c>
      <c r="C41" s="25" t="str">
        <f>IFERROR(__xludf.DUMMYFUNCTION("""COMPUTED_VALUE"""),"OQU 173 HILGARD")</f>
        <v>OQU 173 HILGARD</v>
      </c>
      <c r="D41" s="26"/>
      <c r="E41" s="27"/>
      <c r="F41" s="28">
        <f>IFERROR(__xludf.DUMMYFUNCTION("""COMPUTED_VALUE"""),16.0)</f>
        <v>16</v>
      </c>
      <c r="G41" s="27" t="str">
        <f>IFERROR(__xludf.DUMMYFUNCTION("""COMPUTED_VALUE"""),"UNIT")</f>
        <v>UNIT</v>
      </c>
      <c r="H41" s="29">
        <f>IFERROR(__xludf.DUMMYFUNCTION("""COMPUTED_VALUE"""),46219.0)</f>
        <v>46219</v>
      </c>
      <c r="I41" s="24" t="str">
        <f>IFERROR(__xludf.DUMMYFUNCTION("""COMPUTED_VALUE"""),"B5A")</f>
        <v>B5A</v>
      </c>
      <c r="J41" s="30"/>
      <c r="K41" s="27"/>
      <c r="L41" s="2" t="str">
        <f>IFERROR(__xludf.DUMMYFUNCTION("""COMPUTED_VALUE"""),"Dispatched")</f>
        <v>Dispatched</v>
      </c>
      <c r="M41" s="27" t="str">
        <f>IFERROR(__xludf.DUMMYFUNCTION("""COMPUTED_VALUE"""),"CALEB, BRANDO AND TEAM")</f>
        <v>CALEB, BRANDO AND TEAM</v>
      </c>
      <c r="N41" s="27"/>
      <c r="O41" s="27" t="str">
        <f>IFERROR(__xludf.DUMMYFUNCTION("""COMPUTED_VALUE"""),"WINDOW|||OQU 173 HILGARD")</f>
        <v>WINDOW|||OQU 173 HILGARD</v>
      </c>
      <c r="P41" s="27"/>
      <c r="Q41" s="27" t="str">
        <f>IFERROR(__xludf.DUMMYFUNCTION("""COMPUTED_VALUE"""),"jose@ox-glass.com")</f>
        <v>jose@ox-glass.com</v>
      </c>
      <c r="R41" s="27" t="str">
        <f>IFERROR(__xludf.DUMMYFUNCTION("""COMPUTED_VALUE"""),"LGI OQU 173 HILGARD")</f>
        <v>LGI OQU 173 HILGARD</v>
      </c>
      <c r="S41" s="27" t="str">
        <f>IFERROR(__xludf.DUMMYFUNCTION("""COMPUTED_VALUE"""),"EXIT")</f>
        <v>EXIT</v>
      </c>
    </row>
    <row r="42" ht="21.75" customHeight="1">
      <c r="A42" s="23">
        <f>IFERROR(__xludf.DUMMYFUNCTION("""COMPUTED_VALUE"""),46219.56825153936)</f>
        <v>46219.56825</v>
      </c>
      <c r="B42" s="24" t="str">
        <f>IFERROR(__xludf.DUMMYFUNCTION("""COMPUTED_VALUE"""),"WINDOW")</f>
        <v>WINDOW</v>
      </c>
      <c r="C42" s="25" t="str">
        <f>IFERROR(__xludf.DUMMYFUNCTION("""COMPUTED_VALUE"""),"OQU 201 GLENWOOD")</f>
        <v>OQU 201 GLENWOOD</v>
      </c>
      <c r="D42" s="26"/>
      <c r="E42" s="27"/>
      <c r="F42" s="28">
        <f>IFERROR(__xludf.DUMMYFUNCTION("""COMPUTED_VALUE"""),6.0)</f>
        <v>6</v>
      </c>
      <c r="G42" s="27" t="str">
        <f>IFERROR(__xludf.DUMMYFUNCTION("""COMPUTED_VALUE"""),"UNIT")</f>
        <v>UNIT</v>
      </c>
      <c r="H42" s="29">
        <f>IFERROR(__xludf.DUMMYFUNCTION("""COMPUTED_VALUE"""),46219.0)</f>
        <v>46219</v>
      </c>
      <c r="I42" s="24" t="str">
        <f>IFERROR(__xludf.DUMMYFUNCTION("""COMPUTED_VALUE"""),"A3A")</f>
        <v>A3A</v>
      </c>
      <c r="J42" s="30"/>
      <c r="K42" s="27"/>
      <c r="L42" s="2" t="str">
        <f>IFERROR(__xludf.DUMMYFUNCTION("""COMPUTED_VALUE"""),"Dispatched")</f>
        <v>Dispatched</v>
      </c>
      <c r="M42" s="27" t="str">
        <f>IFERROR(__xludf.DUMMYFUNCTION("""COMPUTED_VALUE"""),"CALEB, BRANDON AND TEAM")</f>
        <v>CALEB, BRANDON AND TEAM</v>
      </c>
      <c r="N42" s="27"/>
      <c r="O42" s="27" t="str">
        <f>IFERROR(__xludf.DUMMYFUNCTION("""COMPUTED_VALUE"""),"WINDOW|||OQU 201 GLENWOOD")</f>
        <v>WINDOW|||OQU 201 GLENWOOD</v>
      </c>
      <c r="P42" s="27"/>
      <c r="Q42" s="27" t="str">
        <f>IFERROR(__xludf.DUMMYFUNCTION("""COMPUTED_VALUE"""),"jose@ox-glass.com")</f>
        <v>jose@ox-glass.com</v>
      </c>
      <c r="R42" s="27" t="str">
        <f>IFERROR(__xludf.DUMMYFUNCTION("""COMPUTED_VALUE"""),"LGI OQU 201 GLENWOOD")</f>
        <v>LGI OQU 201 GLENWOOD</v>
      </c>
      <c r="S42" s="27" t="str">
        <f>IFERROR(__xludf.DUMMYFUNCTION("""COMPUTED_VALUE"""),"EXIT")</f>
        <v>EXIT</v>
      </c>
    </row>
    <row r="43" ht="21.75" customHeight="1">
      <c r="A43" s="23">
        <f>IFERROR(__xludf.DUMMYFUNCTION("""COMPUTED_VALUE"""),46218.40894655093)</f>
        <v>46218.40895</v>
      </c>
      <c r="B43" s="24" t="str">
        <f>IFERROR(__xludf.DUMMYFUNCTION("""COMPUTED_VALUE"""),"WINDOW")</f>
        <v>WINDOW</v>
      </c>
      <c r="C43" s="25" t="str">
        <f>IFERROR(__xludf.DUMMYFUNCTION("""COMPUTED_VALUE"""),"BMW3")</f>
        <v>BMW3</v>
      </c>
      <c r="D43" s="26"/>
      <c r="E43" s="27"/>
      <c r="F43" s="28">
        <f>IFERROR(__xludf.DUMMYFUNCTION("""COMPUTED_VALUE"""),1.0)</f>
        <v>1</v>
      </c>
      <c r="G43" s="27" t="str">
        <f>IFERROR(__xludf.DUMMYFUNCTION("""COMPUTED_VALUE"""),"UNIT")</f>
        <v>UNIT</v>
      </c>
      <c r="H43" s="29">
        <f>IFERROR(__xludf.DUMMYFUNCTION("""COMPUTED_VALUE"""),46218.0)</f>
        <v>46218</v>
      </c>
      <c r="I43" s="24" t="str">
        <f>IFERROR(__xludf.DUMMYFUNCTION("""COMPUTED_VALUE"""),"C")</f>
        <v>C</v>
      </c>
      <c r="J43" s="30"/>
      <c r="K43" s="27" t="str">
        <f>IFERROR(__xludf.DUMMYFUNCTION("""COMPUTED_VALUE"""),"3 PANELS AN 1 FRAME")</f>
        <v>3 PANELS AN 1 FRAME</v>
      </c>
      <c r="L43" s="2" t="str">
        <f>IFERROR(__xludf.DUMMYFUNCTION("""COMPUTED_VALUE"""),"Dispatched")</f>
        <v>Dispatched</v>
      </c>
      <c r="M43" s="27" t="str">
        <f>IFERROR(__xludf.DUMMYFUNCTION("""COMPUTED_VALUE"""),"TOMMY AND PRESTON")</f>
        <v>TOMMY AND PRESTON</v>
      </c>
      <c r="N43" s="27"/>
      <c r="O43" s="27" t="str">
        <f>IFERROR(__xludf.DUMMYFUNCTION("""COMPUTED_VALUE"""),"WINDOW|||BMW3")</f>
        <v>WINDOW|||BMW3</v>
      </c>
      <c r="P43" s="27"/>
      <c r="Q43" s="27" t="str">
        <f>IFERROR(__xludf.DUMMYFUNCTION("""COMPUTED_VALUE"""),"jose@ox-glass.com")</f>
        <v>jose@ox-glass.com</v>
      </c>
      <c r="R43" s="27" t="str">
        <f>IFERROR(__xludf.DUMMYFUNCTION("""COMPUTED_VALUE"""),"PAT BMW3")</f>
        <v>PAT BMW3</v>
      </c>
      <c r="S43" s="27" t="str">
        <f>IFERROR(__xludf.DUMMYFUNCTION("""COMPUTED_VALUE"""),"EXIT")</f>
        <v>EXIT</v>
      </c>
    </row>
    <row r="44" ht="21.75" customHeight="1">
      <c r="A44" s="23">
        <f>IFERROR(__xludf.DUMMYFUNCTION("""COMPUTED_VALUE"""),46218.372232002315)</f>
        <v>46218.37223</v>
      </c>
      <c r="B44" s="24" t="str">
        <f>IFERROR(__xludf.DUMMYFUNCTION("""COMPUTED_VALUE"""),"WINDOW")</f>
        <v>WINDOW</v>
      </c>
      <c r="C44" s="25" t="str">
        <f>IFERROR(__xludf.DUMMYFUNCTION("""COMPUTED_VALUE"""),"TOL MH 159 (REORDER)")</f>
        <v>TOL MH 159 (REORDER)</v>
      </c>
      <c r="D44" s="26"/>
      <c r="E44" s="27"/>
      <c r="F44" s="28">
        <f>IFERROR(__xludf.DUMMYFUNCTION("""COMPUTED_VALUE"""),46.0)</f>
        <v>46</v>
      </c>
      <c r="G44" s="27" t="str">
        <f>IFERROR(__xludf.DUMMYFUNCTION("""COMPUTED_VALUE"""),"UNIT")</f>
        <v>UNIT</v>
      </c>
      <c r="H44" s="29">
        <f>IFERROR(__xludf.DUMMYFUNCTION("""COMPUTED_VALUE"""),46218.0)</f>
        <v>46218</v>
      </c>
      <c r="I44" s="24" t="str">
        <f>IFERROR(__xludf.DUMMYFUNCTION("""COMPUTED_VALUE"""),"C3A")</f>
        <v>C3A</v>
      </c>
      <c r="J44" s="30"/>
      <c r="K44" s="27"/>
      <c r="L44" s="2" t="str">
        <f>IFERROR(__xludf.DUMMYFUNCTION("""COMPUTED_VALUE"""),"Dispatched")</f>
        <v>Dispatched</v>
      </c>
      <c r="M44" s="27" t="str">
        <f>IFERROR(__xludf.DUMMYFUNCTION("""COMPUTED_VALUE"""),"CALEB, BRANDON")</f>
        <v>CALEB, BRANDON</v>
      </c>
      <c r="N44" s="27"/>
      <c r="O44" s="27" t="str">
        <f>IFERROR(__xludf.DUMMYFUNCTION("""COMPUTED_VALUE"""),"WINDOW|||TOL MH 159 (REORDER)")</f>
        <v>WINDOW|||TOL MH 159 (REORDER)</v>
      </c>
      <c r="P44" s="27"/>
      <c r="Q44" s="27" t="str">
        <f>IFERROR(__xludf.DUMMYFUNCTION("""COMPUTED_VALUE"""),"jose@ox-glass.com")</f>
        <v>jose@ox-glass.com</v>
      </c>
      <c r="R44" s="27" t="str">
        <f>IFERROR(__xludf.DUMMYFUNCTION("""COMPUTED_VALUE"""),"TOL MH 159")</f>
        <v>TOL MH 159</v>
      </c>
      <c r="S44" s="27" t="str">
        <f>IFERROR(__xludf.DUMMYFUNCTION("""COMPUTED_VALUE"""),"EXIT")</f>
        <v>EXIT</v>
      </c>
    </row>
    <row r="45" ht="21.75" customHeight="1">
      <c r="A45" s="23">
        <f>IFERROR(__xludf.DUMMYFUNCTION("""COMPUTED_VALUE"""),46218.372232002315)</f>
        <v>46218.37223</v>
      </c>
      <c r="B45" s="24" t="str">
        <f>IFERROR(__xludf.DUMMYFUNCTION("""COMPUTED_VALUE"""),"WINDOW")</f>
        <v>WINDOW</v>
      </c>
      <c r="C45" s="25" t="str">
        <f>IFERROR(__xludf.DUMMYFUNCTION("""COMPUTED_VALUE"""),"TOL MH 159 (REORDER)")</f>
        <v>TOL MH 159 (REORDER)</v>
      </c>
      <c r="D45" s="26"/>
      <c r="E45" s="27"/>
      <c r="F45" s="28">
        <f>IFERROR(__xludf.DUMMYFUNCTION("""COMPUTED_VALUE"""),1.0)</f>
        <v>1</v>
      </c>
      <c r="G45" s="27" t="str">
        <f>IFERROR(__xludf.DUMMYFUNCTION("""COMPUTED_VALUE"""),"UNIT")</f>
        <v>UNIT</v>
      </c>
      <c r="H45" s="29">
        <f>IFERROR(__xludf.DUMMYFUNCTION("""COMPUTED_VALUE"""),46218.0)</f>
        <v>46218</v>
      </c>
      <c r="I45" s="24" t="str">
        <f>IFERROR(__xludf.DUMMYFUNCTION("""COMPUTED_VALUE"""),"C1A")</f>
        <v>C1A</v>
      </c>
      <c r="J45" s="30"/>
      <c r="K45" s="27"/>
      <c r="L45" s="2" t="str">
        <f>IFERROR(__xludf.DUMMYFUNCTION("""COMPUTED_VALUE"""),"Dispatched")</f>
        <v>Dispatched</v>
      </c>
      <c r="M45" s="27" t="str">
        <f>IFERROR(__xludf.DUMMYFUNCTION("""COMPUTED_VALUE"""),"CALEB, BRANDON")</f>
        <v>CALEB, BRANDON</v>
      </c>
      <c r="N45" s="27"/>
      <c r="O45" s="27" t="str">
        <f>IFERROR(__xludf.DUMMYFUNCTION("""COMPUTED_VALUE"""),"WINDOW|||TOL MH 159 (REORDER)")</f>
        <v>WINDOW|||TOL MH 159 (REORDER)</v>
      </c>
      <c r="P45" s="27"/>
      <c r="Q45" s="27" t="str">
        <f>IFERROR(__xludf.DUMMYFUNCTION("""COMPUTED_VALUE"""),"jose@ox-glass.com")</f>
        <v>jose@ox-glass.com</v>
      </c>
      <c r="R45" s="27" t="str">
        <f>IFERROR(__xludf.DUMMYFUNCTION("""COMPUTED_VALUE"""),"TOL MH 159")</f>
        <v>TOL MH 159</v>
      </c>
      <c r="S45" s="27" t="str">
        <f>IFERROR(__xludf.DUMMYFUNCTION("""COMPUTED_VALUE"""),"EXIT")</f>
        <v>EXIT</v>
      </c>
    </row>
    <row r="46" ht="21.75" customHeight="1">
      <c r="A46" s="23">
        <f>IFERROR(__xludf.DUMMYFUNCTION("""COMPUTED_VALUE"""),46217.48579465277)</f>
        <v>46217.48579</v>
      </c>
      <c r="B46" s="24" t="str">
        <f>IFERROR(__xludf.DUMMYFUNCTION("""COMPUTED_VALUE"""),"WINDOW")</f>
        <v>WINDOW</v>
      </c>
      <c r="C46" s="25" t="str">
        <f>IFERROR(__xludf.DUMMYFUNCTION("""COMPUTED_VALUE"""),"BS10")</f>
        <v>BS10</v>
      </c>
      <c r="D46" s="26"/>
      <c r="E46" s="27"/>
      <c r="F46" s="28">
        <f>IFERROR(__xludf.DUMMYFUNCTION("""COMPUTED_VALUE"""),15.0)</f>
        <v>15</v>
      </c>
      <c r="G46" s="27" t="str">
        <f>IFERROR(__xludf.DUMMYFUNCTION("""COMPUTED_VALUE"""),"UNIT")</f>
        <v>UNIT</v>
      </c>
      <c r="H46" s="29">
        <f>IFERROR(__xludf.DUMMYFUNCTION("""COMPUTED_VALUE"""),46217.0)</f>
        <v>46217</v>
      </c>
      <c r="I46" s="24" t="str">
        <f>IFERROR(__xludf.DUMMYFUNCTION("""COMPUTED_VALUE"""),"B2A")</f>
        <v>B2A</v>
      </c>
      <c r="J46" s="30"/>
      <c r="K46" s="27"/>
      <c r="L46" s="2" t="str">
        <f>IFERROR(__xludf.DUMMYFUNCTION("""COMPUTED_VALUE"""),"In Stock")</f>
        <v>In Stock</v>
      </c>
      <c r="M46" s="27" t="str">
        <f>IFERROR(__xludf.DUMMYFUNCTION("""COMPUTED_VALUE"""),"Jose")</f>
        <v>Jose</v>
      </c>
      <c r="N46" s="27" t="str">
        <f>IFERROR(__xludf.DUMMYFUNCTION("""COMPUTED_VALUE"""),"GENERIC")</f>
        <v>GENERIC</v>
      </c>
      <c r="O46" s="27" t="str">
        <f>IFERROR(__xludf.DUMMYFUNCTION("""COMPUTED_VALUE"""),"WINDOW|||BS10")</f>
        <v>WINDOW|||BS10</v>
      </c>
      <c r="P46" s="27"/>
      <c r="Q46" s="27" t="str">
        <f>IFERROR(__xludf.DUMMYFUNCTION("""COMPUTED_VALUE"""),"jose@ox-glass.com")</f>
        <v>jose@ox-glass.com</v>
      </c>
      <c r="R46" s="27" t="str">
        <f>IFERROR(__xludf.DUMMYFUNCTION("""COMPUTED_VALUE"""),"A6A")</f>
        <v>A6A</v>
      </c>
      <c r="S46" s="27" t="str">
        <f>IFERROR(__xludf.DUMMYFUNCTION("""COMPUTED_VALUE"""),"TRANSFER")</f>
        <v>TRANSFER</v>
      </c>
    </row>
    <row r="47" ht="21.75" customHeight="1">
      <c r="A47" s="23">
        <f>IFERROR(__xludf.DUMMYFUNCTION("""COMPUTED_VALUE"""),46217.48579465277)</f>
        <v>46217.48579</v>
      </c>
      <c r="B47" s="24" t="str">
        <f>IFERROR(__xludf.DUMMYFUNCTION("""COMPUTED_VALUE"""),"WINDOW")</f>
        <v>WINDOW</v>
      </c>
      <c r="C47" s="25" t="str">
        <f>IFERROR(__xludf.DUMMYFUNCTION("""COMPUTED_VALUE"""),"BS10")</f>
        <v>BS10</v>
      </c>
      <c r="D47" s="26"/>
      <c r="E47" s="27"/>
      <c r="F47" s="28">
        <f>IFERROR(__xludf.DUMMYFUNCTION("""COMPUTED_VALUE"""),12.0)</f>
        <v>12</v>
      </c>
      <c r="G47" s="27" t="str">
        <f>IFERROR(__xludf.DUMMYFUNCTION("""COMPUTED_VALUE"""),"UNIT")</f>
        <v>UNIT</v>
      </c>
      <c r="H47" s="29">
        <f>IFERROR(__xludf.DUMMYFUNCTION("""COMPUTED_VALUE"""),46217.0)</f>
        <v>46217</v>
      </c>
      <c r="I47" s="24" t="str">
        <f>IFERROR(__xludf.DUMMYFUNCTION("""COMPUTED_VALUE"""),"C2A")</f>
        <v>C2A</v>
      </c>
      <c r="J47" s="30"/>
      <c r="K47" s="27"/>
      <c r="L47" s="2" t="str">
        <f>IFERROR(__xludf.DUMMYFUNCTION("""COMPUTED_VALUE"""),"In Stock")</f>
        <v>In Stock</v>
      </c>
      <c r="M47" s="27" t="str">
        <f>IFERROR(__xludf.DUMMYFUNCTION("""COMPUTED_VALUE"""),"Jose")</f>
        <v>Jose</v>
      </c>
      <c r="N47" s="27" t="str">
        <f>IFERROR(__xludf.DUMMYFUNCTION("""COMPUTED_VALUE"""),"GENERIC")</f>
        <v>GENERIC</v>
      </c>
      <c r="O47" s="27" t="str">
        <f>IFERROR(__xludf.DUMMYFUNCTION("""COMPUTED_VALUE"""),"WINDOW|||BS10")</f>
        <v>WINDOW|||BS10</v>
      </c>
      <c r="P47" s="27"/>
      <c r="Q47" s="27" t="str">
        <f>IFERROR(__xludf.DUMMYFUNCTION("""COMPUTED_VALUE"""),"jose@ox-glass.com")</f>
        <v>jose@ox-glass.com</v>
      </c>
      <c r="R47" s="27" t="str">
        <f>IFERROR(__xludf.DUMMYFUNCTION("""COMPUTED_VALUE"""),"A6A")</f>
        <v>A6A</v>
      </c>
      <c r="S47" s="27" t="str">
        <f>IFERROR(__xludf.DUMMYFUNCTION("""COMPUTED_VALUE"""),"TRANSFER")</f>
        <v>TRANSFER</v>
      </c>
    </row>
    <row r="48" ht="21.75" customHeight="1">
      <c r="A48" s="23">
        <f>IFERROR(__xludf.DUMMYFUNCTION("""COMPUTED_VALUE"""),46217.48489287037)</f>
        <v>46217.48489</v>
      </c>
      <c r="B48" s="24" t="str">
        <f>IFERROR(__xludf.DUMMYFUNCTION("""COMPUTED_VALUE"""),"WINDOW")</f>
        <v>WINDOW</v>
      </c>
      <c r="C48" s="25" t="str">
        <f>IFERROR(__xludf.DUMMYFUNCTION("""COMPUTED_VALUE"""),"SP 647")</f>
        <v>SP 647</v>
      </c>
      <c r="D48" s="26"/>
      <c r="E48" s="27"/>
      <c r="F48" s="28">
        <f>IFERROR(__xludf.DUMMYFUNCTION("""COMPUTED_VALUE"""),13.0)</f>
        <v>13</v>
      </c>
      <c r="G48" s="27" t="str">
        <f>IFERROR(__xludf.DUMMYFUNCTION("""COMPUTED_VALUE"""),"UNIT")</f>
        <v>UNIT</v>
      </c>
      <c r="H48" s="29">
        <f>IFERROR(__xludf.DUMMYFUNCTION("""COMPUTED_VALUE"""),46210.0)</f>
        <v>46210</v>
      </c>
      <c r="I48" s="24" t="str">
        <f>IFERROR(__xludf.DUMMYFUNCTION("""COMPUTED_VALUE"""),"A6A")</f>
        <v>A6A</v>
      </c>
      <c r="J48" s="30"/>
      <c r="K48" s="27"/>
      <c r="L48" s="2" t="str">
        <f>IFERROR(__xludf.DUMMYFUNCTION("""COMPUTED_VALUE"""),"Dispatched")</f>
        <v>Dispatched</v>
      </c>
      <c r="M48" s="27" t="str">
        <f>IFERROR(__xludf.DUMMYFUNCTION("""COMPUTED_VALUE"""),"jose@ox-glass.com")</f>
        <v>jose@ox-glass.com</v>
      </c>
      <c r="N48" s="27"/>
      <c r="O48" s="27" t="str">
        <f>IFERROR(__xludf.DUMMYFUNCTION("""COMPUTED_VALUE"""),"WINDOW|||SP 647")</f>
        <v>WINDOW|||SP 647</v>
      </c>
      <c r="P48" s="27"/>
      <c r="Q48" s="27" t="str">
        <f>IFERROR(__xludf.DUMMYFUNCTION("""COMPUTED_VALUE"""),"jose@ox-glass.com")</f>
        <v>jose@ox-glass.com</v>
      </c>
      <c r="R48" s="27" t="str">
        <f>IFERROR(__xludf.DUMMYFUNCTION("""COMPUTED_VALUE"""),"SP 647")</f>
        <v>SP 647</v>
      </c>
      <c r="S48" s="27" t="str">
        <f>IFERROR(__xludf.DUMMYFUNCTION("""COMPUTED_VALUE"""),"EXIT")</f>
        <v>EXIT</v>
      </c>
    </row>
    <row r="49" ht="21.75" customHeight="1">
      <c r="A49" s="23">
        <f>IFERROR(__xludf.DUMMYFUNCTION("""COMPUTED_VALUE"""),46217.48489287037)</f>
        <v>46217.48489</v>
      </c>
      <c r="B49" s="24" t="str">
        <f>IFERROR(__xludf.DUMMYFUNCTION("""COMPUTED_VALUE"""),"WINDOW")</f>
        <v>WINDOW</v>
      </c>
      <c r="C49" s="25" t="str">
        <f>IFERROR(__xludf.DUMMYFUNCTION("""COMPUTED_VALUE"""),"SP 647")</f>
        <v>SP 647</v>
      </c>
      <c r="D49" s="26"/>
      <c r="E49" s="27"/>
      <c r="F49" s="28">
        <f>IFERROR(__xludf.DUMMYFUNCTION("""COMPUTED_VALUE"""),2.0)</f>
        <v>2</v>
      </c>
      <c r="G49" s="27" t="str">
        <f>IFERROR(__xludf.DUMMYFUNCTION("""COMPUTED_VALUE"""),"UNIT")</f>
        <v>UNIT</v>
      </c>
      <c r="H49" s="29">
        <f>IFERROR(__xludf.DUMMYFUNCTION("""COMPUTED_VALUE"""),46210.0)</f>
        <v>46210</v>
      </c>
      <c r="I49" s="24" t="str">
        <f>IFERROR(__xludf.DUMMYFUNCTION("""COMPUTED_VALUE"""),"B6A")</f>
        <v>B6A</v>
      </c>
      <c r="J49" s="30"/>
      <c r="K49" s="27"/>
      <c r="L49" s="2" t="str">
        <f>IFERROR(__xludf.DUMMYFUNCTION("""COMPUTED_VALUE"""),"Dispatched")</f>
        <v>Dispatched</v>
      </c>
      <c r="M49" s="27" t="str">
        <f>IFERROR(__xludf.DUMMYFUNCTION("""COMPUTED_VALUE"""),"jose@ox-glass.com")</f>
        <v>jose@ox-glass.com</v>
      </c>
      <c r="N49" s="27"/>
      <c r="O49" s="27" t="str">
        <f>IFERROR(__xludf.DUMMYFUNCTION("""COMPUTED_VALUE"""),"WINDOW|||SP 647")</f>
        <v>WINDOW|||SP 647</v>
      </c>
      <c r="P49" s="27"/>
      <c r="Q49" s="27" t="str">
        <f>IFERROR(__xludf.DUMMYFUNCTION("""COMPUTED_VALUE"""),"jose@ox-glass.com")</f>
        <v>jose@ox-glass.com</v>
      </c>
      <c r="R49" s="27" t="str">
        <f>IFERROR(__xludf.DUMMYFUNCTION("""COMPUTED_VALUE"""),"SP 647")</f>
        <v>SP 647</v>
      </c>
      <c r="S49" s="27" t="str">
        <f>IFERROR(__xludf.DUMMYFUNCTION("""COMPUTED_VALUE"""),"EXIT")</f>
        <v>EXIT</v>
      </c>
    </row>
    <row r="50" ht="21.75" customHeight="1">
      <c r="A50" s="23">
        <f>IFERROR(__xludf.DUMMYFUNCTION("""COMPUTED_VALUE"""),46217.430763993056)</f>
        <v>46217.43076</v>
      </c>
      <c r="B50" s="24" t="str">
        <f>IFERROR(__xludf.DUMMYFUNCTION("""COMPUTED_VALUE"""),"WINDOW")</f>
        <v>WINDOW</v>
      </c>
      <c r="C50" s="25" t="str">
        <f>IFERROR(__xludf.DUMMYFUNCTION("""COMPUTED_VALUE"""),"TIMP VALLEY CONSTRUCTION")</f>
        <v>TIMP VALLEY CONSTRUCTION</v>
      </c>
      <c r="D50" s="26"/>
      <c r="E50" s="27"/>
      <c r="F50" s="28">
        <f>IFERROR(__xludf.DUMMYFUNCTION("""COMPUTED_VALUE"""),6.0)</f>
        <v>6</v>
      </c>
      <c r="G50" s="27" t="str">
        <f>IFERROR(__xludf.DUMMYFUNCTION("""COMPUTED_VALUE"""),"UNIT")</f>
        <v>UNIT</v>
      </c>
      <c r="H50" s="29">
        <f>IFERROR(__xludf.DUMMYFUNCTION("""COMPUTED_VALUE"""),46204.0)</f>
        <v>46204</v>
      </c>
      <c r="I50" s="24" t="str">
        <f>IFERROR(__xludf.DUMMYFUNCTION("""COMPUTED_VALUE"""),"A5A")</f>
        <v>A5A</v>
      </c>
      <c r="J50" s="30"/>
      <c r="K50" s="27"/>
      <c r="L50" s="2" t="str">
        <f>IFERROR(__xludf.DUMMYFUNCTION("""COMPUTED_VALUE"""),"Dispatched")</f>
        <v>Dispatched</v>
      </c>
      <c r="M50" s="27" t="str">
        <f>IFERROR(__xludf.DUMMYFUNCTION("""COMPUTED_VALUE"""),"SPENCER AND ELIJAH")</f>
        <v>SPENCER AND ELIJAH</v>
      </c>
      <c r="N50" s="27"/>
      <c r="O50" s="27" t="str">
        <f>IFERROR(__xludf.DUMMYFUNCTION("""COMPUTED_VALUE"""),"WINDOW|||TIMP VALLEY CONSTRUCTION")</f>
        <v>WINDOW|||TIMP VALLEY CONSTRUCTION</v>
      </c>
      <c r="P50" s="27"/>
      <c r="Q50" s="27" t="str">
        <f>IFERROR(__xludf.DUMMYFUNCTION("""COMPUTED_VALUE"""),"jose@ox-glass.com")</f>
        <v>jose@ox-glass.com</v>
      </c>
      <c r="R50" s="27" t="str">
        <f>IFERROR(__xludf.DUMMYFUNCTION("""COMPUTED_VALUE"""),"TIMP VALLEY CONSTRUCTION")</f>
        <v>TIMP VALLEY CONSTRUCTION</v>
      </c>
      <c r="S50" s="27" t="str">
        <f>IFERROR(__xludf.DUMMYFUNCTION("""COMPUTED_VALUE"""),"EXIT")</f>
        <v>EXIT</v>
      </c>
    </row>
    <row r="51" ht="21.75" customHeight="1">
      <c r="A51" s="23">
        <f>IFERROR(__xludf.DUMMYFUNCTION("""COMPUTED_VALUE"""),46217.42555097222)</f>
        <v>46217.42555</v>
      </c>
      <c r="B51" s="24" t="str">
        <f>IFERROR(__xludf.DUMMYFUNCTION("""COMPUTED_VALUE"""),"WINDOW")</f>
        <v>WINDOW</v>
      </c>
      <c r="C51" s="25" t="str">
        <f>IFERROR(__xludf.DUMMYFUNCTION("""COMPUTED_VALUE"""),"LGI OM159")</f>
        <v>LGI OM159</v>
      </c>
      <c r="D51" s="26" t="str">
        <f>IFERROR(__xludf.DUMMYFUNCTION("""COMPUTED_VALUE"""),"LGI")</f>
        <v>LGI</v>
      </c>
      <c r="E51" s="27"/>
      <c r="F51" s="28">
        <f>IFERROR(__xludf.DUMMYFUNCTION("""COMPUTED_VALUE"""),19.0)</f>
        <v>19</v>
      </c>
      <c r="G51" s="27" t="str">
        <f>IFERROR(__xludf.DUMMYFUNCTION("""COMPUTED_VALUE"""),"UNIT")</f>
        <v>UNIT</v>
      </c>
      <c r="H51" s="29">
        <f>IFERROR(__xludf.DUMMYFUNCTION("""COMPUTED_VALUE"""),46195.0)</f>
        <v>46195</v>
      </c>
      <c r="I51" s="24" t="str">
        <f>IFERROR(__xludf.DUMMYFUNCTION("""COMPUTED_VALUE"""),"A2A")</f>
        <v>A2A</v>
      </c>
      <c r="J51" s="30"/>
      <c r="K51" s="27"/>
      <c r="L51" s="2" t="str">
        <f>IFERROR(__xludf.DUMMYFUNCTION("""COMPUTED_VALUE"""),"In Stock")</f>
        <v>In Stock</v>
      </c>
      <c r="M51" s="27" t="str">
        <f>IFERROR(__xludf.DUMMYFUNCTION("""COMPUTED_VALUE"""),"JOSE AND SPENCER")</f>
        <v>JOSE AND SPENCER</v>
      </c>
      <c r="N51" s="27" t="str">
        <f>IFERROR(__xludf.DUMMYFUNCTION("""COMPUTED_VALUE"""),"GENERIC")</f>
        <v>GENERIC</v>
      </c>
      <c r="O51" s="27" t="str">
        <f>IFERROR(__xludf.DUMMYFUNCTION("""COMPUTED_VALUE"""),"WINDOW|||LGI OM159")</f>
        <v>WINDOW|||LGI OM159</v>
      </c>
      <c r="P51" s="27"/>
      <c r="Q51" s="27" t="str">
        <f>IFERROR(__xludf.DUMMYFUNCTION("""COMPUTED_VALUE"""),"jose@ox-glass.com")</f>
        <v>jose@ox-glass.com</v>
      </c>
      <c r="R51" s="27" t="str">
        <f>IFERROR(__xludf.DUMMYFUNCTION("""COMPUTED_VALUE"""),"LGI OM159")</f>
        <v>LGI OM159</v>
      </c>
      <c r="S51" s="27" t="str">
        <f>IFERROR(__xludf.DUMMYFUNCTION("""COMPUTED_VALUE"""),"EXIT")</f>
        <v>EXIT</v>
      </c>
    </row>
    <row r="52" ht="21.75" customHeight="1">
      <c r="A52" s="23">
        <f>IFERROR(__xludf.DUMMYFUNCTION("""COMPUTED_VALUE"""),46217.41374597222)</f>
        <v>46217.41375</v>
      </c>
      <c r="B52" s="24" t="str">
        <f>IFERROR(__xludf.DUMMYFUNCTION("""COMPUTED_VALUE"""),"WINDOW")</f>
        <v>WINDOW</v>
      </c>
      <c r="C52" s="25" t="str">
        <f>IFERROR(__xludf.DUMMYFUNCTION("""COMPUTED_VALUE"""),"DE 042 PROVO")</f>
        <v>DE 042 PROVO</v>
      </c>
      <c r="D52" s="26"/>
      <c r="E52" s="27"/>
      <c r="F52" s="28">
        <f>IFERROR(__xludf.DUMMYFUNCTION("""COMPUTED_VALUE"""),11.0)</f>
        <v>11</v>
      </c>
      <c r="G52" s="27" t="str">
        <f>IFERROR(__xludf.DUMMYFUNCTION("""COMPUTED_VALUE"""),"UNIT")</f>
        <v>UNIT</v>
      </c>
      <c r="H52" s="29">
        <f>IFERROR(__xludf.DUMMYFUNCTION("""COMPUTED_VALUE"""),46212.0)</f>
        <v>46212</v>
      </c>
      <c r="I52" s="24" t="str">
        <f>IFERROR(__xludf.DUMMYFUNCTION("""COMPUTED_VALUE"""),"B4A")</f>
        <v>B4A</v>
      </c>
      <c r="J52" s="30"/>
      <c r="K52" s="27"/>
      <c r="L52" s="2" t="str">
        <f>IFERROR(__xludf.DUMMYFUNCTION("""COMPUTED_VALUE"""),"Dispatched")</f>
        <v>Dispatched</v>
      </c>
      <c r="M52" s="27" t="str">
        <f>IFERROR(__xludf.DUMMYFUNCTION("""COMPUTED_VALUE"""),"jose@ox-glass.com")</f>
        <v>jose@ox-glass.com</v>
      </c>
      <c r="N52" s="27"/>
      <c r="O52" s="27" t="str">
        <f>IFERROR(__xludf.DUMMYFUNCTION("""COMPUTED_VALUE"""),"WINDOW|||DE 042 PROVO")</f>
        <v>WINDOW|||DE 042 PROVO</v>
      </c>
      <c r="P52" s="27"/>
      <c r="Q52" s="27" t="str">
        <f>IFERROR(__xludf.DUMMYFUNCTION("""COMPUTED_VALUE"""),"jose@ox-glass.com")</f>
        <v>jose@ox-glass.com</v>
      </c>
      <c r="R52" s="27" t="str">
        <f>IFERROR(__xludf.DUMMYFUNCTION("""COMPUTED_VALUE"""),"DE 042 PROVO")</f>
        <v>DE 042 PROVO</v>
      </c>
      <c r="S52" s="27" t="str">
        <f>IFERROR(__xludf.DUMMYFUNCTION("""COMPUTED_VALUE"""),"EXIT")</f>
        <v>EXIT</v>
      </c>
    </row>
    <row r="53" ht="21.75" customHeight="1">
      <c r="A53" s="23">
        <f>IFERROR(__xludf.DUMMYFUNCTION("""COMPUTED_VALUE"""),46217.412910706014)</f>
        <v>46217.41291</v>
      </c>
      <c r="B53" s="24" t="str">
        <f>IFERROR(__xludf.DUMMYFUNCTION("""COMPUTED_VALUE"""),"WINDOW")</f>
        <v>WINDOW</v>
      </c>
      <c r="C53" s="25" t="str">
        <f>IFERROR(__xludf.DUMMYFUNCTION("""COMPUTED_VALUE"""),"CAMDEN COMMONS 23_24")</f>
        <v>CAMDEN COMMONS 23_24</v>
      </c>
      <c r="D53" s="26"/>
      <c r="E53" s="27"/>
      <c r="F53" s="28">
        <f>IFERROR(__xludf.DUMMYFUNCTION("""COMPUTED_VALUE"""),26.0)</f>
        <v>26</v>
      </c>
      <c r="G53" s="27" t="str">
        <f>IFERROR(__xludf.DUMMYFUNCTION("""COMPUTED_VALUE"""),"UNIT")</f>
        <v>UNIT</v>
      </c>
      <c r="H53" s="29">
        <f>IFERROR(__xludf.DUMMYFUNCTION("""COMPUTED_VALUE"""),46213.0)</f>
        <v>46213</v>
      </c>
      <c r="I53" s="24" t="str">
        <f>IFERROR(__xludf.DUMMYFUNCTION("""COMPUTED_VALUE"""),"B4A")</f>
        <v>B4A</v>
      </c>
      <c r="J53" s="30"/>
      <c r="K53" s="27"/>
      <c r="L53" s="2" t="str">
        <f>IFERROR(__xludf.DUMMYFUNCTION("""COMPUTED_VALUE"""),"Dispatched")</f>
        <v>Dispatched</v>
      </c>
      <c r="M53" s="27" t="str">
        <f>IFERROR(__xludf.DUMMYFUNCTION("""COMPUTED_VALUE"""),"jose@ox-glass.com")</f>
        <v>jose@ox-glass.com</v>
      </c>
      <c r="N53" s="27"/>
      <c r="O53" s="27" t="str">
        <f>IFERROR(__xludf.DUMMYFUNCTION("""COMPUTED_VALUE"""),"WINDOW|||CAMDEN COMMONS 23_24")</f>
        <v>WINDOW|||CAMDEN COMMONS 23_24</v>
      </c>
      <c r="P53" s="27"/>
      <c r="Q53" s="27" t="str">
        <f>IFERROR(__xludf.DUMMYFUNCTION("""COMPUTED_VALUE"""),"jose@ox-glass.com")</f>
        <v>jose@ox-glass.com</v>
      </c>
      <c r="R53" s="27" t="str">
        <f>IFERROR(__xludf.DUMMYFUNCTION("""COMPUTED_VALUE"""),"CAMDEN COMMONS 23_24")</f>
        <v>CAMDEN COMMONS 23_24</v>
      </c>
      <c r="S53" s="27" t="str">
        <f>IFERROR(__xludf.DUMMYFUNCTION("""COMPUTED_VALUE"""),"EXIT")</f>
        <v>EXIT</v>
      </c>
    </row>
    <row r="54" ht="21.75" customHeight="1">
      <c r="A54" s="23">
        <f>IFERROR(__xludf.DUMMYFUNCTION("""COMPUTED_VALUE"""),46217.39990275463)</f>
        <v>46217.3999</v>
      </c>
      <c r="B54" s="24" t="str">
        <f>IFERROR(__xludf.DUMMYFUNCTION("""COMPUTED_VALUE"""),"WINDOW")</f>
        <v>WINDOW</v>
      </c>
      <c r="C54" s="25" t="str">
        <f>IFERROR(__xludf.DUMMYFUNCTION("""COMPUTED_VALUE"""),"TOL MH 145 (REORDER)")</f>
        <v>TOL MH 145 (REORDER)</v>
      </c>
      <c r="D54" s="26"/>
      <c r="E54" s="27"/>
      <c r="F54" s="28">
        <f>IFERROR(__xludf.DUMMYFUNCTION("""COMPUTED_VALUE"""),1.0)</f>
        <v>1</v>
      </c>
      <c r="G54" s="27" t="str">
        <f>IFERROR(__xludf.DUMMYFUNCTION("""COMPUTED_VALUE"""),"UNIT")</f>
        <v>UNIT</v>
      </c>
      <c r="H54" s="29">
        <f>IFERROR(__xludf.DUMMYFUNCTION("""COMPUTED_VALUE"""),46217.0)</f>
        <v>46217</v>
      </c>
      <c r="I54" s="24" t="str">
        <f>IFERROR(__xludf.DUMMYFUNCTION("""COMPUTED_VALUE"""),"A1A")</f>
        <v>A1A</v>
      </c>
      <c r="J54" s="30"/>
      <c r="K54" s="27"/>
      <c r="L54" s="2" t="str">
        <f>IFERROR(__xludf.DUMMYFUNCTION("""COMPUTED_VALUE"""),"In Stock")</f>
        <v>In Stock</v>
      </c>
      <c r="M54" s="27" t="str">
        <f>IFERROR(__xludf.DUMMYFUNCTION("""COMPUTED_VALUE"""),"JOSE")</f>
        <v>JOSE</v>
      </c>
      <c r="N54" s="27" t="str">
        <f>IFERROR(__xludf.DUMMYFUNCTION("""COMPUTED_VALUE"""),"GENERIC")</f>
        <v>GENERIC</v>
      </c>
      <c r="O54" s="27" t="str">
        <f>IFERROR(__xludf.DUMMYFUNCTION("""COMPUTED_VALUE"""),"WINDOW|||TOL MH 145 (REORDER)")</f>
        <v>WINDOW|||TOL MH 145 (REORDER)</v>
      </c>
      <c r="P54" s="27"/>
      <c r="Q54" s="27" t="str">
        <f>IFERROR(__xludf.DUMMYFUNCTION("""COMPUTED_VALUE"""),"jose@ox-glass.com")</f>
        <v>jose@ox-glass.com</v>
      </c>
      <c r="R54" s="27" t="str">
        <f>IFERROR(__xludf.DUMMYFUNCTION("""COMPUTED_VALUE"""),"C1A")</f>
        <v>C1A</v>
      </c>
      <c r="S54" s="27" t="str">
        <f>IFERROR(__xludf.DUMMYFUNCTION("""COMPUTED_VALUE"""),"TRANSFER")</f>
        <v>TRANSFER</v>
      </c>
    </row>
    <row r="55" ht="21.75" customHeight="1">
      <c r="A55" s="23">
        <f>IFERROR(__xludf.DUMMYFUNCTION("""COMPUTED_VALUE"""),46217.39753769676)</f>
        <v>46217.39754</v>
      </c>
      <c r="B55" s="24" t="str">
        <f>IFERROR(__xludf.DUMMYFUNCTION("""COMPUTED_VALUE"""),"WINDOW")</f>
        <v>WINDOW</v>
      </c>
      <c r="C55" s="25" t="str">
        <f>IFERROR(__xludf.DUMMYFUNCTION("""COMPUTED_VALUE"""),"TOL MH 159 (REORDER)")</f>
        <v>TOL MH 159 (REORDER)</v>
      </c>
      <c r="D55" s="26"/>
      <c r="E55" s="27"/>
      <c r="F55" s="28">
        <f>IFERROR(__xludf.DUMMYFUNCTION("""COMPUTED_VALUE"""),1.0)</f>
        <v>1</v>
      </c>
      <c r="G55" s="27" t="str">
        <f>IFERROR(__xludf.DUMMYFUNCTION("""COMPUTED_VALUE"""),"UNIT")</f>
        <v>UNIT</v>
      </c>
      <c r="H55" s="29">
        <f>IFERROR(__xludf.DUMMYFUNCTION("""COMPUTED_VALUE"""),46216.0)</f>
        <v>46216</v>
      </c>
      <c r="I55" s="24" t="str">
        <f>IFERROR(__xludf.DUMMYFUNCTION("""COMPUTED_VALUE"""),"A1A")</f>
        <v>A1A</v>
      </c>
      <c r="J55" s="30"/>
      <c r="K55" s="27"/>
      <c r="L55" s="2" t="str">
        <f>IFERROR(__xludf.DUMMYFUNCTION("""COMPUTED_VALUE"""),"In Stock")</f>
        <v>In Stock</v>
      </c>
      <c r="M55" s="27" t="str">
        <f>IFERROR(__xludf.DUMMYFUNCTION("""COMPUTED_VALUE"""),"JOSE")</f>
        <v>JOSE</v>
      </c>
      <c r="N55" s="27" t="str">
        <f>IFERROR(__xludf.DUMMYFUNCTION("""COMPUTED_VALUE"""),"GENERIC")</f>
        <v>GENERIC</v>
      </c>
      <c r="O55" s="27" t="str">
        <f>IFERROR(__xludf.DUMMYFUNCTION("""COMPUTED_VALUE"""),"WINDOW|||TOL MH 159 (REORDER)")</f>
        <v>WINDOW|||TOL MH 159 (REORDER)</v>
      </c>
      <c r="P55" s="27"/>
      <c r="Q55" s="27" t="str">
        <f>IFERROR(__xludf.DUMMYFUNCTION("""COMPUTED_VALUE"""),"jose@ox-glass.com")</f>
        <v>jose@ox-glass.com</v>
      </c>
      <c r="R55" s="27" t="str">
        <f>IFERROR(__xludf.DUMMYFUNCTION("""COMPUTED_VALUE"""),"C1A")</f>
        <v>C1A</v>
      </c>
      <c r="S55" s="27" t="str">
        <f>IFERROR(__xludf.DUMMYFUNCTION("""COMPUTED_VALUE"""),"TRANSFER")</f>
        <v>TRANSFER</v>
      </c>
    </row>
    <row r="56" ht="21.75" customHeight="1">
      <c r="A56" s="23">
        <f>IFERROR(__xludf.DUMMYFUNCTION("""COMPUTED_VALUE"""),46217.39636479167)</f>
        <v>46217.39636</v>
      </c>
      <c r="B56" s="24" t="str">
        <f>IFERROR(__xludf.DUMMYFUNCTION("""COMPUTED_VALUE"""),"WINDOW")</f>
        <v>WINDOW</v>
      </c>
      <c r="C56" s="25" t="str">
        <f>IFERROR(__xludf.DUMMYFUNCTION("""COMPUTED_VALUE"""),"TOL MH 146 (W-REORDER)")</f>
        <v>TOL MH 146 (W-REORDER)</v>
      </c>
      <c r="D56" s="26"/>
      <c r="E56" s="27"/>
      <c r="F56" s="28">
        <f>IFERROR(__xludf.DUMMYFUNCTION("""COMPUTED_VALUE"""),40.0)</f>
        <v>40</v>
      </c>
      <c r="G56" s="27" t="str">
        <f>IFERROR(__xludf.DUMMYFUNCTION("""COMPUTED_VALUE"""),"UNIT")</f>
        <v>UNIT</v>
      </c>
      <c r="H56" s="29">
        <f>IFERROR(__xludf.DUMMYFUNCTION("""COMPUTED_VALUE"""),46216.0)</f>
        <v>46216</v>
      </c>
      <c r="I56" s="24" t="str">
        <f>IFERROR(__xludf.DUMMYFUNCTION("""COMPUTED_VALUE"""),"A2A")</f>
        <v>A2A</v>
      </c>
      <c r="J56" s="30"/>
      <c r="K56" s="27"/>
      <c r="L56" s="2" t="str">
        <f>IFERROR(__xludf.DUMMYFUNCTION("""COMPUTED_VALUE"""),"Dispatched")</f>
        <v>Dispatched</v>
      </c>
      <c r="M56" s="27" t="str">
        <f>IFERROR(__xludf.DUMMYFUNCTION("""COMPUTED_VALUE"""),"BRANDON")</f>
        <v>BRANDON</v>
      </c>
      <c r="N56" s="27"/>
      <c r="O56" s="27" t="str">
        <f>IFERROR(__xludf.DUMMYFUNCTION("""COMPUTED_VALUE"""),"WINDOW|||TOL MH 146 (W REORDER)")</f>
        <v>WINDOW|||TOL MH 146 (W REORDER)</v>
      </c>
      <c r="P56" s="27"/>
      <c r="Q56" s="27" t="str">
        <f>IFERROR(__xludf.DUMMYFUNCTION("""COMPUTED_VALUE"""),"jose@ox-glass.com")</f>
        <v>jose@ox-glass.com</v>
      </c>
      <c r="R56" s="27" t="str">
        <f>IFERROR(__xludf.DUMMYFUNCTION("""COMPUTED_VALUE"""),"TOL MH 146 (W-REORDER)")</f>
        <v>TOL MH 146 (W-REORDER)</v>
      </c>
      <c r="S56" s="27" t="str">
        <f>IFERROR(__xludf.DUMMYFUNCTION("""COMPUTED_VALUE"""),"EXIT")</f>
        <v>EXIT</v>
      </c>
    </row>
    <row r="57" ht="21.75" customHeight="1">
      <c r="A57" s="23">
        <f>IFERROR(__xludf.DUMMYFUNCTION("""COMPUTED_VALUE"""),46217.39636479167)</f>
        <v>46217.39636</v>
      </c>
      <c r="B57" s="24" t="str">
        <f>IFERROR(__xludf.DUMMYFUNCTION("""COMPUTED_VALUE"""),"WINDOW")</f>
        <v>WINDOW</v>
      </c>
      <c r="C57" s="25" t="str">
        <f>IFERROR(__xludf.DUMMYFUNCTION("""COMPUTED_VALUE"""),"TOL MH 146 (W-REORDER)")</f>
        <v>TOL MH 146 (W-REORDER)</v>
      </c>
      <c r="D57" s="26"/>
      <c r="E57" s="27"/>
      <c r="F57" s="28">
        <f>IFERROR(__xludf.DUMMYFUNCTION("""COMPUTED_VALUE"""),1.0)</f>
        <v>1</v>
      </c>
      <c r="G57" s="27" t="str">
        <f>IFERROR(__xludf.DUMMYFUNCTION("""COMPUTED_VALUE"""),"UNIT")</f>
        <v>UNIT</v>
      </c>
      <c r="H57" s="29">
        <f>IFERROR(__xludf.DUMMYFUNCTION("""COMPUTED_VALUE"""),46216.0)</f>
        <v>46216</v>
      </c>
      <c r="I57" s="24" t="str">
        <f>IFERROR(__xludf.DUMMYFUNCTION("""COMPUTED_VALUE"""),"A1A")</f>
        <v>A1A</v>
      </c>
      <c r="J57" s="30"/>
      <c r="K57" s="27"/>
      <c r="L57" s="2" t="str">
        <f>IFERROR(__xludf.DUMMYFUNCTION("""COMPUTED_VALUE"""),"Dispatched")</f>
        <v>Dispatched</v>
      </c>
      <c r="M57" s="27" t="str">
        <f>IFERROR(__xludf.DUMMYFUNCTION("""COMPUTED_VALUE"""),"BRANDON")</f>
        <v>BRANDON</v>
      </c>
      <c r="N57" s="27"/>
      <c r="O57" s="27" t="str">
        <f>IFERROR(__xludf.DUMMYFUNCTION("""COMPUTED_VALUE"""),"WINDOW|||TOL MH 146 (W REORDER)")</f>
        <v>WINDOW|||TOL MH 146 (W REORDER)</v>
      </c>
      <c r="P57" s="27"/>
      <c r="Q57" s="27" t="str">
        <f>IFERROR(__xludf.DUMMYFUNCTION("""COMPUTED_VALUE"""),"jose@ox-glass.com")</f>
        <v>jose@ox-glass.com</v>
      </c>
      <c r="R57" s="27" t="str">
        <f>IFERROR(__xludf.DUMMYFUNCTION("""COMPUTED_VALUE"""),"TOL MH 146 (W-REORDER)")</f>
        <v>TOL MH 146 (W-REORDER)</v>
      </c>
      <c r="S57" s="27" t="str">
        <f>IFERROR(__xludf.DUMMYFUNCTION("""COMPUTED_VALUE"""),"EXIT")</f>
        <v>EXIT</v>
      </c>
    </row>
    <row r="58" ht="21.75" customHeight="1">
      <c r="A58" s="23">
        <f>IFERROR(__xludf.DUMMYFUNCTION("""COMPUTED_VALUE"""),46216.653213171296)</f>
        <v>46216.65321</v>
      </c>
      <c r="B58" s="24" t="str">
        <f>IFERROR(__xludf.DUMMYFUNCTION("""COMPUTED_VALUE"""),"WINDOW")</f>
        <v>WINDOW</v>
      </c>
      <c r="C58" s="25" t="str">
        <f>IFERROR(__xludf.DUMMYFUNCTION("""COMPUTED_VALUE"""),"SEAVERS RESIDENCE M")</f>
        <v>SEAVERS RESIDENCE M</v>
      </c>
      <c r="D58" s="26"/>
      <c r="E58" s="27"/>
      <c r="F58" s="28">
        <f>IFERROR(__xludf.DUMMYFUNCTION("""COMPUTED_VALUE"""),2.0)</f>
        <v>2</v>
      </c>
      <c r="G58" s="27" t="str">
        <f>IFERROR(__xludf.DUMMYFUNCTION("""COMPUTED_VALUE"""),"UNIT")</f>
        <v>UNIT</v>
      </c>
      <c r="H58" s="29">
        <f>IFERROR(__xludf.DUMMYFUNCTION("""COMPUTED_VALUE"""),46216.0)</f>
        <v>46216</v>
      </c>
      <c r="I58" s="24"/>
      <c r="J58" s="30" t="str">
        <f>IFERROR(__xludf.DUMMYFUNCTION("""COMPUTED_VALUE"""),"HARTUNG")</f>
        <v>HARTUNG</v>
      </c>
      <c r="K58" s="27"/>
      <c r="L58" s="2" t="str">
        <f>IFERROR(__xludf.DUMMYFUNCTION("""COMPUTED_VALUE"""),"In Stock")</f>
        <v>In Stock</v>
      </c>
      <c r="M58" s="27" t="str">
        <f>IFERROR(__xludf.DUMMYFUNCTION("""COMPUTED_VALUE"""),"JOSE")</f>
        <v>JOSE</v>
      </c>
      <c r="N58" s="27" t="str">
        <f>IFERROR(__xludf.DUMMYFUNCTION("""COMPUTED_VALUE"""),"SEAVERS RESIDENCE M")</f>
        <v>SEAVERS RESIDENCE M</v>
      </c>
      <c r="O58" s="27" t="str">
        <f>IFERROR(__xludf.DUMMYFUNCTION("""COMPUTED_VALUE"""),"WINDOW|||SEAVERS RESIDENCE M")</f>
        <v>WINDOW|||SEAVERS RESIDENCE M</v>
      </c>
      <c r="P58" s="27" t="str">
        <f>IFERROR(__xludf.DUMMYFUNCTION("""COMPUTED_VALUE"""),"Document||https://drive.google.com/file/d/1eh7-dAAX_WmeYb8qbZcfvIqRX7Fo9EnJ/view?usp=drivesdk")</f>
        <v>Document||https://drive.google.com/file/d/1eh7-dAAX_WmeYb8qbZcfvIqRX7Fo9EnJ/view?usp=drivesdk</v>
      </c>
      <c r="Q58" s="27" t="str">
        <f>IFERROR(__xludf.DUMMYFUNCTION("""COMPUTED_VALUE"""),"jose@ox-glass.com")</f>
        <v>jose@ox-glass.com</v>
      </c>
      <c r="R58" s="27" t="str">
        <f>IFERROR(__xludf.DUMMYFUNCTION("""COMPUTED_VALUE"""),"TERRY T. CART")</f>
        <v>TERRY T. CART</v>
      </c>
      <c r="S58" s="27" t="str">
        <f>IFERROR(__xludf.DUMMYFUNCTION("""COMPUTED_VALUE"""),"ENTRY")</f>
        <v>ENTRY</v>
      </c>
    </row>
    <row r="59" ht="21.75" customHeight="1">
      <c r="A59" s="23">
        <f>IFERROR(__xludf.DUMMYFUNCTION("""COMPUTED_VALUE"""),46216.648439375)</f>
        <v>46216.64844</v>
      </c>
      <c r="B59" s="24" t="str">
        <f>IFERROR(__xludf.DUMMYFUNCTION("""COMPUTED_VALUE"""),"WINDOW")</f>
        <v>WINDOW</v>
      </c>
      <c r="C59" s="25" t="str">
        <f>IFERROR(__xludf.DUMMYFUNCTION("""COMPUTED_VALUE"""),"SP 654 BROOKE")</f>
        <v>SP 654 BROOKE</v>
      </c>
      <c r="D59" s="26" t="str">
        <f>IFERROR(__xludf.DUMMYFUNCTION("""COMPUTED_VALUE"""),"PAT")</f>
        <v>PAT</v>
      </c>
      <c r="E59" s="27" t="str">
        <f>IFERROR(__xludf.DUMMYFUNCTION("""COMPUTED_VALUE"""),"7382")</f>
        <v>7382</v>
      </c>
      <c r="F59" s="28">
        <f>IFERROR(__xludf.DUMMYFUNCTION("""COMPUTED_VALUE"""),12.0)</f>
        <v>12</v>
      </c>
      <c r="G59" s="27" t="str">
        <f>IFERROR(__xludf.DUMMYFUNCTION("""COMPUTED_VALUE"""),"UNIT")</f>
        <v>UNIT</v>
      </c>
      <c r="H59" s="29">
        <f>IFERROR(__xludf.DUMMYFUNCTION("""COMPUTED_VALUE"""),46216.0)</f>
        <v>46216</v>
      </c>
      <c r="I59" s="24"/>
      <c r="J59" s="30" t="str">
        <f>IFERROR(__xludf.DUMMYFUNCTION("""COMPUTED_VALUE"""),"ALSIDE")</f>
        <v>ALSIDE</v>
      </c>
      <c r="K59" s="27"/>
      <c r="L59" s="2" t="str">
        <f>IFERROR(__xludf.DUMMYFUNCTION("""COMPUTED_VALUE"""),"In Stock")</f>
        <v>In Stock</v>
      </c>
      <c r="M59" s="27" t="str">
        <f>IFERROR(__xludf.DUMMYFUNCTION("""COMPUTED_VALUE"""),"JOSE")</f>
        <v>JOSE</v>
      </c>
      <c r="N59" s="27" t="str">
        <f>IFERROR(__xludf.DUMMYFUNCTION("""COMPUTED_VALUE"""),"PAT SP 654 BROOKE")</f>
        <v>PAT SP 654 BROOKE</v>
      </c>
      <c r="O59" s="27" t="str">
        <f>IFERROR(__xludf.DUMMYFUNCTION("""COMPUTED_VALUE"""),"WINDOW|||SP 654 BROOKE")</f>
        <v>WINDOW|||SP 654 BROOKE</v>
      </c>
      <c r="P59" s="27" t="str">
        <f>IFERROR(__xludf.DUMMYFUNCTION("""COMPUTED_VALUE"""),"Document||https://drive.google.com/file/d/1Y27sOAVxHcKe2AeaLIBeTOtTEvImGA0k/view?usp=drivesdk")</f>
        <v>Document||https://drive.google.com/file/d/1Y27sOAVxHcKe2AeaLIBeTOtTEvImGA0k/view?usp=drivesdk</v>
      </c>
      <c r="Q59" s="27" t="str">
        <f>IFERROR(__xludf.DUMMYFUNCTION("""COMPUTED_VALUE"""),"jose@ox-glass.com")</f>
        <v>jose@ox-glass.com</v>
      </c>
      <c r="R59" s="27" t="str">
        <f>IFERROR(__xludf.DUMMYFUNCTION("""COMPUTED_VALUE"""),"A2A")</f>
        <v>A2A</v>
      </c>
      <c r="S59" s="27" t="str">
        <f>IFERROR(__xludf.DUMMYFUNCTION("""COMPUTED_VALUE"""),"ENTRY")</f>
        <v>ENTRY</v>
      </c>
    </row>
    <row r="60" ht="21.75" customHeight="1">
      <c r="A60" s="23">
        <f>IFERROR(__xludf.DUMMYFUNCTION("""COMPUTED_VALUE"""),46216.64403952547)</f>
        <v>46216.64404</v>
      </c>
      <c r="B60" s="24" t="str">
        <f>IFERROR(__xludf.DUMMYFUNCTION("""COMPUTED_VALUE"""),"WINDOW")</f>
        <v>WINDOW</v>
      </c>
      <c r="C60" s="25" t="str">
        <f>IFERROR(__xludf.DUMMYFUNCTION("""COMPUTED_VALUE"""),"BMW3")</f>
        <v>BMW3</v>
      </c>
      <c r="D60" s="26" t="str">
        <f>IFERROR(__xludf.DUMMYFUNCTION("""COMPUTED_VALUE"""),"PAT")</f>
        <v>PAT</v>
      </c>
      <c r="E60" s="27"/>
      <c r="F60" s="28">
        <f>IFERROR(__xludf.DUMMYFUNCTION("""COMPUTED_VALUE"""),1.0)</f>
        <v>1</v>
      </c>
      <c r="G60" s="27" t="str">
        <f>IFERROR(__xludf.DUMMYFUNCTION("""COMPUTED_VALUE"""),"UNIT")</f>
        <v>UNIT</v>
      </c>
      <c r="H60" s="29">
        <f>IFERROR(__xludf.DUMMYFUNCTION("""COMPUTED_VALUE"""),46216.0)</f>
        <v>46216</v>
      </c>
      <c r="I60" s="24"/>
      <c r="J60" s="30" t="str">
        <f>IFERROR(__xludf.DUMMYFUNCTION("""COMPUTED_VALUE"""),"WINDOR")</f>
        <v>WINDOR</v>
      </c>
      <c r="K60" s="27" t="str">
        <f>IFERROR(__xludf.DUMMYFUNCTION("""COMPUTED_VALUE"""),"3 PANELS, 1 FRAME, 1 BOX OF HARDWARE, MAIN OFFICE")</f>
        <v>3 PANELS, 1 FRAME, 1 BOX OF HARDWARE, MAIN OFFICE</v>
      </c>
      <c r="L60" s="2" t="str">
        <f>IFERROR(__xludf.DUMMYFUNCTION("""COMPUTED_VALUE"""),"In Stock")</f>
        <v>In Stock</v>
      </c>
      <c r="M60" s="27" t="str">
        <f>IFERROR(__xludf.DUMMYFUNCTION("""COMPUTED_VALUE"""),"JOSE")</f>
        <v>JOSE</v>
      </c>
      <c r="N60" s="27" t="str">
        <f>IFERROR(__xludf.DUMMYFUNCTION("""COMPUTED_VALUE"""),"PAT BMW3")</f>
        <v>PAT BMW3</v>
      </c>
      <c r="O60" s="27" t="str">
        <f>IFERROR(__xludf.DUMMYFUNCTION("""COMPUTED_VALUE"""),"WINDOW|||BMW3")</f>
        <v>WINDOW|||BMW3</v>
      </c>
      <c r="P60" s="27" t="str">
        <f>IFERROR(__xludf.DUMMYFUNCTION("""COMPUTED_VALUE"""),"Document||https://drive.google.com/file/d/1DDFkXUwKC_ibTkfXGknFkkjJplWkfduQ/view?usp=drivesdk")</f>
        <v>Document||https://drive.google.com/file/d/1DDFkXUwKC_ibTkfXGknFkkjJplWkfduQ/view?usp=drivesdk</v>
      </c>
      <c r="Q60" s="27" t="str">
        <f>IFERROR(__xludf.DUMMYFUNCTION("""COMPUTED_VALUE"""),"jose@ox-glass.com")</f>
        <v>jose@ox-glass.com</v>
      </c>
      <c r="R60" s="27" t="str">
        <f>IFERROR(__xludf.DUMMYFUNCTION("""COMPUTED_VALUE"""),"C")</f>
        <v>C</v>
      </c>
      <c r="S60" s="27" t="str">
        <f>IFERROR(__xludf.DUMMYFUNCTION("""COMPUTED_VALUE"""),"ENTRY")</f>
        <v>ENTRY</v>
      </c>
    </row>
    <row r="61" ht="21.75" customHeight="1">
      <c r="A61" s="23">
        <f>IFERROR(__xludf.DUMMYFUNCTION("""COMPUTED_VALUE"""),46216.60123623843)</f>
        <v>46216.60124</v>
      </c>
      <c r="B61" s="24" t="str">
        <f>IFERROR(__xludf.DUMMYFUNCTION("""COMPUTED_VALUE"""),"WINDOW")</f>
        <v>WINDOW</v>
      </c>
      <c r="C61" s="25" t="str">
        <f>IFERROR(__xludf.DUMMYFUNCTION("""COMPUTED_VALUE"""),"ELK RIDGE LME 32")</f>
        <v>ELK RIDGE LME 32</v>
      </c>
      <c r="D61" s="26" t="str">
        <f>IFERROR(__xludf.DUMMYFUNCTION("""COMPUTED_VALUE"""),"SYMPHONY HOMES")</f>
        <v>SYMPHONY HOMES</v>
      </c>
      <c r="E61" s="27" t="str">
        <f>IFERROR(__xludf.DUMMYFUNCTION("""COMPUTED_VALUE"""),"17518188")</f>
        <v>17518188</v>
      </c>
      <c r="F61" s="28">
        <f>IFERROR(__xludf.DUMMYFUNCTION("""COMPUTED_VALUE"""),29.0)</f>
        <v>29</v>
      </c>
      <c r="G61" s="27" t="str">
        <f>IFERROR(__xludf.DUMMYFUNCTION("""COMPUTED_VALUE"""),"UNIT")</f>
        <v>UNIT</v>
      </c>
      <c r="H61" s="29">
        <f>IFERROR(__xludf.DUMMYFUNCTION("""COMPUTED_VALUE"""),46216.0)</f>
        <v>46216</v>
      </c>
      <c r="I61" s="24"/>
      <c r="J61" s="30" t="str">
        <f>IFERROR(__xludf.DUMMYFUNCTION("""COMPUTED_VALUE"""),"ANDERSEN")</f>
        <v>ANDERSEN</v>
      </c>
      <c r="K61" s="27" t="str">
        <f>IFERROR(__xludf.DUMMYFUNCTION("""COMPUTED_VALUE"""),"BOXED WINDOWS")</f>
        <v>BOXED WINDOWS</v>
      </c>
      <c r="L61" s="2" t="str">
        <f>IFERROR(__xludf.DUMMYFUNCTION("""COMPUTED_VALUE"""),"In Stock")</f>
        <v>In Stock</v>
      </c>
      <c r="M61" s="27" t="str">
        <f>IFERROR(__xludf.DUMMYFUNCTION("""COMPUTED_VALUE"""),"JOSE")</f>
        <v>JOSE</v>
      </c>
      <c r="N61" s="27" t="str">
        <f>IFERROR(__xludf.DUMMYFUNCTION("""COMPUTED_VALUE"""),"ELK RIDGE LME 32")</f>
        <v>ELK RIDGE LME 32</v>
      </c>
      <c r="O61" s="27" t="str">
        <f>IFERROR(__xludf.DUMMYFUNCTION("""COMPUTED_VALUE"""),"WINDOW|||ELK RIDGE LME 32")</f>
        <v>WINDOW|||ELK RIDGE LME 32</v>
      </c>
      <c r="P61" s="27"/>
      <c r="Q61" s="27" t="str">
        <f>IFERROR(__xludf.DUMMYFUNCTION("""COMPUTED_VALUE"""),"jose@ox-glass.com")</f>
        <v>jose@ox-glass.com</v>
      </c>
      <c r="R61" s="27" t="str">
        <f>IFERROR(__xludf.DUMMYFUNCTION("""COMPUTED_VALUE"""),"A1A")</f>
        <v>A1A</v>
      </c>
      <c r="S61" s="27" t="str">
        <f>IFERROR(__xludf.DUMMYFUNCTION("""COMPUTED_VALUE"""),"ENTRY")</f>
        <v>ENTRY</v>
      </c>
    </row>
    <row r="62" ht="21.75" customHeight="1">
      <c r="A62" s="23">
        <f>IFERROR(__xludf.DUMMYFUNCTION("""COMPUTED_VALUE"""),46216.60123623843)</f>
        <v>46216.60124</v>
      </c>
      <c r="B62" s="24" t="str">
        <f>IFERROR(__xludf.DUMMYFUNCTION("""COMPUTED_VALUE"""),"WINDOW")</f>
        <v>WINDOW</v>
      </c>
      <c r="C62" s="25" t="str">
        <f>IFERROR(__xludf.DUMMYFUNCTION("""COMPUTED_VALUE"""),"ELK RIDGE LME 32")</f>
        <v>ELK RIDGE LME 32</v>
      </c>
      <c r="D62" s="26" t="str">
        <f>IFERROR(__xludf.DUMMYFUNCTION("""COMPUTED_VALUE"""),"SYMPHONY HOMES")</f>
        <v>SYMPHONY HOMES</v>
      </c>
      <c r="E62" s="27" t="str">
        <f>IFERROR(__xludf.DUMMYFUNCTION("""COMPUTED_VALUE"""),"17518188")</f>
        <v>17518188</v>
      </c>
      <c r="F62" s="28">
        <f>IFERROR(__xludf.DUMMYFUNCTION("""COMPUTED_VALUE"""),14.0)</f>
        <v>14</v>
      </c>
      <c r="G62" s="27" t="str">
        <f>IFERROR(__xludf.DUMMYFUNCTION("""COMPUTED_VALUE"""),"UNIT")</f>
        <v>UNIT</v>
      </c>
      <c r="H62" s="29">
        <f>IFERROR(__xludf.DUMMYFUNCTION("""COMPUTED_VALUE"""),46216.0)</f>
        <v>46216</v>
      </c>
      <c r="I62" s="24"/>
      <c r="J62" s="30" t="str">
        <f>IFERROR(__xludf.DUMMYFUNCTION("""COMPUTED_VALUE"""),"ANDERSEN")</f>
        <v>ANDERSEN</v>
      </c>
      <c r="K62" s="27" t="str">
        <f>IFERROR(__xludf.DUMMYFUNCTION("""COMPUTED_VALUE"""),"BOXED WINDOWS")</f>
        <v>BOXED WINDOWS</v>
      </c>
      <c r="L62" s="2" t="str">
        <f>IFERROR(__xludf.DUMMYFUNCTION("""COMPUTED_VALUE"""),"In Stock")</f>
        <v>In Stock</v>
      </c>
      <c r="M62" s="27" t="str">
        <f>IFERROR(__xludf.DUMMYFUNCTION("""COMPUTED_VALUE"""),"JOSE")</f>
        <v>JOSE</v>
      </c>
      <c r="N62" s="27" t="str">
        <f>IFERROR(__xludf.DUMMYFUNCTION("""COMPUTED_VALUE"""),"ELK RIDGE LME 32")</f>
        <v>ELK RIDGE LME 32</v>
      </c>
      <c r="O62" s="27" t="str">
        <f>IFERROR(__xludf.DUMMYFUNCTION("""COMPUTED_VALUE"""),"WINDOW|||ELK RIDGE LME 32")</f>
        <v>WINDOW|||ELK RIDGE LME 32</v>
      </c>
      <c r="P62" s="27" t="str">
        <f>IFERROR(__xludf.DUMMYFUNCTION("""COMPUTED_VALUE"""),"Document||https://drive.google.com/file/d/1lO0bhiXh-SbUtiDu40dKyH5N2G0JZ7UL/view?usp=drivesdk")</f>
        <v>Document||https://drive.google.com/file/d/1lO0bhiXh-SbUtiDu40dKyH5N2G0JZ7UL/view?usp=drivesdk</v>
      </c>
      <c r="Q62" s="27" t="str">
        <f>IFERROR(__xludf.DUMMYFUNCTION("""COMPUTED_VALUE"""),"jose@ox-glass.com")</f>
        <v>jose@ox-glass.com</v>
      </c>
      <c r="R62" s="27" t="str">
        <f>IFERROR(__xludf.DUMMYFUNCTION("""COMPUTED_VALUE"""),"A2A")</f>
        <v>A2A</v>
      </c>
      <c r="S62" s="27" t="str">
        <f>IFERROR(__xludf.DUMMYFUNCTION("""COMPUTED_VALUE"""),"ENTRY")</f>
        <v>ENTRY</v>
      </c>
    </row>
    <row r="63" ht="21.75" customHeight="1">
      <c r="A63" s="23">
        <f>IFERROR(__xludf.DUMMYFUNCTION("""COMPUTED_VALUE"""),46213.51114796296)</f>
        <v>46213.51115</v>
      </c>
      <c r="B63" s="24" t="str">
        <f>IFERROR(__xludf.DUMMYFUNCTION("""COMPUTED_VALUE"""),"WINDOW")</f>
        <v>WINDOW</v>
      </c>
      <c r="C63" s="25" t="str">
        <f>IFERROR(__xludf.DUMMYFUNCTION("""COMPUTED_VALUE"""),"HIGHLAND REMODEL ARCHED REORDER")</f>
        <v>HIGHLAND REMODEL ARCHED REORDER</v>
      </c>
      <c r="D63" s="26"/>
      <c r="E63" s="27"/>
      <c r="F63" s="28">
        <f>IFERROR(__xludf.DUMMYFUNCTION("""COMPUTED_VALUE"""),2.0)</f>
        <v>2</v>
      </c>
      <c r="G63" s="27" t="str">
        <f>IFERROR(__xludf.DUMMYFUNCTION("""COMPUTED_VALUE"""),"UNIT")</f>
        <v>UNIT</v>
      </c>
      <c r="H63" s="29">
        <f>IFERROR(__xludf.DUMMYFUNCTION("""COMPUTED_VALUE"""),46213.0)</f>
        <v>46213</v>
      </c>
      <c r="I63" s="24" t="str">
        <f>IFERROR(__xludf.DUMMYFUNCTION("""COMPUTED_VALUE"""),"C6A")</f>
        <v>C6A</v>
      </c>
      <c r="J63" s="30"/>
      <c r="K63" s="27"/>
      <c r="L63" s="2" t="str">
        <f>IFERROR(__xludf.DUMMYFUNCTION("""COMPUTED_VALUE"""),"Dispatched")</f>
        <v>Dispatched</v>
      </c>
      <c r="M63" s="27" t="str">
        <f>IFERROR(__xludf.DUMMYFUNCTION("""COMPUTED_VALUE"""),"TOMMY AND PRESTON")</f>
        <v>TOMMY AND PRESTON</v>
      </c>
      <c r="N63" s="27"/>
      <c r="O63" s="27" t="str">
        <f>IFERROR(__xludf.DUMMYFUNCTION("""COMPUTED_VALUE"""),"WINDOW|||HIGHLAND REMODEL ARCHED REORDER")</f>
        <v>WINDOW|||HIGHLAND REMODEL ARCHED REORDER</v>
      </c>
      <c r="P63" s="27"/>
      <c r="Q63" s="27" t="str">
        <f>IFERROR(__xludf.DUMMYFUNCTION("""COMPUTED_VALUE"""),"jose@ox-glass.com")</f>
        <v>jose@ox-glass.com</v>
      </c>
      <c r="R63" s="27" t="str">
        <f>IFERROR(__xludf.DUMMYFUNCTION("""COMPUTED_VALUE"""),"HIGHLAND REMODEL ARCHED REORDER")</f>
        <v>HIGHLAND REMODEL ARCHED REORDER</v>
      </c>
      <c r="S63" s="27" t="str">
        <f>IFERROR(__xludf.DUMMYFUNCTION("""COMPUTED_VALUE"""),"EXIT")</f>
        <v>EXIT</v>
      </c>
    </row>
    <row r="64" ht="21.75" customHeight="1">
      <c r="A64" s="23">
        <f>IFERROR(__xludf.DUMMYFUNCTION("""COMPUTED_VALUE"""),46213.507213958335)</f>
        <v>46213.50721</v>
      </c>
      <c r="B64" s="24" t="str">
        <f>IFERROR(__xludf.DUMMYFUNCTION("""COMPUTED_VALUE"""),"WINDOW")</f>
        <v>WINDOW</v>
      </c>
      <c r="C64" s="25" t="str">
        <f>IFERROR(__xludf.DUMMYFUNCTION("""COMPUTED_VALUE"""),"MISC SPENCER HALFORDE")</f>
        <v>MISC SPENCER HALFORDE</v>
      </c>
      <c r="D64" s="26"/>
      <c r="E64" s="27" t="str">
        <f>IFERROR(__xludf.DUMMYFUNCTION("""COMPUTED_VALUE"""),"06-5101")</f>
        <v>06-5101</v>
      </c>
      <c r="F64" s="28">
        <f>IFERROR(__xludf.DUMMYFUNCTION("""COMPUTED_VALUE"""),1.0)</f>
        <v>1</v>
      </c>
      <c r="G64" s="27" t="str">
        <f>IFERROR(__xludf.DUMMYFUNCTION("""COMPUTED_VALUE"""),"UNIT")</f>
        <v>UNIT</v>
      </c>
      <c r="H64" s="29">
        <f>IFERROR(__xludf.DUMMYFUNCTION("""COMPUTED_VALUE"""),46213.0)</f>
        <v>46213</v>
      </c>
      <c r="I64" s="24"/>
      <c r="J64" s="30" t="str">
        <f>IFERROR(__xludf.DUMMYFUNCTION("""COMPUTED_VALUE"""),"AMSCO")</f>
        <v>AMSCO</v>
      </c>
      <c r="K64" s="27"/>
      <c r="L64" s="2" t="str">
        <f>IFERROR(__xludf.DUMMYFUNCTION("""COMPUTED_VALUE"""),"In Stock")</f>
        <v>In Stock</v>
      </c>
      <c r="M64" s="27" t="str">
        <f>IFERROR(__xludf.DUMMYFUNCTION("""COMPUTED_VALUE"""),"JOSE")</f>
        <v>JOSE</v>
      </c>
      <c r="N64" s="27" t="str">
        <f>IFERROR(__xludf.DUMMYFUNCTION("""COMPUTED_VALUE"""),"MISC SPENCER HALFORDE")</f>
        <v>MISC SPENCER HALFORDE</v>
      </c>
      <c r="O64" s="27" t="str">
        <f>IFERROR(__xludf.DUMMYFUNCTION("""COMPUTED_VALUE"""),"WINDOW|||MISC SPENCER HALFORDE")</f>
        <v>WINDOW|||MISC SPENCER HALFORDE</v>
      </c>
      <c r="P64" s="27" t="str">
        <f>IFERROR(__xludf.DUMMYFUNCTION("""COMPUTED_VALUE"""),"Document||https://drive.google.com/file/d/1s3QoaNEIwWQY8i0t19-EbKedE7dwaaH1/view?usp=drivesdk")</f>
        <v>Document||https://drive.google.com/file/d/1s3QoaNEIwWQY8i0t19-EbKedE7dwaaH1/view?usp=drivesdk</v>
      </c>
      <c r="Q64" s="27" t="str">
        <f>IFERROR(__xludf.DUMMYFUNCTION("""COMPUTED_VALUE"""),"jose@ox-glass.com")</f>
        <v>jose@ox-glass.com</v>
      </c>
      <c r="R64" s="27" t="str">
        <f>IFERROR(__xludf.DUMMYFUNCTION("""COMPUTED_VALUE"""),"C6A")</f>
        <v>C6A</v>
      </c>
      <c r="S64" s="27" t="str">
        <f>IFERROR(__xludf.DUMMYFUNCTION("""COMPUTED_VALUE"""),"ENTRY")</f>
        <v>ENTRY</v>
      </c>
    </row>
    <row r="65" ht="21.75" customHeight="1">
      <c r="A65" s="23">
        <f>IFERROR(__xludf.DUMMYFUNCTION("""COMPUTED_VALUE"""),46213.504116840275)</f>
        <v>46213.50412</v>
      </c>
      <c r="B65" s="24" t="str">
        <f>IFERROR(__xludf.DUMMYFUNCTION("""COMPUTED_VALUE"""),"WINDOW")</f>
        <v>WINDOW</v>
      </c>
      <c r="C65" s="25" t="str">
        <f>IFERROR(__xludf.DUMMYFUNCTION("""COMPUTED_VALUE"""),"HIGHLAND REMODEL ARCHED REORDER")</f>
        <v>HIGHLAND REMODEL ARCHED REORDER</v>
      </c>
      <c r="D65" s="26" t="str">
        <f>IFERROR(__xludf.DUMMYFUNCTION("""COMPUTED_VALUE"""),"SWE")</f>
        <v>SWE</v>
      </c>
      <c r="E65" s="27" t="str">
        <f>IFERROR(__xludf.DUMMYFUNCTION("""COMPUTED_VALUE"""),"06-5218")</f>
        <v>06-5218</v>
      </c>
      <c r="F65" s="28">
        <f>IFERROR(__xludf.DUMMYFUNCTION("""COMPUTED_VALUE"""),2.0)</f>
        <v>2</v>
      </c>
      <c r="G65" s="27" t="str">
        <f>IFERROR(__xludf.DUMMYFUNCTION("""COMPUTED_VALUE"""),"UNIT")</f>
        <v>UNIT</v>
      </c>
      <c r="H65" s="29">
        <f>IFERROR(__xludf.DUMMYFUNCTION("""COMPUTED_VALUE"""),46213.0)</f>
        <v>46213</v>
      </c>
      <c r="I65" s="24"/>
      <c r="J65" s="30" t="str">
        <f>IFERROR(__xludf.DUMMYFUNCTION("""COMPUTED_VALUE"""),"AMSCO")</f>
        <v>AMSCO</v>
      </c>
      <c r="K65" s="27"/>
      <c r="L65" s="2" t="str">
        <f>IFERROR(__xludf.DUMMYFUNCTION("""COMPUTED_VALUE"""),"In Stock")</f>
        <v>In Stock</v>
      </c>
      <c r="M65" s="27" t="str">
        <f>IFERROR(__xludf.DUMMYFUNCTION("""COMPUTED_VALUE"""),"JOSE")</f>
        <v>JOSE</v>
      </c>
      <c r="N65" s="27" t="str">
        <f>IFERROR(__xludf.DUMMYFUNCTION("""COMPUTED_VALUE"""),"HIGHLAND REMODEL")</f>
        <v>HIGHLAND REMODEL</v>
      </c>
      <c r="O65" s="27" t="str">
        <f>IFERROR(__xludf.DUMMYFUNCTION("""COMPUTED_VALUE"""),"WINDOW|||HIGHLAND REMODEL ARCHED REORDER")</f>
        <v>WINDOW|||HIGHLAND REMODEL ARCHED REORDER</v>
      </c>
      <c r="P65" s="27" t="str">
        <f>IFERROR(__xludf.DUMMYFUNCTION("""COMPUTED_VALUE"""),"Document||https://drive.google.com/file/d/1zD3zd8yRvj04MZddNf7iY8cwWZPfiFNA/view?usp=drivesdk")</f>
        <v>Document||https://drive.google.com/file/d/1zD3zd8yRvj04MZddNf7iY8cwWZPfiFNA/view?usp=drivesdk</v>
      </c>
      <c r="Q65" s="27" t="str">
        <f>IFERROR(__xludf.DUMMYFUNCTION("""COMPUTED_VALUE"""),"jose@ox-glass.com")</f>
        <v>jose@ox-glass.com</v>
      </c>
      <c r="R65" s="27" t="str">
        <f>IFERROR(__xludf.DUMMYFUNCTION("""COMPUTED_VALUE"""),"C6A")</f>
        <v>C6A</v>
      </c>
      <c r="S65" s="27" t="str">
        <f>IFERROR(__xludf.DUMMYFUNCTION("""COMPUTED_VALUE"""),"ENTRY")</f>
        <v>ENTRY</v>
      </c>
    </row>
    <row r="66" ht="21.75" customHeight="1">
      <c r="A66" s="23">
        <f>IFERROR(__xludf.DUMMYFUNCTION("""COMPUTED_VALUE"""),46213.502176828704)</f>
        <v>46213.50218</v>
      </c>
      <c r="B66" s="24" t="str">
        <f>IFERROR(__xludf.DUMMYFUNCTION("""COMPUTED_VALUE"""),"WINDOW")</f>
        <v>WINDOW</v>
      </c>
      <c r="C66" s="25" t="str">
        <f>IFERROR(__xludf.DUMMYFUNCTION("""COMPUTED_VALUE"""),"MISC LEVI DARGER (MATERIAL ONLY)")</f>
        <v>MISC LEVI DARGER (MATERIAL ONLY)</v>
      </c>
      <c r="D66" s="26"/>
      <c r="E66" s="27" t="str">
        <f>IFERROR(__xludf.DUMMYFUNCTION("""COMPUTED_VALUE"""),"06-5581")</f>
        <v>06-5581</v>
      </c>
      <c r="F66" s="28">
        <f>IFERROR(__xludf.DUMMYFUNCTION("""COMPUTED_VALUE"""),3.0)</f>
        <v>3</v>
      </c>
      <c r="G66" s="27" t="str">
        <f>IFERROR(__xludf.DUMMYFUNCTION("""COMPUTED_VALUE"""),"UNIT")</f>
        <v>UNIT</v>
      </c>
      <c r="H66" s="29">
        <f>IFERROR(__xludf.DUMMYFUNCTION("""COMPUTED_VALUE"""),46213.0)</f>
        <v>46213</v>
      </c>
      <c r="I66" s="24"/>
      <c r="J66" s="30" t="str">
        <f>IFERROR(__xludf.DUMMYFUNCTION("""COMPUTED_VALUE"""),"AMSCO")</f>
        <v>AMSCO</v>
      </c>
      <c r="K66" s="27"/>
      <c r="L66" s="2" t="str">
        <f>IFERROR(__xludf.DUMMYFUNCTION("""COMPUTED_VALUE"""),"In Stock")</f>
        <v>In Stock</v>
      </c>
      <c r="M66" s="27" t="str">
        <f>IFERROR(__xludf.DUMMYFUNCTION("""COMPUTED_VALUE"""),"JOSE")</f>
        <v>JOSE</v>
      </c>
      <c r="N66" s="27" t="str">
        <f>IFERROR(__xludf.DUMMYFUNCTION("""COMPUTED_VALUE"""),"LEVI DARGER")</f>
        <v>LEVI DARGER</v>
      </c>
      <c r="O66" s="27" t="str">
        <f>IFERROR(__xludf.DUMMYFUNCTION("""COMPUTED_VALUE"""),"WINDOW|||MISC LEVI DARGER (MATERIAL ONLY)")</f>
        <v>WINDOW|||MISC LEVI DARGER (MATERIAL ONLY)</v>
      </c>
      <c r="P66" s="27" t="str">
        <f>IFERROR(__xludf.DUMMYFUNCTION("""COMPUTED_VALUE"""),"Document||https://drive.google.com/file/d/1BNj9Lq2D8-hzZgRfWIcLpOtmqno_TIs-/view?usp=drivesdk")</f>
        <v>Document||https://drive.google.com/file/d/1BNj9Lq2D8-hzZgRfWIcLpOtmqno_TIs-/view?usp=drivesdk</v>
      </c>
      <c r="Q66" s="27" t="str">
        <f>IFERROR(__xludf.DUMMYFUNCTION("""COMPUTED_VALUE"""),"jose@ox-glass.com")</f>
        <v>jose@ox-glass.com</v>
      </c>
      <c r="R66" s="27" t="str">
        <f>IFERROR(__xludf.DUMMYFUNCTION("""COMPUTED_VALUE"""),"A")</f>
        <v>A</v>
      </c>
      <c r="S66" s="27" t="str">
        <f>IFERROR(__xludf.DUMMYFUNCTION("""COMPUTED_VALUE"""),"ENTRY")</f>
        <v>ENTRY</v>
      </c>
    </row>
    <row r="67" ht="21.75" customHeight="1">
      <c r="A67" s="23">
        <f>IFERROR(__xludf.DUMMYFUNCTION("""COMPUTED_VALUE"""),46213.495407835646)</f>
        <v>46213.49541</v>
      </c>
      <c r="B67" s="24" t="str">
        <f>IFERROR(__xludf.DUMMYFUNCTION("""COMPUTED_VALUE"""),"WINDOW")</f>
        <v>WINDOW</v>
      </c>
      <c r="C67" s="25" t="str">
        <f>IFERROR(__xludf.DUMMYFUNCTION("""COMPUTED_VALUE"""),"SP 654")</f>
        <v>SP 654</v>
      </c>
      <c r="D67" s="26" t="str">
        <f>IFERROR(__xludf.DUMMYFUNCTION("""COMPUTED_VALUE"""),"PAT")</f>
        <v>PAT</v>
      </c>
      <c r="E67" s="27" t="str">
        <f>IFERROR(__xludf.DUMMYFUNCTION("""COMPUTED_VALUE"""),"06-6823")</f>
        <v>06-6823</v>
      </c>
      <c r="F67" s="28">
        <f>IFERROR(__xludf.DUMMYFUNCTION("""COMPUTED_VALUE"""),1.0)</f>
        <v>1</v>
      </c>
      <c r="G67" s="27" t="str">
        <f>IFERROR(__xludf.DUMMYFUNCTION("""COMPUTED_VALUE"""),"UNIT")</f>
        <v>UNIT</v>
      </c>
      <c r="H67" s="29">
        <f>IFERROR(__xludf.DUMMYFUNCTION("""COMPUTED_VALUE"""),46213.0)</f>
        <v>46213</v>
      </c>
      <c r="I67" s="24"/>
      <c r="J67" s="30" t="str">
        <f>IFERROR(__xludf.DUMMYFUNCTION("""COMPUTED_VALUE"""),"AMSCO")</f>
        <v>AMSCO</v>
      </c>
      <c r="K67" s="27"/>
      <c r="L67" s="2" t="str">
        <f>IFERROR(__xludf.DUMMYFUNCTION("""COMPUTED_VALUE"""),"In Stock")</f>
        <v>In Stock</v>
      </c>
      <c r="M67" s="27" t="str">
        <f>IFERROR(__xludf.DUMMYFUNCTION("""COMPUTED_VALUE"""),"JOSE")</f>
        <v>JOSE</v>
      </c>
      <c r="N67" s="27" t="str">
        <f>IFERROR(__xludf.DUMMYFUNCTION("""COMPUTED_VALUE"""),"PAT SP 654")</f>
        <v>PAT SP 654</v>
      </c>
      <c r="O67" s="27" t="str">
        <f>IFERROR(__xludf.DUMMYFUNCTION("""COMPUTED_VALUE"""),"WINDOW|||SP 654")</f>
        <v>WINDOW|||SP 654</v>
      </c>
      <c r="P67" s="27" t="str">
        <f>IFERROR(__xludf.DUMMYFUNCTION("""COMPUTED_VALUE"""),"Document||https://drive.google.com/file/d/1mDLNgVykN6rxwbNg3v08S35cDPG04wsP/view?usp=drivesdk")</f>
        <v>Document||https://drive.google.com/file/d/1mDLNgVykN6rxwbNg3v08S35cDPG04wsP/view?usp=drivesdk</v>
      </c>
      <c r="Q67" s="27" t="str">
        <f>IFERROR(__xludf.DUMMYFUNCTION("""COMPUTED_VALUE"""),"jose@ox-glass.com")</f>
        <v>jose@ox-glass.com</v>
      </c>
      <c r="R67" s="27" t="str">
        <f>IFERROR(__xludf.DUMMYFUNCTION("""COMPUTED_VALUE"""),"C1A")</f>
        <v>C1A</v>
      </c>
      <c r="S67" s="27" t="str">
        <f>IFERROR(__xludf.DUMMYFUNCTION("""COMPUTED_VALUE"""),"ENTRY")</f>
        <v>ENTRY</v>
      </c>
    </row>
    <row r="68" ht="21.75" customHeight="1">
      <c r="A68" s="23">
        <f>IFERROR(__xludf.DUMMYFUNCTION("""COMPUTED_VALUE"""),46213.48421685185)</f>
        <v>46213.48422</v>
      </c>
      <c r="B68" s="24" t="str">
        <f>IFERROR(__xludf.DUMMYFUNCTION("""COMPUTED_VALUE"""),"WINDOW")</f>
        <v>WINDOW</v>
      </c>
      <c r="C68" s="25" t="str">
        <f>IFERROR(__xludf.DUMMYFUNCTION("""COMPUTED_VALUE"""),"TOL MH 146 (W-REORDER)")</f>
        <v>TOL MH 146 (W-REORDER)</v>
      </c>
      <c r="D68" s="26"/>
      <c r="E68" s="27" t="str">
        <f>IFERROR(__xludf.DUMMYFUNCTION("""COMPUTED_VALUE"""),"06-4847")</f>
        <v>06-4847</v>
      </c>
      <c r="F68" s="28">
        <f>IFERROR(__xludf.DUMMYFUNCTION("""COMPUTED_VALUE"""),1.0)</f>
        <v>1</v>
      </c>
      <c r="G68" s="27" t="str">
        <f>IFERROR(__xludf.DUMMYFUNCTION("""COMPUTED_VALUE"""),"UNIT")</f>
        <v>UNIT</v>
      </c>
      <c r="H68" s="29">
        <f>IFERROR(__xludf.DUMMYFUNCTION("""COMPUTED_VALUE"""),46213.0)</f>
        <v>46213</v>
      </c>
      <c r="I68" s="24"/>
      <c r="J68" s="30" t="str">
        <f>IFERROR(__xludf.DUMMYFUNCTION("""COMPUTED_VALUE"""),"AMSCO")</f>
        <v>AMSCO</v>
      </c>
      <c r="K68" s="27" t="str">
        <f>IFERROR(__xludf.DUMMYFUNCTION("""COMPUTED_VALUE"""),"DOOR AND SASH")</f>
        <v>DOOR AND SASH</v>
      </c>
      <c r="L68" s="2" t="str">
        <f>IFERROR(__xludf.DUMMYFUNCTION("""COMPUTED_VALUE"""),"In Stock")</f>
        <v>In Stock</v>
      </c>
      <c r="M68" s="27" t="str">
        <f>IFERROR(__xludf.DUMMYFUNCTION("""COMPUTED_VALUE"""),"JOSE")</f>
        <v>JOSE</v>
      </c>
      <c r="N68" s="27" t="str">
        <f>IFERROR(__xludf.DUMMYFUNCTION("""COMPUTED_VALUE"""),"TOL MH 146 W REORDER")</f>
        <v>TOL MH 146 W REORDER</v>
      </c>
      <c r="O68" s="27" t="str">
        <f>IFERROR(__xludf.DUMMYFUNCTION("""COMPUTED_VALUE"""),"WINDOW|||TOL MH 146 (W REORDER)")</f>
        <v>WINDOW|||TOL MH 146 (W REORDER)</v>
      </c>
      <c r="P68" s="27" t="str">
        <f>IFERROR(__xludf.DUMMYFUNCTION("""COMPUTED_VALUE"""),"Document||https://drive.google.com/file/d/142513Zyy0zuxnz6QKQImWY7o0l6b_cbR/view?usp=drivesdk
Document||https://drive.google.com/file/d/1lwnaWATrnJCfWP9oopGgUtDYdvGog--K/view?usp=drivesdk")</f>
        <v>Document||https://drive.google.com/file/d/142513Zyy0zuxnz6QKQImWY7o0l6b_cbR/view?usp=drivesdk
Document||https://drive.google.com/file/d/1lwnaWATrnJCfWP9oopGgUtDYdvGog--K/view?usp=drivesdk</v>
      </c>
      <c r="Q68" s="27" t="str">
        <f>IFERROR(__xludf.DUMMYFUNCTION("""COMPUTED_VALUE"""),"jose@ox-glass.com")</f>
        <v>jose@ox-glass.com</v>
      </c>
      <c r="R68" s="27" t="str">
        <f>IFERROR(__xludf.DUMMYFUNCTION("""COMPUTED_VALUE"""),"A1A")</f>
        <v>A1A</v>
      </c>
      <c r="S68" s="27" t="str">
        <f>IFERROR(__xludf.DUMMYFUNCTION("""COMPUTED_VALUE"""),"ENTRY")</f>
        <v>ENTRY</v>
      </c>
    </row>
    <row r="69" ht="21.75" customHeight="1">
      <c r="A69" s="23">
        <f>IFERROR(__xludf.DUMMYFUNCTION("""COMPUTED_VALUE"""),46213.48357225695)</f>
        <v>46213.48357</v>
      </c>
      <c r="B69" s="24" t="str">
        <f>IFERROR(__xludf.DUMMYFUNCTION("""COMPUTED_VALUE"""),"WINDOW")</f>
        <v>WINDOW</v>
      </c>
      <c r="C69" s="25" t="str">
        <f>IFERROR(__xludf.DUMMYFUNCTION("""COMPUTED_VALUE"""),"TOL MH 145 (REORDER)")</f>
        <v>TOL MH 145 (REORDER)</v>
      </c>
      <c r="D69" s="26"/>
      <c r="E69" s="27" t="str">
        <f>IFERROR(__xludf.DUMMYFUNCTION("""COMPUTED_VALUE"""),"06-4872")</f>
        <v>06-4872</v>
      </c>
      <c r="F69" s="28">
        <f>IFERROR(__xludf.DUMMYFUNCTION("""COMPUTED_VALUE"""),1.0)</f>
        <v>1</v>
      </c>
      <c r="G69" s="27" t="str">
        <f>IFERROR(__xludf.DUMMYFUNCTION("""COMPUTED_VALUE"""),"UNIT")</f>
        <v>UNIT</v>
      </c>
      <c r="H69" s="29">
        <f>IFERROR(__xludf.DUMMYFUNCTION("""COMPUTED_VALUE"""),46213.0)</f>
        <v>46213</v>
      </c>
      <c r="I69" s="24"/>
      <c r="J69" s="30" t="str">
        <f>IFERROR(__xludf.DUMMYFUNCTION("""COMPUTED_VALUE"""),"AMSCO")</f>
        <v>AMSCO</v>
      </c>
      <c r="K69" s="27" t="str">
        <f>IFERROR(__xludf.DUMMYFUNCTION("""COMPUTED_VALUE"""),"DOOR AND SASH")</f>
        <v>DOOR AND SASH</v>
      </c>
      <c r="L69" s="2" t="str">
        <f>IFERROR(__xludf.DUMMYFUNCTION("""COMPUTED_VALUE"""),"In Stock")</f>
        <v>In Stock</v>
      </c>
      <c r="M69" s="27" t="str">
        <f>IFERROR(__xludf.DUMMYFUNCTION("""COMPUTED_VALUE"""),"JOSE")</f>
        <v>JOSE</v>
      </c>
      <c r="N69" s="27" t="str">
        <f>IFERROR(__xludf.DUMMYFUNCTION("""COMPUTED_VALUE"""),"TOL MH 145 (REORDER)")</f>
        <v>TOL MH 145 (REORDER)</v>
      </c>
      <c r="O69" s="27" t="str">
        <f>IFERROR(__xludf.DUMMYFUNCTION("""COMPUTED_VALUE"""),"WINDOW|||TOL MH 145 (REORDER)")</f>
        <v>WINDOW|||TOL MH 145 (REORDER)</v>
      </c>
      <c r="P69" s="27" t="str">
        <f>IFERROR(__xludf.DUMMYFUNCTION("""COMPUTED_VALUE"""),"Document||https://drive.google.com/file/d/12m5fVFLYSloKn0qAgriDXk4Lyan1Cme8/view?usp=drivesdk
Document||https://drive.google.com/file/d/1uYtUwNlnLd1C5WWvOkHdq1SrJFyFIEbq/view?usp=drivesdk")</f>
        <v>Document||https://drive.google.com/file/d/12m5fVFLYSloKn0qAgriDXk4Lyan1Cme8/view?usp=drivesdk
Document||https://drive.google.com/file/d/1uYtUwNlnLd1C5WWvOkHdq1SrJFyFIEbq/view?usp=drivesdk</v>
      </c>
      <c r="Q69" s="27" t="str">
        <f>IFERROR(__xludf.DUMMYFUNCTION("""COMPUTED_VALUE"""),"jose@ox-glass.com")</f>
        <v>jose@ox-glass.com</v>
      </c>
      <c r="R69" s="27" t="str">
        <f>IFERROR(__xludf.DUMMYFUNCTION("""COMPUTED_VALUE"""),"A1A")</f>
        <v>A1A</v>
      </c>
      <c r="S69" s="27" t="str">
        <f>IFERROR(__xludf.DUMMYFUNCTION("""COMPUTED_VALUE"""),"ENTRY")</f>
        <v>ENTRY</v>
      </c>
    </row>
    <row r="70" ht="21.75" customHeight="1">
      <c r="A70" s="23">
        <f>IFERROR(__xludf.DUMMYFUNCTION("""COMPUTED_VALUE"""),46213.48280593749)</f>
        <v>46213.48281</v>
      </c>
      <c r="B70" s="24" t="str">
        <f>IFERROR(__xludf.DUMMYFUNCTION("""COMPUTED_VALUE"""),"WINDOW")</f>
        <v>WINDOW</v>
      </c>
      <c r="C70" s="25" t="str">
        <f>IFERROR(__xludf.DUMMYFUNCTION("""COMPUTED_VALUE"""),"TOL MH 159 (REORDER)")</f>
        <v>TOL MH 159 (REORDER)</v>
      </c>
      <c r="D70" s="26"/>
      <c r="E70" s="27" t="str">
        <f>IFERROR(__xludf.DUMMYFUNCTION("""COMPUTED_VALUE"""),"06-4871")</f>
        <v>06-4871</v>
      </c>
      <c r="F70" s="28">
        <f>IFERROR(__xludf.DUMMYFUNCTION("""COMPUTED_VALUE"""),46.0)</f>
        <v>46</v>
      </c>
      <c r="G70" s="27" t="str">
        <f>IFERROR(__xludf.DUMMYFUNCTION("""COMPUTED_VALUE"""),"UNIT")</f>
        <v>UNIT</v>
      </c>
      <c r="H70" s="29">
        <f>IFERROR(__xludf.DUMMYFUNCTION("""COMPUTED_VALUE"""),46213.0)</f>
        <v>46213</v>
      </c>
      <c r="I70" s="24"/>
      <c r="J70" s="30" t="str">
        <f>IFERROR(__xludf.DUMMYFUNCTION("""COMPUTED_VALUE"""),"AMSCO")</f>
        <v>AMSCO</v>
      </c>
      <c r="K70" s="27"/>
      <c r="L70" s="2" t="str">
        <f>IFERROR(__xludf.DUMMYFUNCTION("""COMPUTED_VALUE"""),"In Stock")</f>
        <v>In Stock</v>
      </c>
      <c r="M70" s="27" t="str">
        <f>IFERROR(__xludf.DUMMYFUNCTION("""COMPUTED_VALUE"""),"JOSE")</f>
        <v>JOSE</v>
      </c>
      <c r="N70" s="27" t="str">
        <f>IFERROR(__xludf.DUMMYFUNCTION("""COMPUTED_VALUE"""),"TOL MH 159 (REORDER)")</f>
        <v>TOL MH 159 (REORDER)</v>
      </c>
      <c r="O70" s="27" t="str">
        <f>IFERROR(__xludf.DUMMYFUNCTION("""COMPUTED_VALUE"""),"WINDOW|||TOL MH 159 (REORDER)")</f>
        <v>WINDOW|||TOL MH 159 (REORDER)</v>
      </c>
      <c r="P70" s="27"/>
      <c r="Q70" s="27" t="str">
        <f>IFERROR(__xludf.DUMMYFUNCTION("""COMPUTED_VALUE"""),"jose@ox-glass.com")</f>
        <v>jose@ox-glass.com</v>
      </c>
      <c r="R70" s="27" t="str">
        <f>IFERROR(__xludf.DUMMYFUNCTION("""COMPUTED_VALUE"""),"C3A")</f>
        <v>C3A</v>
      </c>
      <c r="S70" s="27" t="str">
        <f>IFERROR(__xludf.DUMMYFUNCTION("""COMPUTED_VALUE"""),"ENTRY")</f>
        <v>ENTRY</v>
      </c>
    </row>
    <row r="71" ht="21.75" customHeight="1">
      <c r="A71" s="23">
        <f>IFERROR(__xludf.DUMMYFUNCTION("""COMPUTED_VALUE"""),46213.48280593749)</f>
        <v>46213.48281</v>
      </c>
      <c r="B71" s="24" t="str">
        <f>IFERROR(__xludf.DUMMYFUNCTION("""COMPUTED_VALUE"""),"WINDOW")</f>
        <v>WINDOW</v>
      </c>
      <c r="C71" s="25" t="str">
        <f>IFERROR(__xludf.DUMMYFUNCTION("""COMPUTED_VALUE"""),"TOL MH 159 (REORDER)")</f>
        <v>TOL MH 159 (REORDER)</v>
      </c>
      <c r="D71" s="26"/>
      <c r="E71" s="27" t="str">
        <f>IFERROR(__xludf.DUMMYFUNCTION("""COMPUTED_VALUE"""),"06-4871")</f>
        <v>06-4871</v>
      </c>
      <c r="F71" s="28">
        <f>IFERROR(__xludf.DUMMYFUNCTION("""COMPUTED_VALUE"""),1.0)</f>
        <v>1</v>
      </c>
      <c r="G71" s="27" t="str">
        <f>IFERROR(__xludf.DUMMYFUNCTION("""COMPUTED_VALUE"""),"UNIT")</f>
        <v>UNIT</v>
      </c>
      <c r="H71" s="29">
        <f>IFERROR(__xludf.DUMMYFUNCTION("""COMPUTED_VALUE"""),46213.0)</f>
        <v>46213</v>
      </c>
      <c r="I71" s="24"/>
      <c r="J71" s="30" t="str">
        <f>IFERROR(__xludf.DUMMYFUNCTION("""COMPUTED_VALUE"""),"AMSCO")</f>
        <v>AMSCO</v>
      </c>
      <c r="K71" s="27"/>
      <c r="L71" s="2" t="str">
        <f>IFERROR(__xludf.DUMMYFUNCTION("""COMPUTED_VALUE"""),"In Stock")</f>
        <v>In Stock</v>
      </c>
      <c r="M71" s="27" t="str">
        <f>IFERROR(__xludf.DUMMYFUNCTION("""COMPUTED_VALUE"""),"JOSE")</f>
        <v>JOSE</v>
      </c>
      <c r="N71" s="27" t="str">
        <f>IFERROR(__xludf.DUMMYFUNCTION("""COMPUTED_VALUE"""),"TOL MH 159 (REORDER)")</f>
        <v>TOL MH 159 (REORDER)</v>
      </c>
      <c r="O71" s="27" t="str">
        <f>IFERROR(__xludf.DUMMYFUNCTION("""COMPUTED_VALUE"""),"WINDOW|||TOL MH 159 (REORDER)")</f>
        <v>WINDOW|||TOL MH 159 (REORDER)</v>
      </c>
      <c r="P71" s="27" t="str">
        <f>IFERROR(__xludf.DUMMYFUNCTION("""COMPUTED_VALUE"""),"Document||https://drive.google.com/file/d/1TUvb7Jw7FL6eZ-zv4KynC5cWqUh47Cwi/view?usp=drivesdk")</f>
        <v>Document||https://drive.google.com/file/d/1TUvb7Jw7FL6eZ-zv4KynC5cWqUh47Cwi/view?usp=drivesdk</v>
      </c>
      <c r="Q71" s="27" t="str">
        <f>IFERROR(__xludf.DUMMYFUNCTION("""COMPUTED_VALUE"""),"jose@ox-glass.com")</f>
        <v>jose@ox-glass.com</v>
      </c>
      <c r="R71" s="27" t="str">
        <f>IFERROR(__xludf.DUMMYFUNCTION("""COMPUTED_VALUE"""),"A1A")</f>
        <v>A1A</v>
      </c>
      <c r="S71" s="27" t="str">
        <f>IFERROR(__xludf.DUMMYFUNCTION("""COMPUTED_VALUE"""),"ENTRY")</f>
        <v>ENTRY</v>
      </c>
    </row>
    <row r="72" ht="21.75" customHeight="1">
      <c r="A72" s="23">
        <f>IFERROR(__xludf.DUMMYFUNCTION("""COMPUTED_VALUE"""),46213.44005636574)</f>
        <v>46213.44006</v>
      </c>
      <c r="B72" s="24" t="str">
        <f>IFERROR(__xludf.DUMMYFUNCTION("""COMPUTED_VALUE"""),"WINDOW")</f>
        <v>WINDOW</v>
      </c>
      <c r="C72" s="25" t="str">
        <f>IFERROR(__xludf.DUMMYFUNCTION("""COMPUTED_VALUE"""),"TOL MH 145 (REORDER)")</f>
        <v>TOL MH 145 (REORDER)</v>
      </c>
      <c r="D72" s="26"/>
      <c r="E72" s="27" t="str">
        <f>IFERROR(__xludf.DUMMYFUNCTION("""COMPUTED_VALUE"""),"06-4872")</f>
        <v>06-4872</v>
      </c>
      <c r="F72" s="28">
        <f>IFERROR(__xludf.DUMMYFUNCTION("""COMPUTED_VALUE"""),49.0)</f>
        <v>49</v>
      </c>
      <c r="G72" s="27" t="str">
        <f>IFERROR(__xludf.DUMMYFUNCTION("""COMPUTED_VALUE"""),"UNIT")</f>
        <v>UNIT</v>
      </c>
      <c r="H72" s="29">
        <f>IFERROR(__xludf.DUMMYFUNCTION("""COMPUTED_VALUE"""),46213.0)</f>
        <v>46213</v>
      </c>
      <c r="I72" s="24"/>
      <c r="J72" s="30" t="str">
        <f>IFERROR(__xludf.DUMMYFUNCTION("""COMPUTED_VALUE"""),"AMSCO")</f>
        <v>AMSCO</v>
      </c>
      <c r="K72" s="27"/>
      <c r="L72" s="2" t="str">
        <f>IFERROR(__xludf.DUMMYFUNCTION("""COMPUTED_VALUE"""),"In Stock")</f>
        <v>In Stock</v>
      </c>
      <c r="M72" s="27" t="str">
        <f>IFERROR(__xludf.DUMMYFUNCTION("""COMPUTED_VALUE"""),"JOSE")</f>
        <v>JOSE</v>
      </c>
      <c r="N72" s="27" t="str">
        <f>IFERROR(__xludf.DUMMYFUNCTION("""COMPUTED_VALUE"""),"TOL MH 145 (REORDER)")</f>
        <v>TOL MH 145 (REORDER)</v>
      </c>
      <c r="O72" s="27" t="str">
        <f>IFERROR(__xludf.DUMMYFUNCTION("""COMPUTED_VALUE"""),"WINDOW|||TOL MH 145 (REORDER)")</f>
        <v>WINDOW|||TOL MH 145 (REORDER)</v>
      </c>
      <c r="P72" s="27"/>
      <c r="Q72" s="27" t="str">
        <f>IFERROR(__xludf.DUMMYFUNCTION("""COMPUTED_VALUE"""),"jose@ox-glass.com")</f>
        <v>jose@ox-glass.com</v>
      </c>
      <c r="R72" s="27" t="str">
        <f>IFERROR(__xludf.DUMMYFUNCTION("""COMPUTED_VALUE"""),"B3A")</f>
        <v>B3A</v>
      </c>
      <c r="S72" s="27" t="str">
        <f>IFERROR(__xludf.DUMMYFUNCTION("""COMPUTED_VALUE"""),"ENTRY")</f>
        <v>ENTRY</v>
      </c>
    </row>
    <row r="73" ht="21.75" customHeight="1">
      <c r="A73" s="23">
        <f>IFERROR(__xludf.DUMMYFUNCTION("""COMPUTED_VALUE"""),46213.43398263889)</f>
        <v>46213.43398</v>
      </c>
      <c r="B73" s="24" t="str">
        <f>IFERROR(__xludf.DUMMYFUNCTION("""COMPUTED_VALUE"""),"WINDOW")</f>
        <v>WINDOW</v>
      </c>
      <c r="C73" s="25" t="str">
        <f>IFERROR(__xludf.DUMMYFUNCTION("""COMPUTED_VALUE"""),"TOL MH 146 (W-REORDER)")</f>
        <v>TOL MH 146 (W-REORDER)</v>
      </c>
      <c r="D73" s="26"/>
      <c r="E73" s="27" t="str">
        <f>IFERROR(__xludf.DUMMYFUNCTION("""COMPUTED_VALUE"""),"06-4847")</f>
        <v>06-4847</v>
      </c>
      <c r="F73" s="28">
        <f>IFERROR(__xludf.DUMMYFUNCTION("""COMPUTED_VALUE"""),40.0)</f>
        <v>40</v>
      </c>
      <c r="G73" s="27" t="str">
        <f>IFERROR(__xludf.DUMMYFUNCTION("""COMPUTED_VALUE"""),"UNIT")</f>
        <v>UNIT</v>
      </c>
      <c r="H73" s="29">
        <f>IFERROR(__xludf.DUMMYFUNCTION("""COMPUTED_VALUE"""),46213.0)</f>
        <v>46213</v>
      </c>
      <c r="I73" s="24"/>
      <c r="J73" s="30" t="str">
        <f>IFERROR(__xludf.DUMMYFUNCTION("""COMPUTED_VALUE"""),"AMSCO")</f>
        <v>AMSCO</v>
      </c>
      <c r="K73" s="27"/>
      <c r="L73" s="2" t="str">
        <f>IFERROR(__xludf.DUMMYFUNCTION("""COMPUTED_VALUE"""),"In Stock")</f>
        <v>In Stock</v>
      </c>
      <c r="M73" s="27" t="str">
        <f>IFERROR(__xludf.DUMMYFUNCTION("""COMPUTED_VALUE"""),"JOSE")</f>
        <v>JOSE</v>
      </c>
      <c r="N73" s="27" t="str">
        <f>IFERROR(__xludf.DUMMYFUNCTION("""COMPUTED_VALUE"""),"TOL MH 146 W REORDER")</f>
        <v>TOL MH 146 W REORDER</v>
      </c>
      <c r="O73" s="27" t="str">
        <f>IFERROR(__xludf.DUMMYFUNCTION("""COMPUTED_VALUE"""),"WINDOW|||TOL MH 146 (W REORDER)")</f>
        <v>WINDOW|||TOL MH 146 (W REORDER)</v>
      </c>
      <c r="P73" s="27"/>
      <c r="Q73" s="27" t="str">
        <f>IFERROR(__xludf.DUMMYFUNCTION("""COMPUTED_VALUE"""),"jose@ox-glass.com")</f>
        <v>jose@ox-glass.com</v>
      </c>
      <c r="R73" s="27" t="str">
        <f>IFERROR(__xludf.DUMMYFUNCTION("""COMPUTED_VALUE"""),"A2A")</f>
        <v>A2A</v>
      </c>
      <c r="S73" s="27" t="str">
        <f>IFERROR(__xludf.DUMMYFUNCTION("""COMPUTED_VALUE"""),"ENTRY")</f>
        <v>ENTRY</v>
      </c>
    </row>
    <row r="74" ht="21.75" customHeight="1">
      <c r="A74" s="23">
        <f>IFERROR(__xludf.DUMMYFUNCTION("""COMPUTED_VALUE"""),46212.42870311342)</f>
        <v>46212.4287</v>
      </c>
      <c r="B74" s="24" t="str">
        <f>IFERROR(__xludf.DUMMYFUNCTION("""COMPUTED_VALUE"""),"WINDOW")</f>
        <v>WINDOW</v>
      </c>
      <c r="C74" s="25" t="str">
        <f>IFERROR(__xludf.DUMMYFUNCTION("""COMPUTED_VALUE"""),"CAMDEN COMMONS 23_24")</f>
        <v>CAMDEN COMMONS 23_24</v>
      </c>
      <c r="D74" s="26" t="str">
        <f>IFERROR(__xludf.DUMMYFUNCTION("""COMPUTED_VALUE"""),"GOO")</f>
        <v>GOO</v>
      </c>
      <c r="E74" s="27"/>
      <c r="F74" s="28">
        <f>IFERROR(__xludf.DUMMYFUNCTION("""COMPUTED_VALUE"""),26.0)</f>
        <v>26</v>
      </c>
      <c r="G74" s="27" t="str">
        <f>IFERROR(__xludf.DUMMYFUNCTION("""COMPUTED_VALUE"""),"UNIT")</f>
        <v>UNIT</v>
      </c>
      <c r="H74" s="29">
        <f>IFERROR(__xludf.DUMMYFUNCTION("""COMPUTED_VALUE"""),46212.0)</f>
        <v>46212</v>
      </c>
      <c r="I74" s="24"/>
      <c r="J74" s="30" t="str">
        <f>IFERROR(__xludf.DUMMYFUNCTION("""COMPUTED_VALUE"""),"WINDSOR")</f>
        <v>WINDSOR</v>
      </c>
      <c r="K74" s="27"/>
      <c r="L74" s="2" t="str">
        <f>IFERROR(__xludf.DUMMYFUNCTION("""COMPUTED_VALUE"""),"In Stock")</f>
        <v>In Stock</v>
      </c>
      <c r="M74" s="27" t="str">
        <f>IFERROR(__xludf.DUMMYFUNCTION("""COMPUTED_VALUE"""),"JOSE")</f>
        <v>JOSE</v>
      </c>
      <c r="N74" s="27" t="str">
        <f>IFERROR(__xludf.DUMMYFUNCTION("""COMPUTED_VALUE"""),"GOO CAMDEN COMMONS 23_24")</f>
        <v>GOO CAMDEN COMMONS 23_24</v>
      </c>
      <c r="O74" s="27" t="str">
        <f>IFERROR(__xludf.DUMMYFUNCTION("""COMPUTED_VALUE"""),"WINDOW|||CAMDEN COMMONS 23_24")</f>
        <v>WINDOW|||CAMDEN COMMONS 23_24</v>
      </c>
      <c r="P74" s="27" t="str">
        <f>IFERROR(__xludf.DUMMYFUNCTION("""COMPUTED_VALUE"""),"Delivery||https://drive.google.com/file/d/1Ywvl1AiLPztIG0cuDKb5R5ONotlOTuWS/view?usp=drivesdk")</f>
        <v>Delivery||https://drive.google.com/file/d/1Ywvl1AiLPztIG0cuDKb5R5ONotlOTuWS/view?usp=drivesdk</v>
      </c>
      <c r="Q74" s="27" t="str">
        <f>IFERROR(__xludf.DUMMYFUNCTION("""COMPUTED_VALUE"""),"jose@ox-glass.com")</f>
        <v>jose@ox-glass.com</v>
      </c>
      <c r="R74" s="27" t="str">
        <f>IFERROR(__xludf.DUMMYFUNCTION("""COMPUTED_VALUE"""),"B4A")</f>
        <v>B4A</v>
      </c>
      <c r="S74" s="27" t="str">
        <f>IFERROR(__xludf.DUMMYFUNCTION("""COMPUTED_VALUE"""),"ENTRY")</f>
        <v>ENTRY</v>
      </c>
    </row>
    <row r="75" ht="21.75" customHeight="1">
      <c r="A75" s="23">
        <f>IFERROR(__xludf.DUMMYFUNCTION("""COMPUTED_VALUE"""),46210.65381627315)</f>
        <v>46210.65382</v>
      </c>
      <c r="B75" s="24" t="str">
        <f>IFERROR(__xludf.DUMMYFUNCTION("""COMPUTED_VALUE"""),"WINDOW")</f>
        <v>WINDOW</v>
      </c>
      <c r="C75" s="25" t="str">
        <f>IFERROR(__xludf.DUMMYFUNCTION("""COMPUTED_VALUE"""),"BULLOCK 11 (ELOISE)")</f>
        <v>BULLOCK 11 (ELOISE)</v>
      </c>
      <c r="D75" s="26"/>
      <c r="E75" s="27"/>
      <c r="F75" s="28">
        <f>IFERROR(__xludf.DUMMYFUNCTION("""COMPUTED_VALUE"""),15.0)</f>
        <v>15</v>
      </c>
      <c r="G75" s="27" t="str">
        <f>IFERROR(__xludf.DUMMYFUNCTION("""COMPUTED_VALUE"""),"UNIT")</f>
        <v>UNIT</v>
      </c>
      <c r="H75" s="29">
        <f>IFERROR(__xludf.DUMMYFUNCTION("""COMPUTED_VALUE"""),46210.0)</f>
        <v>46210</v>
      </c>
      <c r="I75" s="24" t="str">
        <f>IFERROR(__xludf.DUMMYFUNCTION("""COMPUTED_VALUE"""),"B1A")</f>
        <v>B1A</v>
      </c>
      <c r="J75" s="30"/>
      <c r="K75" s="27"/>
      <c r="L75" s="2" t="str">
        <f>IFERROR(__xludf.DUMMYFUNCTION("""COMPUTED_VALUE"""),"In Stock")</f>
        <v>In Stock</v>
      </c>
      <c r="M75" s="27" t="str">
        <f>IFERROR(__xludf.DUMMYFUNCTION("""COMPUTED_VALUE"""),"JOSE")</f>
        <v>JOSE</v>
      </c>
      <c r="N75" s="27" t="str">
        <f>IFERROR(__xludf.DUMMYFUNCTION("""COMPUTED_VALUE"""),"GENERIC")</f>
        <v>GENERIC</v>
      </c>
      <c r="O75" s="27" t="str">
        <f>IFERROR(__xludf.DUMMYFUNCTION("""COMPUTED_VALUE"""),"WINDOW|||BULLOCK 11 (ELOISE)")</f>
        <v>WINDOW|||BULLOCK 11 (ELOISE)</v>
      </c>
      <c r="P75" s="27"/>
      <c r="Q75" s="27" t="str">
        <f>IFERROR(__xludf.DUMMYFUNCTION("""COMPUTED_VALUE"""),"jose@ox-glass.com")</f>
        <v>jose@ox-glass.com</v>
      </c>
      <c r="R75" s="27" t="str">
        <f>IFERROR(__xludf.DUMMYFUNCTION("""COMPUTED_VALUE"""),"C1A")</f>
        <v>C1A</v>
      </c>
      <c r="S75" s="27" t="str">
        <f>IFERROR(__xludf.DUMMYFUNCTION("""COMPUTED_VALUE"""),"TRANSFER")</f>
        <v>TRANSFER</v>
      </c>
    </row>
    <row r="76" ht="21.75" customHeight="1">
      <c r="A76" s="23">
        <f>IFERROR(__xludf.DUMMYFUNCTION("""COMPUTED_VALUE"""),46210.65318770834)</f>
        <v>46210.65319</v>
      </c>
      <c r="B76" s="24" t="str">
        <f>IFERROR(__xludf.DUMMYFUNCTION("""COMPUTED_VALUE"""),"WINDOW")</f>
        <v>WINDOW</v>
      </c>
      <c r="C76" s="25" t="str">
        <f>IFERROR(__xludf.DUMMYFUNCTION("""COMPUTED_VALUE"""),"MH 160")</f>
        <v>MH 160</v>
      </c>
      <c r="D76" s="26"/>
      <c r="E76" s="27"/>
      <c r="F76" s="28">
        <f>IFERROR(__xludf.DUMMYFUNCTION("""COMPUTED_VALUE"""),31.0)</f>
        <v>31</v>
      </c>
      <c r="G76" s="27" t="str">
        <f>IFERROR(__xludf.DUMMYFUNCTION("""COMPUTED_VALUE"""),"UNIT")</f>
        <v>UNIT</v>
      </c>
      <c r="H76" s="29">
        <f>IFERROR(__xludf.DUMMYFUNCTION("""COMPUTED_VALUE"""),46210.0)</f>
        <v>46210</v>
      </c>
      <c r="I76" s="24" t="str">
        <f>IFERROR(__xludf.DUMMYFUNCTION("""COMPUTED_VALUE"""),"A1A")</f>
        <v>A1A</v>
      </c>
      <c r="J76" s="30"/>
      <c r="K76" s="27"/>
      <c r="L76" s="2" t="str">
        <f>IFERROR(__xludf.DUMMYFUNCTION("""COMPUTED_VALUE"""),"In Stock")</f>
        <v>In Stock</v>
      </c>
      <c r="M76" s="27" t="str">
        <f>IFERROR(__xludf.DUMMYFUNCTION("""COMPUTED_VALUE"""),"JOSE")</f>
        <v>JOSE</v>
      </c>
      <c r="N76" s="27" t="str">
        <f>IFERROR(__xludf.DUMMYFUNCTION("""COMPUTED_VALUE"""),"TOLL MH 160")</f>
        <v>TOLL MH 160</v>
      </c>
      <c r="O76" s="27" t="str">
        <f>IFERROR(__xludf.DUMMYFUNCTION("""COMPUTED_VALUE"""),"WINDOW|||MH 160")</f>
        <v>WINDOW|||MH 160</v>
      </c>
      <c r="P76" s="27"/>
      <c r="Q76" s="27" t="str">
        <f>IFERROR(__xludf.DUMMYFUNCTION("""COMPUTED_VALUE"""),"jose@ox-glass.com")</f>
        <v>jose@ox-glass.com</v>
      </c>
      <c r="R76" s="27" t="str">
        <f>IFERROR(__xludf.DUMMYFUNCTION("""COMPUTED_VALUE"""),"C2A")</f>
        <v>C2A</v>
      </c>
      <c r="S76" s="27" t="str">
        <f>IFERROR(__xludf.DUMMYFUNCTION("""COMPUTED_VALUE"""),"TRANSFER")</f>
        <v>TRANSFER</v>
      </c>
    </row>
    <row r="77" ht="21.75" customHeight="1">
      <c r="A77" s="23">
        <f>IFERROR(__xludf.DUMMYFUNCTION("""COMPUTED_VALUE"""),46210.59696695602)</f>
        <v>46210.59697</v>
      </c>
      <c r="B77" s="24" t="str">
        <f>IFERROR(__xludf.DUMMYFUNCTION("""COMPUTED_VALUE"""),"WINDOW")</f>
        <v>WINDOW</v>
      </c>
      <c r="C77" s="25" t="str">
        <f>IFERROR(__xludf.DUMMYFUNCTION("""COMPUTED_VALUE"""),"SP 648 TRACIE")</f>
        <v>SP 648 TRACIE</v>
      </c>
      <c r="D77" s="26"/>
      <c r="E77" s="27"/>
      <c r="F77" s="28">
        <f>IFERROR(__xludf.DUMMYFUNCTION("""COMPUTED_VALUE"""),1.0)</f>
        <v>1</v>
      </c>
      <c r="G77" s="27" t="str">
        <f>IFERROR(__xludf.DUMMYFUNCTION("""COMPUTED_VALUE"""),"UNIT")</f>
        <v>UNIT</v>
      </c>
      <c r="H77" s="29">
        <f>IFERROR(__xludf.DUMMYFUNCTION("""COMPUTED_VALUE"""),46210.0)</f>
        <v>46210</v>
      </c>
      <c r="I77" s="24" t="str">
        <f>IFERROR(__xludf.DUMMYFUNCTION("""COMPUTED_VALUE"""),"A2A")</f>
        <v>A2A</v>
      </c>
      <c r="J77" s="30"/>
      <c r="K77" s="27" t="str">
        <f>IFERROR(__xludf.DUMMYFUNCTION("""COMPUTED_VALUE"""),"1 DOOR, 1 SASH")</f>
        <v>1 DOOR, 1 SASH</v>
      </c>
      <c r="L77" s="2" t="str">
        <f>IFERROR(__xludf.DUMMYFUNCTION("""COMPUTED_VALUE"""),"In Stock")</f>
        <v>In Stock</v>
      </c>
      <c r="M77" s="27" t="str">
        <f>IFERROR(__xludf.DUMMYFUNCTION("""COMPUTED_VALUE"""),"JOSE")</f>
        <v>JOSE</v>
      </c>
      <c r="N77" s="27" t="str">
        <f>IFERROR(__xludf.DUMMYFUNCTION("""COMPUTED_VALUE"""),"GENERIC")</f>
        <v>GENERIC</v>
      </c>
      <c r="O77" s="27" t="str">
        <f>IFERROR(__xludf.DUMMYFUNCTION("""COMPUTED_VALUE"""),"WINDOW|||SP 648 TRACIE")</f>
        <v>WINDOW|||SP 648 TRACIE</v>
      </c>
      <c r="P77" s="27"/>
      <c r="Q77" s="27" t="str">
        <f>IFERROR(__xludf.DUMMYFUNCTION("""COMPUTED_VALUE"""),"jose@ox-glass.com")</f>
        <v>jose@ox-glass.com</v>
      </c>
      <c r="R77" s="27" t="str">
        <f>IFERROR(__xludf.DUMMYFUNCTION("""COMPUTED_VALUE"""),"C6A")</f>
        <v>C6A</v>
      </c>
      <c r="S77" s="27" t="str">
        <f>IFERROR(__xludf.DUMMYFUNCTION("""COMPUTED_VALUE"""),"TRANSFER")</f>
        <v>TRANSFER</v>
      </c>
    </row>
    <row r="78" ht="21.75" customHeight="1">
      <c r="A78" s="23">
        <f>IFERROR(__xludf.DUMMYFUNCTION("""COMPUTED_VALUE"""),46210.553794363426)</f>
        <v>46210.55379</v>
      </c>
      <c r="B78" s="24" t="str">
        <f>IFERROR(__xludf.DUMMYFUNCTION("""COMPUTED_VALUE"""),"WINDOW")</f>
        <v>WINDOW</v>
      </c>
      <c r="C78" s="25" t="str">
        <f>IFERROR(__xludf.DUMMYFUNCTION("""COMPUTED_VALUE"""),"DE 008 MILLARD")</f>
        <v>DE 008 MILLARD</v>
      </c>
      <c r="D78" s="26" t="str">
        <f>IFERROR(__xludf.DUMMYFUNCTION("""COMPUTED_VALUE"""),"LGI")</f>
        <v>LGI</v>
      </c>
      <c r="E78" s="27"/>
      <c r="F78" s="28">
        <f>IFERROR(__xludf.DUMMYFUNCTION("""COMPUTED_VALUE"""),6.0)</f>
        <v>6</v>
      </c>
      <c r="G78" s="27" t="str">
        <f>IFERROR(__xludf.DUMMYFUNCTION("""COMPUTED_VALUE"""),"UNIT")</f>
        <v>UNIT</v>
      </c>
      <c r="H78" s="29">
        <f>IFERROR(__xludf.DUMMYFUNCTION("""COMPUTED_VALUE"""),46210.0)</f>
        <v>46210</v>
      </c>
      <c r="I78" s="24" t="str">
        <f>IFERROR(__xludf.DUMMYFUNCTION("""COMPUTED_VALUE"""),"A3A")</f>
        <v>A3A</v>
      </c>
      <c r="J78" s="30" t="str">
        <f>IFERROR(__xludf.DUMMYFUNCTION("""COMPUTED_VALUE"""),"ALSIDE")</f>
        <v>ALSIDE</v>
      </c>
      <c r="K78" s="27"/>
      <c r="L78" s="2" t="str">
        <f>IFERROR(__xludf.DUMMYFUNCTION("""COMPUTED_VALUE"""),"In Stock")</f>
        <v>In Stock</v>
      </c>
      <c r="M78" s="27" t="str">
        <f>IFERROR(__xludf.DUMMYFUNCTION("""COMPUTED_VALUE"""),"JOSE")</f>
        <v>JOSE</v>
      </c>
      <c r="N78" s="27" t="str">
        <f>IFERROR(__xludf.DUMMYFUNCTION("""COMPUTED_VALUE"""),"LGI DE 008 MILLARD")</f>
        <v>LGI DE 008 MILLARD</v>
      </c>
      <c r="O78" s="27" t="str">
        <f>IFERROR(__xludf.DUMMYFUNCTION("""COMPUTED_VALUE"""),"WINDOW|||DE 008 MILLARD")</f>
        <v>WINDOW|||DE 008 MILLARD</v>
      </c>
      <c r="P78" s="27"/>
      <c r="Q78" s="27" t="str">
        <f>IFERROR(__xludf.DUMMYFUNCTION("""COMPUTED_VALUE"""),"jose@ox-glass.com")</f>
        <v>jose@ox-glass.com</v>
      </c>
      <c r="R78" s="27" t="str">
        <f>IFERROR(__xludf.DUMMYFUNCTION("""COMPUTED_VALUE"""),"C6A")</f>
        <v>C6A</v>
      </c>
      <c r="S78" s="27" t="str">
        <f>IFERROR(__xludf.DUMMYFUNCTION("""COMPUTED_VALUE"""),"TRANSFER")</f>
        <v>TRANSFER</v>
      </c>
    </row>
    <row r="79" ht="21.75" customHeight="1">
      <c r="A79" s="23">
        <f>IFERROR(__xludf.DUMMYFUNCTION("""COMPUTED_VALUE"""),46209.611339780095)</f>
        <v>46209.61134</v>
      </c>
      <c r="B79" s="24" t="str">
        <f>IFERROR(__xludf.DUMMYFUNCTION("""COMPUTED_VALUE"""),"WINDOW")</f>
        <v>WINDOW</v>
      </c>
      <c r="C79" s="25" t="str">
        <f>IFERROR(__xludf.DUMMYFUNCTION("""COMPUTED_VALUE"""),"TOL MH146")</f>
        <v>TOL MH146</v>
      </c>
      <c r="D79" s="26"/>
      <c r="E79" s="27"/>
      <c r="F79" s="28">
        <f>IFERROR(__xludf.DUMMYFUNCTION("""COMPUTED_VALUE"""),39.0)</f>
        <v>39</v>
      </c>
      <c r="G79" s="27" t="str">
        <f>IFERROR(__xludf.DUMMYFUNCTION("""COMPUTED_VALUE"""),"UNIT")</f>
        <v>UNIT</v>
      </c>
      <c r="H79" s="29">
        <f>IFERROR(__xludf.DUMMYFUNCTION("""COMPUTED_VALUE"""),46203.0)</f>
        <v>46203</v>
      </c>
      <c r="I79" s="24" t="str">
        <f>IFERROR(__xludf.DUMMYFUNCTION("""COMPUTED_VALUE"""),"TOL MH146")</f>
        <v>TOL MH146</v>
      </c>
      <c r="J79" s="30"/>
      <c r="K79" s="27"/>
      <c r="L79" s="2" t="str">
        <f>IFERROR(__xludf.DUMMYFUNCTION("""COMPUTED_VALUE"""),"In Stock")</f>
        <v>In Stock</v>
      </c>
      <c r="M79" s="27" t="str">
        <f>IFERROR(__xludf.DUMMYFUNCTION("""COMPUTED_VALUE"""),"JOSE AND ELIJAH")</f>
        <v>JOSE AND ELIJAH</v>
      </c>
      <c r="N79" s="27" t="str">
        <f>IFERROR(__xludf.DUMMYFUNCTION("""COMPUTED_VALUE"""),"GENERIC")</f>
        <v>GENERIC</v>
      </c>
      <c r="O79" s="27" t="str">
        <f>IFERROR(__xludf.DUMMYFUNCTION("""COMPUTED_VALUE"""),"WINDOW|||TOL MH146")</f>
        <v>WINDOW|||TOL MH146</v>
      </c>
      <c r="P79" s="27"/>
      <c r="Q79" s="27" t="str">
        <f>IFERROR(__xludf.DUMMYFUNCTION("""COMPUTED_VALUE"""),"jose@ox-glass.com")</f>
        <v>jose@ox-glass.com</v>
      </c>
      <c r="R79" s="27" t="str">
        <f>IFERROR(__xludf.DUMMYFUNCTION("""COMPUTED_VALUE"""),"B")</f>
        <v>B</v>
      </c>
      <c r="S79" s="27" t="str">
        <f>IFERROR(__xludf.DUMMYFUNCTION("""COMPUTED_VALUE"""),"RETURN")</f>
        <v>RETURN</v>
      </c>
    </row>
    <row r="80" ht="21.75" customHeight="1">
      <c r="A80" s="23">
        <f>IFERROR(__xludf.DUMMYFUNCTION("""COMPUTED_VALUE"""),46209.60159089121)</f>
        <v>46209.60159</v>
      </c>
      <c r="B80" s="24" t="str">
        <f>IFERROR(__xludf.DUMMYFUNCTION("""COMPUTED_VALUE"""),"WINDOW")</f>
        <v>WINDOW</v>
      </c>
      <c r="C80" s="25" t="str">
        <f>IFERROR(__xludf.DUMMYFUNCTION("""COMPUTED_VALUE"""),"LGI DE 12 GRANITE")</f>
        <v>LGI DE 12 GRANITE</v>
      </c>
      <c r="D80" s="26" t="str">
        <f>IFERROR(__xludf.DUMMYFUNCTION("""COMPUTED_VALUE"""),"LGI")</f>
        <v>LGI</v>
      </c>
      <c r="E80" s="27" t="str">
        <f>IFERROR(__xludf.DUMMYFUNCTION("""COMPUTED_VALUE"""),"7343")</f>
        <v>7343</v>
      </c>
      <c r="F80" s="28">
        <f>IFERROR(__xludf.DUMMYFUNCTION("""COMPUTED_VALUE"""),10.0)</f>
        <v>10</v>
      </c>
      <c r="G80" s="27" t="str">
        <f>IFERROR(__xludf.DUMMYFUNCTION("""COMPUTED_VALUE"""),"UNIT")</f>
        <v>UNIT</v>
      </c>
      <c r="H80" s="29">
        <f>IFERROR(__xludf.DUMMYFUNCTION("""COMPUTED_VALUE"""),46209.0)</f>
        <v>46209</v>
      </c>
      <c r="I80" s="24"/>
      <c r="J80" s="30" t="str">
        <f>IFERROR(__xludf.DUMMYFUNCTION("""COMPUTED_VALUE"""),"ALSIDE")</f>
        <v>ALSIDE</v>
      </c>
      <c r="K80" s="27"/>
      <c r="L80" s="2" t="str">
        <f>IFERROR(__xludf.DUMMYFUNCTION("""COMPUTED_VALUE"""),"In Stock")</f>
        <v>In Stock</v>
      </c>
      <c r="M80" s="27" t="str">
        <f>IFERROR(__xludf.DUMMYFUNCTION("""COMPUTED_VALUE"""),"JOSE")</f>
        <v>JOSE</v>
      </c>
      <c r="N80" s="27" t="str">
        <f>IFERROR(__xludf.DUMMYFUNCTION("""COMPUTED_VALUE"""),"LGI DE 12 DELANO")</f>
        <v>LGI DE 12 DELANO</v>
      </c>
      <c r="O80" s="27" t="str">
        <f>IFERROR(__xludf.DUMMYFUNCTION("""COMPUTED_VALUE"""),"WINDOW|||LGI DE 12 GRANITE")</f>
        <v>WINDOW|||LGI DE 12 GRANITE</v>
      </c>
      <c r="P80" s="27"/>
      <c r="Q80" s="27" t="str">
        <f>IFERROR(__xludf.DUMMYFUNCTION("""COMPUTED_VALUE"""),"jose@ox-glass.com")</f>
        <v>jose@ox-glass.com</v>
      </c>
      <c r="R80" s="27" t="str">
        <f>IFERROR(__xludf.DUMMYFUNCTION("""COMPUTED_VALUE"""),"C4A")</f>
        <v>C4A</v>
      </c>
      <c r="S80" s="27" t="str">
        <f>IFERROR(__xludf.DUMMYFUNCTION("""COMPUTED_VALUE"""),"ENTRY")</f>
        <v>ENTRY</v>
      </c>
    </row>
    <row r="81" ht="21.75" customHeight="1">
      <c r="A81" s="23">
        <f>IFERROR(__xludf.DUMMYFUNCTION("""COMPUTED_VALUE"""),46209.59968295139)</f>
        <v>46209.59968</v>
      </c>
      <c r="B81" s="24" t="str">
        <f>IFERROR(__xludf.DUMMYFUNCTION("""COMPUTED_VALUE"""),"WINDOW")</f>
        <v>WINDOW</v>
      </c>
      <c r="C81" s="25" t="str">
        <f>IFERROR(__xludf.DUMMYFUNCTION("""COMPUTED_VALUE"""),"LGI DE 11 DELANO")</f>
        <v>LGI DE 11 DELANO</v>
      </c>
      <c r="D81" s="26" t="str">
        <f>IFERROR(__xludf.DUMMYFUNCTION("""COMPUTED_VALUE"""),"LGI")</f>
        <v>LGI</v>
      </c>
      <c r="E81" s="27" t="str">
        <f>IFERROR(__xludf.DUMMYFUNCTION("""COMPUTED_VALUE"""),"7331")</f>
        <v>7331</v>
      </c>
      <c r="F81" s="28">
        <f>IFERROR(__xludf.DUMMYFUNCTION("""COMPUTED_VALUE"""),11.0)</f>
        <v>11</v>
      </c>
      <c r="G81" s="27" t="str">
        <f>IFERROR(__xludf.DUMMYFUNCTION("""COMPUTED_VALUE"""),"UNIT")</f>
        <v>UNIT</v>
      </c>
      <c r="H81" s="29">
        <f>IFERROR(__xludf.DUMMYFUNCTION("""COMPUTED_VALUE"""),46209.0)</f>
        <v>46209</v>
      </c>
      <c r="I81" s="24"/>
      <c r="J81" s="30" t="str">
        <f>IFERROR(__xludf.DUMMYFUNCTION("""COMPUTED_VALUE"""),"ALSIDE")</f>
        <v>ALSIDE</v>
      </c>
      <c r="K81" s="27"/>
      <c r="L81" s="2" t="str">
        <f>IFERROR(__xludf.DUMMYFUNCTION("""COMPUTED_VALUE"""),"In Stock")</f>
        <v>In Stock</v>
      </c>
      <c r="M81" s="27" t="str">
        <f>IFERROR(__xludf.DUMMYFUNCTION("""COMPUTED_VALUE"""),"JOSE")</f>
        <v>JOSE</v>
      </c>
      <c r="N81" s="27" t="str">
        <f>IFERROR(__xludf.DUMMYFUNCTION("""COMPUTED_VALUE"""),"LGI DE 11 DELANO")</f>
        <v>LGI DE 11 DELANO</v>
      </c>
      <c r="O81" s="27" t="str">
        <f>IFERROR(__xludf.DUMMYFUNCTION("""COMPUTED_VALUE"""),"WINDOW|||LGI DE 11 DELANO")</f>
        <v>WINDOW|||LGI DE 11 DELANO</v>
      </c>
      <c r="P81" s="27"/>
      <c r="Q81" s="27" t="str">
        <f>IFERROR(__xludf.DUMMYFUNCTION("""COMPUTED_VALUE"""),"jose@ox-glass.com")</f>
        <v>jose@ox-glass.com</v>
      </c>
      <c r="R81" s="27" t="str">
        <f>IFERROR(__xludf.DUMMYFUNCTION("""COMPUTED_VALUE"""),"B4A")</f>
        <v>B4A</v>
      </c>
      <c r="S81" s="27" t="str">
        <f>IFERROR(__xludf.DUMMYFUNCTION("""COMPUTED_VALUE"""),"ENTRY")</f>
        <v>ENTRY</v>
      </c>
    </row>
    <row r="82" ht="21.75" customHeight="1">
      <c r="A82" s="23">
        <f>IFERROR(__xludf.DUMMYFUNCTION("""COMPUTED_VALUE"""),46209.5958806713)</f>
        <v>46209.59588</v>
      </c>
      <c r="B82" s="24" t="str">
        <f>IFERROR(__xludf.DUMMYFUNCTION("""COMPUTED_VALUE"""),"WINDOW")</f>
        <v>WINDOW</v>
      </c>
      <c r="C82" s="25" t="str">
        <f>IFERROR(__xludf.DUMMYFUNCTION("""COMPUTED_VALUE"""),"DE 10 CASCADE")</f>
        <v>DE 10 CASCADE</v>
      </c>
      <c r="D82" s="26" t="str">
        <f>IFERROR(__xludf.DUMMYFUNCTION("""COMPUTED_VALUE"""),"LGI")</f>
        <v>LGI</v>
      </c>
      <c r="E82" s="27" t="str">
        <f>IFERROR(__xludf.DUMMYFUNCTION("""COMPUTED_VALUE"""),"7330")</f>
        <v>7330</v>
      </c>
      <c r="F82" s="28">
        <f>IFERROR(__xludf.DUMMYFUNCTION("""COMPUTED_VALUE"""),8.0)</f>
        <v>8</v>
      </c>
      <c r="G82" s="27" t="str">
        <f>IFERROR(__xludf.DUMMYFUNCTION("""COMPUTED_VALUE"""),"UNIT")</f>
        <v>UNIT</v>
      </c>
      <c r="H82" s="29">
        <f>IFERROR(__xludf.DUMMYFUNCTION("""COMPUTED_VALUE"""),46209.0)</f>
        <v>46209</v>
      </c>
      <c r="I82" s="24"/>
      <c r="J82" s="30" t="str">
        <f>IFERROR(__xludf.DUMMYFUNCTION("""COMPUTED_VALUE"""),"ALSIDE")</f>
        <v>ALSIDE</v>
      </c>
      <c r="K82" s="27"/>
      <c r="L82" s="2" t="str">
        <f>IFERROR(__xludf.DUMMYFUNCTION("""COMPUTED_VALUE"""),"In Stock")</f>
        <v>In Stock</v>
      </c>
      <c r="M82" s="27" t="str">
        <f>IFERROR(__xludf.DUMMYFUNCTION("""COMPUTED_VALUE"""),"JOSE")</f>
        <v>JOSE</v>
      </c>
      <c r="N82" s="27" t="str">
        <f>IFERROR(__xludf.DUMMYFUNCTION("""COMPUTED_VALUE"""),"LGI DE 10 CASCADE")</f>
        <v>LGI DE 10 CASCADE</v>
      </c>
      <c r="O82" s="27" t="str">
        <f>IFERROR(__xludf.DUMMYFUNCTION("""COMPUTED_VALUE"""),"WINDOW|||DE 10 CASCADE")</f>
        <v>WINDOW|||DE 10 CASCADE</v>
      </c>
      <c r="P82" s="27"/>
      <c r="Q82" s="27" t="str">
        <f>IFERROR(__xludf.DUMMYFUNCTION("""COMPUTED_VALUE"""),"jose@ox-glass.com")</f>
        <v>jose@ox-glass.com</v>
      </c>
      <c r="R82" s="27" t="str">
        <f>IFERROR(__xludf.DUMMYFUNCTION("""COMPUTED_VALUE"""),"C4A")</f>
        <v>C4A</v>
      </c>
      <c r="S82" s="27" t="str">
        <f>IFERROR(__xludf.DUMMYFUNCTION("""COMPUTED_VALUE"""),"ENTRY")</f>
        <v>ENTRY</v>
      </c>
    </row>
    <row r="83" ht="21.75" customHeight="1">
      <c r="A83" s="23">
        <f>IFERROR(__xludf.DUMMYFUNCTION("""COMPUTED_VALUE"""),46209.58985430555)</f>
        <v>46209.58985</v>
      </c>
      <c r="B83" s="24" t="str">
        <f>IFERROR(__xludf.DUMMYFUNCTION("""COMPUTED_VALUE"""),"WINDOW")</f>
        <v>WINDOW</v>
      </c>
      <c r="C83" s="25" t="str">
        <f>IFERROR(__xludf.DUMMYFUNCTION("""COMPUTED_VALUE"""),"DE 042 PROVO")</f>
        <v>DE 042 PROVO</v>
      </c>
      <c r="D83" s="26" t="str">
        <f>IFERROR(__xludf.DUMMYFUNCTION("""COMPUTED_VALUE"""),"LGI")</f>
        <v>LGI</v>
      </c>
      <c r="E83" s="27" t="str">
        <f>IFERROR(__xludf.DUMMYFUNCTION("""COMPUTED_VALUE"""),"7271")</f>
        <v>7271</v>
      </c>
      <c r="F83" s="28">
        <f>IFERROR(__xludf.DUMMYFUNCTION("""COMPUTED_VALUE"""),1.0)</f>
        <v>1</v>
      </c>
      <c r="G83" s="27" t="str">
        <f>IFERROR(__xludf.DUMMYFUNCTION("""COMPUTED_VALUE"""),"UNIT")</f>
        <v>UNIT</v>
      </c>
      <c r="H83" s="29">
        <f>IFERROR(__xludf.DUMMYFUNCTION("""COMPUTED_VALUE"""),46209.0)</f>
        <v>46209</v>
      </c>
      <c r="I83" s="24"/>
      <c r="J83" s="30" t="str">
        <f>IFERROR(__xludf.DUMMYFUNCTION("""COMPUTED_VALUE"""),"ALSIDE")</f>
        <v>ALSIDE</v>
      </c>
      <c r="K83" s="27"/>
      <c r="L83" s="2" t="str">
        <f>IFERROR(__xludf.DUMMYFUNCTION("""COMPUTED_VALUE"""),"In Stock")</f>
        <v>In Stock</v>
      </c>
      <c r="M83" s="27" t="str">
        <f>IFERROR(__xludf.DUMMYFUNCTION("""COMPUTED_VALUE"""),"JOSE")</f>
        <v>JOSE</v>
      </c>
      <c r="N83" s="27" t="str">
        <f>IFERROR(__xludf.DUMMYFUNCTION("""COMPUTED_VALUE"""),"LGI DE 042 PROVO")</f>
        <v>LGI DE 042 PROVO</v>
      </c>
      <c r="O83" s="27" t="str">
        <f>IFERROR(__xludf.DUMMYFUNCTION("""COMPUTED_VALUE"""),"WINDOW|||DE 042 PROVO")</f>
        <v>WINDOW|||DE 042 PROVO</v>
      </c>
      <c r="P83" s="27"/>
      <c r="Q83" s="27" t="str">
        <f>IFERROR(__xludf.DUMMYFUNCTION("""COMPUTED_VALUE"""),"jose@ox-glass.com")</f>
        <v>jose@ox-glass.com</v>
      </c>
      <c r="R83" s="27" t="str">
        <f>IFERROR(__xludf.DUMMYFUNCTION("""COMPUTED_VALUE"""),"B4A")</f>
        <v>B4A</v>
      </c>
      <c r="S83" s="27" t="str">
        <f>IFERROR(__xludf.DUMMYFUNCTION("""COMPUTED_VALUE"""),"ENTRY")</f>
        <v>ENTRY</v>
      </c>
    </row>
    <row r="84" ht="21.75" customHeight="1">
      <c r="A84" s="23">
        <f>IFERROR(__xludf.DUMMYFUNCTION("""COMPUTED_VALUE"""),46209.451145810184)</f>
        <v>46209.45115</v>
      </c>
      <c r="B84" s="24" t="str">
        <f>IFERROR(__xludf.DUMMYFUNCTION("""COMPUTED_VALUE"""),"WINDOW")</f>
        <v>WINDOW</v>
      </c>
      <c r="C84" s="25" t="str">
        <f>IFERROR(__xludf.DUMMYFUNCTION("""COMPUTED_VALUE"""),"SP 647 REORDER")</f>
        <v>SP 647 REORDER</v>
      </c>
      <c r="D84" s="26" t="str">
        <f>IFERROR(__xludf.DUMMYFUNCTION("""COMPUTED_VALUE"""),"PAT")</f>
        <v>PAT</v>
      </c>
      <c r="E84" s="27" t="str">
        <f>IFERROR(__xludf.DUMMYFUNCTION("""COMPUTED_VALUE"""),"7342")</f>
        <v>7342</v>
      </c>
      <c r="F84" s="28">
        <f>IFERROR(__xludf.DUMMYFUNCTION("""COMPUTED_VALUE"""),9.0)</f>
        <v>9</v>
      </c>
      <c r="G84" s="27" t="str">
        <f>IFERROR(__xludf.DUMMYFUNCTION("""COMPUTED_VALUE"""),"UNIT")</f>
        <v>UNIT</v>
      </c>
      <c r="H84" s="29">
        <f>IFERROR(__xludf.DUMMYFUNCTION("""COMPUTED_VALUE"""),46209.0)</f>
        <v>46209</v>
      </c>
      <c r="I84" s="24"/>
      <c r="J84" s="30" t="str">
        <f>IFERROR(__xludf.DUMMYFUNCTION("""COMPUTED_VALUE"""),"ALSIDE")</f>
        <v>ALSIDE</v>
      </c>
      <c r="K84" s="27"/>
      <c r="L84" s="2" t="str">
        <f>IFERROR(__xludf.DUMMYFUNCTION("""COMPUTED_VALUE"""),"In Stock")</f>
        <v>In Stock</v>
      </c>
      <c r="M84" s="27" t="str">
        <f>IFERROR(__xludf.DUMMYFUNCTION("""COMPUTED_VALUE"""),"JOSE")</f>
        <v>JOSE</v>
      </c>
      <c r="N84" s="27" t="str">
        <f>IFERROR(__xludf.DUMMYFUNCTION("""COMPUTED_VALUE"""),"PAT SP 647 REORDER")</f>
        <v>PAT SP 647 REORDER</v>
      </c>
      <c r="O84" s="27" t="str">
        <f>IFERROR(__xludf.DUMMYFUNCTION("""COMPUTED_VALUE"""),"WINDOW|||SP 647 REORDER")</f>
        <v>WINDOW|||SP 647 REORDER</v>
      </c>
      <c r="P84" s="27"/>
      <c r="Q84" s="27" t="str">
        <f>IFERROR(__xludf.DUMMYFUNCTION("""COMPUTED_VALUE"""),"jose@ox-glass.com")</f>
        <v>jose@ox-glass.com</v>
      </c>
      <c r="R84" s="27" t="str">
        <f>IFERROR(__xludf.DUMMYFUNCTION("""COMPUTED_VALUE"""),"A5A")</f>
        <v>A5A</v>
      </c>
      <c r="S84" s="27" t="str">
        <f>IFERROR(__xludf.DUMMYFUNCTION("""COMPUTED_VALUE"""),"ENTRY")</f>
        <v>ENTRY</v>
      </c>
    </row>
    <row r="85" ht="21.75" customHeight="1">
      <c r="A85" s="23">
        <f>IFERROR(__xludf.DUMMYFUNCTION("""COMPUTED_VALUE"""),46209.43768427084)</f>
        <v>46209.43768</v>
      </c>
      <c r="B85" s="24" t="str">
        <f>IFERROR(__xludf.DUMMYFUNCTION("""COMPUTED_VALUE"""),"WINDOW")</f>
        <v>WINDOW</v>
      </c>
      <c r="C85" s="25" t="str">
        <f>IFERROR(__xludf.DUMMYFUNCTION("""COMPUTED_VALUE"""),"SP 647")</f>
        <v>SP 647</v>
      </c>
      <c r="D85" s="26"/>
      <c r="E85" s="27"/>
      <c r="F85" s="28">
        <f>IFERROR(__xludf.DUMMYFUNCTION("""COMPUTED_VALUE"""),13.0)</f>
        <v>13</v>
      </c>
      <c r="G85" s="27" t="str">
        <f>IFERROR(__xludf.DUMMYFUNCTION("""COMPUTED_VALUE"""),"UNIT")</f>
        <v>UNIT</v>
      </c>
      <c r="H85" s="29">
        <f>IFERROR(__xludf.DUMMYFUNCTION("""COMPUTED_VALUE"""),46209.0)</f>
        <v>46209</v>
      </c>
      <c r="I85" s="24" t="str">
        <f>IFERROR(__xludf.DUMMYFUNCTION("""COMPUTED_VALUE"""),"B3A")</f>
        <v>B3A</v>
      </c>
      <c r="J85" s="30"/>
      <c r="K85" s="27"/>
      <c r="L85" s="2" t="str">
        <f>IFERROR(__xludf.DUMMYFUNCTION("""COMPUTED_VALUE"""),"In Stock")</f>
        <v>In Stock</v>
      </c>
      <c r="M85" s="27" t="str">
        <f>IFERROR(__xludf.DUMMYFUNCTION("""COMPUTED_VALUE"""),"JOSE")</f>
        <v>JOSE</v>
      </c>
      <c r="N85" s="27" t="str">
        <f>IFERROR(__xludf.DUMMYFUNCTION("""COMPUTED_VALUE"""),"GENERIC")</f>
        <v>GENERIC</v>
      </c>
      <c r="O85" s="27" t="str">
        <f>IFERROR(__xludf.DUMMYFUNCTION("""COMPUTED_VALUE"""),"WINDOW|||SP 647")</f>
        <v>WINDOW|||SP 647</v>
      </c>
      <c r="P85" s="27"/>
      <c r="Q85" s="27" t="str">
        <f>IFERROR(__xludf.DUMMYFUNCTION("""COMPUTED_VALUE"""),"jose@ox-glass.com")</f>
        <v>jose@ox-glass.com</v>
      </c>
      <c r="R85" s="27" t="str">
        <f>IFERROR(__xludf.DUMMYFUNCTION("""COMPUTED_VALUE"""),"A6A")</f>
        <v>A6A</v>
      </c>
      <c r="S85" s="27" t="str">
        <f>IFERROR(__xludf.DUMMYFUNCTION("""COMPUTED_VALUE"""),"TRANSFER")</f>
        <v>TRANSFER</v>
      </c>
    </row>
    <row r="86" ht="21.75" customHeight="1">
      <c r="A86" s="23">
        <f>IFERROR(__xludf.DUMMYFUNCTION("""COMPUTED_VALUE"""),46209.43238766203)</f>
        <v>46209.43239</v>
      </c>
      <c r="B86" s="24" t="str">
        <f>IFERROR(__xludf.DUMMYFUNCTION("""COMPUTED_VALUE"""),"WINDOW")</f>
        <v>WINDOW</v>
      </c>
      <c r="C86" s="25" t="str">
        <f>IFERROR(__xludf.DUMMYFUNCTION("""COMPUTED_VALUE"""),"SR MM 104")</f>
        <v>SR MM 104</v>
      </c>
      <c r="D86" s="26"/>
      <c r="E86" s="27"/>
      <c r="F86" s="28">
        <f>IFERROR(__xludf.DUMMYFUNCTION("""COMPUTED_VALUE"""),21.0)</f>
        <v>21</v>
      </c>
      <c r="G86" s="27" t="str">
        <f>IFERROR(__xludf.DUMMYFUNCTION("""COMPUTED_VALUE"""),"UNIT")</f>
        <v>UNIT</v>
      </c>
      <c r="H86" s="29">
        <f>IFERROR(__xludf.DUMMYFUNCTION("""COMPUTED_VALUE"""),46209.0)</f>
        <v>46209</v>
      </c>
      <c r="I86" s="24" t="str">
        <f>IFERROR(__xludf.DUMMYFUNCTION("""COMPUTED_VALUE"""),"B5A")</f>
        <v>B5A</v>
      </c>
      <c r="J86" s="30"/>
      <c r="K86" s="27"/>
      <c r="L86" s="2" t="str">
        <f>IFERROR(__xludf.DUMMYFUNCTION("""COMPUTED_VALUE"""),"Dispatched")</f>
        <v>Dispatched</v>
      </c>
      <c r="M86" s="27" t="str">
        <f>IFERROR(__xludf.DUMMYFUNCTION("""COMPUTED_VALUE"""),"DANE AND TEAM")</f>
        <v>DANE AND TEAM</v>
      </c>
      <c r="N86" s="27"/>
      <c r="O86" s="27" t="str">
        <f>IFERROR(__xludf.DUMMYFUNCTION("""COMPUTED_VALUE"""),"WINDOW|||SR MM 104")</f>
        <v>WINDOW|||SR MM 104</v>
      </c>
      <c r="P86" s="27"/>
      <c r="Q86" s="27" t="str">
        <f>IFERROR(__xludf.DUMMYFUNCTION("""COMPUTED_VALUE"""),"jose@ox-glass.com")</f>
        <v>jose@ox-glass.com</v>
      </c>
      <c r="R86" s="27" t="str">
        <f>IFERROR(__xludf.DUMMYFUNCTION("""COMPUTED_VALUE"""),"SR MM 104")</f>
        <v>SR MM 104</v>
      </c>
      <c r="S86" s="27" t="str">
        <f>IFERROR(__xludf.DUMMYFUNCTION("""COMPUTED_VALUE"""),"EXIT")</f>
        <v>EXIT</v>
      </c>
    </row>
    <row r="87" ht="21.75" customHeight="1">
      <c r="A87" s="23">
        <f>IFERROR(__xludf.DUMMYFUNCTION("""COMPUTED_VALUE"""),46209.43238766203)</f>
        <v>46209.43239</v>
      </c>
      <c r="B87" s="24" t="str">
        <f>IFERROR(__xludf.DUMMYFUNCTION("""COMPUTED_VALUE"""),"WINDOW")</f>
        <v>WINDOW</v>
      </c>
      <c r="C87" s="25" t="str">
        <f>IFERROR(__xludf.DUMMYFUNCTION("""COMPUTED_VALUE"""),"SR MM 104")</f>
        <v>SR MM 104</v>
      </c>
      <c r="D87" s="26"/>
      <c r="E87" s="27"/>
      <c r="F87" s="28">
        <f>IFERROR(__xludf.DUMMYFUNCTION("""COMPUTED_VALUE"""),4.0)</f>
        <v>4</v>
      </c>
      <c r="G87" s="27" t="str">
        <f>IFERROR(__xludf.DUMMYFUNCTION("""COMPUTED_VALUE"""),"UNIT")</f>
        <v>UNIT</v>
      </c>
      <c r="H87" s="29">
        <f>IFERROR(__xludf.DUMMYFUNCTION("""COMPUTED_VALUE"""),46209.0)</f>
        <v>46209</v>
      </c>
      <c r="I87" s="24" t="str">
        <f>IFERROR(__xludf.DUMMYFUNCTION("""COMPUTED_VALUE"""),"C3A")</f>
        <v>C3A</v>
      </c>
      <c r="J87" s="30"/>
      <c r="K87" s="27"/>
      <c r="L87" s="2" t="str">
        <f>IFERROR(__xludf.DUMMYFUNCTION("""COMPUTED_VALUE"""),"Dispatched")</f>
        <v>Dispatched</v>
      </c>
      <c r="M87" s="27" t="str">
        <f>IFERROR(__xludf.DUMMYFUNCTION("""COMPUTED_VALUE"""),"DANE AND TEAM")</f>
        <v>DANE AND TEAM</v>
      </c>
      <c r="N87" s="27"/>
      <c r="O87" s="27" t="str">
        <f>IFERROR(__xludf.DUMMYFUNCTION("""COMPUTED_VALUE"""),"WINDOW|||SR MM 104")</f>
        <v>WINDOW|||SR MM 104</v>
      </c>
      <c r="P87" s="27"/>
      <c r="Q87" s="27" t="str">
        <f>IFERROR(__xludf.DUMMYFUNCTION("""COMPUTED_VALUE"""),"jose@ox-glass.com")</f>
        <v>jose@ox-glass.com</v>
      </c>
      <c r="R87" s="27" t="str">
        <f>IFERROR(__xludf.DUMMYFUNCTION("""COMPUTED_VALUE"""),"SR MM 104")</f>
        <v>SR MM 104</v>
      </c>
      <c r="S87" s="27" t="str">
        <f>IFERROR(__xludf.DUMMYFUNCTION("""COMPUTED_VALUE"""),"EXIT")</f>
        <v>EXIT</v>
      </c>
    </row>
    <row r="88" ht="21.75" customHeight="1">
      <c r="A88" s="23">
        <f>IFERROR(__xludf.DUMMYFUNCTION("""COMPUTED_VALUE"""),46209.43034248843)</f>
        <v>46209.43034</v>
      </c>
      <c r="B88" s="24" t="str">
        <f>IFERROR(__xludf.DUMMYFUNCTION("""COMPUTED_VALUE"""),"WINDOW")</f>
        <v>WINDOW</v>
      </c>
      <c r="C88" s="25" t="str">
        <f>IFERROR(__xludf.DUMMYFUNCTION("""COMPUTED_VALUE"""),"SCENIC MOUNTAIN 4PLEX PHASE2")</f>
        <v>SCENIC MOUNTAIN 4PLEX PHASE2</v>
      </c>
      <c r="D88" s="26"/>
      <c r="E88" s="27"/>
      <c r="F88" s="28">
        <f>IFERROR(__xludf.DUMMYFUNCTION("""COMPUTED_VALUE"""),29.0)</f>
        <v>29</v>
      </c>
      <c r="G88" s="27" t="str">
        <f>IFERROR(__xludf.DUMMYFUNCTION("""COMPUTED_VALUE"""),"UNIT")</f>
        <v>UNIT</v>
      </c>
      <c r="H88" s="29">
        <f>IFERROR(__xludf.DUMMYFUNCTION("""COMPUTED_VALUE"""),46209.0)</f>
        <v>46209</v>
      </c>
      <c r="I88" s="24" t="str">
        <f>IFERROR(__xludf.DUMMYFUNCTION("""COMPUTED_VALUE"""),"B4A")</f>
        <v>B4A</v>
      </c>
      <c r="J88" s="30"/>
      <c r="K88" s="27"/>
      <c r="L88" s="2" t="str">
        <f>IFERROR(__xludf.DUMMYFUNCTION("""COMPUTED_VALUE"""),"Dispatched")</f>
        <v>Dispatched</v>
      </c>
      <c r="M88" s="27" t="str">
        <f>IFERROR(__xludf.DUMMYFUNCTION("""COMPUTED_VALUE"""),"DANE AND TEAM")</f>
        <v>DANE AND TEAM</v>
      </c>
      <c r="N88" s="27"/>
      <c r="O88" s="27" t="str">
        <f>IFERROR(__xludf.DUMMYFUNCTION("""COMPUTED_VALUE"""),"WINDOW|||SCENIC MOUNTAIN 4PLEX PHASE2")</f>
        <v>WINDOW|||SCENIC MOUNTAIN 4PLEX PHASE2</v>
      </c>
      <c r="P88" s="27"/>
      <c r="Q88" s="27" t="str">
        <f>IFERROR(__xludf.DUMMYFUNCTION("""COMPUTED_VALUE"""),"jose@ox-glass.com")</f>
        <v>jose@ox-glass.com</v>
      </c>
      <c r="R88" s="27" t="str">
        <f>IFERROR(__xludf.DUMMYFUNCTION("""COMPUTED_VALUE"""),"GHH SCENIC MOUNTAIN 4PLEX PHASE2")</f>
        <v>GHH SCENIC MOUNTAIN 4PLEX PHASE2</v>
      </c>
      <c r="S88" s="27" t="str">
        <f>IFERROR(__xludf.DUMMYFUNCTION("""COMPUTED_VALUE"""),"EXIT")</f>
        <v>EXIT</v>
      </c>
    </row>
    <row r="89" ht="21.75" customHeight="1">
      <c r="A89" s="23">
        <f>IFERROR(__xludf.DUMMYFUNCTION("""COMPUTED_VALUE"""),46209.43034248843)</f>
        <v>46209.43034</v>
      </c>
      <c r="B89" s="24" t="str">
        <f>IFERROR(__xludf.DUMMYFUNCTION("""COMPUTED_VALUE"""),"WINDOW")</f>
        <v>WINDOW</v>
      </c>
      <c r="C89" s="25" t="str">
        <f>IFERROR(__xludf.DUMMYFUNCTION("""COMPUTED_VALUE"""),"SCENIC MOUNTAIN 4PLEX PHASE2")</f>
        <v>SCENIC MOUNTAIN 4PLEX PHASE2</v>
      </c>
      <c r="D89" s="26"/>
      <c r="E89" s="27"/>
      <c r="F89" s="28">
        <f>IFERROR(__xludf.DUMMYFUNCTION("""COMPUTED_VALUE"""),20.0)</f>
        <v>20</v>
      </c>
      <c r="G89" s="27" t="str">
        <f>IFERROR(__xludf.DUMMYFUNCTION("""COMPUTED_VALUE"""),"UNIT")</f>
        <v>UNIT</v>
      </c>
      <c r="H89" s="29">
        <f>IFERROR(__xludf.DUMMYFUNCTION("""COMPUTED_VALUE"""),46209.0)</f>
        <v>46209</v>
      </c>
      <c r="I89" s="24" t="str">
        <f>IFERROR(__xludf.DUMMYFUNCTION("""COMPUTED_VALUE"""),"C4A")</f>
        <v>C4A</v>
      </c>
      <c r="J89" s="30"/>
      <c r="K89" s="27"/>
      <c r="L89" s="2" t="str">
        <f>IFERROR(__xludf.DUMMYFUNCTION("""COMPUTED_VALUE"""),"Dispatched")</f>
        <v>Dispatched</v>
      </c>
      <c r="M89" s="27" t="str">
        <f>IFERROR(__xludf.DUMMYFUNCTION("""COMPUTED_VALUE"""),"DANE AND TEAM")</f>
        <v>DANE AND TEAM</v>
      </c>
      <c r="N89" s="27"/>
      <c r="O89" s="27" t="str">
        <f>IFERROR(__xludf.DUMMYFUNCTION("""COMPUTED_VALUE"""),"WINDOW|||SCENIC MOUNTAIN 4PLEX PHASE2")</f>
        <v>WINDOW|||SCENIC MOUNTAIN 4PLEX PHASE2</v>
      </c>
      <c r="P89" s="27"/>
      <c r="Q89" s="27" t="str">
        <f>IFERROR(__xludf.DUMMYFUNCTION("""COMPUTED_VALUE"""),"jose@ox-glass.com")</f>
        <v>jose@ox-glass.com</v>
      </c>
      <c r="R89" s="27" t="str">
        <f>IFERROR(__xludf.DUMMYFUNCTION("""COMPUTED_VALUE"""),"GHH SCENIC MOUNTAIN 4PLEX PHASE2")</f>
        <v>GHH SCENIC MOUNTAIN 4PLEX PHASE2</v>
      </c>
      <c r="S89" s="27" t="str">
        <f>IFERROR(__xludf.DUMMYFUNCTION("""COMPUTED_VALUE"""),"EXIT")</f>
        <v>EXIT</v>
      </c>
    </row>
    <row r="90" ht="21.75" customHeight="1">
      <c r="A90" s="23">
        <f>IFERROR(__xludf.DUMMYFUNCTION("""COMPUTED_VALUE"""),46206.303870625)</f>
        <v>46206.30387</v>
      </c>
      <c r="B90" s="24" t="str">
        <f>IFERROR(__xludf.DUMMYFUNCTION("""COMPUTED_VALUE"""),"WINDOW")</f>
        <v>WINDOW</v>
      </c>
      <c r="C90" s="25" t="str">
        <f>IFERROR(__xludf.DUMMYFUNCTION("""COMPUTED_VALUE"""),"BULLOCK 11 (ELOISE)")</f>
        <v>BULLOCK 11 (ELOISE)</v>
      </c>
      <c r="D90" s="26" t="str">
        <f>IFERROR(__xludf.DUMMYFUNCTION("""COMPUTED_VALUE"""),"PAT")</f>
        <v>PAT</v>
      </c>
      <c r="E90" s="27" t="str">
        <f>IFERROR(__xludf.DUMMYFUNCTION("""COMPUTED_VALUE"""),"06-4035")</f>
        <v>06-4035</v>
      </c>
      <c r="F90" s="28">
        <f>IFERROR(__xludf.DUMMYFUNCTION("""COMPUTED_VALUE"""),30.0)</f>
        <v>30</v>
      </c>
      <c r="G90" s="27" t="str">
        <f>IFERROR(__xludf.DUMMYFUNCTION("""COMPUTED_VALUE"""),"UNIT")</f>
        <v>UNIT</v>
      </c>
      <c r="H90" s="29">
        <f>IFERROR(__xludf.DUMMYFUNCTION("""COMPUTED_VALUE"""),46205.0)</f>
        <v>46205</v>
      </c>
      <c r="I90" s="24"/>
      <c r="J90" s="30" t="str">
        <f>IFERROR(__xludf.DUMMYFUNCTION("""COMPUTED_VALUE"""),"AMSCO")</f>
        <v>AMSCO</v>
      </c>
      <c r="K90" s="27" t="str">
        <f>IFERROR(__xludf.DUMMYFUNCTION("""COMPUTED_VALUE"""),"BLACK/WHITE WINDOWS")</f>
        <v>BLACK/WHITE WINDOWS</v>
      </c>
      <c r="L90" s="2" t="str">
        <f>IFERROR(__xludf.DUMMYFUNCTION("""COMPUTED_VALUE"""),"In Stock")</f>
        <v>In Stock</v>
      </c>
      <c r="M90" s="27" t="str">
        <f>IFERROR(__xludf.DUMMYFUNCTION("""COMPUTED_VALUE"""),"JOSE")</f>
        <v>JOSE</v>
      </c>
      <c r="N90" s="27" t="str">
        <f>IFERROR(__xludf.DUMMYFUNCTION("""COMPUTED_VALUE"""),"PAT BULLOCK 11 (ELOISE)")</f>
        <v>PAT BULLOCK 11 (ELOISE)</v>
      </c>
      <c r="O90" s="27" t="str">
        <f>IFERROR(__xludf.DUMMYFUNCTION("""COMPUTED_VALUE"""),"WINDOW|||BULLOCK 11 (ELOISE)")</f>
        <v>WINDOW|||BULLOCK 11 (ELOISE)</v>
      </c>
      <c r="P90" s="27"/>
      <c r="Q90" s="27" t="str">
        <f>IFERROR(__xludf.DUMMYFUNCTION("""COMPUTED_VALUE"""),"jose@ox-glass.com")</f>
        <v>jose@ox-glass.com</v>
      </c>
      <c r="R90" s="27" t="str">
        <f>IFERROR(__xludf.DUMMYFUNCTION("""COMPUTED_VALUE"""),"B1A")</f>
        <v>B1A</v>
      </c>
      <c r="S90" s="27" t="str">
        <f>IFERROR(__xludf.DUMMYFUNCTION("""COMPUTED_VALUE"""),"ENTRY")</f>
        <v>ENTRY</v>
      </c>
    </row>
    <row r="91" ht="21.75" customHeight="1">
      <c r="A91" s="23">
        <f>IFERROR(__xludf.DUMMYFUNCTION("""COMPUTED_VALUE"""),46206.29004950232)</f>
        <v>46206.29005</v>
      </c>
      <c r="B91" s="24" t="str">
        <f>IFERROR(__xludf.DUMMYFUNCTION("""COMPUTED_VALUE"""),"WINDOW")</f>
        <v>WINDOW</v>
      </c>
      <c r="C91" s="25" t="str">
        <f>IFERROR(__xludf.DUMMYFUNCTION("""COMPUTED_VALUE"""),"SR MM 104")</f>
        <v>SR MM 104</v>
      </c>
      <c r="D91" s="26" t="str">
        <f>IFERROR(__xludf.DUMMYFUNCTION("""COMPUTED_VALUE"""),"SR")</f>
        <v>SR</v>
      </c>
      <c r="E91" s="27" t="str">
        <f>IFERROR(__xludf.DUMMYFUNCTION("""COMPUTED_VALUE"""),"06-4041")</f>
        <v>06-4041</v>
      </c>
      <c r="F91" s="28">
        <f>IFERROR(__xludf.DUMMYFUNCTION("""COMPUTED_VALUE"""),21.0)</f>
        <v>21</v>
      </c>
      <c r="G91" s="27" t="str">
        <f>IFERROR(__xludf.DUMMYFUNCTION("""COMPUTED_VALUE"""),"UNIT")</f>
        <v>UNIT</v>
      </c>
      <c r="H91" s="29">
        <f>IFERROR(__xludf.DUMMYFUNCTION("""COMPUTED_VALUE"""),46205.0)</f>
        <v>46205</v>
      </c>
      <c r="I91" s="24"/>
      <c r="J91" s="30" t="str">
        <f>IFERROR(__xludf.DUMMYFUNCTION("""COMPUTED_VALUE"""),"AMSCO")</f>
        <v>AMSCO</v>
      </c>
      <c r="K91" s="27" t="str">
        <f>IFERROR(__xludf.DUMMYFUNCTION("""COMPUTED_VALUE"""),"INCLUDES 1 BOX AND 1 BAG OF HARDWARE TAPED TO A WINDOW.")</f>
        <v>INCLUDES 1 BOX AND 1 BAG OF HARDWARE TAPED TO A WINDOW.</v>
      </c>
      <c r="L91" s="2" t="str">
        <f>IFERROR(__xludf.DUMMYFUNCTION("""COMPUTED_VALUE"""),"In Stock")</f>
        <v>In Stock</v>
      </c>
      <c r="M91" s="27" t="str">
        <f>IFERROR(__xludf.DUMMYFUNCTION("""COMPUTED_VALUE"""),"JOSE")</f>
        <v>JOSE</v>
      </c>
      <c r="N91" s="27" t="str">
        <f>IFERROR(__xludf.DUMMYFUNCTION("""COMPUTED_VALUE"""),"SR MM 104")</f>
        <v>SR MM 104</v>
      </c>
      <c r="O91" s="27" t="str">
        <f>IFERROR(__xludf.DUMMYFUNCTION("""COMPUTED_VALUE"""),"WINDOW|||SR MM 104")</f>
        <v>WINDOW|||SR MM 104</v>
      </c>
      <c r="P91" s="27"/>
      <c r="Q91" s="27" t="str">
        <f>IFERROR(__xludf.DUMMYFUNCTION("""COMPUTED_VALUE"""),"jose@ox-glass.com")</f>
        <v>jose@ox-glass.com</v>
      </c>
      <c r="R91" s="27" t="str">
        <f>IFERROR(__xludf.DUMMYFUNCTION("""COMPUTED_VALUE"""),"B5A")</f>
        <v>B5A</v>
      </c>
      <c r="S91" s="27" t="str">
        <f>IFERROR(__xludf.DUMMYFUNCTION("""COMPUTED_VALUE"""),"ENTRY")</f>
        <v>ENTRY</v>
      </c>
    </row>
    <row r="92" ht="21.75" customHeight="1">
      <c r="A92" s="23">
        <f>IFERROR(__xludf.DUMMYFUNCTION("""COMPUTED_VALUE"""),46206.29004950232)</f>
        <v>46206.29005</v>
      </c>
      <c r="B92" s="24" t="str">
        <f>IFERROR(__xludf.DUMMYFUNCTION("""COMPUTED_VALUE"""),"WINDOW")</f>
        <v>WINDOW</v>
      </c>
      <c r="C92" s="25" t="str">
        <f>IFERROR(__xludf.DUMMYFUNCTION("""COMPUTED_VALUE"""),"SR MM 104")</f>
        <v>SR MM 104</v>
      </c>
      <c r="D92" s="26" t="str">
        <f>IFERROR(__xludf.DUMMYFUNCTION("""COMPUTED_VALUE"""),"SR")</f>
        <v>SR</v>
      </c>
      <c r="E92" s="27" t="str">
        <f>IFERROR(__xludf.DUMMYFUNCTION("""COMPUTED_VALUE"""),"06-4041")</f>
        <v>06-4041</v>
      </c>
      <c r="F92" s="28">
        <f>IFERROR(__xludf.DUMMYFUNCTION("""COMPUTED_VALUE"""),4.0)</f>
        <v>4</v>
      </c>
      <c r="G92" s="27" t="str">
        <f>IFERROR(__xludf.DUMMYFUNCTION("""COMPUTED_VALUE"""),"UNIT")</f>
        <v>UNIT</v>
      </c>
      <c r="H92" s="29">
        <f>IFERROR(__xludf.DUMMYFUNCTION("""COMPUTED_VALUE"""),46205.0)</f>
        <v>46205</v>
      </c>
      <c r="I92" s="24"/>
      <c r="J92" s="30" t="str">
        <f>IFERROR(__xludf.DUMMYFUNCTION("""COMPUTED_VALUE"""),"AMSCO")</f>
        <v>AMSCO</v>
      </c>
      <c r="K92" s="27" t="str">
        <f>IFERROR(__xludf.DUMMYFUNCTION("""COMPUTED_VALUE"""),"INCLUDES 1 BOX AND 1 BAG OF HARDWARE TAPED TO A WINDOW.")</f>
        <v>INCLUDES 1 BOX AND 1 BAG OF HARDWARE TAPED TO A WINDOW.</v>
      </c>
      <c r="L92" s="2" t="str">
        <f>IFERROR(__xludf.DUMMYFUNCTION("""COMPUTED_VALUE"""),"In Stock")</f>
        <v>In Stock</v>
      </c>
      <c r="M92" s="27" t="str">
        <f>IFERROR(__xludf.DUMMYFUNCTION("""COMPUTED_VALUE"""),"JOSE")</f>
        <v>JOSE</v>
      </c>
      <c r="N92" s="27" t="str">
        <f>IFERROR(__xludf.DUMMYFUNCTION("""COMPUTED_VALUE"""),"SR MM 104")</f>
        <v>SR MM 104</v>
      </c>
      <c r="O92" s="27" t="str">
        <f>IFERROR(__xludf.DUMMYFUNCTION("""COMPUTED_VALUE"""),"WINDOW|||SR MM 104")</f>
        <v>WINDOW|||SR MM 104</v>
      </c>
      <c r="P92" s="27"/>
      <c r="Q92" s="27" t="str">
        <f>IFERROR(__xludf.DUMMYFUNCTION("""COMPUTED_VALUE"""),"jose@ox-glass.com")</f>
        <v>jose@ox-glass.com</v>
      </c>
      <c r="R92" s="27" t="str">
        <f>IFERROR(__xludf.DUMMYFUNCTION("""COMPUTED_VALUE"""),"C3A")</f>
        <v>C3A</v>
      </c>
      <c r="S92" s="27" t="str">
        <f>IFERROR(__xludf.DUMMYFUNCTION("""COMPUTED_VALUE"""),"ENTRY")</f>
        <v>ENTRY</v>
      </c>
    </row>
    <row r="93" ht="21.75" customHeight="1">
      <c r="A93" s="23">
        <f>IFERROR(__xludf.DUMMYFUNCTION("""COMPUTED_VALUE"""),46204.42700415509)</f>
        <v>46204.427</v>
      </c>
      <c r="B93" s="24" t="str">
        <f>IFERROR(__xludf.DUMMYFUNCTION("""COMPUTED_VALUE"""),"WINDOW")</f>
        <v>WINDOW</v>
      </c>
      <c r="C93" s="25" t="str">
        <f>IFERROR(__xludf.DUMMYFUNCTION("""COMPUTED_VALUE"""),"OQU 201 GLENWOOD")</f>
        <v>OQU 201 GLENWOOD</v>
      </c>
      <c r="D93" s="26" t="str">
        <f>IFERROR(__xludf.DUMMYFUNCTION("""COMPUTED_VALUE"""),"LGI")</f>
        <v>LGI</v>
      </c>
      <c r="E93" s="27" t="str">
        <f>IFERROR(__xludf.DUMMYFUNCTION("""COMPUTED_VALUE"""),"7272")</f>
        <v>7272</v>
      </c>
      <c r="F93" s="28">
        <f>IFERROR(__xludf.DUMMYFUNCTION("""COMPUTED_VALUE"""),6.0)</f>
        <v>6</v>
      </c>
      <c r="G93" s="27" t="str">
        <f>IFERROR(__xludf.DUMMYFUNCTION("""COMPUTED_VALUE"""),"UNIT")</f>
        <v>UNIT</v>
      </c>
      <c r="H93" s="29">
        <f>IFERROR(__xludf.DUMMYFUNCTION("""COMPUTED_VALUE"""),46199.0)</f>
        <v>46199</v>
      </c>
      <c r="I93" s="24"/>
      <c r="J93" s="30" t="str">
        <f>IFERROR(__xludf.DUMMYFUNCTION("""COMPUTED_VALUE"""),"ALSIDE")</f>
        <v>ALSIDE</v>
      </c>
      <c r="K93" s="27"/>
      <c r="L93" s="2" t="str">
        <f>IFERROR(__xludf.DUMMYFUNCTION("""COMPUTED_VALUE"""),"In Stock")</f>
        <v>In Stock</v>
      </c>
      <c r="M93" s="27" t="str">
        <f>IFERROR(__xludf.DUMMYFUNCTION("""COMPUTED_VALUE"""),"JOSE")</f>
        <v>JOSE</v>
      </c>
      <c r="N93" s="27" t="str">
        <f>IFERROR(__xludf.DUMMYFUNCTION("""COMPUTED_VALUE"""),"LGI OQU 201 GLENWOOD")</f>
        <v>LGI OQU 201 GLENWOOD</v>
      </c>
      <c r="O93" s="27" t="str">
        <f>IFERROR(__xludf.DUMMYFUNCTION("""COMPUTED_VALUE"""),"WINDOW|||OQU 201 GLENWOOD")</f>
        <v>WINDOW|||OQU 201 GLENWOOD</v>
      </c>
      <c r="P93" s="27"/>
      <c r="Q93" s="27" t="str">
        <f>IFERROR(__xludf.DUMMYFUNCTION("""COMPUTED_VALUE"""),"jose@ox-glass.com")</f>
        <v>jose@ox-glass.com</v>
      </c>
      <c r="R93" s="27" t="str">
        <f>IFERROR(__xludf.DUMMYFUNCTION("""COMPUTED_VALUE"""),"A3A")</f>
        <v>A3A</v>
      </c>
      <c r="S93" s="27" t="str">
        <f>IFERROR(__xludf.DUMMYFUNCTION("""COMPUTED_VALUE"""),"ENTRY")</f>
        <v>ENTRY</v>
      </c>
    </row>
    <row r="94" ht="21.75" customHeight="1">
      <c r="A94" s="23">
        <f>IFERROR(__xludf.DUMMYFUNCTION("""COMPUTED_VALUE"""),46204.422685983795)</f>
        <v>46204.42269</v>
      </c>
      <c r="B94" s="24" t="str">
        <f>IFERROR(__xludf.DUMMYFUNCTION("""COMPUTED_VALUE"""),"WINDOW")</f>
        <v>WINDOW</v>
      </c>
      <c r="C94" s="25" t="str">
        <f>IFERROR(__xludf.DUMMYFUNCTION("""COMPUTED_VALUE"""),"OQU 173 HILGARD")</f>
        <v>OQU 173 HILGARD</v>
      </c>
      <c r="D94" s="26" t="str">
        <f>IFERROR(__xludf.DUMMYFUNCTION("""COMPUTED_VALUE"""),"LGI")</f>
        <v>LGI</v>
      </c>
      <c r="E94" s="27" t="str">
        <f>IFERROR(__xludf.DUMMYFUNCTION("""COMPUTED_VALUE"""),"7273")</f>
        <v>7273</v>
      </c>
      <c r="F94" s="28">
        <f>IFERROR(__xludf.DUMMYFUNCTION("""COMPUTED_VALUE"""),16.0)</f>
        <v>16</v>
      </c>
      <c r="G94" s="27" t="str">
        <f>IFERROR(__xludf.DUMMYFUNCTION("""COMPUTED_VALUE"""),"UNIT")</f>
        <v>UNIT</v>
      </c>
      <c r="H94" s="29">
        <f>IFERROR(__xludf.DUMMYFUNCTION("""COMPUTED_VALUE"""),46199.0)</f>
        <v>46199</v>
      </c>
      <c r="I94" s="24"/>
      <c r="J94" s="30" t="str">
        <f>IFERROR(__xludf.DUMMYFUNCTION("""COMPUTED_VALUE"""),"ALSIDE")</f>
        <v>ALSIDE</v>
      </c>
      <c r="K94" s="27"/>
      <c r="L94" s="2" t="str">
        <f>IFERROR(__xludf.DUMMYFUNCTION("""COMPUTED_VALUE"""),"In Stock")</f>
        <v>In Stock</v>
      </c>
      <c r="M94" s="27" t="str">
        <f>IFERROR(__xludf.DUMMYFUNCTION("""COMPUTED_VALUE"""),"JOSE")</f>
        <v>JOSE</v>
      </c>
      <c r="N94" s="27" t="str">
        <f>IFERROR(__xludf.DUMMYFUNCTION("""COMPUTED_VALUE"""),"LGI OQU 173 MILLARD")</f>
        <v>LGI OQU 173 MILLARD</v>
      </c>
      <c r="O94" s="27" t="str">
        <f>IFERROR(__xludf.DUMMYFUNCTION("""COMPUTED_VALUE"""),"WINDOW|||OQU 173 HILGARD")</f>
        <v>WINDOW|||OQU 173 HILGARD</v>
      </c>
      <c r="P94" s="27"/>
      <c r="Q94" s="27" t="str">
        <f>IFERROR(__xludf.DUMMYFUNCTION("""COMPUTED_VALUE"""),"jose@ox-glass.com")</f>
        <v>jose@ox-glass.com</v>
      </c>
      <c r="R94" s="27" t="str">
        <f>IFERROR(__xludf.DUMMYFUNCTION("""COMPUTED_VALUE"""),"B5A")</f>
        <v>B5A</v>
      </c>
      <c r="S94" s="27" t="str">
        <f>IFERROR(__xludf.DUMMYFUNCTION("""COMPUTED_VALUE"""),"ENTRY")</f>
        <v>ENTRY</v>
      </c>
    </row>
    <row r="95" ht="21.75" customHeight="1">
      <c r="A95" s="23">
        <f>IFERROR(__xludf.DUMMYFUNCTION("""COMPUTED_VALUE"""),46204.42094074074)</f>
        <v>46204.42094</v>
      </c>
      <c r="B95" s="24" t="str">
        <f>IFERROR(__xludf.DUMMYFUNCTION("""COMPUTED_VALUE"""),"WINDOW")</f>
        <v>WINDOW</v>
      </c>
      <c r="C95" s="25" t="str">
        <f>IFERROR(__xludf.DUMMYFUNCTION("""COMPUTED_VALUE"""),"OQU 181 NAOMI")</f>
        <v>OQU 181 NAOMI</v>
      </c>
      <c r="D95" s="26" t="str">
        <f>IFERROR(__xludf.DUMMYFUNCTION("""COMPUTED_VALUE"""),"LGI")</f>
        <v>LGI</v>
      </c>
      <c r="E95" s="27" t="str">
        <f>IFERROR(__xludf.DUMMYFUNCTION("""COMPUTED_VALUE"""),"7274")</f>
        <v>7274</v>
      </c>
      <c r="F95" s="28">
        <f>IFERROR(__xludf.DUMMYFUNCTION("""COMPUTED_VALUE"""),10.0)</f>
        <v>10</v>
      </c>
      <c r="G95" s="27" t="str">
        <f>IFERROR(__xludf.DUMMYFUNCTION("""COMPUTED_VALUE"""),"UNIT")</f>
        <v>UNIT</v>
      </c>
      <c r="H95" s="29">
        <f>IFERROR(__xludf.DUMMYFUNCTION("""COMPUTED_VALUE"""),46199.0)</f>
        <v>46199</v>
      </c>
      <c r="I95" s="24"/>
      <c r="J95" s="30" t="str">
        <f>IFERROR(__xludf.DUMMYFUNCTION("""COMPUTED_VALUE"""),"ALSIDE")</f>
        <v>ALSIDE</v>
      </c>
      <c r="K95" s="27"/>
      <c r="L95" s="2" t="str">
        <f>IFERROR(__xludf.DUMMYFUNCTION("""COMPUTED_VALUE"""),"In Stock")</f>
        <v>In Stock</v>
      </c>
      <c r="M95" s="27" t="str">
        <f>IFERROR(__xludf.DUMMYFUNCTION("""COMPUTED_VALUE"""),"JOSE")</f>
        <v>JOSE</v>
      </c>
      <c r="N95" s="27" t="str">
        <f>IFERROR(__xludf.DUMMYFUNCTION("""COMPUTED_VALUE"""),"LGI OQU 181 NAOMI")</f>
        <v>LGI OQU 181 NAOMI</v>
      </c>
      <c r="O95" s="27" t="str">
        <f>IFERROR(__xludf.DUMMYFUNCTION("""COMPUTED_VALUE"""),"WINDOW|||OQU 181 NAOMI")</f>
        <v>WINDOW|||OQU 181 NAOMI</v>
      </c>
      <c r="P95" s="27"/>
      <c r="Q95" s="27" t="str">
        <f>IFERROR(__xludf.DUMMYFUNCTION("""COMPUTED_VALUE"""),"jose@ox-glass.com")</f>
        <v>jose@ox-glass.com</v>
      </c>
      <c r="R95" s="27" t="str">
        <f>IFERROR(__xludf.DUMMYFUNCTION("""COMPUTED_VALUE"""),"B1A")</f>
        <v>B1A</v>
      </c>
      <c r="S95" s="27" t="str">
        <f>IFERROR(__xludf.DUMMYFUNCTION("""COMPUTED_VALUE"""),"ENTRY")</f>
        <v>ENTRY</v>
      </c>
    </row>
    <row r="96" ht="21.75" customHeight="1">
      <c r="A96" s="23">
        <f>IFERROR(__xludf.DUMMYFUNCTION("""COMPUTED_VALUE"""),46204.41827476852)</f>
        <v>46204.41827</v>
      </c>
      <c r="B96" s="24" t="str">
        <f>IFERROR(__xludf.DUMMYFUNCTION("""COMPUTED_VALUE"""),"WINDOW")</f>
        <v>WINDOW</v>
      </c>
      <c r="C96" s="25" t="str">
        <f>IFERROR(__xludf.DUMMYFUNCTION("""COMPUTED_VALUE"""),"SP648 TRACIE")</f>
        <v>SP648 TRACIE</v>
      </c>
      <c r="D96" s="26" t="str">
        <f>IFERROR(__xludf.DUMMYFUNCTION("""COMPUTED_VALUE"""),"PAT")</f>
        <v>PAT</v>
      </c>
      <c r="E96" s="27" t="str">
        <f>IFERROR(__xludf.DUMMYFUNCTION("""COMPUTED_VALUE"""),"7285")</f>
        <v>7285</v>
      </c>
      <c r="F96" s="28">
        <f>IFERROR(__xludf.DUMMYFUNCTION("""COMPUTED_VALUE"""),20.0)</f>
        <v>20</v>
      </c>
      <c r="G96" s="27" t="str">
        <f>IFERROR(__xludf.DUMMYFUNCTION("""COMPUTED_VALUE"""),"UNIT")</f>
        <v>UNIT</v>
      </c>
      <c r="H96" s="29">
        <f>IFERROR(__xludf.DUMMYFUNCTION("""COMPUTED_VALUE"""),46199.0)</f>
        <v>46199</v>
      </c>
      <c r="I96" s="24"/>
      <c r="J96" s="30" t="str">
        <f>IFERROR(__xludf.DUMMYFUNCTION("""COMPUTED_VALUE"""),"ALSIDE")</f>
        <v>ALSIDE</v>
      </c>
      <c r="K96" s="27"/>
      <c r="L96" s="2" t="str">
        <f>IFERROR(__xludf.DUMMYFUNCTION("""COMPUTED_VALUE"""),"In Stock")</f>
        <v>In Stock</v>
      </c>
      <c r="M96" s="27" t="str">
        <f>IFERROR(__xludf.DUMMYFUNCTION("""COMPUTED_VALUE"""),"JOSE")</f>
        <v>JOSE</v>
      </c>
      <c r="N96" s="27" t="str">
        <f>IFERROR(__xludf.DUMMYFUNCTION("""COMPUTED_VALUE"""),"PAT SP648 TRACIE")</f>
        <v>PAT SP648 TRACIE</v>
      </c>
      <c r="O96" s="27" t="str">
        <f>IFERROR(__xludf.DUMMYFUNCTION("""COMPUTED_VALUE"""),"WINDOW|||SP648 TRACIE")</f>
        <v>WINDOW|||SP648 TRACIE</v>
      </c>
      <c r="P96" s="27"/>
      <c r="Q96" s="27" t="str">
        <f>IFERROR(__xludf.DUMMYFUNCTION("""COMPUTED_VALUE"""),"jose@ox-glass.com")</f>
        <v>jose@ox-glass.com</v>
      </c>
      <c r="R96" s="27" t="str">
        <f>IFERROR(__xludf.DUMMYFUNCTION("""COMPUTED_VALUE"""),"A3A")</f>
        <v>A3A</v>
      </c>
      <c r="S96" s="27" t="str">
        <f>IFERROR(__xludf.DUMMYFUNCTION("""COMPUTED_VALUE"""),"ENTRY")</f>
        <v>ENTRY</v>
      </c>
    </row>
    <row r="97" ht="21.75" customHeight="1">
      <c r="A97" s="23">
        <f>IFERROR(__xludf.DUMMYFUNCTION("""COMPUTED_VALUE"""),46204.41368412037)</f>
        <v>46204.41368</v>
      </c>
      <c r="B97" s="24" t="str">
        <f>IFERROR(__xludf.DUMMYFUNCTION("""COMPUTED_VALUE"""),"WINDOW")</f>
        <v>WINDOW</v>
      </c>
      <c r="C97" s="25" t="str">
        <f>IFERROR(__xludf.DUMMYFUNCTION("""COMPUTED_VALUE"""),"DE 043 MILLARD")</f>
        <v>DE 043 MILLARD</v>
      </c>
      <c r="D97" s="26" t="str">
        <f>IFERROR(__xludf.DUMMYFUNCTION("""COMPUTED_VALUE"""),"LGI")</f>
        <v>LGI</v>
      </c>
      <c r="E97" s="27" t="str">
        <f>IFERROR(__xludf.DUMMYFUNCTION("""COMPUTED_VALUE"""),"7270")</f>
        <v>7270</v>
      </c>
      <c r="F97" s="28">
        <f>IFERROR(__xludf.DUMMYFUNCTION("""COMPUTED_VALUE"""),6.0)</f>
        <v>6</v>
      </c>
      <c r="G97" s="27" t="str">
        <f>IFERROR(__xludf.DUMMYFUNCTION("""COMPUTED_VALUE"""),"UNIT")</f>
        <v>UNIT</v>
      </c>
      <c r="H97" s="29">
        <f>IFERROR(__xludf.DUMMYFUNCTION("""COMPUTED_VALUE"""),46199.0)</f>
        <v>46199</v>
      </c>
      <c r="I97" s="24"/>
      <c r="J97" s="30" t="str">
        <f>IFERROR(__xludf.DUMMYFUNCTION("""COMPUTED_VALUE"""),"ALSIDE")</f>
        <v>ALSIDE</v>
      </c>
      <c r="K97" s="27"/>
      <c r="L97" s="2" t="str">
        <f>IFERROR(__xludf.DUMMYFUNCTION("""COMPUTED_VALUE"""),"In Stock")</f>
        <v>In Stock</v>
      </c>
      <c r="M97" s="27" t="str">
        <f>IFERROR(__xludf.DUMMYFUNCTION("""COMPUTED_VALUE"""),"JOSE")</f>
        <v>JOSE</v>
      </c>
      <c r="N97" s="27" t="str">
        <f>IFERROR(__xludf.DUMMYFUNCTION("""COMPUTED_VALUE"""),"LGI DE 043 MILLARD")</f>
        <v>LGI DE 043 MILLARD</v>
      </c>
      <c r="O97" s="27" t="str">
        <f>IFERROR(__xludf.DUMMYFUNCTION("""COMPUTED_VALUE"""),"WINDOW|||DE 043 MILLARD")</f>
        <v>WINDOW|||DE 043 MILLARD</v>
      </c>
      <c r="P97" s="27"/>
      <c r="Q97" s="27" t="str">
        <f>IFERROR(__xludf.DUMMYFUNCTION("""COMPUTED_VALUE"""),"jose@ox-glass.com")</f>
        <v>jose@ox-glass.com</v>
      </c>
      <c r="R97" s="27" t="str">
        <f>IFERROR(__xludf.DUMMYFUNCTION("""COMPUTED_VALUE"""),"C1A")</f>
        <v>C1A</v>
      </c>
      <c r="S97" s="27" t="str">
        <f>IFERROR(__xludf.DUMMYFUNCTION("""COMPUTED_VALUE"""),"ENTRY")</f>
        <v>ENTRY</v>
      </c>
    </row>
    <row r="98" ht="21.75" customHeight="1">
      <c r="A98" s="23">
        <f>IFERROR(__xludf.DUMMYFUNCTION("""COMPUTED_VALUE"""),46204.40874304398)</f>
        <v>46204.40874</v>
      </c>
      <c r="B98" s="24" t="str">
        <f>IFERROR(__xludf.DUMMYFUNCTION("""COMPUTED_VALUE"""),"WINDOW")</f>
        <v>WINDOW</v>
      </c>
      <c r="C98" s="25" t="str">
        <f>IFERROR(__xludf.DUMMYFUNCTION("""COMPUTED_VALUE"""),"DE 008 MILLARD")</f>
        <v>DE 008 MILLARD</v>
      </c>
      <c r="D98" s="26" t="str">
        <f>IFERROR(__xludf.DUMMYFUNCTION("""COMPUTED_VALUE"""),"LGI")</f>
        <v>LGI</v>
      </c>
      <c r="E98" s="27" t="str">
        <f>IFERROR(__xludf.DUMMYFUNCTION("""COMPUTED_VALUE"""),"7269")</f>
        <v>7269</v>
      </c>
      <c r="F98" s="28">
        <f>IFERROR(__xludf.DUMMYFUNCTION("""COMPUTED_VALUE"""),6.0)</f>
        <v>6</v>
      </c>
      <c r="G98" s="27" t="str">
        <f>IFERROR(__xludf.DUMMYFUNCTION("""COMPUTED_VALUE"""),"UNIT")</f>
        <v>UNIT</v>
      </c>
      <c r="H98" s="29">
        <f>IFERROR(__xludf.DUMMYFUNCTION("""COMPUTED_VALUE"""),46199.0)</f>
        <v>46199</v>
      </c>
      <c r="I98" s="24"/>
      <c r="J98" s="30" t="str">
        <f>IFERROR(__xludf.DUMMYFUNCTION("""COMPUTED_VALUE"""),"ALSIDE")</f>
        <v>ALSIDE</v>
      </c>
      <c r="K98" s="27"/>
      <c r="L98" s="2" t="str">
        <f>IFERROR(__xludf.DUMMYFUNCTION("""COMPUTED_VALUE"""),"In Stock")</f>
        <v>In Stock</v>
      </c>
      <c r="M98" s="27" t="str">
        <f>IFERROR(__xludf.DUMMYFUNCTION("""COMPUTED_VALUE"""),"JOSE")</f>
        <v>JOSE</v>
      </c>
      <c r="N98" s="27" t="str">
        <f>IFERROR(__xludf.DUMMYFUNCTION("""COMPUTED_VALUE"""),"LGI DE 008 MILLARD")</f>
        <v>LGI DE 008 MILLARD</v>
      </c>
      <c r="O98" s="27" t="str">
        <f>IFERROR(__xludf.DUMMYFUNCTION("""COMPUTED_VALUE"""),"WINDOW|||DE 008 MILLARD")</f>
        <v>WINDOW|||DE 008 MILLARD</v>
      </c>
      <c r="P98" s="27"/>
      <c r="Q98" s="27" t="str">
        <f>IFERROR(__xludf.DUMMYFUNCTION("""COMPUTED_VALUE"""),"jose@ox-glass.com")</f>
        <v>jose@ox-glass.com</v>
      </c>
      <c r="R98" s="27" t="str">
        <f>IFERROR(__xludf.DUMMYFUNCTION("""COMPUTED_VALUE"""),"A3A")</f>
        <v>A3A</v>
      </c>
      <c r="S98" s="27" t="str">
        <f>IFERROR(__xludf.DUMMYFUNCTION("""COMPUTED_VALUE"""),"ENTRY")</f>
        <v>ENTRY</v>
      </c>
    </row>
    <row r="99" ht="21.75" customHeight="1">
      <c r="A99" s="23">
        <f>IFERROR(__xludf.DUMMYFUNCTION("""COMPUTED_VALUE"""),46204.40659011574)</f>
        <v>46204.40659</v>
      </c>
      <c r="B99" s="24" t="str">
        <f>IFERROR(__xludf.DUMMYFUNCTION("""COMPUTED_VALUE"""),"WINDOW")</f>
        <v>WINDOW</v>
      </c>
      <c r="C99" s="25" t="str">
        <f>IFERROR(__xludf.DUMMYFUNCTION("""COMPUTED_VALUE"""),"DE 042 PROVO")</f>
        <v>DE 042 PROVO</v>
      </c>
      <c r="D99" s="26" t="str">
        <f>IFERROR(__xludf.DUMMYFUNCTION("""COMPUTED_VALUE"""),"LGI")</f>
        <v>LGI</v>
      </c>
      <c r="E99" s="27" t="str">
        <f>IFERROR(__xludf.DUMMYFUNCTION("""COMPUTED_VALUE"""),"7271")</f>
        <v>7271</v>
      </c>
      <c r="F99" s="28">
        <f>IFERROR(__xludf.DUMMYFUNCTION("""COMPUTED_VALUE"""),10.0)</f>
        <v>10</v>
      </c>
      <c r="G99" s="27" t="str">
        <f>IFERROR(__xludf.DUMMYFUNCTION("""COMPUTED_VALUE"""),"UNIT")</f>
        <v>UNIT</v>
      </c>
      <c r="H99" s="29">
        <f>IFERROR(__xludf.DUMMYFUNCTION("""COMPUTED_VALUE"""),46199.0)</f>
        <v>46199</v>
      </c>
      <c r="I99" s="24"/>
      <c r="J99" s="30" t="str">
        <f>IFERROR(__xludf.DUMMYFUNCTION("""COMPUTED_VALUE"""),"ALSIDE")</f>
        <v>ALSIDE</v>
      </c>
      <c r="K99" s="27"/>
      <c r="L99" s="2" t="str">
        <f>IFERROR(__xludf.DUMMYFUNCTION("""COMPUTED_VALUE"""),"In Stock")</f>
        <v>In Stock</v>
      </c>
      <c r="M99" s="27" t="str">
        <f>IFERROR(__xludf.DUMMYFUNCTION("""COMPUTED_VALUE"""),"JOSE")</f>
        <v>JOSE</v>
      </c>
      <c r="N99" s="27" t="str">
        <f>IFERROR(__xludf.DUMMYFUNCTION("""COMPUTED_VALUE"""),"LGI DE 042 PROVO")</f>
        <v>LGI DE 042 PROVO</v>
      </c>
      <c r="O99" s="27" t="str">
        <f>IFERROR(__xludf.DUMMYFUNCTION("""COMPUTED_VALUE"""),"WINDOW|||DE 042 PROVO")</f>
        <v>WINDOW|||DE 042 PROVO</v>
      </c>
      <c r="P99" s="27"/>
      <c r="Q99" s="27" t="str">
        <f>IFERROR(__xludf.DUMMYFUNCTION("""COMPUTED_VALUE"""),"jose@ox-glass.com")</f>
        <v>jose@ox-glass.com</v>
      </c>
      <c r="R99" s="27" t="str">
        <f>IFERROR(__xludf.DUMMYFUNCTION("""COMPUTED_VALUE"""),"B4A")</f>
        <v>B4A</v>
      </c>
      <c r="S99" s="27" t="str">
        <f>IFERROR(__xludf.DUMMYFUNCTION("""COMPUTED_VALUE"""),"ENTRY")</f>
        <v>ENTRY</v>
      </c>
    </row>
    <row r="100" ht="21.75" customHeight="1">
      <c r="A100" s="23">
        <f>IFERROR(__xludf.DUMMYFUNCTION("""COMPUTED_VALUE"""),46203.357799618054)</f>
        <v>46203.3578</v>
      </c>
      <c r="B100" s="24" t="str">
        <f>IFERROR(__xludf.DUMMYFUNCTION("""COMPUTED_VALUE"""),"WINDOW")</f>
        <v>WINDOW</v>
      </c>
      <c r="C100" s="25" t="str">
        <f>IFERROR(__xludf.DUMMYFUNCTION("""COMPUTED_VALUE"""),"SMW6")</f>
        <v>SMW6</v>
      </c>
      <c r="D100" s="26"/>
      <c r="E100" s="27"/>
      <c r="F100" s="28">
        <f>IFERROR(__xludf.DUMMYFUNCTION("""COMPUTED_VALUE"""),1.0)</f>
        <v>1</v>
      </c>
      <c r="G100" s="27" t="str">
        <f>IFERROR(__xludf.DUMMYFUNCTION("""COMPUTED_VALUE"""),"UNIT")</f>
        <v>UNIT</v>
      </c>
      <c r="H100" s="29">
        <f>IFERROR(__xludf.DUMMYFUNCTION("""COMPUTED_VALUE"""),46199.0)</f>
        <v>46199</v>
      </c>
      <c r="I100" s="24" t="str">
        <f>IFERROR(__xludf.DUMMYFUNCTION("""COMPUTED_VALUE"""),"B1A")</f>
        <v>B1A</v>
      </c>
      <c r="J100" s="30"/>
      <c r="K100" s="27"/>
      <c r="L100" s="2" t="str">
        <f>IFERROR(__xludf.DUMMYFUNCTION("""COMPUTED_VALUE"""),"In Stock")</f>
        <v>In Stock</v>
      </c>
      <c r="M100" s="27" t="str">
        <f>IFERROR(__xludf.DUMMYFUNCTION("""COMPUTED_VALUE"""),"JOSE")</f>
        <v>JOSE</v>
      </c>
      <c r="N100" s="27" t="str">
        <f>IFERROR(__xludf.DUMMYFUNCTION("""COMPUTED_VALUE"""),"GENERIC")</f>
        <v>GENERIC</v>
      </c>
      <c r="O100" s="27" t="str">
        <f>IFERROR(__xludf.DUMMYFUNCTION("""COMPUTED_VALUE"""),"WINDOW|||SMW6")</f>
        <v>WINDOW|||SMW6</v>
      </c>
      <c r="P100" s="27"/>
      <c r="Q100" s="27" t="str">
        <f>IFERROR(__xludf.DUMMYFUNCTION("""COMPUTED_VALUE"""),"jose@ox-glass.com")</f>
        <v>jose@ox-glass.com</v>
      </c>
      <c r="R100" s="27" t="str">
        <f>IFERROR(__xludf.DUMMYFUNCTION("""COMPUTED_VALUE"""),"B6A")</f>
        <v>B6A</v>
      </c>
      <c r="S100" s="27" t="str">
        <f>IFERROR(__xludf.DUMMYFUNCTION("""COMPUTED_VALUE"""),"TRANSFER")</f>
        <v>TRANSFER</v>
      </c>
    </row>
    <row r="101" ht="21.75" customHeight="1">
      <c r="A101" s="23">
        <f>IFERROR(__xludf.DUMMYFUNCTION("""COMPUTED_VALUE"""),46203.35409762732)</f>
        <v>46203.3541</v>
      </c>
      <c r="B101" s="24" t="str">
        <f>IFERROR(__xludf.DUMMYFUNCTION("""COMPUTED_VALUE"""),"WINDOW")</f>
        <v>WINDOW</v>
      </c>
      <c r="C101" s="25" t="str">
        <f>IFERROR(__xludf.DUMMYFUNCTION("""COMPUTED_VALUE"""),"JJF 105")</f>
        <v>JJF 105</v>
      </c>
      <c r="D101" s="26"/>
      <c r="E101" s="27"/>
      <c r="F101" s="28">
        <f>IFERROR(__xludf.DUMMYFUNCTION("""COMPUTED_VALUE"""),21.0)</f>
        <v>21</v>
      </c>
      <c r="G101" s="27" t="str">
        <f>IFERROR(__xludf.DUMMYFUNCTION("""COMPUTED_VALUE"""),"UNIT")</f>
        <v>UNIT</v>
      </c>
      <c r="H101" s="29">
        <f>IFERROR(__xludf.DUMMYFUNCTION("""COMPUTED_VALUE"""),46202.0)</f>
        <v>46202</v>
      </c>
      <c r="I101" s="24" t="str">
        <f>IFERROR(__xludf.DUMMYFUNCTION("""COMPUTED_VALUE"""),"C1A")</f>
        <v>C1A</v>
      </c>
      <c r="J101" s="30"/>
      <c r="K101" s="27"/>
      <c r="L101" s="2" t="str">
        <f>IFERROR(__xludf.DUMMYFUNCTION("""COMPUTED_VALUE"""),"Dispatched")</f>
        <v>Dispatched</v>
      </c>
      <c r="M101" s="27" t="str">
        <f>IFERROR(__xludf.DUMMYFUNCTION("""COMPUTED_VALUE"""),"jose@ox-glass.com")</f>
        <v>jose@ox-glass.com</v>
      </c>
      <c r="N101" s="27"/>
      <c r="O101" s="27" t="str">
        <f>IFERROR(__xludf.DUMMYFUNCTION("""COMPUTED_VALUE"""),"WINDOW|||JJF 105")</f>
        <v>WINDOW|||JJF 105</v>
      </c>
      <c r="P101" s="27"/>
      <c r="Q101" s="27" t="str">
        <f>IFERROR(__xludf.DUMMYFUNCTION("""COMPUTED_VALUE"""),"jose@ox-glass.com")</f>
        <v>jose@ox-glass.com</v>
      </c>
      <c r="R101" s="27" t="str">
        <f>IFERROR(__xludf.DUMMYFUNCTION("""COMPUTED_VALUE"""),"J&amp;J FARMS 105")</f>
        <v>J&amp;J FARMS 105</v>
      </c>
      <c r="S101" s="27" t="str">
        <f>IFERROR(__xludf.DUMMYFUNCTION("""COMPUTED_VALUE"""),"EXIT")</f>
        <v>EXIT</v>
      </c>
    </row>
    <row r="102" ht="21.75" customHeight="1">
      <c r="A102" s="23">
        <f>IFERROR(__xludf.DUMMYFUNCTION("""COMPUTED_VALUE"""),46203.35359232639)</f>
        <v>46203.35359</v>
      </c>
      <c r="B102" s="24" t="str">
        <f>IFERROR(__xludf.DUMMYFUNCTION("""COMPUTED_VALUE"""),"WINDOW")</f>
        <v>WINDOW</v>
      </c>
      <c r="C102" s="25" t="str">
        <f>IFERROR(__xludf.DUMMYFUNCTION("""COMPUTED_VALUE"""),"JJF 112")</f>
        <v>JJF 112</v>
      </c>
      <c r="D102" s="26"/>
      <c r="E102" s="27"/>
      <c r="F102" s="28">
        <f>IFERROR(__xludf.DUMMYFUNCTION("""COMPUTED_VALUE"""),21.0)</f>
        <v>21</v>
      </c>
      <c r="G102" s="27" t="str">
        <f>IFERROR(__xludf.DUMMYFUNCTION("""COMPUTED_VALUE"""),"UNIT")</f>
        <v>UNIT</v>
      </c>
      <c r="H102" s="29">
        <f>IFERROR(__xludf.DUMMYFUNCTION("""COMPUTED_VALUE"""),46202.0)</f>
        <v>46202</v>
      </c>
      <c r="I102" s="24" t="str">
        <f>IFERROR(__xludf.DUMMYFUNCTION("""COMPUTED_VALUE"""),"B1A")</f>
        <v>B1A</v>
      </c>
      <c r="J102" s="30"/>
      <c r="K102" s="27"/>
      <c r="L102" s="2" t="str">
        <f>IFERROR(__xludf.DUMMYFUNCTION("""COMPUTED_VALUE"""),"Dispatched")</f>
        <v>Dispatched</v>
      </c>
      <c r="M102" s="27" t="str">
        <f>IFERROR(__xludf.DUMMYFUNCTION("""COMPUTED_VALUE"""),"jose@ox-glass.com")</f>
        <v>jose@ox-glass.com</v>
      </c>
      <c r="N102" s="27"/>
      <c r="O102" s="27" t="str">
        <f>IFERROR(__xludf.DUMMYFUNCTION("""COMPUTED_VALUE"""),"WINDOW|||JJF 112")</f>
        <v>WINDOW|||JJF 112</v>
      </c>
      <c r="P102" s="27"/>
      <c r="Q102" s="27" t="str">
        <f>IFERROR(__xludf.DUMMYFUNCTION("""COMPUTED_VALUE"""),"jose@ox-glass.com")</f>
        <v>jose@ox-glass.com</v>
      </c>
      <c r="R102" s="27" t="str">
        <f>IFERROR(__xludf.DUMMYFUNCTION("""COMPUTED_VALUE"""),"J&amp;J FARMS 112")</f>
        <v>J&amp;J FARMS 112</v>
      </c>
      <c r="S102" s="27" t="str">
        <f>IFERROR(__xludf.DUMMYFUNCTION("""COMPUTED_VALUE"""),"EXIT")</f>
        <v>EXIT</v>
      </c>
    </row>
    <row r="103" ht="21.75" customHeight="1">
      <c r="A103" s="23">
        <f>IFERROR(__xludf.DUMMYFUNCTION("""COMPUTED_VALUE"""),46202.64777797453)</f>
        <v>46202.64778</v>
      </c>
      <c r="B103" s="24" t="str">
        <f>IFERROR(__xludf.DUMMYFUNCTION("""COMPUTED_VALUE"""),"WINDOW")</f>
        <v>WINDOW</v>
      </c>
      <c r="C103" s="25" t="str">
        <f>IFERROR(__xludf.DUMMYFUNCTION("""COMPUTED_VALUE"""),"BS10")</f>
        <v>BS10</v>
      </c>
      <c r="D103" s="26" t="str">
        <f>IFERROR(__xludf.DUMMYFUNCTION("""COMPUTED_VALUE"""),"PAT")</f>
        <v>PAT</v>
      </c>
      <c r="E103" s="27" t="str">
        <f>IFERROR(__xludf.DUMMYFUNCTION("""COMPUTED_VALUE"""),"06-2345")</f>
        <v>06-2345</v>
      </c>
      <c r="F103" s="28">
        <f>IFERROR(__xludf.DUMMYFUNCTION("""COMPUTED_VALUE"""),15.0)</f>
        <v>15</v>
      </c>
      <c r="G103" s="27" t="str">
        <f>IFERROR(__xludf.DUMMYFUNCTION("""COMPUTED_VALUE"""),"UNIT")</f>
        <v>UNIT</v>
      </c>
      <c r="H103" s="29">
        <f>IFERROR(__xludf.DUMMYFUNCTION("""COMPUTED_VALUE"""),46199.0)</f>
        <v>46199</v>
      </c>
      <c r="I103" s="24"/>
      <c r="J103" s="30" t="str">
        <f>IFERROR(__xludf.DUMMYFUNCTION("""COMPUTED_VALUE"""),"AMSCO")</f>
        <v>AMSCO</v>
      </c>
      <c r="K103" s="27"/>
      <c r="L103" s="2" t="str">
        <f>IFERROR(__xludf.DUMMYFUNCTION("""COMPUTED_VALUE"""),"In Stock")</f>
        <v>In Stock</v>
      </c>
      <c r="M103" s="27" t="str">
        <f>IFERROR(__xludf.DUMMYFUNCTION("""COMPUTED_VALUE"""),"JOSE")</f>
        <v>JOSE</v>
      </c>
      <c r="N103" s="27" t="str">
        <f>IFERROR(__xludf.DUMMYFUNCTION("""COMPUTED_VALUE"""),"PAT BS 10")</f>
        <v>PAT BS 10</v>
      </c>
      <c r="O103" s="27" t="str">
        <f>IFERROR(__xludf.DUMMYFUNCTION("""COMPUTED_VALUE"""),"WINDOW|||BS10")</f>
        <v>WINDOW|||BS10</v>
      </c>
      <c r="P103" s="27"/>
      <c r="Q103" s="27" t="str">
        <f>IFERROR(__xludf.DUMMYFUNCTION("""COMPUTED_VALUE"""),"jose@ox-glass.com")</f>
        <v>jose@ox-glass.com</v>
      </c>
      <c r="R103" s="27" t="str">
        <f>IFERROR(__xludf.DUMMYFUNCTION("""COMPUTED_VALUE"""),"B2A")</f>
        <v>B2A</v>
      </c>
      <c r="S103" s="27" t="str">
        <f>IFERROR(__xludf.DUMMYFUNCTION("""COMPUTED_VALUE"""),"ENTRY")</f>
        <v>ENTRY</v>
      </c>
    </row>
    <row r="104" ht="21.75" customHeight="1">
      <c r="A104" s="23">
        <f>IFERROR(__xludf.DUMMYFUNCTION("""COMPUTED_VALUE"""),46202.64777797453)</f>
        <v>46202.64778</v>
      </c>
      <c r="B104" s="24" t="str">
        <f>IFERROR(__xludf.DUMMYFUNCTION("""COMPUTED_VALUE"""),"WINDOW")</f>
        <v>WINDOW</v>
      </c>
      <c r="C104" s="25" t="str">
        <f>IFERROR(__xludf.DUMMYFUNCTION("""COMPUTED_VALUE"""),"BS10")</f>
        <v>BS10</v>
      </c>
      <c r="D104" s="26" t="str">
        <f>IFERROR(__xludf.DUMMYFUNCTION("""COMPUTED_VALUE"""),"PAT")</f>
        <v>PAT</v>
      </c>
      <c r="E104" s="27" t="str">
        <f>IFERROR(__xludf.DUMMYFUNCTION("""COMPUTED_VALUE"""),"06-2345")</f>
        <v>06-2345</v>
      </c>
      <c r="F104" s="28">
        <f>IFERROR(__xludf.DUMMYFUNCTION("""COMPUTED_VALUE"""),12.0)</f>
        <v>12</v>
      </c>
      <c r="G104" s="27" t="str">
        <f>IFERROR(__xludf.DUMMYFUNCTION("""COMPUTED_VALUE"""),"UNIT")</f>
        <v>UNIT</v>
      </c>
      <c r="H104" s="29">
        <f>IFERROR(__xludf.DUMMYFUNCTION("""COMPUTED_VALUE"""),46199.0)</f>
        <v>46199</v>
      </c>
      <c r="I104" s="24"/>
      <c r="J104" s="30" t="str">
        <f>IFERROR(__xludf.DUMMYFUNCTION("""COMPUTED_VALUE"""),"AMSCO")</f>
        <v>AMSCO</v>
      </c>
      <c r="K104" s="27"/>
      <c r="L104" s="2" t="str">
        <f>IFERROR(__xludf.DUMMYFUNCTION("""COMPUTED_VALUE"""),"In Stock")</f>
        <v>In Stock</v>
      </c>
      <c r="M104" s="27" t="str">
        <f>IFERROR(__xludf.DUMMYFUNCTION("""COMPUTED_VALUE"""),"JOSE")</f>
        <v>JOSE</v>
      </c>
      <c r="N104" s="27" t="str">
        <f>IFERROR(__xludf.DUMMYFUNCTION("""COMPUTED_VALUE"""),"PAT BS 10")</f>
        <v>PAT BS 10</v>
      </c>
      <c r="O104" s="27" t="str">
        <f>IFERROR(__xludf.DUMMYFUNCTION("""COMPUTED_VALUE"""),"WINDOW|||BS10")</f>
        <v>WINDOW|||BS10</v>
      </c>
      <c r="P104" s="27"/>
      <c r="Q104" s="27" t="str">
        <f>IFERROR(__xludf.DUMMYFUNCTION("""COMPUTED_VALUE"""),"jose@ox-glass.com")</f>
        <v>jose@ox-glass.com</v>
      </c>
      <c r="R104" s="27" t="str">
        <f>IFERROR(__xludf.DUMMYFUNCTION("""COMPUTED_VALUE"""),"C2A")</f>
        <v>C2A</v>
      </c>
      <c r="S104" s="27" t="str">
        <f>IFERROR(__xludf.DUMMYFUNCTION("""COMPUTED_VALUE"""),"ENTRY")</f>
        <v>ENTRY</v>
      </c>
    </row>
    <row r="105" ht="21.75" customHeight="1">
      <c r="A105" s="23">
        <f>IFERROR(__xludf.DUMMYFUNCTION("""COMPUTED_VALUE"""),46202.59896563657)</f>
        <v>46202.59897</v>
      </c>
      <c r="B105" s="24" t="str">
        <f>IFERROR(__xludf.DUMMYFUNCTION("""COMPUTED_VALUE"""),"WINDOW")</f>
        <v>WINDOW</v>
      </c>
      <c r="C105" s="25" t="str">
        <f>IFERROR(__xludf.DUMMYFUNCTION("""COMPUTED_VALUE"""),"MH 160")</f>
        <v>MH 160</v>
      </c>
      <c r="D105" s="26" t="str">
        <f>IFERROR(__xludf.DUMMYFUNCTION("""COMPUTED_VALUE"""),"TOLL")</f>
        <v>TOLL</v>
      </c>
      <c r="E105" s="27" t="str">
        <f>IFERROR(__xludf.DUMMYFUNCTION("""COMPUTED_VALUE"""),"06-1489")</f>
        <v>06-1489</v>
      </c>
      <c r="F105" s="28">
        <f>IFERROR(__xludf.DUMMYFUNCTION("""COMPUTED_VALUE"""),31.0)</f>
        <v>31</v>
      </c>
      <c r="G105" s="27" t="str">
        <f>IFERROR(__xludf.DUMMYFUNCTION("""COMPUTED_VALUE"""),"UNIT")</f>
        <v>UNIT</v>
      </c>
      <c r="H105" s="29">
        <f>IFERROR(__xludf.DUMMYFUNCTION("""COMPUTED_VALUE"""),46199.0)</f>
        <v>46199</v>
      </c>
      <c r="I105" s="24"/>
      <c r="J105" s="30" t="str">
        <f>IFERROR(__xludf.DUMMYFUNCTION("""COMPUTED_VALUE"""),"AMSCO")</f>
        <v>AMSCO</v>
      </c>
      <c r="K105" s="27"/>
      <c r="L105" s="2" t="str">
        <f>IFERROR(__xludf.DUMMYFUNCTION("""COMPUTED_VALUE"""),"In Stock")</f>
        <v>In Stock</v>
      </c>
      <c r="M105" s="27" t="str">
        <f>IFERROR(__xludf.DUMMYFUNCTION("""COMPUTED_VALUE"""),"JOSE")</f>
        <v>JOSE</v>
      </c>
      <c r="N105" s="27" t="str">
        <f>IFERROR(__xludf.DUMMYFUNCTION("""COMPUTED_VALUE"""),"TOLL MH 160")</f>
        <v>TOLL MH 160</v>
      </c>
      <c r="O105" s="27" t="str">
        <f>IFERROR(__xludf.DUMMYFUNCTION("""COMPUTED_VALUE"""),"WINDOW|||MH 160")</f>
        <v>WINDOW|||MH 160</v>
      </c>
      <c r="P105" s="27"/>
      <c r="Q105" s="27" t="str">
        <f>IFERROR(__xludf.DUMMYFUNCTION("""COMPUTED_VALUE"""),"jose@ox-glass.com")</f>
        <v>jose@ox-glass.com</v>
      </c>
      <c r="R105" s="27" t="str">
        <f>IFERROR(__xludf.DUMMYFUNCTION("""COMPUTED_VALUE"""),"A1A")</f>
        <v>A1A</v>
      </c>
      <c r="S105" s="27" t="str">
        <f>IFERROR(__xludf.DUMMYFUNCTION("""COMPUTED_VALUE"""),"ENTRY")</f>
        <v>ENTRY</v>
      </c>
    </row>
    <row r="106" ht="21.75" customHeight="1">
      <c r="A106" s="23">
        <f>IFERROR(__xludf.DUMMYFUNCTION("""COMPUTED_VALUE"""),46202.595844571755)</f>
        <v>46202.59584</v>
      </c>
      <c r="B106" s="24" t="str">
        <f>IFERROR(__xludf.DUMMYFUNCTION("""COMPUTED_VALUE"""),"WINDOW")</f>
        <v>WINDOW</v>
      </c>
      <c r="C106" s="25" t="str">
        <f>IFERROR(__xludf.DUMMYFUNCTION("""COMPUTED_VALUE"""),"SCENIC MOUNTAIN 4PLEX PHASE2")</f>
        <v>SCENIC MOUNTAIN 4PLEX PHASE2</v>
      </c>
      <c r="D106" s="26" t="str">
        <f>IFERROR(__xludf.DUMMYFUNCTION("""COMPUTED_VALUE"""),"GHH")</f>
        <v>GHH</v>
      </c>
      <c r="E106" s="27" t="str">
        <f>IFERROR(__xludf.DUMMYFUNCTION("""COMPUTED_VALUE"""),"06-2193")</f>
        <v>06-2193</v>
      </c>
      <c r="F106" s="28">
        <f>IFERROR(__xludf.DUMMYFUNCTION("""COMPUTED_VALUE"""),20.0)</f>
        <v>20</v>
      </c>
      <c r="G106" s="27" t="str">
        <f>IFERROR(__xludf.DUMMYFUNCTION("""COMPUTED_VALUE"""),"UNIT")</f>
        <v>UNIT</v>
      </c>
      <c r="H106" s="29">
        <f>IFERROR(__xludf.DUMMYFUNCTION("""COMPUTED_VALUE"""),46199.0)</f>
        <v>46199</v>
      </c>
      <c r="I106" s="24"/>
      <c r="J106" s="30" t="str">
        <f>IFERROR(__xludf.DUMMYFUNCTION("""COMPUTED_VALUE"""),"AMSCO")</f>
        <v>AMSCO</v>
      </c>
      <c r="K106" s="27" t="str">
        <f>IFERROR(__xludf.DUMMYFUNCTION("""COMPUTED_VALUE"""),"WHITE WINDOWS")</f>
        <v>WHITE WINDOWS</v>
      </c>
      <c r="L106" s="2" t="str">
        <f>IFERROR(__xludf.DUMMYFUNCTION("""COMPUTED_VALUE"""),"In Stock")</f>
        <v>In Stock</v>
      </c>
      <c r="M106" s="27" t="str">
        <f>IFERROR(__xludf.DUMMYFUNCTION("""COMPUTED_VALUE"""),"JOSE")</f>
        <v>JOSE</v>
      </c>
      <c r="N106" s="27" t="str">
        <f>IFERROR(__xludf.DUMMYFUNCTION("""COMPUTED_VALUE"""),"GHH SCENIC MOUNTAIN 4PLEX PHASE2")</f>
        <v>GHH SCENIC MOUNTAIN 4PLEX PHASE2</v>
      </c>
      <c r="O106" s="27" t="str">
        <f>IFERROR(__xludf.DUMMYFUNCTION("""COMPUTED_VALUE"""),"WINDOW|||SCENIC MOUNTAIN 4PLEX PHASE2")</f>
        <v>WINDOW|||SCENIC MOUNTAIN 4PLEX PHASE2</v>
      </c>
      <c r="P106" s="27"/>
      <c r="Q106" s="27" t="str">
        <f>IFERROR(__xludf.DUMMYFUNCTION("""COMPUTED_VALUE"""),"jose@ox-glass.com")</f>
        <v>jose@ox-glass.com</v>
      </c>
      <c r="R106" s="27" t="str">
        <f>IFERROR(__xludf.DUMMYFUNCTION("""COMPUTED_VALUE"""),"C4A")</f>
        <v>C4A</v>
      </c>
      <c r="S106" s="27" t="str">
        <f>IFERROR(__xludf.DUMMYFUNCTION("""COMPUTED_VALUE"""),"ENTRY")</f>
        <v>ENTRY</v>
      </c>
    </row>
    <row r="107" ht="21.75" customHeight="1">
      <c r="A107" s="23">
        <f>IFERROR(__xludf.DUMMYFUNCTION("""COMPUTED_VALUE"""),46202.595844571755)</f>
        <v>46202.59584</v>
      </c>
      <c r="B107" s="24" t="str">
        <f>IFERROR(__xludf.DUMMYFUNCTION("""COMPUTED_VALUE"""),"WINDOW")</f>
        <v>WINDOW</v>
      </c>
      <c r="C107" s="25" t="str">
        <f>IFERROR(__xludf.DUMMYFUNCTION("""COMPUTED_VALUE"""),"SCENIC MOUNTAIN 4PLEX PHASE2")</f>
        <v>SCENIC MOUNTAIN 4PLEX PHASE2</v>
      </c>
      <c r="D107" s="26" t="str">
        <f>IFERROR(__xludf.DUMMYFUNCTION("""COMPUTED_VALUE"""),"GHH")</f>
        <v>GHH</v>
      </c>
      <c r="E107" s="27" t="str">
        <f>IFERROR(__xludf.DUMMYFUNCTION("""COMPUTED_VALUE"""),"06-2193")</f>
        <v>06-2193</v>
      </c>
      <c r="F107" s="28">
        <f>IFERROR(__xludf.DUMMYFUNCTION("""COMPUTED_VALUE"""),29.0)</f>
        <v>29</v>
      </c>
      <c r="G107" s="27" t="str">
        <f>IFERROR(__xludf.DUMMYFUNCTION("""COMPUTED_VALUE"""),"UNIT")</f>
        <v>UNIT</v>
      </c>
      <c r="H107" s="29">
        <f>IFERROR(__xludf.DUMMYFUNCTION("""COMPUTED_VALUE"""),46199.0)</f>
        <v>46199</v>
      </c>
      <c r="I107" s="24"/>
      <c r="J107" s="30" t="str">
        <f>IFERROR(__xludf.DUMMYFUNCTION("""COMPUTED_VALUE"""),"AMSCO")</f>
        <v>AMSCO</v>
      </c>
      <c r="K107" s="27" t="str">
        <f>IFERROR(__xludf.DUMMYFUNCTION("""COMPUTED_VALUE"""),"WHITE WINDOWS")</f>
        <v>WHITE WINDOWS</v>
      </c>
      <c r="L107" s="2" t="str">
        <f>IFERROR(__xludf.DUMMYFUNCTION("""COMPUTED_VALUE"""),"In Stock")</f>
        <v>In Stock</v>
      </c>
      <c r="M107" s="27" t="str">
        <f>IFERROR(__xludf.DUMMYFUNCTION("""COMPUTED_VALUE"""),"JOSE")</f>
        <v>JOSE</v>
      </c>
      <c r="N107" s="27" t="str">
        <f>IFERROR(__xludf.DUMMYFUNCTION("""COMPUTED_VALUE"""),"GHH SCENIC MOUNTAIN 4PLEX PHASE2")</f>
        <v>GHH SCENIC MOUNTAIN 4PLEX PHASE2</v>
      </c>
      <c r="O107" s="27" t="str">
        <f>IFERROR(__xludf.DUMMYFUNCTION("""COMPUTED_VALUE"""),"WINDOW|||SCENIC MOUNTAIN 4PLEX PHASE2")</f>
        <v>WINDOW|||SCENIC MOUNTAIN 4PLEX PHASE2</v>
      </c>
      <c r="P107" s="27"/>
      <c r="Q107" s="27" t="str">
        <f>IFERROR(__xludf.DUMMYFUNCTION("""COMPUTED_VALUE"""),"jose@ox-glass.com")</f>
        <v>jose@ox-glass.com</v>
      </c>
      <c r="R107" s="27" t="str">
        <f>IFERROR(__xludf.DUMMYFUNCTION("""COMPUTED_VALUE"""),"B4A")</f>
        <v>B4A</v>
      </c>
      <c r="S107" s="27" t="str">
        <f>IFERROR(__xludf.DUMMYFUNCTION("""COMPUTED_VALUE"""),"ENTRY")</f>
        <v>ENTRY</v>
      </c>
    </row>
    <row r="108" ht="21.75" customHeight="1">
      <c r="A108" s="23">
        <f>IFERROR(__xludf.DUMMYFUNCTION("""COMPUTED_VALUE"""),46202.58780627315)</f>
        <v>46202.58781</v>
      </c>
      <c r="B108" s="24" t="str">
        <f>IFERROR(__xludf.DUMMYFUNCTION("""COMPUTED_VALUE"""),"WINDOW")</f>
        <v>WINDOW</v>
      </c>
      <c r="C108" s="25" t="str">
        <f>IFERROR(__xludf.DUMMYFUNCTION("""COMPUTED_VALUE"""),"MH 159")</f>
        <v>MH 159</v>
      </c>
      <c r="D108" s="26" t="str">
        <f>IFERROR(__xludf.DUMMYFUNCTION("""COMPUTED_VALUE"""),"TOL")</f>
        <v>TOL</v>
      </c>
      <c r="E108" s="27" t="str">
        <f>IFERROR(__xludf.DUMMYFUNCTION("""COMPUTED_VALUE"""),"06-1495")</f>
        <v>06-1495</v>
      </c>
      <c r="F108" s="28">
        <f>IFERROR(__xludf.DUMMYFUNCTION("""COMPUTED_VALUE"""),48.0)</f>
        <v>48</v>
      </c>
      <c r="G108" s="27" t="str">
        <f>IFERROR(__xludf.DUMMYFUNCTION("""COMPUTED_VALUE"""),"UNIT")</f>
        <v>UNIT</v>
      </c>
      <c r="H108" s="29">
        <f>IFERROR(__xludf.DUMMYFUNCTION("""COMPUTED_VALUE"""),46199.0)</f>
        <v>46199</v>
      </c>
      <c r="I108" s="24"/>
      <c r="J108" s="30" t="str">
        <f>IFERROR(__xludf.DUMMYFUNCTION("""COMPUTED_VALUE"""),"AMSCO")</f>
        <v>AMSCO</v>
      </c>
      <c r="K108" s="27" t="str">
        <f>IFERROR(__xludf.DUMMYFUNCTION("""COMPUTED_VALUE"""),"WHITE WINDOWS")</f>
        <v>WHITE WINDOWS</v>
      </c>
      <c r="L108" s="2" t="str">
        <f>IFERROR(__xludf.DUMMYFUNCTION("""COMPUTED_VALUE"""),"In Stock")</f>
        <v>In Stock</v>
      </c>
      <c r="M108" s="27" t="str">
        <f>IFERROR(__xludf.DUMMYFUNCTION("""COMPUTED_VALUE"""),"JOSE")</f>
        <v>JOSE</v>
      </c>
      <c r="N108" s="27" t="str">
        <f>IFERROR(__xludf.DUMMYFUNCTION("""COMPUTED_VALUE"""),"TOL MH 159")</f>
        <v>TOL MH 159</v>
      </c>
      <c r="O108" s="27" t="str">
        <f>IFERROR(__xludf.DUMMYFUNCTION("""COMPUTED_VALUE"""),"WINDOW|||MH 159")</f>
        <v>WINDOW|||MH 159</v>
      </c>
      <c r="P108" s="27"/>
      <c r="Q108" s="27" t="str">
        <f>IFERROR(__xludf.DUMMYFUNCTION("""COMPUTED_VALUE"""),"jose@ox-glass.com")</f>
        <v>jose@ox-glass.com</v>
      </c>
      <c r="R108" s="27" t="str">
        <f>IFERROR(__xludf.DUMMYFUNCTION("""COMPUTED_VALUE"""),"A4A")</f>
        <v>A4A</v>
      </c>
      <c r="S108" s="27" t="str">
        <f>IFERROR(__xludf.DUMMYFUNCTION("""COMPUTED_VALUE"""),"ENTRY")</f>
        <v>ENTRY</v>
      </c>
    </row>
    <row r="109" ht="21.75" customHeight="1">
      <c r="A109" s="23">
        <f>IFERROR(__xludf.DUMMYFUNCTION("""COMPUTED_VALUE"""),46202.569782199076)</f>
        <v>46202.56978</v>
      </c>
      <c r="B109" s="24" t="str">
        <f>IFERROR(__xludf.DUMMYFUNCTION("""COMPUTED_VALUE"""),"WINDOW")</f>
        <v>WINDOW</v>
      </c>
      <c r="C109" s="25" t="str">
        <f>IFERROR(__xludf.DUMMYFUNCTION("""COMPUTED_VALUE"""),"MH 145")</f>
        <v>MH 145</v>
      </c>
      <c r="D109" s="26" t="str">
        <f>IFERROR(__xludf.DUMMYFUNCTION("""COMPUTED_VALUE"""),"TOL")</f>
        <v>TOL</v>
      </c>
      <c r="E109" s="27" t="str">
        <f>IFERROR(__xludf.DUMMYFUNCTION("""COMPUTED_VALUE"""),"06-1483")</f>
        <v>06-1483</v>
      </c>
      <c r="F109" s="28">
        <f>IFERROR(__xludf.DUMMYFUNCTION("""COMPUTED_VALUE"""),41.0)</f>
        <v>41</v>
      </c>
      <c r="G109" s="27" t="str">
        <f>IFERROR(__xludf.DUMMYFUNCTION("""COMPUTED_VALUE"""),"UNIT")</f>
        <v>UNIT</v>
      </c>
      <c r="H109" s="29">
        <f>IFERROR(__xludf.DUMMYFUNCTION("""COMPUTED_VALUE"""),46199.0)</f>
        <v>46199</v>
      </c>
      <c r="I109" s="24"/>
      <c r="J109" s="30" t="str">
        <f>IFERROR(__xludf.DUMMYFUNCTION("""COMPUTED_VALUE"""),"AMSCO")</f>
        <v>AMSCO</v>
      </c>
      <c r="K109" s="27" t="str">
        <f>IFERROR(__xludf.DUMMYFUNCTION("""COMPUTED_VALUE"""),"WHITE WINDOW SCREENS")</f>
        <v>WHITE WINDOW SCREENS</v>
      </c>
      <c r="L109" s="2" t="str">
        <f>IFERROR(__xludf.DUMMYFUNCTION("""COMPUTED_VALUE"""),"In Stock")</f>
        <v>In Stock</v>
      </c>
      <c r="M109" s="27" t="str">
        <f>IFERROR(__xludf.DUMMYFUNCTION("""COMPUTED_VALUE"""),"JOSE")</f>
        <v>JOSE</v>
      </c>
      <c r="N109" s="27" t="str">
        <f>IFERROR(__xludf.DUMMYFUNCTION("""COMPUTED_VALUE"""),"TOL MH 145")</f>
        <v>TOL MH 145</v>
      </c>
      <c r="O109" s="27" t="str">
        <f>IFERROR(__xludf.DUMMYFUNCTION("""COMPUTED_VALUE"""),"WINDOW|||MH 145")</f>
        <v>WINDOW|||MH 145</v>
      </c>
      <c r="P109" s="27"/>
      <c r="Q109" s="27" t="str">
        <f>IFERROR(__xludf.DUMMYFUNCTION("""COMPUTED_VALUE"""),"jose@ox-glass.com")</f>
        <v>jose@ox-glass.com</v>
      </c>
      <c r="R109" s="27" t="str">
        <f>IFERROR(__xludf.DUMMYFUNCTION("""COMPUTED_VALUE"""),"B2A")</f>
        <v>B2A</v>
      </c>
      <c r="S109" s="27" t="str">
        <f>IFERROR(__xludf.DUMMYFUNCTION("""COMPUTED_VALUE"""),"ENTRY")</f>
        <v>ENTRY</v>
      </c>
    </row>
    <row r="110" ht="21.75" customHeight="1">
      <c r="A110" s="23">
        <f>IFERROR(__xludf.DUMMYFUNCTION("""COMPUTED_VALUE"""),46202.569782199076)</f>
        <v>46202.56978</v>
      </c>
      <c r="B110" s="24" t="str">
        <f>IFERROR(__xludf.DUMMYFUNCTION("""COMPUTED_VALUE"""),"WINDOW")</f>
        <v>WINDOW</v>
      </c>
      <c r="C110" s="25" t="str">
        <f>IFERROR(__xludf.DUMMYFUNCTION("""COMPUTED_VALUE"""),"MH 145")</f>
        <v>MH 145</v>
      </c>
      <c r="D110" s="26" t="str">
        <f>IFERROR(__xludf.DUMMYFUNCTION("""COMPUTED_VALUE"""),"TOL")</f>
        <v>TOL</v>
      </c>
      <c r="E110" s="27" t="str">
        <f>IFERROR(__xludf.DUMMYFUNCTION("""COMPUTED_VALUE"""),"06-1483")</f>
        <v>06-1483</v>
      </c>
      <c r="F110" s="28">
        <f>IFERROR(__xludf.DUMMYFUNCTION("""COMPUTED_VALUE"""),10.0)</f>
        <v>10</v>
      </c>
      <c r="G110" s="27" t="str">
        <f>IFERROR(__xludf.DUMMYFUNCTION("""COMPUTED_VALUE"""),"UNIT")</f>
        <v>UNIT</v>
      </c>
      <c r="H110" s="29">
        <f>IFERROR(__xludf.DUMMYFUNCTION("""COMPUTED_VALUE"""),46199.0)</f>
        <v>46199</v>
      </c>
      <c r="I110" s="24"/>
      <c r="J110" s="30" t="str">
        <f>IFERROR(__xludf.DUMMYFUNCTION("""COMPUTED_VALUE"""),"AMSCO")</f>
        <v>AMSCO</v>
      </c>
      <c r="K110" s="27" t="str">
        <f>IFERROR(__xludf.DUMMYFUNCTION("""COMPUTED_VALUE"""),"WHITE WINDOW SCREENS")</f>
        <v>WHITE WINDOW SCREENS</v>
      </c>
      <c r="L110" s="2" t="str">
        <f>IFERROR(__xludf.DUMMYFUNCTION("""COMPUTED_VALUE"""),"In Stock")</f>
        <v>In Stock</v>
      </c>
      <c r="M110" s="27" t="str">
        <f>IFERROR(__xludf.DUMMYFUNCTION("""COMPUTED_VALUE"""),"JOSE")</f>
        <v>JOSE</v>
      </c>
      <c r="N110" s="27" t="str">
        <f>IFERROR(__xludf.DUMMYFUNCTION("""COMPUTED_VALUE"""),"TOL MH 145")</f>
        <v>TOL MH 145</v>
      </c>
      <c r="O110" s="27" t="str">
        <f>IFERROR(__xludf.DUMMYFUNCTION("""COMPUTED_VALUE"""),"WINDOW|||MH 145")</f>
        <v>WINDOW|||MH 145</v>
      </c>
      <c r="P110" s="27"/>
      <c r="Q110" s="27" t="str">
        <f>IFERROR(__xludf.DUMMYFUNCTION("""COMPUTED_VALUE"""),"jose@ox-glass.com")</f>
        <v>jose@ox-glass.com</v>
      </c>
      <c r="R110" s="27" t="str">
        <f>IFERROR(__xludf.DUMMYFUNCTION("""COMPUTED_VALUE"""),"B2A")</f>
        <v>B2A</v>
      </c>
      <c r="S110" s="27" t="str">
        <f>IFERROR(__xludf.DUMMYFUNCTION("""COMPUTED_VALUE"""),"ENTRY")</f>
        <v>ENTRY</v>
      </c>
    </row>
    <row r="111" ht="21.75" customHeight="1">
      <c r="A111" s="23">
        <f>IFERROR(__xludf.DUMMYFUNCTION("""COMPUTED_VALUE"""),46202.56501892361)</f>
        <v>46202.56502</v>
      </c>
      <c r="B111" s="24" t="str">
        <f>IFERROR(__xludf.DUMMYFUNCTION("""COMPUTED_VALUE"""),"WINDOW")</f>
        <v>WINDOW</v>
      </c>
      <c r="C111" s="25" t="str">
        <f>IFERROR(__xludf.DUMMYFUNCTION("""COMPUTED_VALUE"""),"MISC KYLE JENSON")</f>
        <v>MISC KYLE JENSON</v>
      </c>
      <c r="D111" s="26"/>
      <c r="E111" s="27" t="str">
        <f>IFERROR(__xludf.DUMMYFUNCTION("""COMPUTED_VALUE"""),"06-1843")</f>
        <v>06-1843</v>
      </c>
      <c r="F111" s="28">
        <f>IFERROR(__xludf.DUMMYFUNCTION("""COMPUTED_VALUE"""),10.0)</f>
        <v>10</v>
      </c>
      <c r="G111" s="27" t="str">
        <f>IFERROR(__xludf.DUMMYFUNCTION("""COMPUTED_VALUE"""),"UNIT")</f>
        <v>UNIT</v>
      </c>
      <c r="H111" s="29">
        <f>IFERROR(__xludf.DUMMYFUNCTION("""COMPUTED_VALUE"""),46199.0)</f>
        <v>46199</v>
      </c>
      <c r="I111" s="24"/>
      <c r="J111" s="30" t="str">
        <f>IFERROR(__xludf.DUMMYFUNCTION("""COMPUTED_VALUE"""),"AMSCO")</f>
        <v>AMSCO</v>
      </c>
      <c r="K111" s="27" t="str">
        <f>IFERROR(__xludf.DUMMYFUNCTION("""COMPUTED_VALUE"""),"WHITE WINDOWS")</f>
        <v>WHITE WINDOWS</v>
      </c>
      <c r="L111" s="2" t="str">
        <f>IFERROR(__xludf.DUMMYFUNCTION("""COMPUTED_VALUE"""),"In Stock")</f>
        <v>In Stock</v>
      </c>
      <c r="M111" s="27" t="str">
        <f>IFERROR(__xludf.DUMMYFUNCTION("""COMPUTED_VALUE"""),"JOSE")</f>
        <v>JOSE</v>
      </c>
      <c r="N111" s="27" t="str">
        <f>IFERROR(__xludf.DUMMYFUNCTION("""COMPUTED_VALUE"""),"MISC KYLE JENSON")</f>
        <v>MISC KYLE JENSON</v>
      </c>
      <c r="O111" s="27" t="str">
        <f>IFERROR(__xludf.DUMMYFUNCTION("""COMPUTED_VALUE"""),"WINDOW|||MISC KYLE JENSON")</f>
        <v>WINDOW|||MISC KYLE JENSON</v>
      </c>
      <c r="P111" s="27"/>
      <c r="Q111" s="27" t="str">
        <f>IFERROR(__xludf.DUMMYFUNCTION("""COMPUTED_VALUE"""),"jose@ox-glass.com")</f>
        <v>jose@ox-glass.com</v>
      </c>
      <c r="R111" s="27" t="str">
        <f>IFERROR(__xludf.DUMMYFUNCTION("""COMPUTED_VALUE"""),"A")</f>
        <v>A</v>
      </c>
      <c r="S111" s="27" t="str">
        <f>IFERROR(__xludf.DUMMYFUNCTION("""COMPUTED_VALUE"""),"ENTRY")</f>
        <v>ENTRY</v>
      </c>
    </row>
    <row r="112" ht="21.75" customHeight="1">
      <c r="A112" s="23">
        <f>IFERROR(__xludf.DUMMYFUNCTION("""COMPUTED_VALUE"""),46202.5634678125)</f>
        <v>46202.56347</v>
      </c>
      <c r="B112" s="24" t="str">
        <f>IFERROR(__xludf.DUMMYFUNCTION("""COMPUTED_VALUE"""),"WINDOW")</f>
        <v>WINDOW</v>
      </c>
      <c r="C112" s="25" t="str">
        <f>IFERROR(__xludf.DUMMYFUNCTION("""COMPUTED_VALUE"""),"SR108 CHOI RES REORDER")</f>
        <v>SR108 CHOI RES REORDER</v>
      </c>
      <c r="D112" s="26" t="str">
        <f>IFERROR(__xludf.DUMMYFUNCTION("""COMPUTED_VALUE"""),"PAT")</f>
        <v>PAT</v>
      </c>
      <c r="E112" s="27" t="str">
        <f>IFERROR(__xludf.DUMMYFUNCTION("""COMPUTED_VALUE"""),"06-1954")</f>
        <v>06-1954</v>
      </c>
      <c r="F112" s="28">
        <f>IFERROR(__xludf.DUMMYFUNCTION("""COMPUTED_VALUE"""),2.0)</f>
        <v>2</v>
      </c>
      <c r="G112" s="27" t="str">
        <f>IFERROR(__xludf.DUMMYFUNCTION("""COMPUTED_VALUE"""),"UNIT")</f>
        <v>UNIT</v>
      </c>
      <c r="H112" s="29">
        <f>IFERROR(__xludf.DUMMYFUNCTION("""COMPUTED_VALUE"""),46199.0)</f>
        <v>46199</v>
      </c>
      <c r="I112" s="24"/>
      <c r="J112" s="30" t="str">
        <f>IFERROR(__xludf.DUMMYFUNCTION("""COMPUTED_VALUE"""),"AMSCO")</f>
        <v>AMSCO</v>
      </c>
      <c r="K112" s="27" t="str">
        <f>IFERROR(__xludf.DUMMYFUNCTION("""COMPUTED_VALUE"""),"2 DOORS AND 2 SASHES")</f>
        <v>2 DOORS AND 2 SASHES</v>
      </c>
      <c r="L112" s="2" t="str">
        <f>IFERROR(__xludf.DUMMYFUNCTION("""COMPUTED_VALUE"""),"In Stock")</f>
        <v>In Stock</v>
      </c>
      <c r="M112" s="27" t="str">
        <f>IFERROR(__xludf.DUMMYFUNCTION("""COMPUTED_VALUE"""),"JOSE")</f>
        <v>JOSE</v>
      </c>
      <c r="N112" s="27" t="str">
        <f>IFERROR(__xludf.DUMMYFUNCTION("""COMPUTED_VALUE"""),"PAT SR108 CHOI RES REORDER")</f>
        <v>PAT SR108 CHOI RES REORDER</v>
      </c>
      <c r="O112" s="27" t="str">
        <f>IFERROR(__xludf.DUMMYFUNCTION("""COMPUTED_VALUE"""),"WINDOW|||SR108 CHOI RES REORDER")</f>
        <v>WINDOW|||SR108 CHOI RES REORDER</v>
      </c>
      <c r="P112" s="27"/>
      <c r="Q112" s="27" t="str">
        <f>IFERROR(__xludf.DUMMYFUNCTION("""COMPUTED_VALUE"""),"jose@ox-glass.com")</f>
        <v>jose@ox-glass.com</v>
      </c>
      <c r="R112" s="27" t="str">
        <f>IFERROR(__xludf.DUMMYFUNCTION("""COMPUTED_VALUE"""),"B6A")</f>
        <v>B6A</v>
      </c>
      <c r="S112" s="27" t="str">
        <f>IFERROR(__xludf.DUMMYFUNCTION("""COMPUTED_VALUE"""),"ENTRY")</f>
        <v>ENTRY</v>
      </c>
    </row>
    <row r="113" ht="21.75" customHeight="1">
      <c r="A113" s="23">
        <f>IFERROR(__xludf.DUMMYFUNCTION("""COMPUTED_VALUE"""),46202.39015670139)</f>
        <v>46202.39016</v>
      </c>
      <c r="B113" s="24" t="str">
        <f>IFERROR(__xludf.DUMMYFUNCTION("""COMPUTED_VALUE"""),"WINDOW")</f>
        <v>WINDOW</v>
      </c>
      <c r="C113" s="25" t="str">
        <f>IFERROR(__xludf.DUMMYFUNCTION("""COMPUTED_VALUE"""),"BME2 SASH REPLACEMENT")</f>
        <v>BME2 SASH REPLACEMENT</v>
      </c>
      <c r="D113" s="26" t="str">
        <f>IFERROR(__xludf.DUMMYFUNCTION("""COMPUTED_VALUE"""),"PAT")</f>
        <v>PAT</v>
      </c>
      <c r="E113" s="27" t="str">
        <f>IFERROR(__xludf.DUMMYFUNCTION("""COMPUTED_VALUE"""),"06-2955")</f>
        <v>06-2955</v>
      </c>
      <c r="F113" s="28">
        <f>IFERROR(__xludf.DUMMYFUNCTION("""COMPUTED_VALUE"""),1.0)</f>
        <v>1</v>
      </c>
      <c r="G113" s="27" t="str">
        <f>IFERROR(__xludf.DUMMYFUNCTION("""COMPUTED_VALUE"""),"UNIT")</f>
        <v>UNIT</v>
      </c>
      <c r="H113" s="29">
        <f>IFERROR(__xludf.DUMMYFUNCTION("""COMPUTED_VALUE"""),46199.0)</f>
        <v>46199</v>
      </c>
      <c r="I113" s="24"/>
      <c r="J113" s="30" t="str">
        <f>IFERROR(__xludf.DUMMYFUNCTION("""COMPUTED_VALUE"""),"AMSCO")</f>
        <v>AMSCO</v>
      </c>
      <c r="K113" s="27" t="str">
        <f>IFERROR(__xludf.DUMMYFUNCTION("""COMPUTED_VALUE"""),"WHITE SASH 1@33 5/16 X 67 7/16")</f>
        <v>WHITE SASH 1@33 5/16 X 67 7/16</v>
      </c>
      <c r="L113" s="2" t="str">
        <f>IFERROR(__xludf.DUMMYFUNCTION("""COMPUTED_VALUE"""),"In Stock")</f>
        <v>In Stock</v>
      </c>
      <c r="M113" s="27" t="str">
        <f>IFERROR(__xludf.DUMMYFUNCTION("""COMPUTED_VALUE"""),"JOSE")</f>
        <v>JOSE</v>
      </c>
      <c r="N113" s="27" t="str">
        <f>IFERROR(__xludf.DUMMYFUNCTION("""COMPUTED_VALUE"""),"PAT BME2")</f>
        <v>PAT BME2</v>
      </c>
      <c r="O113" s="27" t="str">
        <f>IFERROR(__xludf.DUMMYFUNCTION("""COMPUTED_VALUE"""),"WINDOW|||BME2 SASH REPLACEMENT")</f>
        <v>WINDOW|||BME2 SASH REPLACEMENT</v>
      </c>
      <c r="P113" s="27"/>
      <c r="Q113" s="27" t="str">
        <f>IFERROR(__xludf.DUMMYFUNCTION("""COMPUTED_VALUE"""),"jose@ox-glass.com")</f>
        <v>jose@ox-glass.com</v>
      </c>
      <c r="R113" s="27" t="str">
        <f>IFERROR(__xludf.DUMMYFUNCTION("""COMPUTED_VALUE"""),"C6A")</f>
        <v>C6A</v>
      </c>
      <c r="S113" s="27" t="str">
        <f>IFERROR(__xludf.DUMMYFUNCTION("""COMPUTED_VALUE"""),"ENTRY")</f>
        <v>ENTRY</v>
      </c>
    </row>
    <row r="114" ht="21.75" customHeight="1">
      <c r="A114" s="23">
        <f>IFERROR(__xludf.DUMMYFUNCTION("""COMPUTED_VALUE"""),46202.381029293974)</f>
        <v>46202.38103</v>
      </c>
      <c r="B114" s="24" t="str">
        <f>IFERROR(__xludf.DUMMYFUNCTION("""COMPUTED_VALUE"""),"WINDOW")</f>
        <v>WINDOW</v>
      </c>
      <c r="C114" s="25" t="str">
        <f>IFERROR(__xludf.DUMMYFUNCTION("""COMPUTED_VALUE"""),"SP 648 TRACIE")</f>
        <v>SP 648 TRACIE</v>
      </c>
      <c r="D114" s="26" t="str">
        <f>IFERROR(__xludf.DUMMYFUNCTION("""COMPUTED_VALUE"""),"PAT")</f>
        <v>PAT</v>
      </c>
      <c r="E114" s="27" t="str">
        <f>IFERROR(__xludf.DUMMYFUNCTION("""COMPUTED_VALUE"""),"06-3060")</f>
        <v>06-3060</v>
      </c>
      <c r="F114" s="28">
        <f>IFERROR(__xludf.DUMMYFUNCTION("""COMPUTED_VALUE"""),1.0)</f>
        <v>1</v>
      </c>
      <c r="G114" s="27" t="str">
        <f>IFERROR(__xludf.DUMMYFUNCTION("""COMPUTED_VALUE"""),"UNIT")</f>
        <v>UNIT</v>
      </c>
      <c r="H114" s="29">
        <f>IFERROR(__xludf.DUMMYFUNCTION("""COMPUTED_VALUE"""),46199.0)</f>
        <v>46199</v>
      </c>
      <c r="I114" s="24"/>
      <c r="J114" s="30" t="str">
        <f>IFERROR(__xludf.DUMMYFUNCTION("""COMPUTED_VALUE"""),"AMSCO")</f>
        <v>AMSCO</v>
      </c>
      <c r="K114" s="27" t="str">
        <f>IFERROR(__xludf.DUMMYFUNCTION("""COMPUTED_VALUE"""),"PATIO DOOR AND PATIO DOOR SCREEN, 1@ 71 1/2 X 95 1/2, 1@ 36 3/8 X 93 3/4")</f>
        <v>PATIO DOOR AND PATIO DOOR SCREEN, 1@ 71 1/2 X 95 1/2, 1@ 36 3/8 X 93 3/4</v>
      </c>
      <c r="L114" s="2" t="str">
        <f>IFERROR(__xludf.DUMMYFUNCTION("""COMPUTED_VALUE"""),"In Stock")</f>
        <v>In Stock</v>
      </c>
      <c r="M114" s="27" t="str">
        <f>IFERROR(__xludf.DUMMYFUNCTION("""COMPUTED_VALUE"""),"JOSE")</f>
        <v>JOSE</v>
      </c>
      <c r="N114" s="27" t="str">
        <f>IFERROR(__xludf.DUMMYFUNCTION("""COMPUTED_VALUE"""),"PAT SP648 TRACIE")</f>
        <v>PAT SP648 TRACIE</v>
      </c>
      <c r="O114" s="27" t="str">
        <f>IFERROR(__xludf.DUMMYFUNCTION("""COMPUTED_VALUE"""),"WINDOW|||SP 648 TRACIE")</f>
        <v>WINDOW|||SP 648 TRACIE</v>
      </c>
      <c r="P114" s="27"/>
      <c r="Q114" s="27" t="str">
        <f>IFERROR(__xludf.DUMMYFUNCTION("""COMPUTED_VALUE"""),"jose@ox-glass.com")</f>
        <v>jose@ox-glass.com</v>
      </c>
      <c r="R114" s="27" t="str">
        <f>IFERROR(__xludf.DUMMYFUNCTION("""COMPUTED_VALUE"""),"A2A")</f>
        <v>A2A</v>
      </c>
      <c r="S114" s="27" t="str">
        <f>IFERROR(__xludf.DUMMYFUNCTION("""COMPUTED_VALUE"""),"ENTRY")</f>
        <v>ENTRY</v>
      </c>
    </row>
    <row r="115" ht="21.75" customHeight="1">
      <c r="A115" s="23">
        <f>IFERROR(__xludf.DUMMYFUNCTION("""COMPUTED_VALUE"""),46199.31528097222)</f>
        <v>46199.31528</v>
      </c>
      <c r="B115" s="24" t="str">
        <f>IFERROR(__xludf.DUMMYFUNCTION("""COMPUTED_VALUE"""),"WINDOW")</f>
        <v>WINDOW</v>
      </c>
      <c r="C115" s="25" t="str">
        <f>IFERROR(__xludf.DUMMYFUNCTION("""COMPUTED_VALUE"""),"MISCJAKEBARLOW")</f>
        <v>MISCJAKEBARLOW</v>
      </c>
      <c r="D115" s="26"/>
      <c r="E115" s="27"/>
      <c r="F115" s="28">
        <f>IFERROR(__xludf.DUMMYFUNCTION("""COMPUTED_VALUE"""),2.0)</f>
        <v>2</v>
      </c>
      <c r="G115" s="27" t="str">
        <f>IFERROR(__xludf.DUMMYFUNCTION("""COMPUTED_VALUE"""),"UNIT")</f>
        <v>UNIT</v>
      </c>
      <c r="H115" s="29">
        <f>IFERROR(__xludf.DUMMYFUNCTION("""COMPUTED_VALUE"""),46199.0)</f>
        <v>46199</v>
      </c>
      <c r="I115" s="24" t="str">
        <f>IFERROR(__xludf.DUMMYFUNCTION("""COMPUTED_VALUE"""),"C3A")</f>
        <v>C3A</v>
      </c>
      <c r="J115" s="30"/>
      <c r="K115" s="27"/>
      <c r="L115" s="2" t="str">
        <f>IFERROR(__xludf.DUMMYFUNCTION("""COMPUTED_VALUE"""),"In Stock")</f>
        <v>In Stock</v>
      </c>
      <c r="M115" s="27" t="str">
        <f>IFERROR(__xludf.DUMMYFUNCTION("""COMPUTED_VALUE"""),"Jose")</f>
        <v>Jose</v>
      </c>
      <c r="N115" s="27" t="str">
        <f>IFERROR(__xludf.DUMMYFUNCTION("""COMPUTED_VALUE"""),"GENERIC")</f>
        <v>GENERIC</v>
      </c>
      <c r="O115" s="27" t="str">
        <f>IFERROR(__xludf.DUMMYFUNCTION("""COMPUTED_VALUE"""),"WINDOW|||MISCJAKEBARLOW")</f>
        <v>WINDOW|||MISCJAKEBARLOW</v>
      </c>
      <c r="P115" s="27"/>
      <c r="Q115" s="27" t="str">
        <f>IFERROR(__xludf.DUMMYFUNCTION("""COMPUTED_VALUE"""),"jose@ox-glass.com")</f>
        <v>jose@ox-glass.com</v>
      </c>
      <c r="R115" s="27" t="str">
        <f>IFERROR(__xludf.DUMMYFUNCTION("""COMPUTED_VALUE"""),"B6A")</f>
        <v>B6A</v>
      </c>
      <c r="S115" s="27" t="str">
        <f>IFERROR(__xludf.DUMMYFUNCTION("""COMPUTED_VALUE"""),"TRANSFER")</f>
        <v>TRANSFER</v>
      </c>
    </row>
    <row r="116" ht="21.75" customHeight="1">
      <c r="A116" s="23">
        <f>IFERROR(__xludf.DUMMYFUNCTION("""COMPUTED_VALUE"""),46199.31475791666)</f>
        <v>46199.31476</v>
      </c>
      <c r="B116" s="24" t="str">
        <f>IFERROR(__xludf.DUMMYFUNCTION("""COMPUTED_VALUE"""),"WINDOW")</f>
        <v>WINDOW</v>
      </c>
      <c r="C116" s="25" t="str">
        <f>IFERROR(__xludf.DUMMYFUNCTION("""COMPUTED_VALUE"""),"ALTA VISTA ADD WIND")</f>
        <v>ALTA VISTA ADD WIND</v>
      </c>
      <c r="D116" s="26"/>
      <c r="E116" s="27"/>
      <c r="F116" s="28">
        <f>IFERROR(__xludf.DUMMYFUNCTION("""COMPUTED_VALUE"""),1.0)</f>
        <v>1</v>
      </c>
      <c r="G116" s="27" t="str">
        <f>IFERROR(__xludf.DUMMYFUNCTION("""COMPUTED_VALUE"""),"UNIT")</f>
        <v>UNIT</v>
      </c>
      <c r="H116" s="29">
        <f>IFERROR(__xludf.DUMMYFUNCTION("""COMPUTED_VALUE"""),46199.0)</f>
        <v>46199</v>
      </c>
      <c r="I116" s="24" t="str">
        <f>IFERROR(__xludf.DUMMYFUNCTION("""COMPUTED_VALUE"""),"C3A")</f>
        <v>C3A</v>
      </c>
      <c r="J116" s="30"/>
      <c r="K116" s="27"/>
      <c r="L116" s="2" t="str">
        <f>IFERROR(__xludf.DUMMYFUNCTION("""COMPUTED_VALUE"""),"In Stock")</f>
        <v>In Stock</v>
      </c>
      <c r="M116" s="27" t="str">
        <f>IFERROR(__xludf.DUMMYFUNCTION("""COMPUTED_VALUE"""),"Jose")</f>
        <v>Jose</v>
      </c>
      <c r="N116" s="27" t="str">
        <f>IFERROR(__xludf.DUMMYFUNCTION("""COMPUTED_VALUE"""),"GENERIC")</f>
        <v>GENERIC</v>
      </c>
      <c r="O116" s="27" t="str">
        <f>IFERROR(__xludf.DUMMYFUNCTION("""COMPUTED_VALUE"""),"WINDOW|||ALTA VISTA ADD WIND")</f>
        <v>WINDOW|||ALTA VISTA ADD WIND</v>
      </c>
      <c r="P116" s="27"/>
      <c r="Q116" s="27" t="str">
        <f>IFERROR(__xludf.DUMMYFUNCTION("""COMPUTED_VALUE"""),"jose@ox-glass.com")</f>
        <v>jose@ox-glass.com</v>
      </c>
      <c r="R116" s="27" t="str">
        <f>IFERROR(__xludf.DUMMYFUNCTION("""COMPUTED_VALUE"""),"B6A")</f>
        <v>B6A</v>
      </c>
      <c r="S116" s="27" t="str">
        <f>IFERROR(__xludf.DUMMYFUNCTION("""COMPUTED_VALUE"""),"TRANSFER")</f>
        <v>TRANSFER</v>
      </c>
    </row>
    <row r="117" ht="21.75" customHeight="1">
      <c r="A117" s="23">
        <f>IFERROR(__xludf.DUMMYFUNCTION("""COMPUTED_VALUE"""),46199.31403094908)</f>
        <v>46199.31403</v>
      </c>
      <c r="B117" s="24" t="str">
        <f>IFERROR(__xludf.DUMMYFUNCTION("""COMPUTED_VALUE"""),"WINDOW")</f>
        <v>WINDOW</v>
      </c>
      <c r="C117" s="25" t="str">
        <f>IFERROR(__xludf.DUMMYFUNCTION("""COMPUTED_VALUE"""),"SP 647")</f>
        <v>SP 647</v>
      </c>
      <c r="D117" s="26"/>
      <c r="E117" s="27"/>
      <c r="F117" s="28">
        <f>IFERROR(__xludf.DUMMYFUNCTION("""COMPUTED_VALUE"""),2.0)</f>
        <v>2</v>
      </c>
      <c r="G117" s="27" t="str">
        <f>IFERROR(__xludf.DUMMYFUNCTION("""COMPUTED_VALUE"""),"UNIT")</f>
        <v>UNIT</v>
      </c>
      <c r="H117" s="29">
        <f>IFERROR(__xludf.DUMMYFUNCTION("""COMPUTED_VALUE"""),46199.0)</f>
        <v>46199</v>
      </c>
      <c r="I117" s="24" t="str">
        <f>IFERROR(__xludf.DUMMYFUNCTION("""COMPUTED_VALUE"""),"A1A")</f>
        <v>A1A</v>
      </c>
      <c r="J117" s="30"/>
      <c r="K117" s="27"/>
      <c r="L117" s="2" t="str">
        <f>IFERROR(__xludf.DUMMYFUNCTION("""COMPUTED_VALUE"""),"In Stock")</f>
        <v>In Stock</v>
      </c>
      <c r="M117" s="27" t="str">
        <f>IFERROR(__xludf.DUMMYFUNCTION("""COMPUTED_VALUE"""),"Jose")</f>
        <v>Jose</v>
      </c>
      <c r="N117" s="27" t="str">
        <f>IFERROR(__xludf.DUMMYFUNCTION("""COMPUTED_VALUE"""),"GENERIC")</f>
        <v>GENERIC</v>
      </c>
      <c r="O117" s="27" t="str">
        <f>IFERROR(__xludf.DUMMYFUNCTION("""COMPUTED_VALUE"""),"WINDOW|||SP 647")</f>
        <v>WINDOW|||SP 647</v>
      </c>
      <c r="P117" s="27"/>
      <c r="Q117" s="27" t="str">
        <f>IFERROR(__xludf.DUMMYFUNCTION("""COMPUTED_VALUE"""),"jose@ox-glass.com")</f>
        <v>jose@ox-glass.com</v>
      </c>
      <c r="R117" s="27" t="str">
        <f>IFERROR(__xludf.DUMMYFUNCTION("""COMPUTED_VALUE"""),"B6A")</f>
        <v>B6A</v>
      </c>
      <c r="S117" s="27" t="str">
        <f>IFERROR(__xludf.DUMMYFUNCTION("""COMPUTED_VALUE"""),"TRANSFER")</f>
        <v>TRANSFER</v>
      </c>
    </row>
    <row r="118" ht="21.75" customHeight="1">
      <c r="A118" s="23">
        <f>IFERROR(__xludf.DUMMYFUNCTION("""COMPUTED_VALUE"""),46199.31282924769)</f>
        <v>46199.31283</v>
      </c>
      <c r="B118" s="24" t="str">
        <f>IFERROR(__xludf.DUMMYFUNCTION("""COMPUTED_VALUE"""),"WINDOW")</f>
        <v>WINDOW</v>
      </c>
      <c r="C118" s="25" t="str">
        <f>IFERROR(__xludf.DUMMYFUNCTION("""COMPUTED_VALUE"""),"PAT SP 638")</f>
        <v>PAT SP 638</v>
      </c>
      <c r="D118" s="26"/>
      <c r="E118" s="27"/>
      <c r="F118" s="28">
        <f>IFERROR(__xludf.DUMMYFUNCTION("""COMPUTED_VALUE"""),2.0)</f>
        <v>2</v>
      </c>
      <c r="G118" s="27" t="str">
        <f>IFERROR(__xludf.DUMMYFUNCTION("""COMPUTED_VALUE"""),"UNIT")</f>
        <v>UNIT</v>
      </c>
      <c r="H118" s="29">
        <f>IFERROR(__xludf.DUMMYFUNCTION("""COMPUTED_VALUE"""),46199.0)</f>
        <v>46199</v>
      </c>
      <c r="I118" s="24" t="str">
        <f>IFERROR(__xludf.DUMMYFUNCTION("""COMPUTED_VALUE"""),"A1A")</f>
        <v>A1A</v>
      </c>
      <c r="J118" s="30"/>
      <c r="K118" s="27"/>
      <c r="L118" s="2" t="str">
        <f>IFERROR(__xludf.DUMMYFUNCTION("""COMPUTED_VALUE"""),"In Stock")</f>
        <v>In Stock</v>
      </c>
      <c r="M118" s="27" t="str">
        <f>IFERROR(__xludf.DUMMYFUNCTION("""COMPUTED_VALUE"""),"Jose")</f>
        <v>Jose</v>
      </c>
      <c r="N118" s="27" t="str">
        <f>IFERROR(__xludf.DUMMYFUNCTION("""COMPUTED_VALUE"""),"GENERIC")</f>
        <v>GENERIC</v>
      </c>
      <c r="O118" s="27" t="str">
        <f>IFERROR(__xludf.DUMMYFUNCTION("""COMPUTED_VALUE"""),"WINDOW|||PAT SP 638")</f>
        <v>WINDOW|||PAT SP 638</v>
      </c>
      <c r="P118" s="27"/>
      <c r="Q118" s="27" t="str">
        <f>IFERROR(__xludf.DUMMYFUNCTION("""COMPUTED_VALUE"""),"jose@ox-glass.com")</f>
        <v>jose@ox-glass.com</v>
      </c>
      <c r="R118" s="27" t="str">
        <f>IFERROR(__xludf.DUMMYFUNCTION("""COMPUTED_VALUE"""),"B6A")</f>
        <v>B6A</v>
      </c>
      <c r="S118" s="27" t="str">
        <f>IFERROR(__xludf.DUMMYFUNCTION("""COMPUTED_VALUE"""),"TRANSFER")</f>
        <v>TRANSFER</v>
      </c>
    </row>
    <row r="119" ht="21.75" customHeight="1">
      <c r="A119" s="23">
        <f>IFERROR(__xludf.DUMMYFUNCTION("""COMPUTED_VALUE"""),46199.312070555556)</f>
        <v>46199.31207</v>
      </c>
      <c r="B119" s="24" t="str">
        <f>IFERROR(__xludf.DUMMYFUNCTION("""COMPUTED_VALUE"""),"WINDOW")</f>
        <v>WINDOW</v>
      </c>
      <c r="C119" s="25" t="str">
        <f>IFERROR(__xludf.DUMMYFUNCTION("""COMPUTED_VALUE"""),"STUDIO RESIDENCE CLEARFIELD")</f>
        <v>STUDIO RESIDENCE CLEARFIELD</v>
      </c>
      <c r="D119" s="26"/>
      <c r="E119" s="27"/>
      <c r="F119" s="28">
        <f>IFERROR(__xludf.DUMMYFUNCTION("""COMPUTED_VALUE"""),8.0)</f>
        <v>8</v>
      </c>
      <c r="G119" s="27" t="str">
        <f>IFERROR(__xludf.DUMMYFUNCTION("""COMPUTED_VALUE"""),"UNIT")</f>
        <v>UNIT</v>
      </c>
      <c r="H119" s="29">
        <f>IFERROR(__xludf.DUMMYFUNCTION("""COMPUTED_VALUE"""),46199.0)</f>
        <v>46199</v>
      </c>
      <c r="I119" s="24" t="str">
        <f>IFERROR(__xludf.DUMMYFUNCTION("""COMPUTED_VALUE"""),"A1A")</f>
        <v>A1A</v>
      </c>
      <c r="J119" s="30"/>
      <c r="K119" s="27"/>
      <c r="L119" s="2" t="str">
        <f>IFERROR(__xludf.DUMMYFUNCTION("""COMPUTED_VALUE"""),"In Stock")</f>
        <v>In Stock</v>
      </c>
      <c r="M119" s="27" t="str">
        <f>IFERROR(__xludf.DUMMYFUNCTION("""COMPUTED_VALUE"""),"Jose")</f>
        <v>Jose</v>
      </c>
      <c r="N119" s="27" t="str">
        <f>IFERROR(__xludf.DUMMYFUNCTION("""COMPUTED_VALUE"""),"GENERIC")</f>
        <v>GENERIC</v>
      </c>
      <c r="O119" s="27" t="str">
        <f>IFERROR(__xludf.DUMMYFUNCTION("""COMPUTED_VALUE"""),"WINDOW|||STUDIO RESIDENCE CLEARFIELD")</f>
        <v>WINDOW|||STUDIO RESIDENCE CLEARFIELD</v>
      </c>
      <c r="P119" s="27"/>
      <c r="Q119" s="27" t="str">
        <f>IFERROR(__xludf.DUMMYFUNCTION("""COMPUTED_VALUE"""),"jose@ox-glass.com")</f>
        <v>jose@ox-glass.com</v>
      </c>
      <c r="R119" s="27" t="str">
        <f>IFERROR(__xludf.DUMMYFUNCTION("""COMPUTED_VALUE"""),"C5A")</f>
        <v>C5A</v>
      </c>
      <c r="S119" s="27" t="str">
        <f>IFERROR(__xludf.DUMMYFUNCTION("""COMPUTED_VALUE"""),"TRANSFER")</f>
        <v>TRANSFER</v>
      </c>
    </row>
    <row r="120" ht="21.75" customHeight="1">
      <c r="A120" s="23">
        <f>IFERROR(__xludf.DUMMYFUNCTION("""COMPUTED_VALUE"""),46199.311383657405)</f>
        <v>46199.31138</v>
      </c>
      <c r="B120" s="24" t="str">
        <f>IFERROR(__xludf.DUMMYFUNCTION("""COMPUTED_VALUE"""),"WINDOW")</f>
        <v>WINDOW</v>
      </c>
      <c r="C120" s="25" t="str">
        <f>IFERROR(__xludf.DUMMYFUNCTION("""COMPUTED_VALUE"""),"TIMP VALLEY CONSTRUCTION")</f>
        <v>TIMP VALLEY CONSTRUCTION</v>
      </c>
      <c r="D120" s="26"/>
      <c r="E120" s="27"/>
      <c r="F120" s="28">
        <f>IFERROR(__xludf.DUMMYFUNCTION("""COMPUTED_VALUE"""),6.0)</f>
        <v>6</v>
      </c>
      <c r="G120" s="27" t="str">
        <f>IFERROR(__xludf.DUMMYFUNCTION("""COMPUTED_VALUE"""),"UNIT")</f>
        <v>UNIT</v>
      </c>
      <c r="H120" s="29">
        <f>IFERROR(__xludf.DUMMYFUNCTION("""COMPUTED_VALUE"""),46199.0)</f>
        <v>46199</v>
      </c>
      <c r="I120" s="24" t="str">
        <f>IFERROR(__xludf.DUMMYFUNCTION("""COMPUTED_VALUE"""),"A2A")</f>
        <v>A2A</v>
      </c>
      <c r="J120" s="30"/>
      <c r="K120" s="27"/>
      <c r="L120" s="2" t="str">
        <f>IFERROR(__xludf.DUMMYFUNCTION("""COMPUTED_VALUE"""),"In Stock")</f>
        <v>In Stock</v>
      </c>
      <c r="M120" s="27" t="str">
        <f>IFERROR(__xludf.DUMMYFUNCTION("""COMPUTED_VALUE"""),"Jose")</f>
        <v>Jose</v>
      </c>
      <c r="N120" s="27" t="str">
        <f>IFERROR(__xludf.DUMMYFUNCTION("""COMPUTED_VALUE"""),"GENERIC")</f>
        <v>GENERIC</v>
      </c>
      <c r="O120" s="27" t="str">
        <f>IFERROR(__xludf.DUMMYFUNCTION("""COMPUTED_VALUE"""),"WINDOW|||TIMP VALLEY CONSTRUCTION")</f>
        <v>WINDOW|||TIMP VALLEY CONSTRUCTION</v>
      </c>
      <c r="P120" s="27"/>
      <c r="Q120" s="27" t="str">
        <f>IFERROR(__xludf.DUMMYFUNCTION("""COMPUTED_VALUE"""),"jose@ox-glass.com")</f>
        <v>jose@ox-glass.com</v>
      </c>
      <c r="R120" s="27" t="str">
        <f>IFERROR(__xludf.DUMMYFUNCTION("""COMPUTED_VALUE"""),"A5A")</f>
        <v>A5A</v>
      </c>
      <c r="S120" s="27" t="str">
        <f>IFERROR(__xludf.DUMMYFUNCTION("""COMPUTED_VALUE"""),"TRANSFER")</f>
        <v>TRANSFER</v>
      </c>
    </row>
    <row r="121" ht="21.75" customHeight="1">
      <c r="A121" s="23">
        <f>IFERROR(__xludf.DUMMYFUNCTION("""COMPUTED_VALUE"""),46195.56345233796)</f>
        <v>46195.56345</v>
      </c>
      <c r="B121" s="24" t="str">
        <f>IFERROR(__xludf.DUMMYFUNCTION("""COMPUTED_VALUE"""),"WINDOW")</f>
        <v>WINDOW</v>
      </c>
      <c r="C121" s="25" t="str">
        <f>IFERROR(__xludf.DUMMYFUNCTION("""COMPUTED_VALUE"""),"TIMP VALLEY CONSTRUCTION")</f>
        <v>TIMP VALLEY CONSTRUCTION</v>
      </c>
      <c r="D121" s="26"/>
      <c r="E121" s="27"/>
      <c r="F121" s="28">
        <f>IFERROR(__xludf.DUMMYFUNCTION("""COMPUTED_VALUE"""),6.0)</f>
        <v>6</v>
      </c>
      <c r="G121" s="27" t="str">
        <f>IFERROR(__xludf.DUMMYFUNCTION("""COMPUTED_VALUE"""),"UNIT")</f>
        <v>UNIT</v>
      </c>
      <c r="H121" s="29">
        <f>IFERROR(__xludf.DUMMYFUNCTION("""COMPUTED_VALUE"""),46195.0)</f>
        <v>46195</v>
      </c>
      <c r="I121" s="24"/>
      <c r="J121" s="30" t="str">
        <f>IFERROR(__xludf.DUMMYFUNCTION("""COMPUTED_VALUE"""),"ALSIDE")</f>
        <v>ALSIDE</v>
      </c>
      <c r="K121" s="27" t="str">
        <f>IFERROR(__xludf.DUMMYFUNCTION("""COMPUTED_VALUE"""),"WHITE WINDOWS")</f>
        <v>WHITE WINDOWS</v>
      </c>
      <c r="L121" s="2" t="str">
        <f>IFERROR(__xludf.DUMMYFUNCTION("""COMPUTED_VALUE"""),"In Stock")</f>
        <v>In Stock</v>
      </c>
      <c r="M121" s="27" t="str">
        <f>IFERROR(__xludf.DUMMYFUNCTION("""COMPUTED_VALUE"""),"JOSE")</f>
        <v>JOSE</v>
      </c>
      <c r="N121" s="27" t="str">
        <f>IFERROR(__xludf.DUMMYFUNCTION("""COMPUTED_VALUE"""),"TIMP VALLEY CONSTRUCTION")</f>
        <v>TIMP VALLEY CONSTRUCTION</v>
      </c>
      <c r="O121" s="27" t="str">
        <f>IFERROR(__xludf.DUMMYFUNCTION("""COMPUTED_VALUE"""),"WINDOW|||TIMP VALLEY CONSTRUCTION")</f>
        <v>WINDOW|||TIMP VALLEY CONSTRUCTION</v>
      </c>
      <c r="P121" s="27"/>
      <c r="Q121" s="27" t="str">
        <f>IFERROR(__xludf.DUMMYFUNCTION("""COMPUTED_VALUE"""),"jose@ox-glass.com")</f>
        <v>jose@ox-glass.com</v>
      </c>
      <c r="R121" s="27" t="str">
        <f>IFERROR(__xludf.DUMMYFUNCTION("""COMPUTED_VALUE"""),"A2A")</f>
        <v>A2A</v>
      </c>
      <c r="S121" s="27" t="str">
        <f>IFERROR(__xludf.DUMMYFUNCTION("""COMPUTED_VALUE"""),"ENTRY")</f>
        <v>ENTRY</v>
      </c>
    </row>
    <row r="122" ht="21.75" customHeight="1">
      <c r="A122" s="23">
        <f>IFERROR(__xludf.DUMMYFUNCTION("""COMPUTED_VALUE"""),46195.37082476851)</f>
        <v>46195.37082</v>
      </c>
      <c r="B122" s="24" t="str">
        <f>IFERROR(__xludf.DUMMYFUNCTION("""COMPUTED_VALUE"""),"WINDOW")</f>
        <v>WINDOW</v>
      </c>
      <c r="C122" s="25" t="str">
        <f>IFERROR(__xludf.DUMMYFUNCTION("""COMPUTED_VALUE"""),"ACC STUDENT HOUSING")</f>
        <v>ACC STUDENT HOUSING</v>
      </c>
      <c r="D122" s="26"/>
      <c r="E122" s="27"/>
      <c r="F122" s="28">
        <f>IFERROR(__xludf.DUMMYFUNCTION("""COMPUTED_VALUE"""),1.0)</f>
        <v>1</v>
      </c>
      <c r="G122" s="27" t="str">
        <f>IFERROR(__xludf.DUMMYFUNCTION("""COMPUTED_VALUE"""),"UNIT")</f>
        <v>UNIT</v>
      </c>
      <c r="H122" s="29">
        <f>IFERROR(__xludf.DUMMYFUNCTION("""COMPUTED_VALUE"""),46195.0)</f>
        <v>46195</v>
      </c>
      <c r="I122" s="24" t="str">
        <f>IFERROR(__xludf.DUMMYFUNCTION("""COMPUTED_VALUE"""),"B6A")</f>
        <v>B6A</v>
      </c>
      <c r="J122" s="30"/>
      <c r="K122" s="27" t="str">
        <f>IFERROR(__xludf.DUMMYFUNCTION("""COMPUTED_VALUE"""),"SOMEONE CAME AND TOOK IT, JOE ALLRED WAS INFORMED.")</f>
        <v>SOMEONE CAME AND TOOK IT, JOE ALLRED WAS INFORMED.</v>
      </c>
      <c r="L122" s="2" t="str">
        <f>IFERROR(__xludf.DUMMYFUNCTION("""COMPUTED_VALUE"""),"Dispatched")</f>
        <v>Dispatched</v>
      </c>
      <c r="M122" s="27" t="str">
        <f>IFERROR(__xludf.DUMMYFUNCTION("""COMPUTED_VALUE"""),"VPI GUY")</f>
        <v>VPI GUY</v>
      </c>
      <c r="N122" s="27"/>
      <c r="O122" s="27" t="str">
        <f>IFERROR(__xludf.DUMMYFUNCTION("""COMPUTED_VALUE"""),"WINDOW|||ACC STUDENT HOUSING")</f>
        <v>WINDOW|||ACC STUDENT HOUSING</v>
      </c>
      <c r="P122" s="27"/>
      <c r="Q122" s="27" t="str">
        <f>IFERROR(__xludf.DUMMYFUNCTION("""COMPUTED_VALUE"""),"jose@ox-glass.com")</f>
        <v>jose@ox-glass.com</v>
      </c>
      <c r="R122" s="27" t="str">
        <f>IFERROR(__xludf.DUMMYFUNCTION("""COMPUTED_VALUE"""),"ACC STUDENT HOUSING")</f>
        <v>ACC STUDENT HOUSING</v>
      </c>
      <c r="S122" s="27" t="str">
        <f>IFERROR(__xludf.DUMMYFUNCTION("""COMPUTED_VALUE"""),"EXIT")</f>
        <v>EXIT</v>
      </c>
    </row>
    <row r="123" ht="21.75" customHeight="1">
      <c r="A123" s="23">
        <f>IFERROR(__xludf.DUMMYFUNCTION("""COMPUTED_VALUE"""),46195.36567892361)</f>
        <v>46195.36568</v>
      </c>
      <c r="B123" s="24" t="str">
        <f>IFERROR(__xludf.DUMMYFUNCTION("""COMPUTED_VALUE"""),"WINDOW")</f>
        <v>WINDOW</v>
      </c>
      <c r="C123" s="25" t="str">
        <f>IFERROR(__xludf.DUMMYFUNCTION("""COMPUTED_VALUE"""),"ACC STUDENT HOUSING")</f>
        <v>ACC STUDENT HOUSING</v>
      </c>
      <c r="D123" s="26"/>
      <c r="E123" s="27"/>
      <c r="F123" s="28">
        <f>IFERROR(__xludf.DUMMYFUNCTION("""COMPUTED_VALUE"""),1.0)</f>
        <v>1</v>
      </c>
      <c r="G123" s="27" t="str">
        <f>IFERROR(__xludf.DUMMYFUNCTION("""COMPUTED_VALUE"""),"UNIT")</f>
        <v>UNIT</v>
      </c>
      <c r="H123" s="29">
        <f>IFERROR(__xludf.DUMMYFUNCTION("""COMPUTED_VALUE"""),46191.0)</f>
        <v>46191</v>
      </c>
      <c r="I123" s="24"/>
      <c r="J123" s="30" t="str">
        <f>IFERROR(__xludf.DUMMYFUNCTION("""COMPUTED_VALUE"""),"VPI QUALITY WINDOWS")</f>
        <v>VPI QUALITY WINDOWS</v>
      </c>
      <c r="K123" s="27" t="str">
        <f>IFERROR(__xludf.DUMMYFUNCTION("""COMPUTED_VALUE"""),"1 WHITE SASH AND 1 BOX OF HARDWARE")</f>
        <v>1 WHITE SASH AND 1 BOX OF HARDWARE</v>
      </c>
      <c r="L123" s="2" t="str">
        <f>IFERROR(__xludf.DUMMYFUNCTION("""COMPUTED_VALUE"""),"In Stock")</f>
        <v>In Stock</v>
      </c>
      <c r="M123" s="27" t="str">
        <f>IFERROR(__xludf.DUMMYFUNCTION("""COMPUTED_VALUE"""),"SPENCER")</f>
        <v>SPENCER</v>
      </c>
      <c r="N123" s="27" t="str">
        <f>IFERROR(__xludf.DUMMYFUNCTION("""COMPUTED_VALUE"""),"ACC")</f>
        <v>ACC</v>
      </c>
      <c r="O123" s="27" t="str">
        <f>IFERROR(__xludf.DUMMYFUNCTION("""COMPUTED_VALUE"""),"WINDOW|||ACC STUDENT HOUSING")</f>
        <v>WINDOW|||ACC STUDENT HOUSING</v>
      </c>
      <c r="P123" s="27"/>
      <c r="Q123" s="27" t="str">
        <f>IFERROR(__xludf.DUMMYFUNCTION("""COMPUTED_VALUE"""),"jose@ox-glass.com")</f>
        <v>jose@ox-glass.com</v>
      </c>
      <c r="R123" s="27" t="str">
        <f>IFERROR(__xludf.DUMMYFUNCTION("""COMPUTED_VALUE"""),"B6A")</f>
        <v>B6A</v>
      </c>
      <c r="S123" s="27" t="str">
        <f>IFERROR(__xludf.DUMMYFUNCTION("""COMPUTED_VALUE"""),"ENTRY")</f>
        <v>ENTRY</v>
      </c>
    </row>
    <row r="124" ht="21.75" customHeight="1">
      <c r="A124" s="23">
        <f>IFERROR(__xludf.DUMMYFUNCTION("""COMPUTED_VALUE"""),46192.665790254636)</f>
        <v>46192.66579</v>
      </c>
      <c r="B124" s="24" t="str">
        <f>IFERROR(__xludf.DUMMYFUNCTION("""COMPUTED_VALUE"""),"WINDOW")</f>
        <v>WINDOW</v>
      </c>
      <c r="C124" s="25" t="str">
        <f>IFERROR(__xludf.DUMMYFUNCTION("""COMPUTED_VALUE"""),"JJF 112")</f>
        <v>JJF 112</v>
      </c>
      <c r="D124" s="26" t="str">
        <f>IFERROR(__xludf.DUMMYFUNCTION("""COMPUTED_VALUE"""),"WHI")</f>
        <v>WHI</v>
      </c>
      <c r="E124" s="27" t="str">
        <f>IFERROR(__xludf.DUMMYFUNCTION("""COMPUTED_VALUE"""),"06-526")</f>
        <v>06-526</v>
      </c>
      <c r="F124" s="28">
        <f>IFERROR(__xludf.DUMMYFUNCTION("""COMPUTED_VALUE"""),21.0)</f>
        <v>21</v>
      </c>
      <c r="G124" s="27" t="str">
        <f>IFERROR(__xludf.DUMMYFUNCTION("""COMPUTED_VALUE"""),"UNIT")</f>
        <v>UNIT</v>
      </c>
      <c r="H124" s="29">
        <f>IFERROR(__xludf.DUMMYFUNCTION("""COMPUTED_VALUE"""),46192.0)</f>
        <v>46192</v>
      </c>
      <c r="I124" s="24"/>
      <c r="J124" s="30" t="str">
        <f>IFERROR(__xludf.DUMMYFUNCTION("""COMPUTED_VALUE"""),"AMSCO")</f>
        <v>AMSCO</v>
      </c>
      <c r="K124" s="27" t="str">
        <f>IFERROR(__xludf.DUMMYFUNCTION("""COMPUTED_VALUE"""),"2 BIG PATIO DOOR, 2 SASHES, 18 WINDOWS")</f>
        <v>2 BIG PATIO DOOR, 2 SASHES, 18 WINDOWS</v>
      </c>
      <c r="L124" s="2" t="str">
        <f>IFERROR(__xludf.DUMMYFUNCTION("""COMPUTED_VALUE"""),"In Stock")</f>
        <v>In Stock</v>
      </c>
      <c r="M124" s="27" t="str">
        <f>IFERROR(__xludf.DUMMYFUNCTION("""COMPUTED_VALUE"""),"JOSE")</f>
        <v>JOSE</v>
      </c>
      <c r="N124" s="27" t="str">
        <f>IFERROR(__xludf.DUMMYFUNCTION("""COMPUTED_VALUE"""),"J&amp;J FARMS 112")</f>
        <v>J&amp;J FARMS 112</v>
      </c>
      <c r="O124" s="27" t="str">
        <f>IFERROR(__xludf.DUMMYFUNCTION("""COMPUTED_VALUE"""),"WINDOW|||JJF 112")</f>
        <v>WINDOW|||JJF 112</v>
      </c>
      <c r="P124" s="27"/>
      <c r="Q124" s="27" t="str">
        <f>IFERROR(__xludf.DUMMYFUNCTION("""COMPUTED_VALUE"""),"jose@ox-glass.com")</f>
        <v>jose@ox-glass.com</v>
      </c>
      <c r="R124" s="27" t="str">
        <f>IFERROR(__xludf.DUMMYFUNCTION("""COMPUTED_VALUE"""),"B1A")</f>
        <v>B1A</v>
      </c>
      <c r="S124" s="27" t="str">
        <f>IFERROR(__xludf.DUMMYFUNCTION("""COMPUTED_VALUE"""),"ENTRY")</f>
        <v>ENTRY</v>
      </c>
    </row>
    <row r="125" ht="21.75" customHeight="1">
      <c r="A125" s="23">
        <f>IFERROR(__xludf.DUMMYFUNCTION("""COMPUTED_VALUE"""),46192.66465146991)</f>
        <v>46192.66465</v>
      </c>
      <c r="B125" s="24" t="str">
        <f>IFERROR(__xludf.DUMMYFUNCTION("""COMPUTED_VALUE"""),"WINDOW")</f>
        <v>WINDOW</v>
      </c>
      <c r="C125" s="25" t="str">
        <f>IFERROR(__xludf.DUMMYFUNCTION("""COMPUTED_VALUE"""),"JJF 105")</f>
        <v>JJF 105</v>
      </c>
      <c r="D125" s="26" t="str">
        <f>IFERROR(__xludf.DUMMYFUNCTION("""COMPUTED_VALUE"""),"WHI")</f>
        <v>WHI</v>
      </c>
      <c r="E125" s="27" t="str">
        <f>IFERROR(__xludf.DUMMYFUNCTION("""COMPUTED_VALUE"""),"06-528")</f>
        <v>06-528</v>
      </c>
      <c r="F125" s="28">
        <f>IFERROR(__xludf.DUMMYFUNCTION("""COMPUTED_VALUE"""),21.0)</f>
        <v>21</v>
      </c>
      <c r="G125" s="27" t="str">
        <f>IFERROR(__xludf.DUMMYFUNCTION("""COMPUTED_VALUE"""),"UNIT")</f>
        <v>UNIT</v>
      </c>
      <c r="H125" s="29">
        <f>IFERROR(__xludf.DUMMYFUNCTION("""COMPUTED_VALUE"""),46192.0)</f>
        <v>46192</v>
      </c>
      <c r="I125" s="24"/>
      <c r="J125" s="30" t="str">
        <f>IFERROR(__xludf.DUMMYFUNCTION("""COMPUTED_VALUE"""),"AMSCO")</f>
        <v>AMSCO</v>
      </c>
      <c r="K125" s="27" t="str">
        <f>IFERROR(__xludf.DUMMYFUNCTION("""COMPUTED_VALUE"""),"1 BIG PATIO DOOR, 2 SASHES, 18 WINDOWS")</f>
        <v>1 BIG PATIO DOOR, 2 SASHES, 18 WINDOWS</v>
      </c>
      <c r="L125" s="2" t="str">
        <f>IFERROR(__xludf.DUMMYFUNCTION("""COMPUTED_VALUE"""),"In Stock")</f>
        <v>In Stock</v>
      </c>
      <c r="M125" s="27" t="str">
        <f>IFERROR(__xludf.DUMMYFUNCTION("""COMPUTED_VALUE"""),"JOSE")</f>
        <v>JOSE</v>
      </c>
      <c r="N125" s="27" t="str">
        <f>IFERROR(__xludf.DUMMYFUNCTION("""COMPUTED_VALUE"""),"J&amp;J FARMS 105")</f>
        <v>J&amp;J FARMS 105</v>
      </c>
      <c r="O125" s="27" t="str">
        <f>IFERROR(__xludf.DUMMYFUNCTION("""COMPUTED_VALUE"""),"WINDOW|||JJF 105")</f>
        <v>WINDOW|||JJF 105</v>
      </c>
      <c r="P125" s="27"/>
      <c r="Q125" s="27" t="str">
        <f>IFERROR(__xludf.DUMMYFUNCTION("""COMPUTED_VALUE"""),"jose@ox-glass.com")</f>
        <v>jose@ox-glass.com</v>
      </c>
      <c r="R125" s="27" t="str">
        <f>IFERROR(__xludf.DUMMYFUNCTION("""COMPUTED_VALUE"""),"C1A")</f>
        <v>C1A</v>
      </c>
      <c r="S125" s="27" t="str">
        <f>IFERROR(__xludf.DUMMYFUNCTION("""COMPUTED_VALUE"""),"ENTRY")</f>
        <v>ENTRY</v>
      </c>
    </row>
    <row r="126" ht="21.75" customHeight="1">
      <c r="A126" s="23">
        <f>IFERROR(__xludf.DUMMYFUNCTION("""COMPUTED_VALUE"""),46192.663041597225)</f>
        <v>46192.66304</v>
      </c>
      <c r="B126" s="24" t="str">
        <f>IFERROR(__xludf.DUMMYFUNCTION("""COMPUTED_VALUE"""),"WINDOW")</f>
        <v>WINDOW</v>
      </c>
      <c r="C126" s="25" t="str">
        <f>IFERROR(__xludf.DUMMYFUNCTION("""COMPUTED_VALUE"""),"SPENCER HALFORDE")</f>
        <v>SPENCER HALFORDE</v>
      </c>
      <c r="D126" s="26"/>
      <c r="E126" s="27"/>
      <c r="F126" s="28">
        <f>IFERROR(__xludf.DUMMYFUNCTION("""COMPUTED_VALUE"""),1.0)</f>
        <v>1</v>
      </c>
      <c r="G126" s="27" t="str">
        <f>IFERROR(__xludf.DUMMYFUNCTION("""COMPUTED_VALUE"""),"UNIT")</f>
        <v>UNIT</v>
      </c>
      <c r="H126" s="29">
        <f>IFERROR(__xludf.DUMMYFUNCTION("""COMPUTED_VALUE"""),46192.0)</f>
        <v>46192</v>
      </c>
      <c r="I126" s="24" t="str">
        <f>IFERROR(__xludf.DUMMYFUNCTION("""COMPUTED_VALUE"""),"B6A")</f>
        <v>B6A</v>
      </c>
      <c r="J126" s="30" t="str">
        <f>IFERROR(__xludf.DUMMYFUNCTION("""COMPUTED_VALUE"""),"AMSCO")</f>
        <v>AMSCO</v>
      </c>
      <c r="K126" s="27"/>
      <c r="L126" s="2" t="str">
        <f>IFERROR(__xludf.DUMMYFUNCTION("""COMPUTED_VALUE"""),"Dispatched")</f>
        <v>Dispatched</v>
      </c>
      <c r="M126" s="27" t="str">
        <f>IFERROR(__xludf.DUMMYFUNCTION("""COMPUTED_VALUE"""),"JOSH W")</f>
        <v>JOSH W</v>
      </c>
      <c r="N126" s="27"/>
      <c r="O126" s="27" t="str">
        <f>IFERROR(__xludf.DUMMYFUNCTION("""COMPUTED_VALUE"""),"WINDOW|||SPENCER HALFORDE")</f>
        <v>WINDOW|||SPENCER HALFORDE</v>
      </c>
      <c r="P126" s="27"/>
      <c r="Q126" s="27" t="str">
        <f>IFERROR(__xludf.DUMMYFUNCTION("""COMPUTED_VALUE"""),"jose@ox-glass.com")</f>
        <v>jose@ox-glass.com</v>
      </c>
      <c r="R126" s="27" t="str">
        <f>IFERROR(__xludf.DUMMYFUNCTION("""COMPUTED_VALUE"""),"SPENCER HALFORDE")</f>
        <v>SPENCER HALFORDE</v>
      </c>
      <c r="S126" s="27" t="str">
        <f>IFERROR(__xludf.DUMMYFUNCTION("""COMPUTED_VALUE"""),"EXIT")</f>
        <v>EXIT</v>
      </c>
    </row>
    <row r="127" ht="21.75" customHeight="1">
      <c r="A127" s="23">
        <f>IFERROR(__xludf.DUMMYFUNCTION("""COMPUTED_VALUE"""),46192.66250085648)</f>
        <v>46192.6625</v>
      </c>
      <c r="B127" s="24" t="str">
        <f>IFERROR(__xludf.DUMMYFUNCTION("""COMPUTED_VALUE"""),"WINDOW")</f>
        <v>WINDOW</v>
      </c>
      <c r="C127" s="25" t="str">
        <f>IFERROR(__xludf.DUMMYFUNCTION("""COMPUTED_VALUE"""),"SPENCER HALFORDE")</f>
        <v>SPENCER HALFORDE</v>
      </c>
      <c r="D127" s="26"/>
      <c r="E127" s="27"/>
      <c r="F127" s="28">
        <f>IFERROR(__xludf.DUMMYFUNCTION("""COMPUTED_VALUE"""),1.0)</f>
        <v>1</v>
      </c>
      <c r="G127" s="27" t="str">
        <f>IFERROR(__xludf.DUMMYFUNCTION("""COMPUTED_VALUE"""),"UNIT")</f>
        <v>UNIT</v>
      </c>
      <c r="H127" s="29">
        <f>IFERROR(__xludf.DUMMYFUNCTION("""COMPUTED_VALUE"""),46192.0)</f>
        <v>46192</v>
      </c>
      <c r="I127" s="24"/>
      <c r="J127" s="30" t="str">
        <f>IFERROR(__xludf.DUMMYFUNCTION("""COMPUTED_VALUE"""),"AMSCO")</f>
        <v>AMSCO</v>
      </c>
      <c r="K127" s="27"/>
      <c r="L127" s="2" t="str">
        <f>IFERROR(__xludf.DUMMYFUNCTION("""COMPUTED_VALUE"""),"In Stock")</f>
        <v>In Stock</v>
      </c>
      <c r="M127" s="27" t="str">
        <f>IFERROR(__xludf.DUMMYFUNCTION("""COMPUTED_VALUE"""),"JOSE")</f>
        <v>JOSE</v>
      </c>
      <c r="N127" s="27" t="str">
        <f>IFERROR(__xludf.DUMMYFUNCTION("""COMPUTED_VALUE"""),"SPENCER HALFORDE")</f>
        <v>SPENCER HALFORDE</v>
      </c>
      <c r="O127" s="27" t="str">
        <f>IFERROR(__xludf.DUMMYFUNCTION("""COMPUTED_VALUE"""),"WINDOW|||SPENCER HALFORDE")</f>
        <v>WINDOW|||SPENCER HALFORDE</v>
      </c>
      <c r="P127" s="27"/>
      <c r="Q127" s="27" t="str">
        <f>IFERROR(__xludf.DUMMYFUNCTION("""COMPUTED_VALUE"""),"jose@ox-glass.com")</f>
        <v>jose@ox-glass.com</v>
      </c>
      <c r="R127" s="27" t="str">
        <f>IFERROR(__xludf.DUMMYFUNCTION("""COMPUTED_VALUE"""),"B6A")</f>
        <v>B6A</v>
      </c>
      <c r="S127" s="27" t="str">
        <f>IFERROR(__xludf.DUMMYFUNCTION("""COMPUTED_VALUE"""),"ENTRY")</f>
        <v>ENTRY</v>
      </c>
    </row>
    <row r="128" ht="21.75" customHeight="1">
      <c r="A128" s="23">
        <f>IFERROR(__xludf.DUMMYFUNCTION("""COMPUTED_VALUE"""),46192.661884155095)</f>
        <v>46192.66188</v>
      </c>
      <c r="B128" s="24" t="str">
        <f>IFERROR(__xludf.DUMMYFUNCTION("""COMPUTED_VALUE"""),"WINDOW")</f>
        <v>WINDOW</v>
      </c>
      <c r="C128" s="25" t="str">
        <f>IFERROR(__xludf.DUMMYFUNCTION("""COMPUTED_VALUE"""),"KUNA G106")</f>
        <v>KUNA G106</v>
      </c>
      <c r="D128" s="26"/>
      <c r="E128" s="27"/>
      <c r="F128" s="28">
        <f>IFERROR(__xludf.DUMMYFUNCTION("""COMPUTED_VALUE"""),1.0)</f>
        <v>1</v>
      </c>
      <c r="G128" s="27" t="str">
        <f>IFERROR(__xludf.DUMMYFUNCTION("""COMPUTED_VALUE"""),"UNIT")</f>
        <v>UNIT</v>
      </c>
      <c r="H128" s="29">
        <f>IFERROR(__xludf.DUMMYFUNCTION("""COMPUTED_VALUE"""),46192.0)</f>
        <v>46192</v>
      </c>
      <c r="I128" s="24"/>
      <c r="J128" s="30" t="str">
        <f>IFERROR(__xludf.DUMMYFUNCTION("""COMPUTED_VALUE"""),"AMSCO")</f>
        <v>AMSCO</v>
      </c>
      <c r="K128" s="27" t="str">
        <f>IFERROR(__xludf.DUMMYFUNCTION("""COMPUTED_VALUE"""),"ONLY SASH")</f>
        <v>ONLY SASH</v>
      </c>
      <c r="L128" s="2" t="str">
        <f>IFERROR(__xludf.DUMMYFUNCTION("""COMPUTED_VALUE"""),"In Stock")</f>
        <v>In Stock</v>
      </c>
      <c r="M128" s="27" t="str">
        <f>IFERROR(__xludf.DUMMYFUNCTION("""COMPUTED_VALUE"""),"JOSE")</f>
        <v>JOSE</v>
      </c>
      <c r="N128" s="27" t="str">
        <f>IFERROR(__xludf.DUMMYFUNCTION("""COMPUTED_VALUE"""),"KUNA G106")</f>
        <v>KUNA G106</v>
      </c>
      <c r="O128" s="27" t="str">
        <f>IFERROR(__xludf.DUMMYFUNCTION("""COMPUTED_VALUE"""),"WINDOW|||KUNA G106")</f>
        <v>WINDOW|||KUNA G106</v>
      </c>
      <c r="P128" s="27"/>
      <c r="Q128" s="27" t="str">
        <f>IFERROR(__xludf.DUMMYFUNCTION("""COMPUTED_VALUE"""),"jose@ox-glass.com")</f>
        <v>jose@ox-glass.com</v>
      </c>
      <c r="R128" s="27" t="str">
        <f>IFERROR(__xludf.DUMMYFUNCTION("""COMPUTED_VALUE"""),"B6A")</f>
        <v>B6A</v>
      </c>
      <c r="S128" s="27" t="str">
        <f>IFERROR(__xludf.DUMMYFUNCTION("""COMPUTED_VALUE"""),"ENTRY")</f>
        <v>ENTRY</v>
      </c>
    </row>
    <row r="129" ht="21.75" customHeight="1">
      <c r="A129" s="23">
        <f>IFERROR(__xludf.DUMMYFUNCTION("""COMPUTED_VALUE"""),46192.66099905093)</f>
        <v>46192.661</v>
      </c>
      <c r="B129" s="24" t="str">
        <f>IFERROR(__xludf.DUMMYFUNCTION("""COMPUTED_VALUE"""),"WINDOW")</f>
        <v>WINDOW</v>
      </c>
      <c r="C129" s="25" t="str">
        <f>IFERROR(__xludf.DUMMYFUNCTION("""COMPUTED_VALUE"""),"SMW6")</f>
        <v>SMW6</v>
      </c>
      <c r="D129" s="26"/>
      <c r="E129" s="27" t="str">
        <f>IFERROR(__xludf.DUMMYFUNCTION("""COMPUTED_VALUE"""),"05-6164")</f>
        <v>05-6164</v>
      </c>
      <c r="F129" s="28">
        <f>IFERROR(__xludf.DUMMYFUNCTION("""COMPUTED_VALUE"""),1.0)</f>
        <v>1</v>
      </c>
      <c r="G129" s="27" t="str">
        <f>IFERROR(__xludf.DUMMYFUNCTION("""COMPUTED_VALUE"""),"UNIT")</f>
        <v>UNIT</v>
      </c>
      <c r="H129" s="29">
        <f>IFERROR(__xludf.DUMMYFUNCTION("""COMPUTED_VALUE"""),46192.0)</f>
        <v>46192</v>
      </c>
      <c r="I129" s="24"/>
      <c r="J129" s="30" t="str">
        <f>IFERROR(__xludf.DUMMYFUNCTION("""COMPUTED_VALUE"""),"AMSCO")</f>
        <v>AMSCO</v>
      </c>
      <c r="K129" s="27"/>
      <c r="L129" s="2" t="str">
        <f>IFERROR(__xludf.DUMMYFUNCTION("""COMPUTED_VALUE"""),"In Stock")</f>
        <v>In Stock</v>
      </c>
      <c r="M129" s="27" t="str">
        <f>IFERROR(__xludf.DUMMYFUNCTION("""COMPUTED_VALUE"""),"JOSE")</f>
        <v>JOSE</v>
      </c>
      <c r="N129" s="27" t="str">
        <f>IFERROR(__xludf.DUMMYFUNCTION("""COMPUTED_VALUE"""),"SMW6")</f>
        <v>SMW6</v>
      </c>
      <c r="O129" s="27" t="str">
        <f>IFERROR(__xludf.DUMMYFUNCTION("""COMPUTED_VALUE"""),"WINDOW|||SMW6")</f>
        <v>WINDOW|||SMW6</v>
      </c>
      <c r="P129" s="27"/>
      <c r="Q129" s="27" t="str">
        <f>IFERROR(__xludf.DUMMYFUNCTION("""COMPUTED_VALUE"""),"jose@ox-glass.com")</f>
        <v>jose@ox-glass.com</v>
      </c>
      <c r="R129" s="27" t="str">
        <f>IFERROR(__xludf.DUMMYFUNCTION("""COMPUTED_VALUE"""),"B1A")</f>
        <v>B1A</v>
      </c>
      <c r="S129" s="27" t="str">
        <f>IFERROR(__xludf.DUMMYFUNCTION("""COMPUTED_VALUE"""),"ENTRY")</f>
        <v>ENTRY</v>
      </c>
    </row>
    <row r="130" ht="21.75" customHeight="1">
      <c r="A130" s="23">
        <f>IFERROR(__xludf.DUMMYFUNCTION("""COMPUTED_VALUE"""),46190.510524375)</f>
        <v>46190.51052</v>
      </c>
      <c r="B130" s="24" t="str">
        <f>IFERROR(__xludf.DUMMYFUNCTION("""COMPUTED_VALUE"""),"WINDOW")</f>
        <v>WINDOW</v>
      </c>
      <c r="C130" s="25" t="str">
        <f>IFERROR(__xludf.DUMMYFUNCTION("""COMPUTED_VALUE"""),"GOO - HFLOT1441W")</f>
        <v>GOO - HFLOT1441W</v>
      </c>
      <c r="D130" s="26"/>
      <c r="E130" s="27"/>
      <c r="F130" s="28">
        <f>IFERROR(__xludf.DUMMYFUNCTION("""COMPUTED_VALUE"""),1.0)</f>
        <v>1</v>
      </c>
      <c r="G130" s="27" t="str">
        <f>IFERROR(__xludf.DUMMYFUNCTION("""COMPUTED_VALUE"""),"UNIT")</f>
        <v>UNIT</v>
      </c>
      <c r="H130" s="29">
        <f>IFERROR(__xludf.DUMMYFUNCTION("""COMPUTED_VALUE"""),46190.0)</f>
        <v>46190</v>
      </c>
      <c r="I130" s="24" t="str">
        <f>IFERROR(__xludf.DUMMYFUNCTION("""COMPUTED_VALUE"""),"C6A")</f>
        <v>C6A</v>
      </c>
      <c r="J130" s="30"/>
      <c r="K130" s="27"/>
      <c r="L130" s="2" t="str">
        <f>IFERROR(__xludf.DUMMYFUNCTION("""COMPUTED_VALUE"""),"Dispatched")</f>
        <v>Dispatched</v>
      </c>
      <c r="M130" s="27" t="str">
        <f>IFERROR(__xludf.DUMMYFUNCTION("""COMPUTED_VALUE"""),"jose@ox-glass.com")</f>
        <v>jose@ox-glass.com</v>
      </c>
      <c r="N130" s="27"/>
      <c r="O130" s="27" t="str">
        <f>IFERROR(__xludf.DUMMYFUNCTION("""COMPUTED_VALUE"""),"WINDOW|||GOO HFLOT1441W")</f>
        <v>WINDOW|||GOO HFLOT1441W</v>
      </c>
      <c r="P130" s="27"/>
      <c r="Q130" s="27" t="str">
        <f>IFERROR(__xludf.DUMMYFUNCTION("""COMPUTED_VALUE"""),"jose@ox-glass.com")</f>
        <v>jose@ox-glass.com</v>
      </c>
      <c r="R130" s="27" t="str">
        <f>IFERROR(__xludf.DUMMYFUNCTION("""COMPUTED_VALUE"""),"GOO - HFLOT1441W")</f>
        <v>GOO - HFLOT1441W</v>
      </c>
      <c r="S130" s="27" t="str">
        <f>IFERROR(__xludf.DUMMYFUNCTION("""COMPUTED_VALUE"""),"EXIT")</f>
        <v>EXIT</v>
      </c>
    </row>
    <row r="131" ht="21.75" customHeight="1">
      <c r="A131" s="23">
        <f>IFERROR(__xludf.DUMMYFUNCTION("""COMPUTED_VALUE"""),46190.5079991088)</f>
        <v>46190.508</v>
      </c>
      <c r="B131" s="24" t="str">
        <f>IFERROR(__xludf.DUMMYFUNCTION("""COMPUTED_VALUE"""),"WINDOW")</f>
        <v>WINDOW</v>
      </c>
      <c r="C131" s="25" t="str">
        <f>IFERROR(__xludf.DUMMYFUNCTION("""COMPUTED_VALUE"""),"ACC STUDENT")</f>
        <v>ACC STUDENT</v>
      </c>
      <c r="D131" s="26"/>
      <c r="E131" s="27"/>
      <c r="F131" s="28">
        <f>IFERROR(__xludf.DUMMYFUNCTION("""COMPUTED_VALUE"""),1.0)</f>
        <v>1</v>
      </c>
      <c r="G131" s="27" t="str">
        <f>IFERROR(__xludf.DUMMYFUNCTION("""COMPUTED_VALUE"""),"UNIT")</f>
        <v>UNIT</v>
      </c>
      <c r="H131" s="29">
        <f>IFERROR(__xludf.DUMMYFUNCTION("""COMPUTED_VALUE"""),46190.0)</f>
        <v>46190</v>
      </c>
      <c r="I131" s="24" t="str">
        <f>IFERROR(__xludf.DUMMYFUNCTION("""COMPUTED_VALUE"""),"C6A")</f>
        <v>C6A</v>
      </c>
      <c r="J131" s="30"/>
      <c r="K131" s="27"/>
      <c r="L131" s="2" t="str">
        <f>IFERROR(__xludf.DUMMYFUNCTION("""COMPUTED_VALUE"""),"Dispatched")</f>
        <v>Dispatched</v>
      </c>
      <c r="M131" s="27" t="str">
        <f>IFERROR(__xludf.DUMMYFUNCTION("""COMPUTED_VALUE"""),"jose@ox-glass.com")</f>
        <v>jose@ox-glass.com</v>
      </c>
      <c r="N131" s="27"/>
      <c r="O131" s="27" t="str">
        <f>IFERROR(__xludf.DUMMYFUNCTION("""COMPUTED_VALUE"""),"WINDOW|||ACC STUDENT")</f>
        <v>WINDOW|||ACC STUDENT</v>
      </c>
      <c r="P131" s="27"/>
      <c r="Q131" s="27" t="str">
        <f>IFERROR(__xludf.DUMMYFUNCTION("""COMPUTED_VALUE"""),"jose@ox-glass.com")</f>
        <v>jose@ox-glass.com</v>
      </c>
      <c r="R131" s="27" t="str">
        <f>IFERROR(__xludf.DUMMYFUNCTION("""COMPUTED_VALUE"""),"ACC STUDENT HOUSING")</f>
        <v>ACC STUDENT HOUSING</v>
      </c>
      <c r="S131" s="27" t="str">
        <f>IFERROR(__xludf.DUMMYFUNCTION("""COMPUTED_VALUE"""),"EXIT")</f>
        <v>EXIT</v>
      </c>
    </row>
    <row r="132" ht="21.75" customHeight="1">
      <c r="A132" s="23">
        <f>IFERROR(__xludf.DUMMYFUNCTION("""COMPUTED_VALUE"""),46190.50771416666)</f>
        <v>46190.50771</v>
      </c>
      <c r="B132" s="24" t="str">
        <f>IFERROR(__xludf.DUMMYFUNCTION("""COMPUTED_VALUE"""),"WINDOW")</f>
        <v>WINDOW</v>
      </c>
      <c r="C132" s="25" t="str">
        <f>IFERROR(__xludf.DUMMYFUNCTION("""COMPUTED_VALUE"""),"BME2 TRACIE DOOR_MAIN")</f>
        <v>BME2 TRACIE DOOR_MAIN</v>
      </c>
      <c r="D132" s="26"/>
      <c r="E132" s="27"/>
      <c r="F132" s="28">
        <f>IFERROR(__xludf.DUMMYFUNCTION("""COMPUTED_VALUE"""),1.0)</f>
        <v>1</v>
      </c>
      <c r="G132" s="27" t="str">
        <f>IFERROR(__xludf.DUMMYFUNCTION("""COMPUTED_VALUE"""),"UNIT")</f>
        <v>UNIT</v>
      </c>
      <c r="H132" s="29">
        <f>IFERROR(__xludf.DUMMYFUNCTION("""COMPUTED_VALUE"""),46190.0)</f>
        <v>46190</v>
      </c>
      <c r="I132" s="24" t="str">
        <f>IFERROR(__xludf.DUMMYFUNCTION("""COMPUTED_VALUE"""),"C6A")</f>
        <v>C6A</v>
      </c>
      <c r="J132" s="30"/>
      <c r="K132" s="27"/>
      <c r="L132" s="2" t="str">
        <f>IFERROR(__xludf.DUMMYFUNCTION("""COMPUTED_VALUE"""),"Dispatched")</f>
        <v>Dispatched</v>
      </c>
      <c r="M132" s="27" t="str">
        <f>IFERROR(__xludf.DUMMYFUNCTION("""COMPUTED_VALUE"""),"jose@ox-glass.com")</f>
        <v>jose@ox-glass.com</v>
      </c>
      <c r="N132" s="27"/>
      <c r="O132" s="27" t="str">
        <f>IFERROR(__xludf.DUMMYFUNCTION("""COMPUTED_VALUE"""),"WINDOW|||BME2 TRACIE DOOR_MAIN")</f>
        <v>WINDOW|||BME2 TRACIE DOOR_MAIN</v>
      </c>
      <c r="P132" s="27"/>
      <c r="Q132" s="27" t="str">
        <f>IFERROR(__xludf.DUMMYFUNCTION("""COMPUTED_VALUE"""),"jose@ox-glass.com")</f>
        <v>jose@ox-glass.com</v>
      </c>
      <c r="R132" s="27" t="str">
        <f>IFERROR(__xludf.DUMMYFUNCTION("""COMPUTED_VALUE"""),"BME2 TRACIE DOOR_MAIN")</f>
        <v>BME2 TRACIE DOOR_MAIN</v>
      </c>
      <c r="S132" s="27" t="str">
        <f>IFERROR(__xludf.DUMMYFUNCTION("""COMPUTED_VALUE"""),"EXIT")</f>
        <v>EXIT</v>
      </c>
    </row>
    <row r="133" ht="21.75" customHeight="1">
      <c r="A133" s="23">
        <f>IFERROR(__xludf.DUMMYFUNCTION("""COMPUTED_VALUE"""),46190.50006597222)</f>
        <v>46190.50007</v>
      </c>
      <c r="B133" s="24" t="str">
        <f>IFERROR(__xludf.DUMMYFUNCTION("""COMPUTED_VALUE"""),"WINDOW")</f>
        <v>WINDOW</v>
      </c>
      <c r="C133" s="25" t="str">
        <f>IFERROR(__xludf.DUMMYFUNCTION("""COMPUTED_VALUE"""),"WHI SM215")</f>
        <v>WHI SM215</v>
      </c>
      <c r="D133" s="26"/>
      <c r="E133" s="27"/>
      <c r="F133" s="28">
        <f>IFERROR(__xludf.DUMMYFUNCTION("""COMPUTED_VALUE"""),15.0)</f>
        <v>15</v>
      </c>
      <c r="G133" s="27" t="str">
        <f>IFERROR(__xludf.DUMMYFUNCTION("""COMPUTED_VALUE"""),"UNIT")</f>
        <v>UNIT</v>
      </c>
      <c r="H133" s="29">
        <f>IFERROR(__xludf.DUMMYFUNCTION("""COMPUTED_VALUE"""),46188.0)</f>
        <v>46188</v>
      </c>
      <c r="I133" s="24" t="str">
        <f>IFERROR(__xludf.DUMMYFUNCTION("""COMPUTED_VALUE"""),"A5A")</f>
        <v>A5A</v>
      </c>
      <c r="J133" s="30"/>
      <c r="K133" s="27"/>
      <c r="L133" s="2" t="str">
        <f>IFERROR(__xludf.DUMMYFUNCTION("""COMPUTED_VALUE"""),"Dispatched")</f>
        <v>Dispatched</v>
      </c>
      <c r="M133" s="27" t="str">
        <f>IFERROR(__xludf.DUMMYFUNCTION("""COMPUTED_VALUE"""),"CALEB AND VICTOR")</f>
        <v>CALEB AND VICTOR</v>
      </c>
      <c r="N133" s="27"/>
      <c r="O133" s="27" t="str">
        <f>IFERROR(__xludf.DUMMYFUNCTION("""COMPUTED_VALUE"""),"WINDOW|||WHI SM215")</f>
        <v>WINDOW|||WHI SM215</v>
      </c>
      <c r="P133" s="27"/>
      <c r="Q133" s="27" t="str">
        <f>IFERROR(__xludf.DUMMYFUNCTION("""COMPUTED_VALUE"""),"jose@ox-glass.com")</f>
        <v>jose@ox-glass.com</v>
      </c>
      <c r="R133" s="27" t="str">
        <f>IFERROR(__xludf.DUMMYFUNCTION("""COMPUTED_VALUE"""),"WHI SM215")</f>
        <v>WHI SM215</v>
      </c>
      <c r="S133" s="27" t="str">
        <f>IFERROR(__xludf.DUMMYFUNCTION("""COMPUTED_VALUE"""),"EXIT")</f>
        <v>EXIT</v>
      </c>
    </row>
    <row r="134" ht="21.75" customHeight="1">
      <c r="A134" s="23">
        <f>IFERROR(__xludf.DUMMYFUNCTION("""COMPUTED_VALUE"""),46190.49901700231)</f>
        <v>46190.49902</v>
      </c>
      <c r="B134" s="24" t="str">
        <f>IFERROR(__xludf.DUMMYFUNCTION("""COMPUTED_VALUE"""),"WINDOW")</f>
        <v>WINDOW</v>
      </c>
      <c r="C134" s="25" t="str">
        <f>IFERROR(__xludf.DUMMYFUNCTION("""COMPUTED_VALUE"""),"LGI OQM177")</f>
        <v>LGI OQM177</v>
      </c>
      <c r="D134" s="26"/>
      <c r="E134" s="27"/>
      <c r="F134" s="28">
        <f>IFERROR(__xludf.DUMMYFUNCTION("""COMPUTED_VALUE"""),14.0)</f>
        <v>14</v>
      </c>
      <c r="G134" s="27" t="str">
        <f>IFERROR(__xludf.DUMMYFUNCTION("""COMPUTED_VALUE"""),"UNIT")</f>
        <v>UNIT</v>
      </c>
      <c r="H134" s="29">
        <f>IFERROR(__xludf.DUMMYFUNCTION("""COMPUTED_VALUE"""),46189.0)</f>
        <v>46189</v>
      </c>
      <c r="I134" s="24" t="str">
        <f>IFERROR(__xludf.DUMMYFUNCTION("""COMPUTED_VALUE"""),"A4A")</f>
        <v>A4A</v>
      </c>
      <c r="J134" s="30"/>
      <c r="K134" s="27"/>
      <c r="L134" s="2" t="str">
        <f>IFERROR(__xludf.DUMMYFUNCTION("""COMPUTED_VALUE"""),"Dispatched")</f>
        <v>Dispatched</v>
      </c>
      <c r="M134" s="27" t="str">
        <f>IFERROR(__xludf.DUMMYFUNCTION("""COMPUTED_VALUE"""),"DANE'S TEAM")</f>
        <v>DANE'S TEAM</v>
      </c>
      <c r="N134" s="27"/>
      <c r="O134" s="27" t="str">
        <f>IFERROR(__xludf.DUMMYFUNCTION("""COMPUTED_VALUE"""),"WINDOW|||LGI OQM177")</f>
        <v>WINDOW|||LGI OQM177</v>
      </c>
      <c r="P134" s="27"/>
      <c r="Q134" s="27" t="str">
        <f>IFERROR(__xludf.DUMMYFUNCTION("""COMPUTED_VALUE"""),"jose@ox-glass.com")</f>
        <v>jose@ox-glass.com</v>
      </c>
      <c r="R134" s="27" t="str">
        <f>IFERROR(__xludf.DUMMYFUNCTION("""COMPUTED_VALUE"""),"LGI OQM177")</f>
        <v>LGI OQM177</v>
      </c>
      <c r="S134" s="27" t="str">
        <f>IFERROR(__xludf.DUMMYFUNCTION("""COMPUTED_VALUE"""),"EXIT")</f>
        <v>EXIT</v>
      </c>
    </row>
    <row r="135" ht="21.75" customHeight="1">
      <c r="A135" s="23">
        <f>IFERROR(__xludf.DUMMYFUNCTION("""COMPUTED_VALUE"""),46190.49690857639)</f>
        <v>46190.49691</v>
      </c>
      <c r="B135" s="24" t="str">
        <f>IFERROR(__xludf.DUMMYFUNCTION("""COMPUTED_VALUE"""),"WINDOW")</f>
        <v>WINDOW</v>
      </c>
      <c r="C135" s="25" t="str">
        <f>IFERROR(__xludf.DUMMYFUNCTION("""COMPUTED_VALUE"""),"WHI SM213")</f>
        <v>WHI SM213</v>
      </c>
      <c r="D135" s="26"/>
      <c r="E135" s="27"/>
      <c r="F135" s="28">
        <f>IFERROR(__xludf.DUMMYFUNCTION("""COMPUTED_VALUE"""),16.0)</f>
        <v>16</v>
      </c>
      <c r="G135" s="27" t="str">
        <f>IFERROR(__xludf.DUMMYFUNCTION("""COMPUTED_VALUE"""),"UNIT")</f>
        <v>UNIT</v>
      </c>
      <c r="H135" s="29">
        <f>IFERROR(__xludf.DUMMYFUNCTION("""COMPUTED_VALUE"""),46188.0)</f>
        <v>46188</v>
      </c>
      <c r="I135" s="24" t="str">
        <f>IFERROR(__xludf.DUMMYFUNCTION("""COMPUTED_VALUE"""),"A2A")</f>
        <v>A2A</v>
      </c>
      <c r="J135" s="30"/>
      <c r="K135" s="27"/>
      <c r="L135" s="2" t="str">
        <f>IFERROR(__xludf.DUMMYFUNCTION("""COMPUTED_VALUE"""),"Dispatched")</f>
        <v>Dispatched</v>
      </c>
      <c r="M135" s="27" t="str">
        <f>IFERROR(__xludf.DUMMYFUNCTION("""COMPUTED_VALUE"""),"jose@ox-glass.com")</f>
        <v>jose@ox-glass.com</v>
      </c>
      <c r="N135" s="27"/>
      <c r="O135" s="27" t="str">
        <f>IFERROR(__xludf.DUMMYFUNCTION("""COMPUTED_VALUE"""),"WINDOW|||WHI SM213")</f>
        <v>WINDOW|||WHI SM213</v>
      </c>
      <c r="P135" s="27"/>
      <c r="Q135" s="27" t="str">
        <f>IFERROR(__xludf.DUMMYFUNCTION("""COMPUTED_VALUE"""),"jose@ox-glass.com")</f>
        <v>jose@ox-glass.com</v>
      </c>
      <c r="R135" s="27" t="str">
        <f>IFERROR(__xludf.DUMMYFUNCTION("""COMPUTED_VALUE"""),"PAT PVS3")</f>
        <v>PAT PVS3</v>
      </c>
      <c r="S135" s="27" t="str">
        <f>IFERROR(__xludf.DUMMYFUNCTION("""COMPUTED_VALUE"""),"EXIT")</f>
        <v>EXIT</v>
      </c>
    </row>
    <row r="136" ht="21.75" customHeight="1">
      <c r="A136" s="23">
        <f>IFERROR(__xludf.DUMMYFUNCTION("""COMPUTED_VALUE"""),46190.36255730324)</f>
        <v>46190.36256</v>
      </c>
      <c r="B136" s="24" t="str">
        <f>IFERROR(__xludf.DUMMYFUNCTION("""COMPUTED_VALUE"""),"WINDOW")</f>
        <v>WINDOW</v>
      </c>
      <c r="C136" s="25" t="str">
        <f>IFERROR(__xludf.DUMMYFUNCTION("""COMPUTED_VALUE"""),"REARDEN")</f>
        <v>REARDEN</v>
      </c>
      <c r="D136" s="26"/>
      <c r="E136" s="27"/>
      <c r="F136" s="28">
        <f>IFERROR(__xludf.DUMMYFUNCTION("""COMPUTED_VALUE"""),25.0)</f>
        <v>25</v>
      </c>
      <c r="G136" s="27" t="str">
        <f>IFERROR(__xludf.DUMMYFUNCTION("""COMPUTED_VALUE"""),"UNIT")</f>
        <v>UNIT</v>
      </c>
      <c r="H136" s="29">
        <f>IFERROR(__xludf.DUMMYFUNCTION("""COMPUTED_VALUE"""),46190.0)</f>
        <v>46190</v>
      </c>
      <c r="I136" s="24" t="str">
        <f>IFERROR(__xludf.DUMMYFUNCTION("""COMPUTED_VALUE"""),"C4A")</f>
        <v>C4A</v>
      </c>
      <c r="J136" s="30"/>
      <c r="K136" s="27"/>
      <c r="L136" s="2" t="str">
        <f>IFERROR(__xludf.DUMMYFUNCTION("""COMPUTED_VALUE"""),"Dispatched")</f>
        <v>Dispatched</v>
      </c>
      <c r="M136" s="27" t="str">
        <f>IFERROR(__xludf.DUMMYFUNCTION("""COMPUTED_VALUE"""),"jose@ox-glass.com")</f>
        <v>jose@ox-glass.com</v>
      </c>
      <c r="N136" s="27"/>
      <c r="O136" s="27" t="str">
        <f>IFERROR(__xludf.DUMMYFUNCTION("""COMPUTED_VALUE"""),"WINDOW|||REARDEN")</f>
        <v>WINDOW|||REARDEN</v>
      </c>
      <c r="P136" s="27"/>
      <c r="Q136" s="27" t="str">
        <f>IFERROR(__xludf.DUMMYFUNCTION("""COMPUTED_VALUE"""),"jose@ox-glass.com")</f>
        <v>jose@ox-glass.com</v>
      </c>
      <c r="R136" s="27" t="str">
        <f>IFERROR(__xludf.DUMMYFUNCTION("""COMPUTED_VALUE"""),"REARDEN")</f>
        <v>REARDEN</v>
      </c>
      <c r="S136" s="27" t="str">
        <f>IFERROR(__xludf.DUMMYFUNCTION("""COMPUTED_VALUE"""),"EXIT")</f>
        <v>EXIT</v>
      </c>
    </row>
    <row r="137" ht="21.75" customHeight="1">
      <c r="A137" s="23">
        <f>IFERROR(__xludf.DUMMYFUNCTION("""COMPUTED_VALUE"""),46190.36255730324)</f>
        <v>46190.36256</v>
      </c>
      <c r="B137" s="24" t="str">
        <f>IFERROR(__xludf.DUMMYFUNCTION("""COMPUTED_VALUE"""),"WINDOW")</f>
        <v>WINDOW</v>
      </c>
      <c r="C137" s="25" t="str">
        <f>IFERROR(__xludf.DUMMYFUNCTION("""COMPUTED_VALUE"""),"REARDEN")</f>
        <v>REARDEN</v>
      </c>
      <c r="D137" s="26"/>
      <c r="E137" s="27"/>
      <c r="F137" s="28">
        <f>IFERROR(__xludf.DUMMYFUNCTION("""COMPUTED_VALUE"""),15.0)</f>
        <v>15</v>
      </c>
      <c r="G137" s="27" t="str">
        <f>IFERROR(__xludf.DUMMYFUNCTION("""COMPUTED_VALUE"""),"UNIT")</f>
        <v>UNIT</v>
      </c>
      <c r="H137" s="29">
        <f>IFERROR(__xludf.DUMMYFUNCTION("""COMPUTED_VALUE"""),46190.0)</f>
        <v>46190</v>
      </c>
      <c r="I137" s="24" t="str">
        <f>IFERROR(__xludf.DUMMYFUNCTION("""COMPUTED_VALUE"""),"C3A")</f>
        <v>C3A</v>
      </c>
      <c r="J137" s="30"/>
      <c r="K137" s="27"/>
      <c r="L137" s="2" t="str">
        <f>IFERROR(__xludf.DUMMYFUNCTION("""COMPUTED_VALUE"""),"Dispatched")</f>
        <v>Dispatched</v>
      </c>
      <c r="M137" s="27" t="str">
        <f>IFERROR(__xludf.DUMMYFUNCTION("""COMPUTED_VALUE"""),"jose@ox-glass.com")</f>
        <v>jose@ox-glass.com</v>
      </c>
      <c r="N137" s="27"/>
      <c r="O137" s="27" t="str">
        <f>IFERROR(__xludf.DUMMYFUNCTION("""COMPUTED_VALUE"""),"WINDOW|||REARDEN")</f>
        <v>WINDOW|||REARDEN</v>
      </c>
      <c r="P137" s="27"/>
      <c r="Q137" s="27" t="str">
        <f>IFERROR(__xludf.DUMMYFUNCTION("""COMPUTED_VALUE"""),"jose@ox-glass.com")</f>
        <v>jose@ox-glass.com</v>
      </c>
      <c r="R137" s="27" t="str">
        <f>IFERROR(__xludf.DUMMYFUNCTION("""COMPUTED_VALUE"""),"REARDEN")</f>
        <v>REARDEN</v>
      </c>
      <c r="S137" s="27" t="str">
        <f>IFERROR(__xludf.DUMMYFUNCTION("""COMPUTED_VALUE"""),"EXIT")</f>
        <v>EXIT</v>
      </c>
    </row>
    <row r="138" ht="21.75" customHeight="1">
      <c r="A138" s="23">
        <f>IFERROR(__xludf.DUMMYFUNCTION("""COMPUTED_VALUE"""),46190.36255730324)</f>
        <v>46190.36256</v>
      </c>
      <c r="B138" s="24" t="str">
        <f>IFERROR(__xludf.DUMMYFUNCTION("""COMPUTED_VALUE"""),"WINDOW")</f>
        <v>WINDOW</v>
      </c>
      <c r="C138" s="25" t="str">
        <f>IFERROR(__xludf.DUMMYFUNCTION("""COMPUTED_VALUE"""),"REARDEN")</f>
        <v>REARDEN</v>
      </c>
      <c r="D138" s="26"/>
      <c r="E138" s="27"/>
      <c r="F138" s="28">
        <f>IFERROR(__xludf.DUMMYFUNCTION("""COMPUTED_VALUE"""),13.0)</f>
        <v>13</v>
      </c>
      <c r="G138" s="27" t="str">
        <f>IFERROR(__xludf.DUMMYFUNCTION("""COMPUTED_VALUE"""),"UNIT")</f>
        <v>UNIT</v>
      </c>
      <c r="H138" s="29">
        <f>IFERROR(__xludf.DUMMYFUNCTION("""COMPUTED_VALUE"""),46190.0)</f>
        <v>46190</v>
      </c>
      <c r="I138" s="24" t="str">
        <f>IFERROR(__xludf.DUMMYFUNCTION("""COMPUTED_VALUE"""),"B4A")</f>
        <v>B4A</v>
      </c>
      <c r="J138" s="30"/>
      <c r="K138" s="27"/>
      <c r="L138" s="2" t="str">
        <f>IFERROR(__xludf.DUMMYFUNCTION("""COMPUTED_VALUE"""),"Dispatched")</f>
        <v>Dispatched</v>
      </c>
      <c r="M138" s="27" t="str">
        <f>IFERROR(__xludf.DUMMYFUNCTION("""COMPUTED_VALUE"""),"jose@ox-glass.com")</f>
        <v>jose@ox-glass.com</v>
      </c>
      <c r="N138" s="27"/>
      <c r="O138" s="27" t="str">
        <f>IFERROR(__xludf.DUMMYFUNCTION("""COMPUTED_VALUE"""),"WINDOW|||REARDEN")</f>
        <v>WINDOW|||REARDEN</v>
      </c>
      <c r="P138" s="27"/>
      <c r="Q138" s="27" t="str">
        <f>IFERROR(__xludf.DUMMYFUNCTION("""COMPUTED_VALUE"""),"jose@ox-glass.com")</f>
        <v>jose@ox-glass.com</v>
      </c>
      <c r="R138" s="27" t="str">
        <f>IFERROR(__xludf.DUMMYFUNCTION("""COMPUTED_VALUE"""),"REARDEN")</f>
        <v>REARDEN</v>
      </c>
      <c r="S138" s="27" t="str">
        <f>IFERROR(__xludf.DUMMYFUNCTION("""COMPUTED_VALUE"""),"EXIT")</f>
        <v>EXIT</v>
      </c>
    </row>
    <row r="139" ht="21.75" customHeight="1">
      <c r="A139" s="23">
        <f>IFERROR(__xludf.DUMMYFUNCTION("""COMPUTED_VALUE"""),46189.403358668984)</f>
        <v>46189.40336</v>
      </c>
      <c r="B139" s="24" t="str">
        <f>IFERROR(__xludf.DUMMYFUNCTION("""COMPUTED_VALUE"""),"WINDOW")</f>
        <v>WINDOW</v>
      </c>
      <c r="C139" s="25" t="str">
        <f>IFERROR(__xludf.DUMMYFUNCTION("""COMPUTED_VALUE"""),"PAT EPJ420")</f>
        <v>PAT EPJ420</v>
      </c>
      <c r="D139" s="26"/>
      <c r="E139" s="27"/>
      <c r="F139" s="28">
        <f>IFERROR(__xludf.DUMMYFUNCTION("""COMPUTED_VALUE"""),1.0)</f>
        <v>1</v>
      </c>
      <c r="G139" s="27" t="str">
        <f>IFERROR(__xludf.DUMMYFUNCTION("""COMPUTED_VALUE"""),"UNIT")</f>
        <v>UNIT</v>
      </c>
      <c r="H139" s="29">
        <f>IFERROR(__xludf.DUMMYFUNCTION("""COMPUTED_VALUE"""),46189.0)</f>
        <v>46189</v>
      </c>
      <c r="I139" s="24" t="str">
        <f>IFERROR(__xludf.DUMMYFUNCTION("""COMPUTED_VALUE"""),"A")</f>
        <v>A</v>
      </c>
      <c r="J139" s="30"/>
      <c r="K139" s="27" t="str">
        <f>IFERROR(__xludf.DUMMYFUNCTION("""COMPUTED_VALUE"""),"ALL THE ITEMS WERE TAKEN")</f>
        <v>ALL THE ITEMS WERE TAKEN</v>
      </c>
      <c r="L139" s="2" t="str">
        <f>IFERROR(__xludf.DUMMYFUNCTION("""COMPUTED_VALUE"""),"Dispatched")</f>
        <v>Dispatched</v>
      </c>
      <c r="M139" s="27" t="str">
        <f>IFERROR(__xludf.DUMMYFUNCTION("""COMPUTED_VALUE"""),"jose@ox-glass.com")</f>
        <v>jose@ox-glass.com</v>
      </c>
      <c r="N139" s="27"/>
      <c r="O139" s="27" t="str">
        <f>IFERROR(__xludf.DUMMYFUNCTION("""COMPUTED_VALUE"""),"WINDOW|||PAT EPJ420")</f>
        <v>WINDOW|||PAT EPJ420</v>
      </c>
      <c r="P139" s="27"/>
      <c r="Q139" s="27" t="str">
        <f>IFERROR(__xludf.DUMMYFUNCTION("""COMPUTED_VALUE"""),"jose@ox-glass.com")</f>
        <v>jose@ox-glass.com</v>
      </c>
      <c r="R139" s="27" t="str">
        <f>IFERROR(__xludf.DUMMYFUNCTION("""COMPUTED_VALUE"""),"MISC CHASE")</f>
        <v>MISC CHASE</v>
      </c>
      <c r="S139" s="27" t="str">
        <f>IFERROR(__xludf.DUMMYFUNCTION("""COMPUTED_VALUE"""),"EXIT")</f>
        <v>EXIT</v>
      </c>
    </row>
    <row r="140" ht="21.75" customHeight="1">
      <c r="A140" s="23">
        <f>IFERROR(__xludf.DUMMYFUNCTION("""COMPUTED_VALUE"""),46189.40284631944)</f>
        <v>46189.40285</v>
      </c>
      <c r="B140" s="24" t="str">
        <f>IFERROR(__xludf.DUMMYFUNCTION("""COMPUTED_VALUE"""),"WINDOW")</f>
        <v>WINDOW</v>
      </c>
      <c r="C140" s="25" t="str">
        <f>IFERROR(__xludf.DUMMYFUNCTION("""COMPUTED_VALUE"""),"PAT EPJ420")</f>
        <v>PAT EPJ420</v>
      </c>
      <c r="D140" s="26"/>
      <c r="E140" s="27"/>
      <c r="F140" s="28">
        <f>IFERROR(__xludf.DUMMYFUNCTION("""COMPUTED_VALUE"""),1.0)</f>
        <v>1</v>
      </c>
      <c r="G140" s="27" t="str">
        <f>IFERROR(__xludf.DUMMYFUNCTION("""COMPUTED_VALUE"""),"UNIT")</f>
        <v>UNIT</v>
      </c>
      <c r="H140" s="29">
        <f>IFERROR(__xludf.DUMMYFUNCTION("""COMPUTED_VALUE"""),46189.0)</f>
        <v>46189</v>
      </c>
      <c r="I140" s="24"/>
      <c r="J140" s="30" t="str">
        <f>IFERROR(__xludf.DUMMYFUNCTION("""COMPUTED_VALUE"""),"WINDOR")</f>
        <v>WINDOR</v>
      </c>
      <c r="K140" s="27" t="str">
        <f>IFERROR(__xludf.DUMMYFUNCTION("""COMPUTED_VALUE"""),"HARWARE KIT, OX FRAME WITH SASH NON OP OX, SASH.")</f>
        <v>HARWARE KIT, OX FRAME WITH SASH NON OP OX, SASH.</v>
      </c>
      <c r="L140" s="2" t="str">
        <f>IFERROR(__xludf.DUMMYFUNCTION("""COMPUTED_VALUE"""),"In Stock")</f>
        <v>In Stock</v>
      </c>
      <c r="M140" s="27" t="str">
        <f>IFERROR(__xludf.DUMMYFUNCTION("""COMPUTED_VALUE"""),"jose@ox-glass.com")</f>
        <v>jose@ox-glass.com</v>
      </c>
      <c r="N140" s="27" t="str">
        <f>IFERROR(__xludf.DUMMYFUNCTION("""COMPUTED_VALUE"""),"PAT EPJ420")</f>
        <v>PAT EPJ420</v>
      </c>
      <c r="O140" s="27" t="str">
        <f>IFERROR(__xludf.DUMMYFUNCTION("""COMPUTED_VALUE"""),"WINDOW|||PAT EPJ420")</f>
        <v>WINDOW|||PAT EPJ420</v>
      </c>
      <c r="P140" s="27"/>
      <c r="Q140" s="27" t="str">
        <f>IFERROR(__xludf.DUMMYFUNCTION("""COMPUTED_VALUE"""),"jose@ox-glass.com")</f>
        <v>jose@ox-glass.com</v>
      </c>
      <c r="R140" s="27" t="str">
        <f>IFERROR(__xludf.DUMMYFUNCTION("""COMPUTED_VALUE"""),"A")</f>
        <v>A</v>
      </c>
      <c r="S140" s="27" t="str">
        <f>IFERROR(__xludf.DUMMYFUNCTION("""COMPUTED_VALUE"""),"ENTRY")</f>
        <v>ENTRY</v>
      </c>
    </row>
    <row r="141" ht="21.75" customHeight="1">
      <c r="A141" s="23">
        <f>IFERROR(__xludf.DUMMYFUNCTION("""COMPUTED_VALUE"""),46189.40065635417)</f>
        <v>46189.40066</v>
      </c>
      <c r="B141" s="24" t="str">
        <f>IFERROR(__xludf.DUMMYFUNCTION("""COMPUTED_VALUE"""),"WINDOW")</f>
        <v>WINDOW</v>
      </c>
      <c r="C141" s="25" t="str">
        <f>IFERROR(__xludf.DUMMYFUNCTION("""COMPUTED_VALUE"""),"MISC CHASE")</f>
        <v>MISC CHASE</v>
      </c>
      <c r="D141" s="26"/>
      <c r="E141" s="27"/>
      <c r="F141" s="28">
        <f>IFERROR(__xludf.DUMMYFUNCTION("""COMPUTED_VALUE"""),1.0)</f>
        <v>1</v>
      </c>
      <c r="G141" s="27" t="str">
        <f>IFERROR(__xludf.DUMMYFUNCTION("""COMPUTED_VALUE"""),"UNIT")</f>
        <v>UNIT</v>
      </c>
      <c r="H141" s="29">
        <f>IFERROR(__xludf.DUMMYFUNCTION("""COMPUTED_VALUE"""),46185.0)</f>
        <v>46185</v>
      </c>
      <c r="I141" s="24" t="str">
        <f>IFERROR(__xludf.DUMMYFUNCTION("""COMPUTED_VALUE"""),"A")</f>
        <v>A</v>
      </c>
      <c r="J141" s="30"/>
      <c r="K141" s="27"/>
      <c r="L141" s="2" t="str">
        <f>IFERROR(__xludf.DUMMYFUNCTION("""COMPUTED_VALUE"""),"Dispatched")</f>
        <v>Dispatched</v>
      </c>
      <c r="M141" s="27" t="str">
        <f>IFERROR(__xludf.DUMMYFUNCTION("""COMPUTED_VALUE"""),"TERRY T.")</f>
        <v>TERRY T.</v>
      </c>
      <c r="N141" s="27"/>
      <c r="O141" s="27" t="str">
        <f>IFERROR(__xludf.DUMMYFUNCTION("""COMPUTED_VALUE"""),"WINDOW|||MISC CHASE")</f>
        <v>WINDOW|||MISC CHASE</v>
      </c>
      <c r="P141" s="27"/>
      <c r="Q141" s="27" t="str">
        <f>IFERROR(__xludf.DUMMYFUNCTION("""COMPUTED_VALUE"""),"jose@ox-glass.com")</f>
        <v>jose@ox-glass.com</v>
      </c>
      <c r="R141" s="27" t="str">
        <f>IFERROR(__xludf.DUMMYFUNCTION("""COMPUTED_VALUE"""),"MISC CHASE")</f>
        <v>MISC CHASE</v>
      </c>
      <c r="S141" s="27" t="str">
        <f>IFERROR(__xludf.DUMMYFUNCTION("""COMPUTED_VALUE"""),"EXIT")</f>
        <v>EXIT</v>
      </c>
    </row>
    <row r="142" ht="21.75" customHeight="1">
      <c r="A142" s="23">
        <f>IFERROR(__xludf.DUMMYFUNCTION("""COMPUTED_VALUE"""),46189.400195462964)</f>
        <v>46189.4002</v>
      </c>
      <c r="B142" s="24" t="str">
        <f>IFERROR(__xludf.DUMMYFUNCTION("""COMPUTED_VALUE"""),"WINDOW")</f>
        <v>WINDOW</v>
      </c>
      <c r="C142" s="25" t="str">
        <f>IFERROR(__xludf.DUMMYFUNCTION("""COMPUTED_VALUE"""),"MISC CHASE")</f>
        <v>MISC CHASE</v>
      </c>
      <c r="D142" s="26"/>
      <c r="E142" s="27" t="str">
        <f>IFERROR(__xludf.DUMMYFUNCTION("""COMPUTED_VALUE"""),"05-5331")</f>
        <v>05-5331</v>
      </c>
      <c r="F142" s="28">
        <f>IFERROR(__xludf.DUMMYFUNCTION("""COMPUTED_VALUE"""),1.0)</f>
        <v>1</v>
      </c>
      <c r="G142" s="27" t="str">
        <f>IFERROR(__xludf.DUMMYFUNCTION("""COMPUTED_VALUE"""),"UNIT")</f>
        <v>UNIT</v>
      </c>
      <c r="H142" s="29">
        <f>IFERROR(__xludf.DUMMYFUNCTION("""COMPUTED_VALUE"""),46185.0)</f>
        <v>46185</v>
      </c>
      <c r="I142" s="24"/>
      <c r="J142" s="30" t="str">
        <f>IFERROR(__xludf.DUMMYFUNCTION("""COMPUTED_VALUE"""),"AMSCO")</f>
        <v>AMSCO</v>
      </c>
      <c r="K142" s="27"/>
      <c r="L142" s="2" t="str">
        <f>IFERROR(__xludf.DUMMYFUNCTION("""COMPUTED_VALUE"""),"In Stock")</f>
        <v>In Stock</v>
      </c>
      <c r="M142" s="27" t="str">
        <f>IFERROR(__xludf.DUMMYFUNCTION("""COMPUTED_VALUE"""),"jose@ox-glass.com")</f>
        <v>jose@ox-glass.com</v>
      </c>
      <c r="N142" s="27" t="str">
        <f>IFERROR(__xludf.DUMMYFUNCTION("""COMPUTED_VALUE"""),"MISC CHASE")</f>
        <v>MISC CHASE</v>
      </c>
      <c r="O142" s="27" t="str">
        <f>IFERROR(__xludf.DUMMYFUNCTION("""COMPUTED_VALUE"""),"WINDOW|||MISC CHASE")</f>
        <v>WINDOW|||MISC CHASE</v>
      </c>
      <c r="P142" s="27"/>
      <c r="Q142" s="27" t="str">
        <f>IFERROR(__xludf.DUMMYFUNCTION("""COMPUTED_VALUE"""),"jose@ox-glass.com")</f>
        <v>jose@ox-glass.com</v>
      </c>
      <c r="R142" s="27" t="str">
        <f>IFERROR(__xludf.DUMMYFUNCTION("""COMPUTED_VALUE"""),"A")</f>
        <v>A</v>
      </c>
      <c r="S142" s="27" t="str">
        <f>IFERROR(__xludf.DUMMYFUNCTION("""COMPUTED_VALUE"""),"ENTRY")</f>
        <v>ENTRY</v>
      </c>
    </row>
    <row r="143" ht="21.75" customHeight="1">
      <c r="A143" s="23">
        <f>IFERROR(__xludf.DUMMYFUNCTION("""COMPUTED_VALUE"""),46189.368269374994)</f>
        <v>46189.36827</v>
      </c>
      <c r="B143" s="24" t="str">
        <f>IFERROR(__xludf.DUMMYFUNCTION("""COMPUTED_VALUE"""),"WINDOW")</f>
        <v>WINDOW</v>
      </c>
      <c r="C143" s="25" t="str">
        <f>IFERROR(__xludf.DUMMYFUNCTION("""COMPUTED_VALUE"""),"LGI OQM184")</f>
        <v>LGI OQM184</v>
      </c>
      <c r="D143" s="26"/>
      <c r="E143" s="27"/>
      <c r="F143" s="28">
        <f>IFERROR(__xludf.DUMMYFUNCTION("""COMPUTED_VALUE"""),8.0)</f>
        <v>8</v>
      </c>
      <c r="G143" s="27" t="str">
        <f>IFERROR(__xludf.DUMMYFUNCTION("""COMPUTED_VALUE"""),"UNIT")</f>
        <v>UNIT</v>
      </c>
      <c r="H143" s="29">
        <f>IFERROR(__xludf.DUMMYFUNCTION("""COMPUTED_VALUE"""),46189.0)</f>
        <v>46189</v>
      </c>
      <c r="I143" s="24" t="str">
        <f>IFERROR(__xludf.DUMMYFUNCTION("""COMPUTED_VALUE"""),"A3A")</f>
        <v>A3A</v>
      </c>
      <c r="J143" s="30"/>
      <c r="K143" s="27"/>
      <c r="L143" s="2" t="str">
        <f>IFERROR(__xludf.DUMMYFUNCTION("""COMPUTED_VALUE"""),"Dispatched")</f>
        <v>Dispatched</v>
      </c>
      <c r="M143" s="27" t="str">
        <f>IFERROR(__xludf.DUMMYFUNCTION("""COMPUTED_VALUE"""),"Dane's team")</f>
        <v>Dane's team</v>
      </c>
      <c r="N143" s="27"/>
      <c r="O143" s="27" t="str">
        <f>IFERROR(__xludf.DUMMYFUNCTION("""COMPUTED_VALUE"""),"WINDOW|||LGI OQM184")</f>
        <v>WINDOW|||LGI OQM184</v>
      </c>
      <c r="P143" s="27"/>
      <c r="Q143" s="27" t="str">
        <f>IFERROR(__xludf.DUMMYFUNCTION("""COMPUTED_VALUE"""),"jose@ox-glass.com")</f>
        <v>jose@ox-glass.com</v>
      </c>
      <c r="R143" s="27" t="str">
        <f>IFERROR(__xludf.DUMMYFUNCTION("""COMPUTED_VALUE"""),"LGI OQM184")</f>
        <v>LGI OQM184</v>
      </c>
      <c r="S143" s="27" t="str">
        <f>IFERROR(__xludf.DUMMYFUNCTION("""COMPUTED_VALUE"""),"EXIT")</f>
        <v>EXIT</v>
      </c>
    </row>
    <row r="144" ht="21.75" customHeight="1">
      <c r="A144" s="23">
        <f>IFERROR(__xludf.DUMMYFUNCTION("""COMPUTED_VALUE"""),46189.368269374994)</f>
        <v>46189.36827</v>
      </c>
      <c r="B144" s="24" t="str">
        <f>IFERROR(__xludf.DUMMYFUNCTION("""COMPUTED_VALUE"""),"WINDOW")</f>
        <v>WINDOW</v>
      </c>
      <c r="C144" s="25" t="str">
        <f>IFERROR(__xludf.DUMMYFUNCTION("""COMPUTED_VALUE"""),"LGI OQM174")</f>
        <v>LGI OQM174</v>
      </c>
      <c r="D144" s="26"/>
      <c r="E144" s="27"/>
      <c r="F144" s="28">
        <f>IFERROR(__xludf.DUMMYFUNCTION("""COMPUTED_VALUE"""),13.0)</f>
        <v>13</v>
      </c>
      <c r="G144" s="27" t="str">
        <f>IFERROR(__xludf.DUMMYFUNCTION("""COMPUTED_VALUE"""),"UNIT")</f>
        <v>UNIT</v>
      </c>
      <c r="H144" s="29">
        <f>IFERROR(__xludf.DUMMYFUNCTION("""COMPUTED_VALUE"""),46189.0)</f>
        <v>46189</v>
      </c>
      <c r="I144" s="24" t="str">
        <f>IFERROR(__xludf.DUMMYFUNCTION("""COMPUTED_VALUE"""),"A3A")</f>
        <v>A3A</v>
      </c>
      <c r="J144" s="30"/>
      <c r="K144" s="27"/>
      <c r="L144" s="2" t="str">
        <f>IFERROR(__xludf.DUMMYFUNCTION("""COMPUTED_VALUE"""),"Dispatched")</f>
        <v>Dispatched</v>
      </c>
      <c r="M144" s="27" t="str">
        <f>IFERROR(__xludf.DUMMYFUNCTION("""COMPUTED_VALUE"""),"Dane's team")</f>
        <v>Dane's team</v>
      </c>
      <c r="N144" s="27"/>
      <c r="O144" s="27" t="str">
        <f>IFERROR(__xludf.DUMMYFUNCTION("""COMPUTED_VALUE"""),"WINDOW|||LGI OQM174")</f>
        <v>WINDOW|||LGI OQM174</v>
      </c>
      <c r="P144" s="27"/>
      <c r="Q144" s="27" t="str">
        <f>IFERROR(__xludf.DUMMYFUNCTION("""COMPUTED_VALUE"""),"jose@ox-glass.com")</f>
        <v>jose@ox-glass.com</v>
      </c>
      <c r="R144" s="27" t="str">
        <f>IFERROR(__xludf.DUMMYFUNCTION("""COMPUTED_VALUE"""),"LGI OQM174")</f>
        <v>LGI OQM174</v>
      </c>
      <c r="S144" s="27" t="str">
        <f>IFERROR(__xludf.DUMMYFUNCTION("""COMPUTED_VALUE"""),"EXIT")</f>
        <v>EXIT</v>
      </c>
    </row>
    <row r="145" ht="21.75" customHeight="1">
      <c r="A145" s="23">
        <f>IFERROR(__xludf.DUMMYFUNCTION("""COMPUTED_VALUE"""),46189.368269374994)</f>
        <v>46189.36827</v>
      </c>
      <c r="B145" s="24" t="str">
        <f>IFERROR(__xludf.DUMMYFUNCTION("""COMPUTED_VALUE"""),"WINDOW")</f>
        <v>WINDOW</v>
      </c>
      <c r="C145" s="25" t="str">
        <f>IFERROR(__xludf.DUMMYFUNCTION("""COMPUTED_VALUE"""),"LGI OQM186")</f>
        <v>LGI OQM186</v>
      </c>
      <c r="D145" s="26"/>
      <c r="E145" s="27"/>
      <c r="F145" s="28">
        <f>IFERROR(__xludf.DUMMYFUNCTION("""COMPUTED_VALUE"""),18.0)</f>
        <v>18</v>
      </c>
      <c r="G145" s="27" t="str">
        <f>IFERROR(__xludf.DUMMYFUNCTION("""COMPUTED_VALUE"""),"UNIT")</f>
        <v>UNIT</v>
      </c>
      <c r="H145" s="29">
        <f>IFERROR(__xludf.DUMMYFUNCTION("""COMPUTED_VALUE"""),46189.0)</f>
        <v>46189</v>
      </c>
      <c r="I145" s="24" t="str">
        <f>IFERROR(__xludf.DUMMYFUNCTION("""COMPUTED_VALUE"""),"A4A")</f>
        <v>A4A</v>
      </c>
      <c r="J145" s="30"/>
      <c r="K145" s="27"/>
      <c r="L145" s="2" t="str">
        <f>IFERROR(__xludf.DUMMYFUNCTION("""COMPUTED_VALUE"""),"Dispatched")</f>
        <v>Dispatched</v>
      </c>
      <c r="M145" s="27" t="str">
        <f>IFERROR(__xludf.DUMMYFUNCTION("""COMPUTED_VALUE"""),"Dane's team")</f>
        <v>Dane's team</v>
      </c>
      <c r="N145" s="27"/>
      <c r="O145" s="27" t="str">
        <f>IFERROR(__xludf.DUMMYFUNCTION("""COMPUTED_VALUE"""),"WINDOW|||LGI OQM186")</f>
        <v>WINDOW|||LGI OQM186</v>
      </c>
      <c r="P145" s="27"/>
      <c r="Q145" s="27" t="str">
        <f>IFERROR(__xludf.DUMMYFUNCTION("""COMPUTED_VALUE"""),"jose@ox-glass.com")</f>
        <v>jose@ox-glass.com</v>
      </c>
      <c r="R145" s="27" t="str">
        <f>IFERROR(__xludf.DUMMYFUNCTION("""COMPUTED_VALUE"""),"LGI OQM186")</f>
        <v>LGI OQM186</v>
      </c>
      <c r="S145" s="27" t="str">
        <f>IFERROR(__xludf.DUMMYFUNCTION("""COMPUTED_VALUE"""),"EXIT")</f>
        <v>EXIT</v>
      </c>
    </row>
    <row r="146" ht="21.75" customHeight="1">
      <c r="A146" s="23">
        <f>IFERROR(__xludf.DUMMYFUNCTION("""COMPUTED_VALUE"""),46189.36685626158)</f>
        <v>46189.36686</v>
      </c>
      <c r="B146" s="24" t="str">
        <f>IFERROR(__xludf.DUMMYFUNCTION("""COMPUTED_VALUE"""),"WINDOW")</f>
        <v>WINDOW</v>
      </c>
      <c r="C146" s="25" t="str">
        <f>IFERROR(__xludf.DUMMYFUNCTION("""COMPUTED_VALUE"""),"TOL MH146")</f>
        <v>TOL MH146</v>
      </c>
      <c r="D146" s="26"/>
      <c r="E146" s="27"/>
      <c r="F146" s="28">
        <f>IFERROR(__xludf.DUMMYFUNCTION("""COMPUTED_VALUE"""),42.0)</f>
        <v>42</v>
      </c>
      <c r="G146" s="27" t="str">
        <f>IFERROR(__xludf.DUMMYFUNCTION("""COMPUTED_VALUE"""),"UNIT")</f>
        <v>UNIT</v>
      </c>
      <c r="H146" s="29">
        <f>IFERROR(__xludf.DUMMYFUNCTION("""COMPUTED_VALUE"""),46189.0)</f>
        <v>46189</v>
      </c>
      <c r="I146" s="24" t="str">
        <f>IFERROR(__xludf.DUMMYFUNCTION("""COMPUTED_VALUE"""),"A6A")</f>
        <v>A6A</v>
      </c>
      <c r="J146" s="30"/>
      <c r="K146" s="27"/>
      <c r="L146" s="2" t="str">
        <f>IFERROR(__xludf.DUMMYFUNCTION("""COMPUTED_VALUE"""),"Dispatched")</f>
        <v>Dispatched</v>
      </c>
      <c r="M146" s="27" t="str">
        <f>IFERROR(__xludf.DUMMYFUNCTION("""COMPUTED_VALUE"""),"Buddha team")</f>
        <v>Buddha team</v>
      </c>
      <c r="N146" s="27"/>
      <c r="O146" s="27" t="str">
        <f>IFERROR(__xludf.DUMMYFUNCTION("""COMPUTED_VALUE"""),"WINDOW|||TOL MH146")</f>
        <v>WINDOW|||TOL MH146</v>
      </c>
      <c r="P146" s="27"/>
      <c r="Q146" s="27" t="str">
        <f>IFERROR(__xludf.DUMMYFUNCTION("""COMPUTED_VALUE"""),"jose@ox-glass.com")</f>
        <v>jose@ox-glass.com</v>
      </c>
      <c r="R146" s="27" t="str">
        <f>IFERROR(__xludf.DUMMYFUNCTION("""COMPUTED_VALUE"""),"TOL MH146")</f>
        <v>TOL MH146</v>
      </c>
      <c r="S146" s="27" t="str">
        <f>IFERROR(__xludf.DUMMYFUNCTION("""COMPUTED_VALUE"""),"EXIT")</f>
        <v>EXIT</v>
      </c>
    </row>
    <row r="147" ht="21.75" customHeight="1">
      <c r="A147" s="23">
        <f>IFERROR(__xludf.DUMMYFUNCTION("""COMPUTED_VALUE"""),46188.36209846065)</f>
        <v>46188.3621</v>
      </c>
      <c r="B147" s="24" t="str">
        <f>IFERROR(__xludf.DUMMYFUNCTION("""COMPUTED_VALUE"""),"WINDOW")</f>
        <v>WINDOW</v>
      </c>
      <c r="C147" s="25" t="str">
        <f>IFERROR(__xludf.DUMMYFUNCTION("""COMPUTED_VALUE"""),"SMW6")</f>
        <v>SMW6</v>
      </c>
      <c r="D147" s="26"/>
      <c r="E147" s="27"/>
      <c r="F147" s="28">
        <f>IFERROR(__xludf.DUMMYFUNCTION("""COMPUTED_VALUE"""),13.0)</f>
        <v>13</v>
      </c>
      <c r="G147" s="27" t="str">
        <f>IFERROR(__xludf.DUMMYFUNCTION("""COMPUTED_VALUE"""),"UNIT")</f>
        <v>UNIT</v>
      </c>
      <c r="H147" s="29">
        <f>IFERROR(__xludf.DUMMYFUNCTION("""COMPUTED_VALUE"""),46185.0)</f>
        <v>46185</v>
      </c>
      <c r="I147" s="24"/>
      <c r="J147" s="30" t="str">
        <f>IFERROR(__xludf.DUMMYFUNCTION("""COMPUTED_VALUE"""),"AMSCO")</f>
        <v>AMSCO</v>
      </c>
      <c r="K147" s="27"/>
      <c r="L147" s="2" t="str">
        <f>IFERROR(__xludf.DUMMYFUNCTION("""COMPUTED_VALUE"""),"In Stock")</f>
        <v>In Stock</v>
      </c>
      <c r="M147" s="27" t="str">
        <f>IFERROR(__xludf.DUMMYFUNCTION("""COMPUTED_VALUE"""),"jose@ox-glass.com")</f>
        <v>jose@ox-glass.com</v>
      </c>
      <c r="N147" s="27" t="str">
        <f>IFERROR(__xludf.DUMMYFUNCTION("""COMPUTED_VALUE"""),"SMW6")</f>
        <v>SMW6</v>
      </c>
      <c r="O147" s="27" t="str">
        <f>IFERROR(__xludf.DUMMYFUNCTION("""COMPUTED_VALUE"""),"WINDOW|||SMW6")</f>
        <v>WINDOW|||SMW6</v>
      </c>
      <c r="P147" s="27"/>
      <c r="Q147" s="27" t="str">
        <f>IFERROR(__xludf.DUMMYFUNCTION("""COMPUTED_VALUE"""),"jose@ox-glass.com")</f>
        <v>jose@ox-glass.com</v>
      </c>
      <c r="R147" s="27" t="str">
        <f>IFERROR(__xludf.DUMMYFUNCTION("""COMPUTED_VALUE"""),"C5A")</f>
        <v>C5A</v>
      </c>
      <c r="S147" s="27" t="str">
        <f>IFERROR(__xludf.DUMMYFUNCTION("""COMPUTED_VALUE"""),"ENTRY")</f>
        <v>ENTRY</v>
      </c>
    </row>
    <row r="148" ht="21.75" customHeight="1">
      <c r="A148" s="23">
        <f>IFERROR(__xludf.DUMMYFUNCTION("""COMPUTED_VALUE"""),46188.36209846065)</f>
        <v>46188.3621</v>
      </c>
      <c r="B148" s="24" t="str">
        <f>IFERROR(__xludf.DUMMYFUNCTION("""COMPUTED_VALUE"""),"WINDOW")</f>
        <v>WINDOW</v>
      </c>
      <c r="C148" s="25" t="str">
        <f>IFERROR(__xludf.DUMMYFUNCTION("""COMPUTED_VALUE"""),"SMW6")</f>
        <v>SMW6</v>
      </c>
      <c r="D148" s="26"/>
      <c r="E148" s="27"/>
      <c r="F148" s="28">
        <f>IFERROR(__xludf.DUMMYFUNCTION("""COMPUTED_VALUE"""),13.0)</f>
        <v>13</v>
      </c>
      <c r="G148" s="27" t="str">
        <f>IFERROR(__xludf.DUMMYFUNCTION("""COMPUTED_VALUE"""),"UNIT")</f>
        <v>UNIT</v>
      </c>
      <c r="H148" s="29">
        <f>IFERROR(__xludf.DUMMYFUNCTION("""COMPUTED_VALUE"""),46185.0)</f>
        <v>46185</v>
      </c>
      <c r="I148" s="24"/>
      <c r="J148" s="30" t="str">
        <f>IFERROR(__xludf.DUMMYFUNCTION("""COMPUTED_VALUE"""),"AMSCO")</f>
        <v>AMSCO</v>
      </c>
      <c r="K148" s="27"/>
      <c r="L148" s="2" t="str">
        <f>IFERROR(__xludf.DUMMYFUNCTION("""COMPUTED_VALUE"""),"In Stock")</f>
        <v>In Stock</v>
      </c>
      <c r="M148" s="27" t="str">
        <f>IFERROR(__xludf.DUMMYFUNCTION("""COMPUTED_VALUE"""),"jose@ox-glass.com")</f>
        <v>jose@ox-glass.com</v>
      </c>
      <c r="N148" s="27" t="str">
        <f>IFERROR(__xludf.DUMMYFUNCTION("""COMPUTED_VALUE"""),"SMW6")</f>
        <v>SMW6</v>
      </c>
      <c r="O148" s="27" t="str">
        <f>IFERROR(__xludf.DUMMYFUNCTION("""COMPUTED_VALUE"""),"WINDOW|||SMW6")</f>
        <v>WINDOW|||SMW6</v>
      </c>
      <c r="P148" s="27"/>
      <c r="Q148" s="27" t="str">
        <f>IFERROR(__xludf.DUMMYFUNCTION("""COMPUTED_VALUE"""),"jose@ox-glass.com")</f>
        <v>jose@ox-glass.com</v>
      </c>
      <c r="R148" s="27" t="str">
        <f>IFERROR(__xludf.DUMMYFUNCTION("""COMPUTED_VALUE"""),"B5A")</f>
        <v>B5A</v>
      </c>
      <c r="S148" s="27" t="str">
        <f>IFERROR(__xludf.DUMMYFUNCTION("""COMPUTED_VALUE"""),"ENTRY")</f>
        <v>ENTRY</v>
      </c>
    </row>
    <row r="149" ht="21.75" customHeight="1">
      <c r="A149" s="23">
        <f>IFERROR(__xludf.DUMMYFUNCTION("""COMPUTED_VALUE"""),46188.36075047454)</f>
        <v>46188.36075</v>
      </c>
      <c r="B149" s="24" t="str">
        <f>IFERROR(__xludf.DUMMYFUNCTION("""COMPUTED_VALUE"""),"WINDOW")</f>
        <v>WINDOW</v>
      </c>
      <c r="C149" s="25" t="str">
        <f>IFERROR(__xludf.DUMMYFUNCTION("""COMPUTED_VALUE"""),"SP 647")</f>
        <v>SP 647</v>
      </c>
      <c r="D149" s="26"/>
      <c r="E149" s="27"/>
      <c r="F149" s="28">
        <f>IFERROR(__xludf.DUMMYFUNCTION("""COMPUTED_VALUE"""),2.0)</f>
        <v>2</v>
      </c>
      <c r="G149" s="27" t="str">
        <f>IFERROR(__xludf.DUMMYFUNCTION("""COMPUTED_VALUE"""),"UNIT")</f>
        <v>UNIT</v>
      </c>
      <c r="H149" s="29">
        <f>IFERROR(__xludf.DUMMYFUNCTION("""COMPUTED_VALUE"""),46185.0)</f>
        <v>46185</v>
      </c>
      <c r="I149" s="24"/>
      <c r="J149" s="30" t="str">
        <f>IFERROR(__xludf.DUMMYFUNCTION("""COMPUTED_VALUE"""),"AMSCO")</f>
        <v>AMSCO</v>
      </c>
      <c r="K149" s="27" t="str">
        <f>IFERROR(__xludf.DUMMYFUNCTION("""COMPUTED_VALUE"""),"DELUX PATIO DOOR WITH THE SASH")</f>
        <v>DELUX PATIO DOOR WITH THE SASH</v>
      </c>
      <c r="L149" s="2" t="str">
        <f>IFERROR(__xludf.DUMMYFUNCTION("""COMPUTED_VALUE"""),"In Stock")</f>
        <v>In Stock</v>
      </c>
      <c r="M149" s="27" t="str">
        <f>IFERROR(__xludf.DUMMYFUNCTION("""COMPUTED_VALUE"""),"jose@ox-glass.com")</f>
        <v>jose@ox-glass.com</v>
      </c>
      <c r="N149" s="27" t="str">
        <f>IFERROR(__xludf.DUMMYFUNCTION("""COMPUTED_VALUE"""),"SP 647")</f>
        <v>SP 647</v>
      </c>
      <c r="O149" s="27" t="str">
        <f>IFERROR(__xludf.DUMMYFUNCTION("""COMPUTED_VALUE"""),"WINDOW|||SP 647")</f>
        <v>WINDOW|||SP 647</v>
      </c>
      <c r="P149" s="27"/>
      <c r="Q149" s="27" t="str">
        <f>IFERROR(__xludf.DUMMYFUNCTION("""COMPUTED_VALUE"""),"jose@ox-glass.com")</f>
        <v>jose@ox-glass.com</v>
      </c>
      <c r="R149" s="27" t="str">
        <f>IFERROR(__xludf.DUMMYFUNCTION("""COMPUTED_VALUE"""),"A1A")</f>
        <v>A1A</v>
      </c>
      <c r="S149" s="27" t="str">
        <f>IFERROR(__xludf.DUMMYFUNCTION("""COMPUTED_VALUE"""),"ENTRY")</f>
        <v>ENTRY</v>
      </c>
    </row>
    <row r="150" ht="21.75" customHeight="1">
      <c r="A150" s="23">
        <f>IFERROR(__xludf.DUMMYFUNCTION("""COMPUTED_VALUE"""),46188.35981969907)</f>
        <v>46188.35982</v>
      </c>
      <c r="B150" s="24" t="str">
        <f>IFERROR(__xludf.DUMMYFUNCTION("""COMPUTED_VALUE"""),"WINDOW")</f>
        <v>WINDOW</v>
      </c>
      <c r="C150" s="25" t="str">
        <f>IFERROR(__xludf.DUMMYFUNCTION("""COMPUTED_VALUE"""),"PAT SP 638")</f>
        <v>PAT SP 638</v>
      </c>
      <c r="D150" s="26"/>
      <c r="E150" s="27"/>
      <c r="F150" s="28">
        <f>IFERROR(__xludf.DUMMYFUNCTION("""COMPUTED_VALUE"""),2.0)</f>
        <v>2</v>
      </c>
      <c r="G150" s="27" t="str">
        <f>IFERROR(__xludf.DUMMYFUNCTION("""COMPUTED_VALUE"""),"UNIT")</f>
        <v>UNIT</v>
      </c>
      <c r="H150" s="29">
        <f>IFERROR(__xludf.DUMMYFUNCTION("""COMPUTED_VALUE"""),46185.0)</f>
        <v>46185</v>
      </c>
      <c r="I150" s="24"/>
      <c r="J150" s="30" t="str">
        <f>IFERROR(__xludf.DUMMYFUNCTION("""COMPUTED_VALUE"""),"AMSCO")</f>
        <v>AMSCO</v>
      </c>
      <c r="K150" s="27" t="str">
        <f>IFERROR(__xludf.DUMMYFUNCTION("""COMPUTED_VALUE"""),"DELUX PATIO DOOR WITH THE SASH")</f>
        <v>DELUX PATIO DOOR WITH THE SASH</v>
      </c>
      <c r="L150" s="2" t="str">
        <f>IFERROR(__xludf.DUMMYFUNCTION("""COMPUTED_VALUE"""),"In Stock")</f>
        <v>In Stock</v>
      </c>
      <c r="M150" s="27" t="str">
        <f>IFERROR(__xludf.DUMMYFUNCTION("""COMPUTED_VALUE"""),"jose@ox-glass.com")</f>
        <v>jose@ox-glass.com</v>
      </c>
      <c r="N150" s="27" t="str">
        <f>IFERROR(__xludf.DUMMYFUNCTION("""COMPUTED_VALUE"""),"PAT SP 638")</f>
        <v>PAT SP 638</v>
      </c>
      <c r="O150" s="27" t="str">
        <f>IFERROR(__xludf.DUMMYFUNCTION("""COMPUTED_VALUE"""),"WINDOW|||PAT SP 638")</f>
        <v>WINDOW|||PAT SP 638</v>
      </c>
      <c r="P150" s="27"/>
      <c r="Q150" s="27" t="str">
        <f>IFERROR(__xludf.DUMMYFUNCTION("""COMPUTED_VALUE"""),"jose@ox-glass.com")</f>
        <v>jose@ox-glass.com</v>
      </c>
      <c r="R150" s="27" t="str">
        <f>IFERROR(__xludf.DUMMYFUNCTION("""COMPUTED_VALUE"""),"A1A")</f>
        <v>A1A</v>
      </c>
      <c r="S150" s="27" t="str">
        <f>IFERROR(__xludf.DUMMYFUNCTION("""COMPUTED_VALUE"""),"ENTRY")</f>
        <v>ENTRY</v>
      </c>
    </row>
    <row r="151" ht="21.75" customHeight="1">
      <c r="A151" s="23">
        <f>IFERROR(__xludf.DUMMYFUNCTION("""COMPUTED_VALUE"""),46188.35659137731)</f>
        <v>46188.35659</v>
      </c>
      <c r="B151" s="24" t="str">
        <f>IFERROR(__xludf.DUMMYFUNCTION("""COMPUTED_VALUE"""),"WINDOW")</f>
        <v>WINDOW</v>
      </c>
      <c r="C151" s="25" t="str">
        <f>IFERROR(__xludf.DUMMYFUNCTION("""COMPUTED_VALUE"""),"LANE ALLRED")</f>
        <v>LANE ALLRED</v>
      </c>
      <c r="D151" s="26"/>
      <c r="E151" s="27" t="str">
        <f>IFERROR(__xludf.DUMMYFUNCTION("""COMPUTED_VALUE"""),"05-6168")</f>
        <v>05-6168</v>
      </c>
      <c r="F151" s="28">
        <f>IFERROR(__xludf.DUMMYFUNCTION("""COMPUTED_VALUE"""),4.0)</f>
        <v>4</v>
      </c>
      <c r="G151" s="27" t="str">
        <f>IFERROR(__xludf.DUMMYFUNCTION("""COMPUTED_VALUE"""),"UNIT")</f>
        <v>UNIT</v>
      </c>
      <c r="H151" s="29">
        <f>IFERROR(__xludf.DUMMYFUNCTION("""COMPUTED_VALUE"""),46185.0)</f>
        <v>46185</v>
      </c>
      <c r="I151" s="24"/>
      <c r="J151" s="30" t="str">
        <f>IFERROR(__xludf.DUMMYFUNCTION("""COMPUTED_VALUE"""),"AMSCO")</f>
        <v>AMSCO</v>
      </c>
      <c r="K151" s="27"/>
      <c r="L151" s="2" t="str">
        <f>IFERROR(__xludf.DUMMYFUNCTION("""COMPUTED_VALUE"""),"In Stock")</f>
        <v>In Stock</v>
      </c>
      <c r="M151" s="27" t="str">
        <f>IFERROR(__xludf.DUMMYFUNCTION("""COMPUTED_VALUE"""),"jose@ox-glass.com")</f>
        <v>jose@ox-glass.com</v>
      </c>
      <c r="N151" s="27" t="str">
        <f>IFERROR(__xludf.DUMMYFUNCTION("""COMPUTED_VALUE"""),"LANE ALLRED HOME")</f>
        <v>LANE ALLRED HOME</v>
      </c>
      <c r="O151" s="27" t="str">
        <f>IFERROR(__xludf.DUMMYFUNCTION("""COMPUTED_VALUE"""),"WINDOW|||LANE ALLRED")</f>
        <v>WINDOW|||LANE ALLRED</v>
      </c>
      <c r="P151" s="27"/>
      <c r="Q151" s="27" t="str">
        <f>IFERROR(__xludf.DUMMYFUNCTION("""COMPUTED_VALUE"""),"jose@ox-glass.com")</f>
        <v>jose@ox-glass.com</v>
      </c>
      <c r="R151" s="27" t="str">
        <f>IFERROR(__xludf.DUMMYFUNCTION("""COMPUTED_VALUE"""),"B6A")</f>
        <v>B6A</v>
      </c>
      <c r="S151" s="27" t="str">
        <f>IFERROR(__xludf.DUMMYFUNCTION("""COMPUTED_VALUE"""),"ENTRY")</f>
        <v>ENTRY</v>
      </c>
    </row>
    <row r="152" ht="21.75" customHeight="1">
      <c r="A152" s="23">
        <f>IFERROR(__xludf.DUMMYFUNCTION("""COMPUTED_VALUE"""),46188.34723432871)</f>
        <v>46188.34723</v>
      </c>
      <c r="B152" s="24" t="str">
        <f>IFERROR(__xludf.DUMMYFUNCTION("""COMPUTED_VALUE"""),"WINDOW")</f>
        <v>WINDOW</v>
      </c>
      <c r="C152" s="25" t="str">
        <f>IFERROR(__xludf.DUMMYFUNCTION("""COMPUTED_VALUE"""),"LGI OQM186")</f>
        <v>LGI OQM186</v>
      </c>
      <c r="D152" s="26"/>
      <c r="E152" s="27"/>
      <c r="F152" s="28">
        <f>IFERROR(__xludf.DUMMYFUNCTION("""COMPUTED_VALUE"""),18.0)</f>
        <v>18</v>
      </c>
      <c r="G152" s="27" t="str">
        <f>IFERROR(__xludf.DUMMYFUNCTION("""COMPUTED_VALUE"""),"UNIT")</f>
        <v>UNIT</v>
      </c>
      <c r="H152" s="29">
        <f>IFERROR(__xludf.DUMMYFUNCTION("""COMPUTED_VALUE"""),46185.0)</f>
        <v>46185</v>
      </c>
      <c r="I152" s="24"/>
      <c r="J152" s="30" t="str">
        <f>IFERROR(__xludf.DUMMYFUNCTION("""COMPUTED_VALUE"""),"ALSIDE")</f>
        <v>ALSIDE</v>
      </c>
      <c r="K152" s="27"/>
      <c r="L152" s="2" t="str">
        <f>IFERROR(__xludf.DUMMYFUNCTION("""COMPUTED_VALUE"""),"In Stock")</f>
        <v>In Stock</v>
      </c>
      <c r="M152" s="27" t="str">
        <f>IFERROR(__xludf.DUMMYFUNCTION("""COMPUTED_VALUE"""),"jose@ox-glass.com")</f>
        <v>jose@ox-glass.com</v>
      </c>
      <c r="N152" s="27" t="str">
        <f>IFERROR(__xludf.DUMMYFUNCTION("""COMPUTED_VALUE"""),"LGI OQM186")</f>
        <v>LGI OQM186</v>
      </c>
      <c r="O152" s="27" t="str">
        <f>IFERROR(__xludf.DUMMYFUNCTION("""COMPUTED_VALUE"""),"WINDOW|||LGI OQM186")</f>
        <v>WINDOW|||LGI OQM186</v>
      </c>
      <c r="P152" s="27"/>
      <c r="Q152" s="27" t="str">
        <f>IFERROR(__xludf.DUMMYFUNCTION("""COMPUTED_VALUE"""),"jose@ox-glass.com")</f>
        <v>jose@ox-glass.com</v>
      </c>
      <c r="R152" s="27" t="str">
        <f>IFERROR(__xludf.DUMMYFUNCTION("""COMPUTED_VALUE"""),"A4A")</f>
        <v>A4A</v>
      </c>
      <c r="S152" s="27" t="str">
        <f>IFERROR(__xludf.DUMMYFUNCTION("""COMPUTED_VALUE"""),"ENTRY")</f>
        <v>ENTRY</v>
      </c>
    </row>
    <row r="153" ht="21.75" customHeight="1">
      <c r="A153" s="23">
        <f>IFERROR(__xludf.DUMMYFUNCTION("""COMPUTED_VALUE"""),46188.34629864583)</f>
        <v>46188.3463</v>
      </c>
      <c r="B153" s="24" t="str">
        <f>IFERROR(__xludf.DUMMYFUNCTION("""COMPUTED_VALUE"""),"WINDOW")</f>
        <v>WINDOW</v>
      </c>
      <c r="C153" s="25" t="str">
        <f>IFERROR(__xludf.DUMMYFUNCTION("""COMPUTED_VALUE"""),"SP 638")</f>
        <v>SP 638</v>
      </c>
      <c r="D153" s="26"/>
      <c r="E153" s="27"/>
      <c r="F153" s="28">
        <f>IFERROR(__xludf.DUMMYFUNCTION("""COMPUTED_VALUE"""),17.0)</f>
        <v>17</v>
      </c>
      <c r="G153" s="27" t="str">
        <f>IFERROR(__xludf.DUMMYFUNCTION("""COMPUTED_VALUE"""),"UNIT")</f>
        <v>UNIT</v>
      </c>
      <c r="H153" s="29">
        <f>IFERROR(__xludf.DUMMYFUNCTION("""COMPUTED_VALUE"""),46185.0)</f>
        <v>46185</v>
      </c>
      <c r="I153" s="24"/>
      <c r="J153" s="30" t="str">
        <f>IFERROR(__xludf.DUMMYFUNCTION("""COMPUTED_VALUE"""),"ALSIDE")</f>
        <v>ALSIDE</v>
      </c>
      <c r="K153" s="27" t="str">
        <f>IFERROR(__xludf.DUMMYFUNCTION("""COMPUTED_VALUE"""),"TRACIE PLANS")</f>
        <v>TRACIE PLANS</v>
      </c>
      <c r="L153" s="2" t="str">
        <f>IFERROR(__xludf.DUMMYFUNCTION("""COMPUTED_VALUE"""),"In Stock")</f>
        <v>In Stock</v>
      </c>
      <c r="M153" s="27" t="str">
        <f>IFERROR(__xludf.DUMMYFUNCTION("""COMPUTED_VALUE"""),"jose@ox-glass.com")</f>
        <v>jose@ox-glass.com</v>
      </c>
      <c r="N153" s="27" t="str">
        <f>IFERROR(__xludf.DUMMYFUNCTION("""COMPUTED_VALUE"""),"SP 638")</f>
        <v>SP 638</v>
      </c>
      <c r="O153" s="27" t="str">
        <f>IFERROR(__xludf.DUMMYFUNCTION("""COMPUTED_VALUE"""),"WINDOW|||SP 638")</f>
        <v>WINDOW|||SP 638</v>
      </c>
      <c r="P153" s="27"/>
      <c r="Q153" s="27" t="str">
        <f>IFERROR(__xludf.DUMMYFUNCTION("""COMPUTED_VALUE"""),"jose@ox-glass.com")</f>
        <v>jose@ox-glass.com</v>
      </c>
      <c r="R153" s="27" t="str">
        <f>IFERROR(__xludf.DUMMYFUNCTION("""COMPUTED_VALUE"""),"B5A")</f>
        <v>B5A</v>
      </c>
      <c r="S153" s="27" t="str">
        <f>IFERROR(__xludf.DUMMYFUNCTION("""COMPUTED_VALUE"""),"ENTRY")</f>
        <v>ENTRY</v>
      </c>
    </row>
    <row r="154" ht="21.75" customHeight="1">
      <c r="A154" s="23">
        <f>IFERROR(__xludf.DUMMYFUNCTION("""COMPUTED_VALUE"""),46188.34552743055)</f>
        <v>46188.34553</v>
      </c>
      <c r="B154" s="24" t="str">
        <f>IFERROR(__xludf.DUMMYFUNCTION("""COMPUTED_VALUE"""),"WINDOW")</f>
        <v>WINDOW</v>
      </c>
      <c r="C154" s="25" t="str">
        <f>IFERROR(__xludf.DUMMYFUNCTION("""COMPUTED_VALUE"""),"SP 647")</f>
        <v>SP 647</v>
      </c>
      <c r="D154" s="26"/>
      <c r="E154" s="27"/>
      <c r="F154" s="28">
        <f>IFERROR(__xludf.DUMMYFUNCTION("""COMPUTED_VALUE"""),13.0)</f>
        <v>13</v>
      </c>
      <c r="G154" s="27" t="str">
        <f>IFERROR(__xludf.DUMMYFUNCTION("""COMPUTED_VALUE"""),"UNIT")</f>
        <v>UNIT</v>
      </c>
      <c r="H154" s="29">
        <f>IFERROR(__xludf.DUMMYFUNCTION("""COMPUTED_VALUE"""),46185.0)</f>
        <v>46185</v>
      </c>
      <c r="I154" s="24"/>
      <c r="J154" s="30" t="str">
        <f>IFERROR(__xludf.DUMMYFUNCTION("""COMPUTED_VALUE"""),"ALSIDE")</f>
        <v>ALSIDE</v>
      </c>
      <c r="K154" s="27"/>
      <c r="L154" s="2" t="str">
        <f>IFERROR(__xludf.DUMMYFUNCTION("""COMPUTED_VALUE"""),"In Stock")</f>
        <v>In Stock</v>
      </c>
      <c r="M154" s="27" t="str">
        <f>IFERROR(__xludf.DUMMYFUNCTION("""COMPUTED_VALUE"""),"jose@ox-glass.com")</f>
        <v>jose@ox-glass.com</v>
      </c>
      <c r="N154" s="27" t="str">
        <f>IFERROR(__xludf.DUMMYFUNCTION("""COMPUTED_VALUE"""),"SP 647")</f>
        <v>SP 647</v>
      </c>
      <c r="O154" s="27" t="str">
        <f>IFERROR(__xludf.DUMMYFUNCTION("""COMPUTED_VALUE"""),"WINDOW|||SP 647")</f>
        <v>WINDOW|||SP 647</v>
      </c>
      <c r="P154" s="27"/>
      <c r="Q154" s="27" t="str">
        <f>IFERROR(__xludf.DUMMYFUNCTION("""COMPUTED_VALUE"""),"jose@ox-glass.com")</f>
        <v>jose@ox-glass.com</v>
      </c>
      <c r="R154" s="27" t="str">
        <f>IFERROR(__xludf.DUMMYFUNCTION("""COMPUTED_VALUE"""),"B3A")</f>
        <v>B3A</v>
      </c>
      <c r="S154" s="27" t="str">
        <f>IFERROR(__xludf.DUMMYFUNCTION("""COMPUTED_VALUE"""),"ENTRY")</f>
        <v>ENTRY</v>
      </c>
    </row>
    <row r="155" ht="21.75" customHeight="1">
      <c r="A155" s="23">
        <f>IFERROR(__xludf.DUMMYFUNCTION("""COMPUTED_VALUE"""),46184.652307083335)</f>
        <v>46184.65231</v>
      </c>
      <c r="B155" s="24" t="str">
        <f>IFERROR(__xludf.DUMMYFUNCTION("""COMPUTED_VALUE"""),"WINDOW")</f>
        <v>WINDOW</v>
      </c>
      <c r="C155" s="25" t="str">
        <f>IFERROR(__xludf.DUMMYFUNCTION("""COMPUTED_VALUE"""),"LGI DE009 DELANO")</f>
        <v>LGI DE009 DELANO</v>
      </c>
      <c r="D155" s="26"/>
      <c r="E155" s="27"/>
      <c r="F155" s="28">
        <f>IFERROR(__xludf.DUMMYFUNCTION("""COMPUTED_VALUE"""),11.0)</f>
        <v>11</v>
      </c>
      <c r="G155" s="27" t="str">
        <f>IFERROR(__xludf.DUMMYFUNCTION("""COMPUTED_VALUE"""),"UNIT")</f>
        <v>UNIT</v>
      </c>
      <c r="H155" s="29">
        <f>IFERROR(__xludf.DUMMYFUNCTION("""COMPUTED_VALUE"""),46184.0)</f>
        <v>46184</v>
      </c>
      <c r="I155" s="24" t="str">
        <f>IFERROR(__xludf.DUMMYFUNCTION("""COMPUTED_VALUE"""),"C5A")</f>
        <v>C5A</v>
      </c>
      <c r="J155" s="30"/>
      <c r="K155" s="27"/>
      <c r="L155" s="2" t="str">
        <f>IFERROR(__xludf.DUMMYFUNCTION("""COMPUTED_VALUE"""),"Dispatched")</f>
        <v>Dispatched</v>
      </c>
      <c r="M155" s="27" t="str">
        <f>IFERROR(__xludf.DUMMYFUNCTION("""COMPUTED_VALUE"""),"JOSE")</f>
        <v>JOSE</v>
      </c>
      <c r="N155" s="27"/>
      <c r="O155" s="27" t="str">
        <f>IFERROR(__xludf.DUMMYFUNCTION("""COMPUTED_VALUE"""),"WINDOW|||LGI DE009 DELANO")</f>
        <v>WINDOW|||LGI DE009 DELANO</v>
      </c>
      <c r="P155" s="27"/>
      <c r="Q155" s="27" t="str">
        <f>IFERROR(__xludf.DUMMYFUNCTION("""COMPUTED_VALUE"""),"jose@ox-glass.com")</f>
        <v>jose@ox-glass.com</v>
      </c>
      <c r="R155" s="27" t="str">
        <f>IFERROR(__xludf.DUMMYFUNCTION("""COMPUTED_VALUE"""),"LGI DE009 DELANO")</f>
        <v>LGI DE009 DELANO</v>
      </c>
      <c r="S155" s="27" t="str">
        <f>IFERROR(__xludf.DUMMYFUNCTION("""COMPUTED_VALUE"""),"EXIT")</f>
        <v>EXIT</v>
      </c>
    </row>
    <row r="156" ht="21.75" customHeight="1">
      <c r="A156" s="23">
        <f>IFERROR(__xludf.DUMMYFUNCTION("""COMPUTED_VALUE"""),46184.652307083335)</f>
        <v>46184.65231</v>
      </c>
      <c r="B156" s="24" t="str">
        <f>IFERROR(__xludf.DUMMYFUNCTION("""COMPUTED_VALUE"""),"WINDOW")</f>
        <v>WINDOW</v>
      </c>
      <c r="C156" s="25" t="str">
        <f>IFERROR(__xludf.DUMMYFUNCTION("""COMPUTED_VALUE"""),"LGI DE041 GRANITE")</f>
        <v>LGI DE041 GRANITE</v>
      </c>
      <c r="D156" s="26"/>
      <c r="E156" s="27"/>
      <c r="F156" s="28">
        <f>IFERROR(__xludf.DUMMYFUNCTION("""COMPUTED_VALUE"""),10.0)</f>
        <v>10</v>
      </c>
      <c r="G156" s="27" t="str">
        <f>IFERROR(__xludf.DUMMYFUNCTION("""COMPUTED_VALUE"""),"UNIT")</f>
        <v>UNIT</v>
      </c>
      <c r="H156" s="29">
        <f>IFERROR(__xludf.DUMMYFUNCTION("""COMPUTED_VALUE"""),46184.0)</f>
        <v>46184</v>
      </c>
      <c r="I156" s="24" t="str">
        <f>IFERROR(__xludf.DUMMYFUNCTION("""COMPUTED_VALUE"""),"B5A")</f>
        <v>B5A</v>
      </c>
      <c r="J156" s="30"/>
      <c r="K156" s="27"/>
      <c r="L156" s="2" t="str">
        <f>IFERROR(__xludf.DUMMYFUNCTION("""COMPUTED_VALUE"""),"Dispatched")</f>
        <v>Dispatched</v>
      </c>
      <c r="M156" s="27" t="str">
        <f>IFERROR(__xludf.DUMMYFUNCTION("""COMPUTED_VALUE"""),"JOSE")</f>
        <v>JOSE</v>
      </c>
      <c r="N156" s="27"/>
      <c r="O156" s="27" t="str">
        <f>IFERROR(__xludf.DUMMYFUNCTION("""COMPUTED_VALUE"""),"WINDOW|||LGI DE041 GRANITE")</f>
        <v>WINDOW|||LGI DE041 GRANITE</v>
      </c>
      <c r="P156" s="27"/>
      <c r="Q156" s="27" t="str">
        <f>IFERROR(__xludf.DUMMYFUNCTION("""COMPUTED_VALUE"""),"jose@ox-glass.com")</f>
        <v>jose@ox-glass.com</v>
      </c>
      <c r="R156" s="27" t="str">
        <f>IFERROR(__xludf.DUMMYFUNCTION("""COMPUTED_VALUE"""),"LGI DE041 GRANITE")</f>
        <v>LGI DE041 GRANITE</v>
      </c>
      <c r="S156" s="27" t="str">
        <f>IFERROR(__xludf.DUMMYFUNCTION("""COMPUTED_VALUE"""),"EXIT")</f>
        <v>EXIT</v>
      </c>
    </row>
    <row r="157" ht="21.75" customHeight="1">
      <c r="A157" s="23">
        <f>IFERROR(__xludf.DUMMYFUNCTION("""COMPUTED_VALUE"""),46184.65056230324)</f>
        <v>46184.65056</v>
      </c>
      <c r="B157" s="24" t="str">
        <f>IFERROR(__xludf.DUMMYFUNCTION("""COMPUTED_VALUE"""),"WINDOW")</f>
        <v>WINDOW</v>
      </c>
      <c r="C157" s="25" t="str">
        <f>IFERROR(__xludf.DUMMYFUNCTION("""COMPUTED_VALUE"""),"LGI DE007 CASCADE")</f>
        <v>LGI DE007 CASCADE</v>
      </c>
      <c r="D157" s="26"/>
      <c r="E157" s="27"/>
      <c r="F157" s="28">
        <f>IFERROR(__xludf.DUMMYFUNCTION("""COMPUTED_VALUE"""),8.0)</f>
        <v>8</v>
      </c>
      <c r="G157" s="27" t="str">
        <f>IFERROR(__xludf.DUMMYFUNCTION("""COMPUTED_VALUE"""),"UNIT")</f>
        <v>UNIT</v>
      </c>
      <c r="H157" s="29">
        <f>IFERROR(__xludf.DUMMYFUNCTION("""COMPUTED_VALUE"""),46185.0)</f>
        <v>46185</v>
      </c>
      <c r="I157" s="24" t="str">
        <f>IFERROR(__xludf.DUMMYFUNCTION("""COMPUTED_VALUE"""),"A4A")</f>
        <v>A4A</v>
      </c>
      <c r="J157" s="30"/>
      <c r="K157" s="27"/>
      <c r="L157" s="2" t="str">
        <f>IFERROR(__xludf.DUMMYFUNCTION("""COMPUTED_VALUE"""),"Dispatched")</f>
        <v>Dispatched</v>
      </c>
      <c r="M157" s="27" t="str">
        <f>IFERROR(__xludf.DUMMYFUNCTION("""COMPUTED_VALUE"""),"JOSE")</f>
        <v>JOSE</v>
      </c>
      <c r="N157" s="27"/>
      <c r="O157" s="27" t="str">
        <f>IFERROR(__xludf.DUMMYFUNCTION("""COMPUTED_VALUE"""),"WINDOW|||LGI DE007 CASCADE")</f>
        <v>WINDOW|||LGI DE007 CASCADE</v>
      </c>
      <c r="P157" s="27"/>
      <c r="Q157" s="27" t="str">
        <f>IFERROR(__xludf.DUMMYFUNCTION("""COMPUTED_VALUE"""),"jose@ox-glass.com")</f>
        <v>jose@ox-glass.com</v>
      </c>
      <c r="R157" s="27" t="str">
        <f>IFERROR(__xludf.DUMMYFUNCTION("""COMPUTED_VALUE"""),"LGI DE007 CASCADE")</f>
        <v>LGI DE007 CASCADE</v>
      </c>
      <c r="S157" s="27" t="str">
        <f>IFERROR(__xludf.DUMMYFUNCTION("""COMPUTED_VALUE"""),"EXIT")</f>
        <v>EXIT</v>
      </c>
    </row>
    <row r="158" ht="21.75" customHeight="1">
      <c r="A158" s="23">
        <f>IFERROR(__xludf.DUMMYFUNCTION("""COMPUTED_VALUE"""),46184.45803478009)</f>
        <v>46184.45803</v>
      </c>
      <c r="B158" s="24" t="str">
        <f>IFERROR(__xludf.DUMMYFUNCTION("""COMPUTED_VALUE"""),"WINDOW")</f>
        <v>WINDOW</v>
      </c>
      <c r="C158" s="25" t="str">
        <f>IFERROR(__xludf.DUMMYFUNCTION("""COMPUTED_VALUE"""),"LGI REDROCK DISCOUNT")</f>
        <v>LGI REDROCK DISCOUNT</v>
      </c>
      <c r="D158" s="26"/>
      <c r="E158" s="27"/>
      <c r="F158" s="28">
        <f>IFERROR(__xludf.DUMMYFUNCTION("""COMPUTED_VALUE"""),29.0)</f>
        <v>29</v>
      </c>
      <c r="G158" s="27" t="str">
        <f>IFERROR(__xludf.DUMMYFUNCTION("""COMPUTED_VALUE"""),"UNIT")</f>
        <v>UNIT</v>
      </c>
      <c r="H158" s="29">
        <f>IFERROR(__xludf.DUMMYFUNCTION("""COMPUTED_VALUE"""),46155.0)</f>
        <v>46155</v>
      </c>
      <c r="I158" s="24" t="str">
        <f>IFERROR(__xludf.DUMMYFUNCTION("""COMPUTED_VALUE"""),"C5A")</f>
        <v>C5A</v>
      </c>
      <c r="J158" s="30"/>
      <c r="K158" s="27"/>
      <c r="L158" s="2" t="str">
        <f>IFERROR(__xludf.DUMMYFUNCTION("""COMPUTED_VALUE"""),"Dispatched")</f>
        <v>Dispatched</v>
      </c>
      <c r="M158" s="27" t="str">
        <f>IFERROR(__xludf.DUMMYFUNCTION("""COMPUTED_VALUE"""),"jose@ox-glass.com")</f>
        <v>jose@ox-glass.com</v>
      </c>
      <c r="N158" s="27"/>
      <c r="O158" s="27" t="str">
        <f>IFERROR(__xludf.DUMMYFUNCTION("""COMPUTED_VALUE"""),"WINDOW|||LGI REDROCK DISCOUNT")</f>
        <v>WINDOW|||LGI REDROCK DISCOUNT</v>
      </c>
      <c r="P158" s="27"/>
      <c r="Q158" s="27" t="str">
        <f>IFERROR(__xludf.DUMMYFUNCTION("""COMPUTED_VALUE"""),"jose@ox-glass.com")</f>
        <v>jose@ox-glass.com</v>
      </c>
      <c r="R158" s="27" t="str">
        <f>IFERROR(__xludf.DUMMYFUNCTION("""COMPUTED_VALUE"""),"LGI REDROCK DISCOUNT")</f>
        <v>LGI REDROCK DISCOUNT</v>
      </c>
      <c r="S158" s="27" t="str">
        <f>IFERROR(__xludf.DUMMYFUNCTION("""COMPUTED_VALUE"""),"EXIT")</f>
        <v>EXIT</v>
      </c>
    </row>
    <row r="159" ht="21.75" customHeight="1">
      <c r="A159" s="23">
        <f>IFERROR(__xludf.DUMMYFUNCTION("""COMPUTED_VALUE"""),46184.45803478009)</f>
        <v>46184.45803</v>
      </c>
      <c r="B159" s="24" t="str">
        <f>IFERROR(__xludf.DUMMYFUNCTION("""COMPUTED_VALUE"""),"WINDOW")</f>
        <v>WINDOW</v>
      </c>
      <c r="C159" s="25" t="str">
        <f>IFERROR(__xludf.DUMMYFUNCTION("""COMPUTED_VALUE"""),"LGI REDROCK DISCOUNT")</f>
        <v>LGI REDROCK DISCOUNT</v>
      </c>
      <c r="D159" s="26"/>
      <c r="E159" s="27"/>
      <c r="F159" s="28">
        <f>IFERROR(__xludf.DUMMYFUNCTION("""COMPUTED_VALUE"""),25.0)</f>
        <v>25</v>
      </c>
      <c r="G159" s="27" t="str">
        <f>IFERROR(__xludf.DUMMYFUNCTION("""COMPUTED_VALUE"""),"UNIT")</f>
        <v>UNIT</v>
      </c>
      <c r="H159" s="29">
        <f>IFERROR(__xludf.DUMMYFUNCTION("""COMPUTED_VALUE"""),46155.0)</f>
        <v>46155</v>
      </c>
      <c r="I159" s="24" t="str">
        <f>IFERROR(__xludf.DUMMYFUNCTION("""COMPUTED_VALUE"""),"B5A")</f>
        <v>B5A</v>
      </c>
      <c r="J159" s="30"/>
      <c r="K159" s="27"/>
      <c r="L159" s="2" t="str">
        <f>IFERROR(__xludf.DUMMYFUNCTION("""COMPUTED_VALUE"""),"Dispatched")</f>
        <v>Dispatched</v>
      </c>
      <c r="M159" s="27" t="str">
        <f>IFERROR(__xludf.DUMMYFUNCTION("""COMPUTED_VALUE"""),"jose@ox-glass.com")</f>
        <v>jose@ox-glass.com</v>
      </c>
      <c r="N159" s="27"/>
      <c r="O159" s="27" t="str">
        <f>IFERROR(__xludf.DUMMYFUNCTION("""COMPUTED_VALUE"""),"WINDOW|||LGI REDROCK DISCOUNT")</f>
        <v>WINDOW|||LGI REDROCK DISCOUNT</v>
      </c>
      <c r="P159" s="27"/>
      <c r="Q159" s="27" t="str">
        <f>IFERROR(__xludf.DUMMYFUNCTION("""COMPUTED_VALUE"""),"jose@ox-glass.com")</f>
        <v>jose@ox-glass.com</v>
      </c>
      <c r="R159" s="27" t="str">
        <f>IFERROR(__xludf.DUMMYFUNCTION("""COMPUTED_VALUE"""),"LGI REDROCK DISCOUNT")</f>
        <v>LGI REDROCK DISCOUNT</v>
      </c>
      <c r="S159" s="27" t="str">
        <f>IFERROR(__xludf.DUMMYFUNCTION("""COMPUTED_VALUE"""),"EXIT")</f>
        <v>EXIT</v>
      </c>
    </row>
    <row r="160" ht="21.75" customHeight="1">
      <c r="A160" s="23">
        <f>IFERROR(__xludf.DUMMYFUNCTION("""COMPUTED_VALUE"""),46184.45368912037)</f>
        <v>46184.45369</v>
      </c>
      <c r="B160" s="24" t="str">
        <f>IFERROR(__xludf.DUMMYFUNCTION("""COMPUTED_VALUE"""),"WINDOW")</f>
        <v>WINDOW</v>
      </c>
      <c r="C160" s="25" t="str">
        <f>IFERROR(__xludf.DUMMYFUNCTION("""COMPUTED_VALUE"""),"2PER SAGE@COMPASS")</f>
        <v>2PER SAGE@COMPASS</v>
      </c>
      <c r="D160" s="26"/>
      <c r="E160" s="27"/>
      <c r="F160" s="28">
        <f>IFERROR(__xludf.DUMMYFUNCTION("""COMPUTED_VALUE"""),25.0)</f>
        <v>25</v>
      </c>
      <c r="G160" s="27" t="str">
        <f>IFERROR(__xludf.DUMMYFUNCTION("""COMPUTED_VALUE"""),"UNIT")</f>
        <v>UNIT</v>
      </c>
      <c r="H160" s="29">
        <f>IFERROR(__xludf.DUMMYFUNCTION("""COMPUTED_VALUE"""),46169.0)</f>
        <v>46169</v>
      </c>
      <c r="I160" s="24" t="str">
        <f>IFERROR(__xludf.DUMMYFUNCTION("""COMPUTED_VALUE"""),"C4A")</f>
        <v>C4A</v>
      </c>
      <c r="J160" s="30"/>
      <c r="K160" s="27"/>
      <c r="L160" s="2" t="str">
        <f>IFERROR(__xludf.DUMMYFUNCTION("""COMPUTED_VALUE"""),"Dispatched")</f>
        <v>Dispatched</v>
      </c>
      <c r="M160" s="27" t="str">
        <f>IFERROR(__xludf.DUMMYFUNCTION("""COMPUTED_VALUE"""),"jose@ox-glass.com")</f>
        <v>jose@ox-glass.com</v>
      </c>
      <c r="N160" s="27"/>
      <c r="O160" s="27" t="str">
        <f>IFERROR(__xludf.DUMMYFUNCTION("""COMPUTED_VALUE"""),"WINDOW|||2PER SAGE@COMPASS")</f>
        <v>WINDOW|||2PER SAGE@COMPASS</v>
      </c>
      <c r="P160" s="27"/>
      <c r="Q160" s="27" t="str">
        <f>IFERROR(__xludf.DUMMYFUNCTION("""COMPUTED_VALUE"""),"jose@ox-glass.com")</f>
        <v>jose@ox-glass.com</v>
      </c>
      <c r="R160" s="27" t="str">
        <f>IFERROR(__xludf.DUMMYFUNCTION("""COMPUTED_VALUE"""),"2PER SAGE@COMPASS")</f>
        <v>2PER SAGE@COMPASS</v>
      </c>
      <c r="S160" s="27" t="str">
        <f>IFERROR(__xludf.DUMMYFUNCTION("""COMPUTED_VALUE"""),"EXIT")</f>
        <v>EXIT</v>
      </c>
    </row>
    <row r="161" ht="21.75" customHeight="1">
      <c r="A161" s="23">
        <f>IFERROR(__xludf.DUMMYFUNCTION("""COMPUTED_VALUE"""),46184.45368912037)</f>
        <v>46184.45369</v>
      </c>
      <c r="B161" s="24" t="str">
        <f>IFERROR(__xludf.DUMMYFUNCTION("""COMPUTED_VALUE"""),"WINDOW")</f>
        <v>WINDOW</v>
      </c>
      <c r="C161" s="25" t="str">
        <f>IFERROR(__xludf.DUMMYFUNCTION("""COMPUTED_VALUE"""),"2PER SAGE@COMPASS")</f>
        <v>2PER SAGE@COMPASS</v>
      </c>
      <c r="D161" s="26"/>
      <c r="E161" s="27"/>
      <c r="F161" s="28">
        <f>IFERROR(__xludf.DUMMYFUNCTION("""COMPUTED_VALUE"""),25.0)</f>
        <v>25</v>
      </c>
      <c r="G161" s="27" t="str">
        <f>IFERROR(__xludf.DUMMYFUNCTION("""COMPUTED_VALUE"""),"UNIT")</f>
        <v>UNIT</v>
      </c>
      <c r="H161" s="29">
        <f>IFERROR(__xludf.DUMMYFUNCTION("""COMPUTED_VALUE"""),46169.0)</f>
        <v>46169</v>
      </c>
      <c r="I161" s="24" t="str">
        <f>IFERROR(__xludf.DUMMYFUNCTION("""COMPUTED_VALUE"""),"B4A")</f>
        <v>B4A</v>
      </c>
      <c r="J161" s="30"/>
      <c r="K161" s="27"/>
      <c r="L161" s="2" t="str">
        <f>IFERROR(__xludf.DUMMYFUNCTION("""COMPUTED_VALUE"""),"Dispatched")</f>
        <v>Dispatched</v>
      </c>
      <c r="M161" s="27" t="str">
        <f>IFERROR(__xludf.DUMMYFUNCTION("""COMPUTED_VALUE"""),"jose@ox-glass.com")</f>
        <v>jose@ox-glass.com</v>
      </c>
      <c r="N161" s="27"/>
      <c r="O161" s="27" t="str">
        <f>IFERROR(__xludf.DUMMYFUNCTION("""COMPUTED_VALUE"""),"WINDOW|||2PER SAGE@COMPASS")</f>
        <v>WINDOW|||2PER SAGE@COMPASS</v>
      </c>
      <c r="P161" s="27"/>
      <c r="Q161" s="27" t="str">
        <f>IFERROR(__xludf.DUMMYFUNCTION("""COMPUTED_VALUE"""),"jose@ox-glass.com")</f>
        <v>jose@ox-glass.com</v>
      </c>
      <c r="R161" s="27" t="str">
        <f>IFERROR(__xludf.DUMMYFUNCTION("""COMPUTED_VALUE"""),"2PER SAGE@COMPASS")</f>
        <v>2PER SAGE@COMPASS</v>
      </c>
      <c r="S161" s="27" t="str">
        <f>IFERROR(__xludf.DUMMYFUNCTION("""COMPUTED_VALUE"""),"EXIT")</f>
        <v>EXIT</v>
      </c>
    </row>
    <row r="162" ht="21.75" customHeight="1">
      <c r="A162" s="23">
        <f>IFERROR(__xludf.DUMMYFUNCTION("""COMPUTED_VALUE"""),46184.45368912037)</f>
        <v>46184.45369</v>
      </c>
      <c r="B162" s="24" t="str">
        <f>IFERROR(__xludf.DUMMYFUNCTION("""COMPUTED_VALUE"""),"WINDOW")</f>
        <v>WINDOW</v>
      </c>
      <c r="C162" s="25" t="str">
        <f>IFERROR(__xludf.DUMMYFUNCTION("""COMPUTED_VALUE"""),"2PER SAGE@COMPASS")</f>
        <v>2PER SAGE@COMPASS</v>
      </c>
      <c r="D162" s="26"/>
      <c r="E162" s="27"/>
      <c r="F162" s="28">
        <f>IFERROR(__xludf.DUMMYFUNCTION("""COMPUTED_VALUE"""),22.0)</f>
        <v>22</v>
      </c>
      <c r="G162" s="27" t="str">
        <f>IFERROR(__xludf.DUMMYFUNCTION("""COMPUTED_VALUE"""),"UNIT")</f>
        <v>UNIT</v>
      </c>
      <c r="H162" s="29">
        <f>IFERROR(__xludf.DUMMYFUNCTION("""COMPUTED_VALUE"""),46169.0)</f>
        <v>46169</v>
      </c>
      <c r="I162" s="24" t="str">
        <f>IFERROR(__xludf.DUMMYFUNCTION("""COMPUTED_VALUE"""),"C3A")</f>
        <v>C3A</v>
      </c>
      <c r="J162" s="30"/>
      <c r="K162" s="27"/>
      <c r="L162" s="2" t="str">
        <f>IFERROR(__xludf.DUMMYFUNCTION("""COMPUTED_VALUE"""),"Dispatched")</f>
        <v>Dispatched</v>
      </c>
      <c r="M162" s="27" t="str">
        <f>IFERROR(__xludf.DUMMYFUNCTION("""COMPUTED_VALUE"""),"jose@ox-glass.com")</f>
        <v>jose@ox-glass.com</v>
      </c>
      <c r="N162" s="27"/>
      <c r="O162" s="27" t="str">
        <f>IFERROR(__xludf.DUMMYFUNCTION("""COMPUTED_VALUE"""),"WINDOW|||2PER SAGE@COMPASS")</f>
        <v>WINDOW|||2PER SAGE@COMPASS</v>
      </c>
      <c r="P162" s="27"/>
      <c r="Q162" s="27" t="str">
        <f>IFERROR(__xludf.DUMMYFUNCTION("""COMPUTED_VALUE"""),"jose@ox-glass.com")</f>
        <v>jose@ox-glass.com</v>
      </c>
      <c r="R162" s="27" t="str">
        <f>IFERROR(__xludf.DUMMYFUNCTION("""COMPUTED_VALUE"""),"2PER SAGE@COMPASS")</f>
        <v>2PER SAGE@COMPASS</v>
      </c>
      <c r="S162" s="27" t="str">
        <f>IFERROR(__xludf.DUMMYFUNCTION("""COMPUTED_VALUE"""),"EXIT")</f>
        <v>EXIT</v>
      </c>
    </row>
    <row r="163" ht="21.75" customHeight="1">
      <c r="A163" s="23">
        <f>IFERROR(__xludf.DUMMYFUNCTION("""COMPUTED_VALUE"""),46184.445823981485)</f>
        <v>46184.44582</v>
      </c>
      <c r="B163" s="24" t="str">
        <f>IFERROR(__xludf.DUMMYFUNCTION("""COMPUTED_VALUE"""),"WINDOW")</f>
        <v>WINDOW</v>
      </c>
      <c r="C163" s="25" t="str">
        <f>IFERROR(__xludf.DUMMYFUNCTION("""COMPUTED_VALUE"""),"BME2 TRACIE DOOR_MAIN")</f>
        <v>BME2 TRACIE DOOR_MAIN</v>
      </c>
      <c r="D163" s="26"/>
      <c r="E163" s="27"/>
      <c r="F163" s="28">
        <f>IFERROR(__xludf.DUMMYFUNCTION("""COMPUTED_VALUE"""),1.0)</f>
        <v>1</v>
      </c>
      <c r="G163" s="27" t="str">
        <f>IFERROR(__xludf.DUMMYFUNCTION("""COMPUTED_VALUE"""),"UNIT")</f>
        <v>UNIT</v>
      </c>
      <c r="H163" s="29">
        <f>IFERROR(__xludf.DUMMYFUNCTION("""COMPUTED_VALUE"""),46182.0)</f>
        <v>46182</v>
      </c>
      <c r="I163" s="24" t="str">
        <f>IFERROR(__xludf.DUMMYFUNCTION("""COMPUTED_VALUE"""),"B1A")</f>
        <v>B1A</v>
      </c>
      <c r="J163" s="30"/>
      <c r="K163" s="27"/>
      <c r="L163" s="2" t="str">
        <f>IFERROR(__xludf.DUMMYFUNCTION("""COMPUTED_VALUE"""),"In Stock")</f>
        <v>In Stock</v>
      </c>
      <c r="M163" s="27" t="str">
        <f>IFERROR(__xludf.DUMMYFUNCTION("""COMPUTED_VALUE"""),"JOSE")</f>
        <v>JOSE</v>
      </c>
      <c r="N163" s="27" t="str">
        <f>IFERROR(__xludf.DUMMYFUNCTION("""COMPUTED_VALUE"""),"GENERIC")</f>
        <v>GENERIC</v>
      </c>
      <c r="O163" s="27" t="str">
        <f>IFERROR(__xludf.DUMMYFUNCTION("""COMPUTED_VALUE"""),"WINDOW|||BME2 TRACIE DOOR_MAIN")</f>
        <v>WINDOW|||BME2 TRACIE DOOR_MAIN</v>
      </c>
      <c r="P163" s="27"/>
      <c r="Q163" s="27" t="str">
        <f>IFERROR(__xludf.DUMMYFUNCTION("""COMPUTED_VALUE"""),"jose@ox-glass.com")</f>
        <v>jose@ox-glass.com</v>
      </c>
      <c r="R163" s="27" t="str">
        <f>IFERROR(__xludf.DUMMYFUNCTION("""COMPUTED_VALUE"""),"C6A")</f>
        <v>C6A</v>
      </c>
      <c r="S163" s="27" t="str">
        <f>IFERROR(__xludf.DUMMYFUNCTION("""COMPUTED_VALUE"""),"TRANSFER")</f>
        <v>TRANSFER</v>
      </c>
    </row>
    <row r="164" ht="21.75" customHeight="1">
      <c r="A164" s="23">
        <f>IFERROR(__xludf.DUMMYFUNCTION("""COMPUTED_VALUE"""),46184.44330537037)</f>
        <v>46184.44331</v>
      </c>
      <c r="B164" s="24" t="str">
        <f>IFERROR(__xludf.DUMMYFUNCTION("""COMPUTED_VALUE"""),"WINDOW")</f>
        <v>WINDOW</v>
      </c>
      <c r="C164" s="25" t="str">
        <f>IFERROR(__xludf.DUMMYFUNCTION("""COMPUTED_VALUE"""),"PAT BMW 3")</f>
        <v>PAT BMW 3</v>
      </c>
      <c r="D164" s="26"/>
      <c r="E164" s="27"/>
      <c r="F164" s="28">
        <f>IFERROR(__xludf.DUMMYFUNCTION("""COMPUTED_VALUE"""),28.0)</f>
        <v>28</v>
      </c>
      <c r="G164" s="27" t="str">
        <f>IFERROR(__xludf.DUMMYFUNCTION("""COMPUTED_VALUE"""),"UNIT")</f>
        <v>UNIT</v>
      </c>
      <c r="H164" s="29">
        <f>IFERROR(__xludf.DUMMYFUNCTION("""COMPUTED_VALUE"""),46163.0)</f>
        <v>46163</v>
      </c>
      <c r="I164" s="24" t="str">
        <f>IFERROR(__xludf.DUMMYFUNCTION("""COMPUTED_VALUE"""),"A3A")</f>
        <v>A3A</v>
      </c>
      <c r="J164" s="30"/>
      <c r="K164" s="27"/>
      <c r="L164" s="2" t="str">
        <f>IFERROR(__xludf.DUMMYFUNCTION("""COMPUTED_VALUE"""),"Dispatched")</f>
        <v>Dispatched</v>
      </c>
      <c r="M164" s="27" t="str">
        <f>IFERROR(__xludf.DUMMYFUNCTION("""COMPUTED_VALUE"""),"SPENCER AND JOSE")</f>
        <v>SPENCER AND JOSE</v>
      </c>
      <c r="N164" s="27"/>
      <c r="O164" s="27" t="str">
        <f>IFERROR(__xludf.DUMMYFUNCTION("""COMPUTED_VALUE"""),"WINDOW|||PAT BMW 3")</f>
        <v>WINDOW|||PAT BMW 3</v>
      </c>
      <c r="P164" s="27"/>
      <c r="Q164" s="27" t="str">
        <f>IFERROR(__xludf.DUMMYFUNCTION("""COMPUTED_VALUE"""),"jose@ox-glass.com")</f>
        <v>jose@ox-glass.com</v>
      </c>
      <c r="R164" s="27" t="str">
        <f>IFERROR(__xludf.DUMMYFUNCTION("""COMPUTED_VALUE"""),"PAT BMW 3")</f>
        <v>PAT BMW 3</v>
      </c>
      <c r="S164" s="27" t="str">
        <f>IFERROR(__xludf.DUMMYFUNCTION("""COMPUTED_VALUE"""),"EXIT")</f>
        <v>EXIT</v>
      </c>
    </row>
    <row r="165" ht="21.75" customHeight="1">
      <c r="A165" s="23">
        <f>IFERROR(__xludf.DUMMYFUNCTION("""COMPUTED_VALUE"""),46184.4412062037)</f>
        <v>46184.44121</v>
      </c>
      <c r="B165" s="24" t="str">
        <f>IFERROR(__xludf.DUMMYFUNCTION("""COMPUTED_VALUE"""),"WINDOW")</f>
        <v>WINDOW</v>
      </c>
      <c r="C165" s="25" t="str">
        <f>IFERROR(__xludf.DUMMYFUNCTION("""COMPUTED_VALUE"""),"HIGHLAND A&amp;R")</f>
        <v>HIGHLAND A&amp;R</v>
      </c>
      <c r="D165" s="26"/>
      <c r="E165" s="27"/>
      <c r="F165" s="28">
        <f>IFERROR(__xludf.DUMMYFUNCTION("""COMPUTED_VALUE"""),21.0)</f>
        <v>21</v>
      </c>
      <c r="G165" s="27" t="str">
        <f>IFERROR(__xludf.DUMMYFUNCTION("""COMPUTED_VALUE"""),"UNIT")</f>
        <v>UNIT</v>
      </c>
      <c r="H165" s="29">
        <f>IFERROR(__xludf.DUMMYFUNCTION("""COMPUTED_VALUE"""),46184.0)</f>
        <v>46184</v>
      </c>
      <c r="I165" s="24" t="str">
        <f>IFERROR(__xludf.DUMMYFUNCTION("""COMPUTED_VALUE"""),"A1A")</f>
        <v>A1A</v>
      </c>
      <c r="J165" s="30"/>
      <c r="K165" s="27"/>
      <c r="L165" s="2" t="str">
        <f>IFERROR(__xludf.DUMMYFUNCTION("""COMPUTED_VALUE"""),"Dispatched")</f>
        <v>Dispatched</v>
      </c>
      <c r="M165" s="27" t="str">
        <f>IFERROR(__xludf.DUMMYFUNCTION("""COMPUTED_VALUE"""),"TOMMY AND PRESTON")</f>
        <v>TOMMY AND PRESTON</v>
      </c>
      <c r="N165" s="27"/>
      <c r="O165" s="27" t="str">
        <f>IFERROR(__xludf.DUMMYFUNCTION("""COMPUTED_VALUE"""),"WINDOW|||HIGHLAND A&amp;R")</f>
        <v>WINDOW|||HIGHLAND A&amp;R</v>
      </c>
      <c r="P165" s="27"/>
      <c r="Q165" s="27" t="str">
        <f>IFERROR(__xludf.DUMMYFUNCTION("""COMPUTED_VALUE"""),"jose@ox-glass.com")</f>
        <v>jose@ox-glass.com</v>
      </c>
      <c r="R165" s="27" t="str">
        <f>IFERROR(__xludf.DUMMYFUNCTION("""COMPUTED_VALUE"""),"HIGHLAND A&amp;R")</f>
        <v>HIGHLAND A&amp;R</v>
      </c>
      <c r="S165" s="27" t="str">
        <f>IFERROR(__xludf.DUMMYFUNCTION("""COMPUTED_VALUE"""),"EXIT")</f>
        <v>EXIT</v>
      </c>
    </row>
    <row r="166" ht="21.75" customHeight="1">
      <c r="A166" s="23">
        <f>IFERROR(__xludf.DUMMYFUNCTION("""COMPUTED_VALUE"""),46184.43968452546)</f>
        <v>46184.43968</v>
      </c>
      <c r="B166" s="24" t="str">
        <f>IFERROR(__xludf.DUMMYFUNCTION("""COMPUTED_VALUE"""),"WINDOW")</f>
        <v>WINDOW</v>
      </c>
      <c r="C166" s="25" t="str">
        <f>IFERROR(__xludf.DUMMYFUNCTION("""COMPUTED_VALUE"""),"SAL BUSHMAN FARMS 2")</f>
        <v>SAL BUSHMAN FARMS 2</v>
      </c>
      <c r="D166" s="26"/>
      <c r="E166" s="27"/>
      <c r="F166" s="28">
        <f>IFERROR(__xludf.DUMMYFUNCTION("""COMPUTED_VALUE"""),1.0)</f>
        <v>1</v>
      </c>
      <c r="G166" s="27" t="str">
        <f>IFERROR(__xludf.DUMMYFUNCTION("""COMPUTED_VALUE"""),"UNIT")</f>
        <v>UNIT</v>
      </c>
      <c r="H166" s="29">
        <f>IFERROR(__xludf.DUMMYFUNCTION("""COMPUTED_VALUE"""),46160.0)</f>
        <v>46160</v>
      </c>
      <c r="I166" s="24" t="str">
        <f>IFERROR(__xludf.DUMMYFUNCTION("""COMPUTED_VALUE"""),"A")</f>
        <v>A</v>
      </c>
      <c r="J166" s="30"/>
      <c r="K166" s="27"/>
      <c r="L166" s="2" t="str">
        <f>IFERROR(__xludf.DUMMYFUNCTION("""COMPUTED_VALUE"""),"Dispatched")</f>
        <v>Dispatched</v>
      </c>
      <c r="M166" s="27" t="str">
        <f>IFERROR(__xludf.DUMMYFUNCTION("""COMPUTED_VALUE"""),"jose@ox-glass.com")</f>
        <v>jose@ox-glass.com</v>
      </c>
      <c r="N166" s="27"/>
      <c r="O166" s="27" t="str">
        <f>IFERROR(__xludf.DUMMYFUNCTION("""COMPUTED_VALUE"""),"WINDOW|||SAL BUSHMAN FARMS 2")</f>
        <v>WINDOW|||SAL BUSHMAN FARMS 2</v>
      </c>
      <c r="P166" s="27"/>
      <c r="Q166" s="27" t="str">
        <f>IFERROR(__xludf.DUMMYFUNCTION("""COMPUTED_VALUE"""),"jose@ox-glass.com")</f>
        <v>jose@ox-glass.com</v>
      </c>
      <c r="R166" s="27" t="str">
        <f>IFERROR(__xludf.DUMMYFUNCTION("""COMPUTED_VALUE"""),"SAL BUSHMAN FARMS 2")</f>
        <v>SAL BUSHMAN FARMS 2</v>
      </c>
      <c r="S166" s="27" t="str">
        <f>IFERROR(__xludf.DUMMYFUNCTION("""COMPUTED_VALUE"""),"EXIT")</f>
        <v>EXIT</v>
      </c>
    </row>
    <row r="167" ht="21.75" customHeight="1">
      <c r="A167" s="23">
        <f>IFERROR(__xludf.DUMMYFUNCTION("""COMPUTED_VALUE"""),46184.43852339121)</f>
        <v>46184.43852</v>
      </c>
      <c r="B167" s="24" t="str">
        <f>IFERROR(__xludf.DUMMYFUNCTION("""COMPUTED_VALUE"""),"WINDOW")</f>
        <v>WINDOW</v>
      </c>
      <c r="C167" s="25" t="str">
        <f>IFERROR(__xludf.DUMMYFUNCTION("""COMPUTED_VALUE"""),"SAL BF2 PARTS")</f>
        <v>SAL BF2 PARTS</v>
      </c>
      <c r="D167" s="26"/>
      <c r="E167" s="27"/>
      <c r="F167" s="28">
        <f>IFERROR(__xludf.DUMMYFUNCTION("""COMPUTED_VALUE"""),2.0)</f>
        <v>2</v>
      </c>
      <c r="G167" s="27" t="str">
        <f>IFERROR(__xludf.DUMMYFUNCTION("""COMPUTED_VALUE"""),"UNIT")</f>
        <v>UNIT</v>
      </c>
      <c r="H167" s="29">
        <f>IFERROR(__xludf.DUMMYFUNCTION("""COMPUTED_VALUE"""),46134.0)</f>
        <v>46134</v>
      </c>
      <c r="I167" s="24" t="str">
        <f>IFERROR(__xludf.DUMMYFUNCTION("""COMPUTED_VALUE"""),"B6A")</f>
        <v>B6A</v>
      </c>
      <c r="J167" s="30"/>
      <c r="K167" s="27"/>
      <c r="L167" s="2" t="str">
        <f>IFERROR(__xludf.DUMMYFUNCTION("""COMPUTED_VALUE"""),"Dispatched")</f>
        <v>Dispatched</v>
      </c>
      <c r="M167" s="27" t="str">
        <f>IFERROR(__xludf.DUMMYFUNCTION("""COMPUTED_VALUE"""),"jose@ox-glass.com")</f>
        <v>jose@ox-glass.com</v>
      </c>
      <c r="N167" s="27"/>
      <c r="O167" s="27" t="str">
        <f>IFERROR(__xludf.DUMMYFUNCTION("""COMPUTED_VALUE"""),"WINDOW|||SAL BF2 PARTS")</f>
        <v>WINDOW|||SAL BF2 PARTS</v>
      </c>
      <c r="P167" s="27"/>
      <c r="Q167" s="27" t="str">
        <f>IFERROR(__xludf.DUMMYFUNCTION("""COMPUTED_VALUE"""),"jose@ox-glass.com")</f>
        <v>jose@ox-glass.com</v>
      </c>
      <c r="R167" s="27" t="str">
        <f>IFERROR(__xludf.DUMMYFUNCTION("""COMPUTED_VALUE"""),"SAL BF2 PARTS")</f>
        <v>SAL BF2 PARTS</v>
      </c>
      <c r="S167" s="27" t="str">
        <f>IFERROR(__xludf.DUMMYFUNCTION("""COMPUTED_VALUE"""),"EXIT")</f>
        <v>EXIT</v>
      </c>
    </row>
    <row r="168" ht="21.75" customHeight="1">
      <c r="A168" s="23">
        <f>IFERROR(__xludf.DUMMYFUNCTION("""COMPUTED_VALUE"""),46184.43477652778)</f>
        <v>46184.43478</v>
      </c>
      <c r="B168" s="24" t="str">
        <f>IFERROR(__xludf.DUMMYFUNCTION("""COMPUTED_VALUE"""),"WINDOW")</f>
        <v>WINDOW</v>
      </c>
      <c r="C168" s="25" t="str">
        <f>IFERROR(__xludf.DUMMYFUNCTION("""COMPUTED_VALUE"""),"ALVIN JENSON ADDITIONAL")</f>
        <v>ALVIN JENSON ADDITIONAL</v>
      </c>
      <c r="D168" s="26"/>
      <c r="E168" s="27"/>
      <c r="F168" s="28">
        <f>IFERROR(__xludf.DUMMYFUNCTION("""COMPUTED_VALUE"""),1.0)</f>
        <v>1</v>
      </c>
      <c r="G168" s="27" t="str">
        <f>IFERROR(__xludf.DUMMYFUNCTION("""COMPUTED_VALUE"""),"UNIT")</f>
        <v>UNIT</v>
      </c>
      <c r="H168" s="29">
        <f>IFERROR(__xludf.DUMMYFUNCTION("""COMPUTED_VALUE"""),46174.0)</f>
        <v>46174</v>
      </c>
      <c r="I168" s="24" t="str">
        <f>IFERROR(__xludf.DUMMYFUNCTION("""COMPUTED_VALUE"""),"B6A")</f>
        <v>B6A</v>
      </c>
      <c r="J168" s="30"/>
      <c r="K168" s="27"/>
      <c r="L168" s="2" t="str">
        <f>IFERROR(__xludf.DUMMYFUNCTION("""COMPUTED_VALUE"""),"Dispatched")</f>
        <v>Dispatched</v>
      </c>
      <c r="M168" s="27" t="str">
        <f>IFERROR(__xludf.DUMMYFUNCTION("""COMPUTED_VALUE"""),"ADAM A.")</f>
        <v>ADAM A.</v>
      </c>
      <c r="N168" s="27"/>
      <c r="O168" s="27" t="str">
        <f>IFERROR(__xludf.DUMMYFUNCTION("""COMPUTED_VALUE"""),"WINDOW|||ALVIN JENSON ADDITIONAL")</f>
        <v>WINDOW|||ALVIN JENSON ADDITIONAL</v>
      </c>
      <c r="P168" s="27"/>
      <c r="Q168" s="27" t="str">
        <f>IFERROR(__xludf.DUMMYFUNCTION("""COMPUTED_VALUE"""),"jose@ox-glass.com")</f>
        <v>jose@ox-glass.com</v>
      </c>
      <c r="R168" s="27" t="str">
        <f>IFERROR(__xludf.DUMMYFUNCTION("""COMPUTED_VALUE"""),"ALVIN JENSON ADDITIONAL")</f>
        <v>ALVIN JENSON ADDITIONAL</v>
      </c>
      <c r="S168" s="27" t="str">
        <f>IFERROR(__xludf.DUMMYFUNCTION("""COMPUTED_VALUE"""),"EXIT")</f>
        <v>EXIT</v>
      </c>
    </row>
    <row r="169" ht="21.75" customHeight="1">
      <c r="A169" s="23">
        <f>IFERROR(__xludf.DUMMYFUNCTION("""COMPUTED_VALUE"""),46184.43428548612)</f>
        <v>46184.43429</v>
      </c>
      <c r="B169" s="24" t="str">
        <f>IFERROR(__xludf.DUMMYFUNCTION("""COMPUTED_VALUE"""),"WINDOW")</f>
        <v>WINDOW</v>
      </c>
      <c r="C169" s="25" t="str">
        <f>IFERROR(__xludf.DUMMYFUNCTION("""COMPUTED_VALUE"""),"KUNA 2640")</f>
        <v>KUNA 2640</v>
      </c>
      <c r="D169" s="26"/>
      <c r="E169" s="27"/>
      <c r="F169" s="28">
        <f>IFERROR(__xludf.DUMMYFUNCTION("""COMPUTED_VALUE"""),1.0)</f>
        <v>1</v>
      </c>
      <c r="G169" s="27" t="str">
        <f>IFERROR(__xludf.DUMMYFUNCTION("""COMPUTED_VALUE"""),"UNIT")</f>
        <v>UNIT</v>
      </c>
      <c r="H169" s="29">
        <f>IFERROR(__xludf.DUMMYFUNCTION("""COMPUTED_VALUE"""),46174.0)</f>
        <v>46174</v>
      </c>
      <c r="I169" s="24" t="str">
        <f>IFERROR(__xludf.DUMMYFUNCTION("""COMPUTED_VALUE"""),"B6A")</f>
        <v>B6A</v>
      </c>
      <c r="J169" s="30"/>
      <c r="K169" s="27"/>
      <c r="L169" s="2" t="str">
        <f>IFERROR(__xludf.DUMMYFUNCTION("""COMPUTED_VALUE"""),"Dispatched")</f>
        <v>Dispatched</v>
      </c>
      <c r="M169" s="27" t="str">
        <f>IFERROR(__xludf.DUMMYFUNCTION("""COMPUTED_VALUE"""),"jose@ox-glass.com")</f>
        <v>jose@ox-glass.com</v>
      </c>
      <c r="N169" s="27"/>
      <c r="O169" s="27" t="str">
        <f>IFERROR(__xludf.DUMMYFUNCTION("""COMPUTED_VALUE"""),"WINDOW|||KUNA 2640")</f>
        <v>WINDOW|||KUNA 2640</v>
      </c>
      <c r="P169" s="27"/>
      <c r="Q169" s="27" t="str">
        <f>IFERROR(__xludf.DUMMYFUNCTION("""COMPUTED_VALUE"""),"jose@ox-glass.com")</f>
        <v>jose@ox-glass.com</v>
      </c>
      <c r="R169" s="27" t="str">
        <f>IFERROR(__xludf.DUMMYFUNCTION("""COMPUTED_VALUE"""),"KUNA 2640")</f>
        <v>KUNA 2640</v>
      </c>
      <c r="S169" s="27" t="str">
        <f>IFERROR(__xludf.DUMMYFUNCTION("""COMPUTED_VALUE"""),"EXIT")</f>
        <v>EXIT</v>
      </c>
    </row>
    <row r="170" ht="21.75" customHeight="1">
      <c r="A170" s="23">
        <f>IFERROR(__xludf.DUMMYFUNCTION("""COMPUTED_VALUE"""),46184.43397202546)</f>
        <v>46184.43397</v>
      </c>
      <c r="B170" s="24" t="str">
        <f>IFERROR(__xludf.DUMMYFUNCTION("""COMPUTED_VALUE"""),"WINDOW")</f>
        <v>WINDOW</v>
      </c>
      <c r="C170" s="25" t="str">
        <f>IFERROR(__xludf.DUMMYFUNCTION("""COMPUTED_VALUE"""),"KUNA OXSASHG102")</f>
        <v>KUNA OXSASHG102</v>
      </c>
      <c r="D170" s="26"/>
      <c r="E170" s="27"/>
      <c r="F170" s="28">
        <f>IFERROR(__xludf.DUMMYFUNCTION("""COMPUTED_VALUE"""),1.0)</f>
        <v>1</v>
      </c>
      <c r="G170" s="27" t="str">
        <f>IFERROR(__xludf.DUMMYFUNCTION("""COMPUTED_VALUE"""),"UNIT")</f>
        <v>UNIT</v>
      </c>
      <c r="H170" s="29">
        <f>IFERROR(__xludf.DUMMYFUNCTION("""COMPUTED_VALUE"""),46174.0)</f>
        <v>46174</v>
      </c>
      <c r="I170" s="24" t="str">
        <f>IFERROR(__xludf.DUMMYFUNCTION("""COMPUTED_VALUE"""),"B6A")</f>
        <v>B6A</v>
      </c>
      <c r="J170" s="30"/>
      <c r="K170" s="27"/>
      <c r="L170" s="2" t="str">
        <f>IFERROR(__xludf.DUMMYFUNCTION("""COMPUTED_VALUE"""),"Dispatched")</f>
        <v>Dispatched</v>
      </c>
      <c r="M170" s="27" t="str">
        <f>IFERROR(__xludf.DUMMYFUNCTION("""COMPUTED_VALUE"""),"jose@ox-glass.com")</f>
        <v>jose@ox-glass.com</v>
      </c>
      <c r="N170" s="27"/>
      <c r="O170" s="27" t="str">
        <f>IFERROR(__xludf.DUMMYFUNCTION("""COMPUTED_VALUE"""),"WINDOW|||KUNA OXSASHG102")</f>
        <v>WINDOW|||KUNA OXSASHG102</v>
      </c>
      <c r="P170" s="27"/>
      <c r="Q170" s="27" t="str">
        <f>IFERROR(__xludf.DUMMYFUNCTION("""COMPUTED_VALUE"""),"jose@ox-glass.com")</f>
        <v>jose@ox-glass.com</v>
      </c>
      <c r="R170" s="27" t="str">
        <f>IFERROR(__xludf.DUMMYFUNCTION("""COMPUTED_VALUE"""),"KUNA OXSASHG102")</f>
        <v>KUNA OXSASHG102</v>
      </c>
      <c r="S170" s="27" t="str">
        <f>IFERROR(__xludf.DUMMYFUNCTION("""COMPUTED_VALUE"""),"EXIT")</f>
        <v>EXIT</v>
      </c>
    </row>
    <row r="171" ht="21.75" customHeight="1">
      <c r="A171" s="23">
        <f>IFERROR(__xludf.DUMMYFUNCTION("""COMPUTED_VALUE"""),46184.43363234954)</f>
        <v>46184.43363</v>
      </c>
      <c r="B171" s="24" t="str">
        <f>IFERROR(__xludf.DUMMYFUNCTION("""COMPUTED_VALUE"""),"WINDOW")</f>
        <v>WINDOW</v>
      </c>
      <c r="C171" s="25" t="str">
        <f>IFERROR(__xludf.DUMMYFUNCTION("""COMPUTED_VALUE"""),"KUNA XOSASHF106")</f>
        <v>KUNA XOSASHF106</v>
      </c>
      <c r="D171" s="26"/>
      <c r="E171" s="27"/>
      <c r="F171" s="28">
        <f>IFERROR(__xludf.DUMMYFUNCTION("""COMPUTED_VALUE"""),1.0)</f>
        <v>1</v>
      </c>
      <c r="G171" s="27" t="str">
        <f>IFERROR(__xludf.DUMMYFUNCTION("""COMPUTED_VALUE"""),"UNIT")</f>
        <v>UNIT</v>
      </c>
      <c r="H171" s="29">
        <f>IFERROR(__xludf.DUMMYFUNCTION("""COMPUTED_VALUE"""),46174.0)</f>
        <v>46174</v>
      </c>
      <c r="I171" s="24" t="str">
        <f>IFERROR(__xludf.DUMMYFUNCTION("""COMPUTED_VALUE"""),"B6A")</f>
        <v>B6A</v>
      </c>
      <c r="J171" s="30"/>
      <c r="K171" s="27"/>
      <c r="L171" s="2" t="str">
        <f>IFERROR(__xludf.DUMMYFUNCTION("""COMPUTED_VALUE"""),"Dispatched")</f>
        <v>Dispatched</v>
      </c>
      <c r="M171" s="27" t="str">
        <f>IFERROR(__xludf.DUMMYFUNCTION("""COMPUTED_VALUE"""),"jose@ox-glass.com")</f>
        <v>jose@ox-glass.com</v>
      </c>
      <c r="N171" s="27"/>
      <c r="O171" s="27" t="str">
        <f>IFERROR(__xludf.DUMMYFUNCTION("""COMPUTED_VALUE"""),"WINDOW|||KUNA XOSASHF106")</f>
        <v>WINDOW|||KUNA XOSASHF106</v>
      </c>
      <c r="P171" s="27"/>
      <c r="Q171" s="27" t="str">
        <f>IFERROR(__xludf.DUMMYFUNCTION("""COMPUTED_VALUE"""),"jose@ox-glass.com")</f>
        <v>jose@ox-glass.com</v>
      </c>
      <c r="R171" s="27" t="str">
        <f>IFERROR(__xludf.DUMMYFUNCTION("""COMPUTED_VALUE"""),"KUNA XOSASHF106")</f>
        <v>KUNA XOSASHF106</v>
      </c>
      <c r="S171" s="27" t="str">
        <f>IFERROR(__xludf.DUMMYFUNCTION("""COMPUTED_VALUE"""),"EXIT")</f>
        <v>EXIT</v>
      </c>
    </row>
    <row r="172" ht="21.75" customHeight="1">
      <c r="A172" s="23">
        <f>IFERROR(__xludf.DUMMYFUNCTION("""COMPUTED_VALUE"""),46184.43141953704)</f>
        <v>46184.43142</v>
      </c>
      <c r="B172" s="24" t="str">
        <f>IFERROR(__xludf.DUMMYFUNCTION("""COMPUTED_VALUE"""),"WINDOW")</f>
        <v>WINDOW</v>
      </c>
      <c r="C172" s="25" t="str">
        <f>IFERROR(__xludf.DUMMYFUNCTION("""COMPUTED_VALUE"""),"MISCJAKEBARLOW")</f>
        <v>MISCJAKEBARLOW</v>
      </c>
      <c r="D172" s="26"/>
      <c r="E172" s="27"/>
      <c r="F172" s="28">
        <f>IFERROR(__xludf.DUMMYFUNCTION("""COMPUTED_VALUE"""),2.0)</f>
        <v>2</v>
      </c>
      <c r="G172" s="27" t="str">
        <f>IFERROR(__xludf.DUMMYFUNCTION("""COMPUTED_VALUE"""),"UNIT")</f>
        <v>UNIT</v>
      </c>
      <c r="H172" s="29">
        <f>IFERROR(__xludf.DUMMYFUNCTION("""COMPUTED_VALUE"""),46169.0)</f>
        <v>46169</v>
      </c>
      <c r="I172" s="24" t="str">
        <f>IFERROR(__xludf.DUMMYFUNCTION("""COMPUTED_VALUE"""),"B6A")</f>
        <v>B6A</v>
      </c>
      <c r="J172" s="30"/>
      <c r="K172" s="27"/>
      <c r="L172" s="2" t="str">
        <f>IFERROR(__xludf.DUMMYFUNCTION("""COMPUTED_VALUE"""),"Dispatched")</f>
        <v>Dispatched</v>
      </c>
      <c r="M172" s="27" t="str">
        <f>IFERROR(__xludf.DUMMYFUNCTION("""COMPUTED_VALUE"""),"jose@ox-glass.com")</f>
        <v>jose@ox-glass.com</v>
      </c>
      <c r="N172" s="27"/>
      <c r="O172" s="27" t="str">
        <f>IFERROR(__xludf.DUMMYFUNCTION("""COMPUTED_VALUE"""),"WINDOW|||MISCJAKEBARLOW")</f>
        <v>WINDOW|||MISCJAKEBARLOW</v>
      </c>
      <c r="P172" s="27"/>
      <c r="Q172" s="27" t="str">
        <f>IFERROR(__xludf.DUMMYFUNCTION("""COMPUTED_VALUE"""),"jose@ox-glass.com")</f>
        <v>jose@ox-glass.com</v>
      </c>
      <c r="R172" s="27" t="str">
        <f>IFERROR(__xludf.DUMMYFUNCTION("""COMPUTED_VALUE"""),"MISC JAKE BARLOW")</f>
        <v>MISC JAKE BARLOW</v>
      </c>
      <c r="S172" s="27" t="str">
        <f>IFERROR(__xludf.DUMMYFUNCTION("""COMPUTED_VALUE"""),"EXIT")</f>
        <v>EXIT</v>
      </c>
    </row>
    <row r="173" ht="21.75" customHeight="1">
      <c r="A173" s="23">
        <f>IFERROR(__xludf.DUMMYFUNCTION("""COMPUTED_VALUE"""),46184.4273852662)</f>
        <v>46184.42739</v>
      </c>
      <c r="B173" s="24" t="str">
        <f>IFERROR(__xludf.DUMMYFUNCTION("""COMPUTED_VALUE"""),"WINDOW")</f>
        <v>WINDOW</v>
      </c>
      <c r="C173" s="25" t="str">
        <f>IFERROR(__xludf.DUMMYFUNCTION("""COMPUTED_VALUE"""),"HFLOT135")</f>
        <v>HFLOT135</v>
      </c>
      <c r="D173" s="26"/>
      <c r="E173" s="27"/>
      <c r="F173" s="28">
        <f>IFERROR(__xludf.DUMMYFUNCTION("""COMPUTED_VALUE"""),19.0)</f>
        <v>19</v>
      </c>
      <c r="G173" s="27" t="str">
        <f>IFERROR(__xludf.DUMMYFUNCTION("""COMPUTED_VALUE"""),"UNIT")</f>
        <v>UNIT</v>
      </c>
      <c r="H173" s="29">
        <f>IFERROR(__xludf.DUMMYFUNCTION("""COMPUTED_VALUE"""),46111.0)</f>
        <v>46111</v>
      </c>
      <c r="I173" s="24" t="str">
        <f>IFERROR(__xludf.DUMMYFUNCTION("""COMPUTED_VALUE"""),"B6A")</f>
        <v>B6A</v>
      </c>
      <c r="J173" s="30"/>
      <c r="K173" s="27"/>
      <c r="L173" s="2" t="str">
        <f>IFERROR(__xludf.DUMMYFUNCTION("""COMPUTED_VALUE"""),"Dispatched")</f>
        <v>Dispatched</v>
      </c>
      <c r="M173" s="27" t="str">
        <f>IFERROR(__xludf.DUMMYFUNCTION("""COMPUTED_VALUE"""),"jose@ox-glass.com")</f>
        <v>jose@ox-glass.com</v>
      </c>
      <c r="N173" s="27"/>
      <c r="O173" s="27" t="str">
        <f>IFERROR(__xludf.DUMMYFUNCTION("""COMPUTED_VALUE"""),"WINDOW|||HFLOT135")</f>
        <v>WINDOW|||HFLOT135</v>
      </c>
      <c r="P173" s="27"/>
      <c r="Q173" s="27" t="str">
        <f>IFERROR(__xludf.DUMMYFUNCTION("""COMPUTED_VALUE"""),"jose@ox-glass.com")</f>
        <v>jose@ox-glass.com</v>
      </c>
      <c r="R173" s="27" t="str">
        <f>IFERROR(__xludf.DUMMYFUNCTION("""COMPUTED_VALUE"""),"HFLOT135")</f>
        <v>HFLOT135</v>
      </c>
      <c r="S173" s="27" t="str">
        <f>IFERROR(__xludf.DUMMYFUNCTION("""COMPUTED_VALUE"""),"EXIT")</f>
        <v>EXIT</v>
      </c>
    </row>
    <row r="174" ht="21.75" customHeight="1">
      <c r="A174" s="23">
        <f>IFERROR(__xludf.DUMMYFUNCTION("""COMPUTED_VALUE"""),46184.33240222222)</f>
        <v>46184.3324</v>
      </c>
      <c r="B174" s="24" t="str">
        <f>IFERROR(__xludf.DUMMYFUNCTION("""COMPUTED_VALUE"""),"WINDOW")</f>
        <v>WINDOW</v>
      </c>
      <c r="C174" s="25" t="str">
        <f>IFERROR(__xludf.DUMMYFUNCTION("""COMPUTED_VALUE"""),"TVC ORCHARD GROVE")</f>
        <v>TVC ORCHARD GROVE</v>
      </c>
      <c r="D174" s="26"/>
      <c r="E174" s="27" t="str">
        <f>IFERROR(__xludf.DUMMYFUNCTION("""COMPUTED_VALUE"""),"O329Z")</f>
        <v>O329Z</v>
      </c>
      <c r="F174" s="28">
        <f>IFERROR(__xludf.DUMMYFUNCTION("""COMPUTED_VALUE"""),2.0)</f>
        <v>2</v>
      </c>
      <c r="G174" s="27" t="str">
        <f>IFERROR(__xludf.DUMMYFUNCTION("""COMPUTED_VALUE"""),"UNIT")</f>
        <v>UNIT</v>
      </c>
      <c r="H174" s="29">
        <f>IFERROR(__xludf.DUMMYFUNCTION("""COMPUTED_VALUE"""),46184.0)</f>
        <v>46184</v>
      </c>
      <c r="I174" s="24"/>
      <c r="J174" s="30" t="str">
        <f>IFERROR(__xludf.DUMMYFUNCTION("""COMPUTED_VALUE"""),"ALSIDE")</f>
        <v>ALSIDE</v>
      </c>
      <c r="K174" s="27" t="str">
        <f>IFERROR(__xludf.DUMMYFUNCTION("""COMPUTED_VALUE"""),"2 SASHES, LEFT AND RIGHT")</f>
        <v>2 SASHES, LEFT AND RIGHT</v>
      </c>
      <c r="L174" s="2" t="str">
        <f>IFERROR(__xludf.DUMMYFUNCTION("""COMPUTED_VALUE"""),"In Stock")</f>
        <v>In Stock</v>
      </c>
      <c r="M174" s="27" t="str">
        <f>IFERROR(__xludf.DUMMYFUNCTION("""COMPUTED_VALUE"""),"JOSE")</f>
        <v>JOSE</v>
      </c>
      <c r="N174" s="27" t="str">
        <f>IFERROR(__xludf.DUMMYFUNCTION("""COMPUTED_VALUE"""),"TVC ORCHARD GROVE")</f>
        <v>TVC ORCHARD GROVE</v>
      </c>
      <c r="O174" s="27" t="str">
        <f>IFERROR(__xludf.DUMMYFUNCTION("""COMPUTED_VALUE"""),"WINDOW|||TVC ORCHARD GROVE")</f>
        <v>WINDOW|||TVC ORCHARD GROVE</v>
      </c>
      <c r="P174" s="27"/>
      <c r="Q174" s="27" t="str">
        <f>IFERROR(__xludf.DUMMYFUNCTION("""COMPUTED_VALUE"""),"jose@ox-glass.com")</f>
        <v>jose@ox-glass.com</v>
      </c>
      <c r="R174" s="27" t="str">
        <f>IFERROR(__xludf.DUMMYFUNCTION("""COMPUTED_VALUE"""),"B6A")</f>
        <v>B6A</v>
      </c>
      <c r="S174" s="27" t="str">
        <f>IFERROR(__xludf.DUMMYFUNCTION("""COMPUTED_VALUE"""),"ENTRY")</f>
        <v>ENTRY</v>
      </c>
    </row>
    <row r="175" ht="21.75" customHeight="1">
      <c r="A175" s="23">
        <f>IFERROR(__xludf.DUMMYFUNCTION("""COMPUTED_VALUE"""),46182.551166296296)</f>
        <v>46182.55117</v>
      </c>
      <c r="B175" s="24" t="str">
        <f>IFERROR(__xludf.DUMMYFUNCTION("""COMPUTED_VALUE"""),"WINDOW")</f>
        <v>WINDOW</v>
      </c>
      <c r="C175" s="25" t="str">
        <f>IFERROR(__xludf.DUMMYFUNCTION("""COMPUTED_VALUE"""),"PAT BME2")</f>
        <v>PAT BME2</v>
      </c>
      <c r="D175" s="26"/>
      <c r="E175" s="27"/>
      <c r="F175" s="28">
        <f>IFERROR(__xludf.DUMMYFUNCTION("""COMPUTED_VALUE"""),12.0)</f>
        <v>12</v>
      </c>
      <c r="G175" s="27" t="str">
        <f>IFERROR(__xludf.DUMMYFUNCTION("""COMPUTED_VALUE"""),"UNIT")</f>
        <v>UNIT</v>
      </c>
      <c r="H175" s="29">
        <f>IFERROR(__xludf.DUMMYFUNCTION("""COMPUTED_VALUE"""),46182.0)</f>
        <v>46182</v>
      </c>
      <c r="I175" s="24" t="str">
        <f>IFERROR(__xludf.DUMMYFUNCTION("""COMPUTED_VALUE"""),"C")</f>
        <v>C</v>
      </c>
      <c r="J175" s="30"/>
      <c r="K175" s="27"/>
      <c r="L175" s="2" t="str">
        <f>IFERROR(__xludf.DUMMYFUNCTION("""COMPUTED_VALUE"""),"Dispatched")</f>
        <v>Dispatched</v>
      </c>
      <c r="M175" s="27" t="str">
        <f>IFERROR(__xludf.DUMMYFUNCTION("""COMPUTED_VALUE"""),"DANE'S TEAM")</f>
        <v>DANE'S TEAM</v>
      </c>
      <c r="N175" s="27"/>
      <c r="O175" s="27" t="str">
        <f>IFERROR(__xludf.DUMMYFUNCTION("""COMPUTED_VALUE"""),"WINDOW|||PAT BME2")</f>
        <v>WINDOW|||PAT BME2</v>
      </c>
      <c r="P175" s="27"/>
      <c r="Q175" s="27" t="str">
        <f>IFERROR(__xludf.DUMMYFUNCTION("""COMPUTED_VALUE"""),"jose@ox-glass.com")</f>
        <v>jose@ox-glass.com</v>
      </c>
      <c r="R175" s="27" t="str">
        <f>IFERROR(__xludf.DUMMYFUNCTION("""COMPUTED_VALUE"""),"PAT BME2")</f>
        <v>PAT BME2</v>
      </c>
      <c r="S175" s="27" t="str">
        <f>IFERROR(__xludf.DUMMYFUNCTION("""COMPUTED_VALUE"""),"EXIT")</f>
        <v>EXIT</v>
      </c>
    </row>
    <row r="176" ht="21.75" customHeight="1">
      <c r="A176" s="23">
        <f>IFERROR(__xludf.DUMMYFUNCTION("""COMPUTED_VALUE"""),46182.55111986111)</f>
        <v>46182.55112</v>
      </c>
      <c r="B176" s="24" t="str">
        <f>IFERROR(__xludf.DUMMYFUNCTION("""COMPUTED_VALUE"""),"WINDOW")</f>
        <v>WINDOW</v>
      </c>
      <c r="C176" s="25" t="str">
        <f>IFERROR(__xludf.DUMMYFUNCTION("""COMPUTED_VALUE"""),"PAT BME2")</f>
        <v>PAT BME2</v>
      </c>
      <c r="D176" s="26"/>
      <c r="E176" s="27"/>
      <c r="F176" s="28">
        <f>IFERROR(__xludf.DUMMYFUNCTION("""COMPUTED_VALUE"""),12.0)</f>
        <v>12</v>
      </c>
      <c r="G176" s="27" t="str">
        <f>IFERROR(__xludf.DUMMYFUNCTION("""COMPUTED_VALUE"""),"UNIT")</f>
        <v>UNIT</v>
      </c>
      <c r="H176" s="29">
        <f>IFERROR(__xludf.DUMMYFUNCTION("""COMPUTED_VALUE"""),46182.0)</f>
        <v>46182</v>
      </c>
      <c r="I176" s="24" t="str">
        <f>IFERROR(__xludf.DUMMYFUNCTION("""COMPUTED_VALUE"""),"B")</f>
        <v>B</v>
      </c>
      <c r="J176" s="30"/>
      <c r="K176" s="27"/>
      <c r="L176" s="2" t="str">
        <f>IFERROR(__xludf.DUMMYFUNCTION("""COMPUTED_VALUE"""),"Dispatched")</f>
        <v>Dispatched</v>
      </c>
      <c r="M176" s="27" t="str">
        <f>IFERROR(__xludf.DUMMYFUNCTION("""COMPUTED_VALUE"""),"DANE'S TEAM")</f>
        <v>DANE'S TEAM</v>
      </c>
      <c r="N176" s="27"/>
      <c r="O176" s="27" t="str">
        <f>IFERROR(__xludf.DUMMYFUNCTION("""COMPUTED_VALUE"""),"WINDOW|||PAT BME2")</f>
        <v>WINDOW|||PAT BME2</v>
      </c>
      <c r="P176" s="27"/>
      <c r="Q176" s="27" t="str">
        <f>IFERROR(__xludf.DUMMYFUNCTION("""COMPUTED_VALUE"""),"jose@ox-glass.com")</f>
        <v>jose@ox-glass.com</v>
      </c>
      <c r="R176" s="27" t="str">
        <f>IFERROR(__xludf.DUMMYFUNCTION("""COMPUTED_VALUE"""),"PAT BME2")</f>
        <v>PAT BME2</v>
      </c>
      <c r="S176" s="27" t="str">
        <f>IFERROR(__xludf.DUMMYFUNCTION("""COMPUTED_VALUE"""),"EXIT")</f>
        <v>EXIT</v>
      </c>
    </row>
    <row r="177" ht="21.75" customHeight="1">
      <c r="A177" s="23">
        <f>IFERROR(__xludf.DUMMYFUNCTION("""COMPUTED_VALUE"""),46182.54991222222)</f>
        <v>46182.54991</v>
      </c>
      <c r="B177" s="24" t="str">
        <f>IFERROR(__xludf.DUMMYFUNCTION("""COMPUTED_VALUE"""),"WINDOW")</f>
        <v>WINDOW</v>
      </c>
      <c r="C177" s="25" t="str">
        <f>IFERROR(__xludf.DUMMYFUNCTION("""COMPUTED_VALUE"""),"CRC COX")</f>
        <v>CRC COX</v>
      </c>
      <c r="D177" s="26"/>
      <c r="E177" s="27"/>
      <c r="F177" s="28">
        <f>IFERROR(__xludf.DUMMYFUNCTION("""COMPUTED_VALUE"""),10.0)</f>
        <v>10</v>
      </c>
      <c r="G177" s="27" t="str">
        <f>IFERROR(__xludf.DUMMYFUNCTION("""COMPUTED_VALUE"""),"UNIT")</f>
        <v>UNIT</v>
      </c>
      <c r="H177" s="29">
        <f>IFERROR(__xludf.DUMMYFUNCTION("""COMPUTED_VALUE"""),46182.0)</f>
        <v>46182</v>
      </c>
      <c r="I177" s="24" t="str">
        <f>IFERROR(__xludf.DUMMYFUNCTION("""COMPUTED_VALUE"""),"B5A")</f>
        <v>B5A</v>
      </c>
      <c r="J177" s="30"/>
      <c r="K177" s="27" t="str">
        <f>IFERROR(__xludf.DUMMYFUNCTION("""COMPUTED_VALUE"""),"DELIVERED TO BILL MOORE HOUSE")</f>
        <v>DELIVERED TO BILL MOORE HOUSE</v>
      </c>
      <c r="L177" s="2" t="str">
        <f>IFERROR(__xludf.DUMMYFUNCTION("""COMPUTED_VALUE"""),"Dispatched")</f>
        <v>Dispatched</v>
      </c>
      <c r="M177" s="27" t="str">
        <f>IFERROR(__xludf.DUMMYFUNCTION("""COMPUTED_VALUE"""),"JOSE")</f>
        <v>JOSE</v>
      </c>
      <c r="N177" s="27"/>
      <c r="O177" s="27" t="str">
        <f>IFERROR(__xludf.DUMMYFUNCTION("""COMPUTED_VALUE"""),"WINDOW|||CRC COX")</f>
        <v>WINDOW|||CRC COX</v>
      </c>
      <c r="P177" s="27"/>
      <c r="Q177" s="27" t="str">
        <f>IFERROR(__xludf.DUMMYFUNCTION("""COMPUTED_VALUE"""),"jose@ox-glass.com")</f>
        <v>jose@ox-glass.com</v>
      </c>
      <c r="R177" s="27" t="str">
        <f>IFERROR(__xludf.DUMMYFUNCTION("""COMPUTED_VALUE"""),"CRC COX")</f>
        <v>CRC COX</v>
      </c>
      <c r="S177" s="27" t="str">
        <f>IFERROR(__xludf.DUMMYFUNCTION("""COMPUTED_VALUE"""),"EXIT")</f>
        <v>EXIT</v>
      </c>
    </row>
    <row r="178" ht="21.75" customHeight="1">
      <c r="A178" s="23">
        <f>IFERROR(__xludf.DUMMYFUNCTION("""COMPUTED_VALUE"""),46181.55947549769)</f>
        <v>46181.55948</v>
      </c>
      <c r="B178" s="24" t="str">
        <f>IFERROR(__xludf.DUMMYFUNCTION("""COMPUTED_VALUE"""),"WINDOW")</f>
        <v>WINDOW</v>
      </c>
      <c r="C178" s="25" t="str">
        <f>IFERROR(__xludf.DUMMYFUNCTION("""COMPUTED_VALUE"""),"BJC DAYPOOL 9080 DOO")</f>
        <v>BJC DAYPOOL 9080 DOO</v>
      </c>
      <c r="D178" s="26"/>
      <c r="E178" s="27"/>
      <c r="F178" s="28">
        <f>IFERROR(__xludf.DUMMYFUNCTION("""COMPUTED_VALUE"""),1.0)</f>
        <v>1</v>
      </c>
      <c r="G178" s="27" t="str">
        <f>IFERROR(__xludf.DUMMYFUNCTION("""COMPUTED_VALUE"""),"UNIT")</f>
        <v>UNIT</v>
      </c>
      <c r="H178" s="29">
        <f>IFERROR(__xludf.DUMMYFUNCTION("""COMPUTED_VALUE"""),46181.0)</f>
        <v>46181</v>
      </c>
      <c r="I178" s="24" t="str">
        <f>IFERROR(__xludf.DUMMYFUNCTION("""COMPUTED_VALUE"""),"B1A")</f>
        <v>B1A</v>
      </c>
      <c r="J178" s="30"/>
      <c r="K178" s="27"/>
      <c r="L178" s="2" t="str">
        <f>IFERROR(__xludf.DUMMYFUNCTION("""COMPUTED_VALUE"""),"Dispatched")</f>
        <v>Dispatched</v>
      </c>
      <c r="M178" s="27" t="str">
        <f>IFERROR(__xludf.DUMMYFUNCTION("""COMPUTED_VALUE"""),"TOMMY AND PRESTON")</f>
        <v>TOMMY AND PRESTON</v>
      </c>
      <c r="N178" s="27"/>
      <c r="O178" s="27" t="str">
        <f>IFERROR(__xludf.DUMMYFUNCTION("""COMPUTED_VALUE"""),"WINDOW|||BJC DAYPOOL 9080 DOO")</f>
        <v>WINDOW|||BJC DAYPOOL 9080 DOO</v>
      </c>
      <c r="P178" s="27"/>
      <c r="Q178" s="27" t="str">
        <f>IFERROR(__xludf.DUMMYFUNCTION("""COMPUTED_VALUE"""),"jose@ox-glass.com")</f>
        <v>jose@ox-glass.com</v>
      </c>
      <c r="R178" s="27" t="str">
        <f>IFERROR(__xludf.DUMMYFUNCTION("""COMPUTED_VALUE"""),"DAY POOL HOUSE")</f>
        <v>DAY POOL HOUSE</v>
      </c>
      <c r="S178" s="27" t="str">
        <f>IFERROR(__xludf.DUMMYFUNCTION("""COMPUTED_VALUE"""),"EXIT")</f>
        <v>EXIT</v>
      </c>
    </row>
    <row r="179" ht="21.75" customHeight="1">
      <c r="A179" s="23">
        <f>IFERROR(__xludf.DUMMYFUNCTION("""COMPUTED_VALUE"""),46181.558741608795)</f>
        <v>46181.55874</v>
      </c>
      <c r="B179" s="24" t="str">
        <f>IFERROR(__xludf.DUMMYFUNCTION("""COMPUTED_VALUE"""),"WINDOW")</f>
        <v>WINDOW</v>
      </c>
      <c r="C179" s="25" t="str">
        <f>IFERROR(__xludf.DUMMYFUNCTION("""COMPUTED_VALUE"""),"DAY POOL HOUSE_MAIN OFICCE")</f>
        <v>DAY POOL HOUSE_MAIN OFICCE</v>
      </c>
      <c r="D179" s="26"/>
      <c r="E179" s="27"/>
      <c r="F179" s="28">
        <f>IFERROR(__xludf.DUMMYFUNCTION("""COMPUTED_VALUE"""),1.0)</f>
        <v>1</v>
      </c>
      <c r="G179" s="27" t="str">
        <f>IFERROR(__xludf.DUMMYFUNCTION("""COMPUTED_VALUE"""),"UNIT")</f>
        <v>UNIT</v>
      </c>
      <c r="H179" s="29">
        <f>IFERROR(__xludf.DUMMYFUNCTION("""COMPUTED_VALUE"""),46181.0)</f>
        <v>46181</v>
      </c>
      <c r="I179" s="24" t="str">
        <f>IFERROR(__xludf.DUMMYFUNCTION("""COMPUTED_VALUE"""),"B6A")</f>
        <v>B6A</v>
      </c>
      <c r="J179" s="30"/>
      <c r="K179" s="27" t="str">
        <f>IFERROR(__xludf.DUMMYFUNCTION("""COMPUTED_VALUE"""),"ALL 3 PANEL WERE TAKEN TOO.")</f>
        <v>ALL 3 PANEL WERE TAKEN TOO.</v>
      </c>
      <c r="L179" s="2" t="str">
        <f>IFERROR(__xludf.DUMMYFUNCTION("""COMPUTED_VALUE"""),"Dispatched")</f>
        <v>Dispatched</v>
      </c>
      <c r="M179" s="27" t="str">
        <f>IFERROR(__xludf.DUMMYFUNCTION("""COMPUTED_VALUE"""),"PRESTON AND TOMMY")</f>
        <v>PRESTON AND TOMMY</v>
      </c>
      <c r="N179" s="27"/>
      <c r="O179" s="27" t="str">
        <f>IFERROR(__xludf.DUMMYFUNCTION("""COMPUTED_VALUE"""),"WINDOW|||DAY POOL HOUSE_MAIN OFICCE")</f>
        <v>WINDOW|||DAY POOL HOUSE_MAIN OFICCE</v>
      </c>
      <c r="P179" s="27"/>
      <c r="Q179" s="27" t="str">
        <f>IFERROR(__xludf.DUMMYFUNCTION("""COMPUTED_VALUE"""),"jose@ox-glass.com")</f>
        <v>jose@ox-glass.com</v>
      </c>
      <c r="R179" s="27" t="str">
        <f>IFERROR(__xludf.DUMMYFUNCTION("""COMPUTED_VALUE"""),"DAY POOL HOUSE")</f>
        <v>DAY POOL HOUSE</v>
      </c>
      <c r="S179" s="27" t="str">
        <f>IFERROR(__xludf.DUMMYFUNCTION("""COMPUTED_VALUE"""),"EXIT")</f>
        <v>EXIT</v>
      </c>
    </row>
    <row r="180" ht="21.75" customHeight="1">
      <c r="A180" s="23">
        <f>IFERROR(__xludf.DUMMYFUNCTION("""COMPUTED_VALUE"""),46181.43797496528)</f>
        <v>46181.43797</v>
      </c>
      <c r="B180" s="24" t="str">
        <f>IFERROR(__xludf.DUMMYFUNCTION("""COMPUTED_VALUE"""),"WINDOW")</f>
        <v>WINDOW</v>
      </c>
      <c r="C180" s="25" t="str">
        <f>IFERROR(__xludf.DUMMYFUNCTION("""COMPUTED_VALUE"""),"CRC COX")</f>
        <v>CRC COX</v>
      </c>
      <c r="D180" s="26"/>
      <c r="E180" s="27" t="str">
        <f>IFERROR(__xludf.DUMMYFUNCTION("""COMPUTED_VALUE"""),"7036")</f>
        <v>7036</v>
      </c>
      <c r="F180" s="28">
        <f>IFERROR(__xludf.DUMMYFUNCTION("""COMPUTED_VALUE"""),1.0)</f>
        <v>1</v>
      </c>
      <c r="G180" s="27" t="str">
        <f>IFERROR(__xludf.DUMMYFUNCTION("""COMPUTED_VALUE"""),"UNIT")</f>
        <v>UNIT</v>
      </c>
      <c r="H180" s="29">
        <f>IFERROR(__xludf.DUMMYFUNCTION("""COMPUTED_VALUE"""),46181.0)</f>
        <v>46181</v>
      </c>
      <c r="I180" s="24"/>
      <c r="J180" s="30" t="str">
        <f>IFERROR(__xludf.DUMMYFUNCTION("""COMPUTED_VALUE"""),"ALSIDE")</f>
        <v>ALSIDE</v>
      </c>
      <c r="K180" s="27"/>
      <c r="L180" s="2" t="str">
        <f>IFERROR(__xludf.DUMMYFUNCTION("""COMPUTED_VALUE"""),"In Stock")</f>
        <v>In Stock</v>
      </c>
      <c r="M180" s="27" t="str">
        <f>IFERROR(__xludf.DUMMYFUNCTION("""COMPUTED_VALUE"""),"JOSE")</f>
        <v>JOSE</v>
      </c>
      <c r="N180" s="27" t="str">
        <f>IFERROR(__xludf.DUMMYFUNCTION("""COMPUTED_VALUE"""),"CRC COX")</f>
        <v>CRC COX</v>
      </c>
      <c r="O180" s="27" t="str">
        <f>IFERROR(__xludf.DUMMYFUNCTION("""COMPUTED_VALUE"""),"WINDOW|||CRC COX")</f>
        <v>WINDOW|||CRC COX</v>
      </c>
      <c r="P180" s="27" t="str">
        <f>IFERROR(__xludf.DUMMYFUNCTION("""COMPUTED_VALUE"""),"Delivery||https://drive.google.com/file/d/1W55qEiIdGr_AKoY8NLEiv7wRRskYnEaC/view?usp=drivesdk")</f>
        <v>Delivery||https://drive.google.com/file/d/1W55qEiIdGr_AKoY8NLEiv7wRRskYnEaC/view?usp=drivesdk</v>
      </c>
      <c r="Q180" s="27" t="str">
        <f>IFERROR(__xludf.DUMMYFUNCTION("""COMPUTED_VALUE"""),"jose@ox-glass.com")</f>
        <v>jose@ox-glass.com</v>
      </c>
      <c r="R180" s="27" t="str">
        <f>IFERROR(__xludf.DUMMYFUNCTION("""COMPUTED_VALUE"""),"B5A")</f>
        <v>B5A</v>
      </c>
      <c r="S180" s="27" t="str">
        <f>IFERROR(__xludf.DUMMYFUNCTION("""COMPUTED_VALUE"""),"ENTRY")</f>
        <v>ENTRY</v>
      </c>
    </row>
    <row r="181" ht="21.75" customHeight="1">
      <c r="A181" s="23">
        <f>IFERROR(__xludf.DUMMYFUNCTION("""COMPUTED_VALUE"""),46181.39001563657)</f>
        <v>46181.39002</v>
      </c>
      <c r="B181" s="24" t="str">
        <f>IFERROR(__xludf.DUMMYFUNCTION("""COMPUTED_VALUE"""),"WINDOW")</f>
        <v>WINDOW</v>
      </c>
      <c r="C181" s="25" t="str">
        <f>IFERROR(__xludf.DUMMYFUNCTION("""COMPUTED_VALUE"""),"BJC DAYPOOL 9080 DOO")</f>
        <v>BJC DAYPOOL 9080 DOO</v>
      </c>
      <c r="D181" s="26"/>
      <c r="E181" s="27"/>
      <c r="F181" s="28">
        <f>IFERROR(__xludf.DUMMYFUNCTION("""COMPUTED_VALUE"""),1.0)</f>
        <v>1</v>
      </c>
      <c r="G181" s="27" t="str">
        <f>IFERROR(__xludf.DUMMYFUNCTION("""COMPUTED_VALUE"""),"UNIT")</f>
        <v>UNIT</v>
      </c>
      <c r="H181" s="29">
        <f>IFERROR(__xludf.DUMMYFUNCTION("""COMPUTED_VALUE"""),46181.0)</f>
        <v>46181</v>
      </c>
      <c r="I181" s="24"/>
      <c r="J181" s="30" t="str">
        <f>IFERROR(__xludf.DUMMYFUNCTION("""COMPUTED_VALUE"""),"ALSIDE")</f>
        <v>ALSIDE</v>
      </c>
      <c r="K181" s="27" t="str">
        <f>IFERROR(__xludf.DUMMYFUNCTION("""COMPUTED_VALUE"""),"BIG DOOR")</f>
        <v>BIG DOOR</v>
      </c>
      <c r="L181" s="2" t="str">
        <f>IFERROR(__xludf.DUMMYFUNCTION("""COMPUTED_VALUE"""),"In Stock")</f>
        <v>In Stock</v>
      </c>
      <c r="M181" s="27" t="str">
        <f>IFERROR(__xludf.DUMMYFUNCTION("""COMPUTED_VALUE"""),"JOSE")</f>
        <v>JOSE</v>
      </c>
      <c r="N181" s="27" t="str">
        <f>IFERROR(__xludf.DUMMYFUNCTION("""COMPUTED_VALUE"""),"DAYPOOL 9080")</f>
        <v>DAYPOOL 9080</v>
      </c>
      <c r="O181" s="27" t="str">
        <f>IFERROR(__xludf.DUMMYFUNCTION("""COMPUTED_VALUE"""),"WINDOW|||BJC DAYPOOL 9080 DOO")</f>
        <v>WINDOW|||BJC DAYPOOL 9080 DOO</v>
      </c>
      <c r="P181" s="27" t="str">
        <f>IFERROR(__xludf.DUMMYFUNCTION("""COMPUTED_VALUE"""),"Delivery||https://drive.google.com/file/d/1SkOMgh53ubNP9hy8Sm2mfLwTKHHv1dd1/view?usp=drivesdk")</f>
        <v>Delivery||https://drive.google.com/file/d/1SkOMgh53ubNP9hy8Sm2mfLwTKHHv1dd1/view?usp=drivesdk</v>
      </c>
      <c r="Q181" s="27" t="str">
        <f>IFERROR(__xludf.DUMMYFUNCTION("""COMPUTED_VALUE"""),"jose@ox-glass.com")</f>
        <v>jose@ox-glass.com</v>
      </c>
      <c r="R181" s="27" t="str">
        <f>IFERROR(__xludf.DUMMYFUNCTION("""COMPUTED_VALUE"""),"B1A")</f>
        <v>B1A</v>
      </c>
      <c r="S181" s="27" t="str">
        <f>IFERROR(__xludf.DUMMYFUNCTION("""COMPUTED_VALUE"""),"ENTRY")</f>
        <v>ENTRY</v>
      </c>
    </row>
    <row r="182" ht="21.75" customHeight="1">
      <c r="A182" s="23">
        <f>IFERROR(__xludf.DUMMYFUNCTION("""COMPUTED_VALUE"""),46178.57100795139)</f>
        <v>46178.57101</v>
      </c>
      <c r="B182" s="24" t="str">
        <f>IFERROR(__xludf.DUMMYFUNCTION("""COMPUTED_VALUE"""),"WINDOW")</f>
        <v>WINDOW</v>
      </c>
      <c r="C182" s="25" t="str">
        <f>IFERROR(__xludf.DUMMYFUNCTION("""COMPUTED_VALUE"""),"WHI SM213")</f>
        <v>WHI SM213</v>
      </c>
      <c r="D182" s="26"/>
      <c r="E182" s="27"/>
      <c r="F182" s="28">
        <f>IFERROR(__xludf.DUMMYFUNCTION("""COMPUTED_VALUE"""),16.0)</f>
        <v>16</v>
      </c>
      <c r="G182" s="27" t="str">
        <f>IFERROR(__xludf.DUMMYFUNCTION("""COMPUTED_VALUE"""),"UNIT")</f>
        <v>UNIT</v>
      </c>
      <c r="H182" s="29">
        <f>IFERROR(__xludf.DUMMYFUNCTION("""COMPUTED_VALUE"""),46178.0)</f>
        <v>46178</v>
      </c>
      <c r="I182" s="24"/>
      <c r="J182" s="30" t="str">
        <f>IFERROR(__xludf.DUMMYFUNCTION("""COMPUTED_VALUE"""),"AMSCO")</f>
        <v>AMSCO</v>
      </c>
      <c r="K182" s="27"/>
      <c r="L182" s="2" t="str">
        <f>IFERROR(__xludf.DUMMYFUNCTION("""COMPUTED_VALUE"""),"In Stock")</f>
        <v>In Stock</v>
      </c>
      <c r="M182" s="27" t="str">
        <f>IFERROR(__xludf.DUMMYFUNCTION("""COMPUTED_VALUE"""),"TERRY")</f>
        <v>TERRY</v>
      </c>
      <c r="N182" s="27" t="str">
        <f>IFERROR(__xludf.DUMMYFUNCTION("""COMPUTED_VALUE"""),"WHI SM213")</f>
        <v>WHI SM213</v>
      </c>
      <c r="O182" s="27" t="str">
        <f>IFERROR(__xludf.DUMMYFUNCTION("""COMPUTED_VALUE"""),"WINDOW|||WHI SM213")</f>
        <v>WINDOW|||WHI SM213</v>
      </c>
      <c r="P182" s="27" t="str">
        <f>IFERROR(__xludf.DUMMYFUNCTION("""COMPUTED_VALUE"""),"Delivery||https://drive.google.com/file/d/1KQv3S4ocTCY2cDmmb8tQXz0MqcDdSryj/view?usp=drivesdk")</f>
        <v>Delivery||https://drive.google.com/file/d/1KQv3S4ocTCY2cDmmb8tQXz0MqcDdSryj/view?usp=drivesdk</v>
      </c>
      <c r="Q182" s="27" t="str">
        <f>IFERROR(__xludf.DUMMYFUNCTION("""COMPUTED_VALUE"""),"jose@ox-glass.com")</f>
        <v>jose@ox-glass.com</v>
      </c>
      <c r="R182" s="27" t="str">
        <f>IFERROR(__xludf.DUMMYFUNCTION("""COMPUTED_VALUE"""),"A2A")</f>
        <v>A2A</v>
      </c>
      <c r="S182" s="27" t="str">
        <f>IFERROR(__xludf.DUMMYFUNCTION("""COMPUTED_VALUE"""),"ENTRY")</f>
        <v>ENTRY</v>
      </c>
    </row>
    <row r="183" ht="21.75" customHeight="1">
      <c r="A183" s="23">
        <f>IFERROR(__xludf.DUMMYFUNCTION("""COMPUTED_VALUE"""),46178.569662766204)</f>
        <v>46178.56966</v>
      </c>
      <c r="B183" s="24" t="str">
        <f>IFERROR(__xludf.DUMMYFUNCTION("""COMPUTED_VALUE"""),"WINDOW")</f>
        <v>WINDOW</v>
      </c>
      <c r="C183" s="25" t="str">
        <f>IFERROR(__xludf.DUMMYFUNCTION("""COMPUTED_VALUE"""),"WHI SM215")</f>
        <v>WHI SM215</v>
      </c>
      <c r="D183" s="26"/>
      <c r="E183" s="27"/>
      <c r="F183" s="28">
        <f>IFERROR(__xludf.DUMMYFUNCTION("""COMPUTED_VALUE"""),15.0)</f>
        <v>15</v>
      </c>
      <c r="G183" s="27" t="str">
        <f>IFERROR(__xludf.DUMMYFUNCTION("""COMPUTED_VALUE"""),"UNIT")</f>
        <v>UNIT</v>
      </c>
      <c r="H183" s="29">
        <f>IFERROR(__xludf.DUMMYFUNCTION("""COMPUTED_VALUE"""),46178.0)</f>
        <v>46178</v>
      </c>
      <c r="I183" s="24"/>
      <c r="J183" s="30" t="str">
        <f>IFERROR(__xludf.DUMMYFUNCTION("""COMPUTED_VALUE"""),"AMSCO")</f>
        <v>AMSCO</v>
      </c>
      <c r="K183" s="27"/>
      <c r="L183" s="2" t="str">
        <f>IFERROR(__xludf.DUMMYFUNCTION("""COMPUTED_VALUE"""),"In Stock")</f>
        <v>In Stock</v>
      </c>
      <c r="M183" s="27" t="str">
        <f>IFERROR(__xludf.DUMMYFUNCTION("""COMPUTED_VALUE"""),"TERRY")</f>
        <v>TERRY</v>
      </c>
      <c r="N183" s="27" t="str">
        <f>IFERROR(__xludf.DUMMYFUNCTION("""COMPUTED_VALUE"""),"WHI SM215")</f>
        <v>WHI SM215</v>
      </c>
      <c r="O183" s="27" t="str">
        <f>IFERROR(__xludf.DUMMYFUNCTION("""COMPUTED_VALUE"""),"WINDOW|||WHI SM215")</f>
        <v>WINDOW|||WHI SM215</v>
      </c>
      <c r="P183" s="27" t="str">
        <f>IFERROR(__xludf.DUMMYFUNCTION("""COMPUTED_VALUE"""),"Delivery||https://drive.google.com/file/d/1w_HTbNtqkkkA2XC73tn1AS3QgTJl4FGz/view?usp=drivesdk")</f>
        <v>Delivery||https://drive.google.com/file/d/1w_HTbNtqkkkA2XC73tn1AS3QgTJl4FGz/view?usp=drivesdk</v>
      </c>
      <c r="Q183" s="27" t="str">
        <f>IFERROR(__xludf.DUMMYFUNCTION("""COMPUTED_VALUE"""),"jose@ox-glass.com")</f>
        <v>jose@ox-glass.com</v>
      </c>
      <c r="R183" s="27" t="str">
        <f>IFERROR(__xludf.DUMMYFUNCTION("""COMPUTED_VALUE"""),"A5A")</f>
        <v>A5A</v>
      </c>
      <c r="S183" s="27" t="str">
        <f>IFERROR(__xludf.DUMMYFUNCTION("""COMPUTED_VALUE"""),"ENTRY")</f>
        <v>ENTRY</v>
      </c>
    </row>
    <row r="184" ht="21.75" customHeight="1">
      <c r="A184" s="23">
        <f>IFERROR(__xludf.DUMMYFUNCTION("""COMPUTED_VALUE"""),46178.5681218287)</f>
        <v>46178.56812</v>
      </c>
      <c r="B184" s="24" t="str">
        <f>IFERROR(__xludf.DUMMYFUNCTION("""COMPUTED_VALUE"""),"WINDOW")</f>
        <v>WINDOW</v>
      </c>
      <c r="C184" s="25" t="str">
        <f>IFERROR(__xludf.DUMMYFUNCTION("""COMPUTED_VALUE"""),"MISCJAKEBARLOW")</f>
        <v>MISCJAKEBARLOW</v>
      </c>
      <c r="D184" s="26"/>
      <c r="E184" s="27"/>
      <c r="F184" s="28">
        <f>IFERROR(__xludf.DUMMYFUNCTION("""COMPUTED_VALUE"""),2.0)</f>
        <v>2</v>
      </c>
      <c r="G184" s="27" t="str">
        <f>IFERROR(__xludf.DUMMYFUNCTION("""COMPUTED_VALUE"""),"UNIT")</f>
        <v>UNIT</v>
      </c>
      <c r="H184" s="29">
        <f>IFERROR(__xludf.DUMMYFUNCTION("""COMPUTED_VALUE"""),46178.0)</f>
        <v>46178</v>
      </c>
      <c r="I184" s="24" t="str">
        <f>IFERROR(__xludf.DUMMYFUNCTION("""COMPUTED_VALUE"""),"C1A")</f>
        <v>C1A</v>
      </c>
      <c r="J184" s="30"/>
      <c r="K184" s="27"/>
      <c r="L184" s="2" t="str">
        <f>IFERROR(__xludf.DUMMYFUNCTION("""COMPUTED_VALUE"""),"In Stock")</f>
        <v>In Stock</v>
      </c>
      <c r="M184" s="27" t="str">
        <f>IFERROR(__xludf.DUMMYFUNCTION("""COMPUTED_VALUE"""),"JOSE")</f>
        <v>JOSE</v>
      </c>
      <c r="N184" s="27" t="str">
        <f>IFERROR(__xludf.DUMMYFUNCTION("""COMPUTED_VALUE"""),"GENERIC")</f>
        <v>GENERIC</v>
      </c>
      <c r="O184" s="27" t="str">
        <f>IFERROR(__xludf.DUMMYFUNCTION("""COMPUTED_VALUE"""),"WINDOW|||MISCJAKEBARLOW")</f>
        <v>WINDOW|||MISCJAKEBARLOW</v>
      </c>
      <c r="P184" s="27"/>
      <c r="Q184" s="27" t="str">
        <f>IFERROR(__xludf.DUMMYFUNCTION("""COMPUTED_VALUE"""),"jose@ox-glass.com")</f>
        <v>jose@ox-glass.com</v>
      </c>
      <c r="R184" s="27" t="str">
        <f>IFERROR(__xludf.DUMMYFUNCTION("""COMPUTED_VALUE"""),"C3A")</f>
        <v>C3A</v>
      </c>
      <c r="S184" s="27" t="str">
        <f>IFERROR(__xludf.DUMMYFUNCTION("""COMPUTED_VALUE"""),"TRANSFER")</f>
        <v>TRANSFER</v>
      </c>
    </row>
    <row r="185" ht="21.75" customHeight="1">
      <c r="A185" s="23">
        <f>IFERROR(__xludf.DUMMYFUNCTION("""COMPUTED_VALUE"""),46178.56480325232)</f>
        <v>46178.5648</v>
      </c>
      <c r="B185" s="24" t="str">
        <f>IFERROR(__xludf.DUMMYFUNCTION("""COMPUTED_VALUE"""),"WINDOW")</f>
        <v>WINDOW</v>
      </c>
      <c r="C185" s="25" t="str">
        <f>IFERROR(__xludf.DUMMYFUNCTION("""COMPUTED_VALUE"""),"ALTA VISTA ADD WIND")</f>
        <v>ALTA VISTA ADD WIND</v>
      </c>
      <c r="D185" s="26"/>
      <c r="E185" s="27"/>
      <c r="F185" s="28">
        <f>IFERROR(__xludf.DUMMYFUNCTION("""COMPUTED_VALUE"""),1.0)</f>
        <v>1</v>
      </c>
      <c r="G185" s="27" t="str">
        <f>IFERROR(__xludf.DUMMYFUNCTION("""COMPUTED_VALUE"""),"UNIT")</f>
        <v>UNIT</v>
      </c>
      <c r="H185" s="29">
        <f>IFERROR(__xludf.DUMMYFUNCTION("""COMPUTED_VALUE"""),46178.0)</f>
        <v>46178</v>
      </c>
      <c r="I185" s="24" t="str">
        <f>IFERROR(__xludf.DUMMYFUNCTION("""COMPUTED_VALUE"""),"B1A")</f>
        <v>B1A</v>
      </c>
      <c r="J185" s="30"/>
      <c r="K185" s="27"/>
      <c r="L185" s="2" t="str">
        <f>IFERROR(__xludf.DUMMYFUNCTION("""COMPUTED_VALUE"""),"In Stock")</f>
        <v>In Stock</v>
      </c>
      <c r="M185" s="27" t="str">
        <f>IFERROR(__xludf.DUMMYFUNCTION("""COMPUTED_VALUE"""),"JOSE")</f>
        <v>JOSE</v>
      </c>
      <c r="N185" s="27" t="str">
        <f>IFERROR(__xludf.DUMMYFUNCTION("""COMPUTED_VALUE"""),"GENERIC")</f>
        <v>GENERIC</v>
      </c>
      <c r="O185" s="27" t="str">
        <f>IFERROR(__xludf.DUMMYFUNCTION("""COMPUTED_VALUE"""),"WINDOW|||ALTA VISTA ADD WIND")</f>
        <v>WINDOW|||ALTA VISTA ADD WIND</v>
      </c>
      <c r="P185" s="27"/>
      <c r="Q185" s="27" t="str">
        <f>IFERROR(__xludf.DUMMYFUNCTION("""COMPUTED_VALUE"""),"jose@ox-glass.com")</f>
        <v>jose@ox-glass.com</v>
      </c>
      <c r="R185" s="27" t="str">
        <f>IFERROR(__xludf.DUMMYFUNCTION("""COMPUTED_VALUE"""),"C3A")</f>
        <v>C3A</v>
      </c>
      <c r="S185" s="27" t="str">
        <f>IFERROR(__xludf.DUMMYFUNCTION("""COMPUTED_VALUE"""),"TRANSFER")</f>
        <v>TRANSFER</v>
      </c>
    </row>
    <row r="186" ht="21.75" customHeight="1">
      <c r="A186" s="23">
        <f>IFERROR(__xludf.DUMMYFUNCTION("""COMPUTED_VALUE"""),46178.56372644676)</f>
        <v>46178.56373</v>
      </c>
      <c r="B186" s="24" t="str">
        <f>IFERROR(__xludf.DUMMYFUNCTION("""COMPUTED_VALUE"""),"WINDOW")</f>
        <v>WINDOW</v>
      </c>
      <c r="C186" s="25" t="str">
        <f>IFERROR(__xludf.DUMMYFUNCTION("""COMPUTED_VALUE"""),"TRENTBJAMESANDERSON")</f>
        <v>TRENTBJAMESANDERSON</v>
      </c>
      <c r="D186" s="26"/>
      <c r="E186" s="27"/>
      <c r="F186" s="28">
        <f>IFERROR(__xludf.DUMMYFUNCTION("""COMPUTED_VALUE"""),6.0)</f>
        <v>6</v>
      </c>
      <c r="G186" s="27" t="str">
        <f>IFERROR(__xludf.DUMMYFUNCTION("""COMPUTED_VALUE"""),"UNIT")</f>
        <v>UNIT</v>
      </c>
      <c r="H186" s="29">
        <f>IFERROR(__xludf.DUMMYFUNCTION("""COMPUTED_VALUE"""),46178.0)</f>
        <v>46178</v>
      </c>
      <c r="I186" s="24"/>
      <c r="J186" s="30" t="str">
        <f>IFERROR(__xludf.DUMMYFUNCTION("""COMPUTED_VALUE"""),"AMSCO")</f>
        <v>AMSCO</v>
      </c>
      <c r="K186" s="27" t="str">
        <f>IFERROR(__xludf.DUMMYFUNCTION("""COMPUTED_VALUE"""),"TRENTB. RU103 JAMES ANDERSON")</f>
        <v>TRENTB. RU103 JAMES ANDERSON</v>
      </c>
      <c r="L186" s="2" t="str">
        <f>IFERROR(__xludf.DUMMYFUNCTION("""COMPUTED_VALUE"""),"In Stock")</f>
        <v>In Stock</v>
      </c>
      <c r="M186" s="27" t="str">
        <f>IFERROR(__xludf.DUMMYFUNCTION("""COMPUTED_VALUE"""),"TERRY")</f>
        <v>TERRY</v>
      </c>
      <c r="N186" s="27" t="str">
        <f>IFERROR(__xludf.DUMMYFUNCTION("""COMPUTED_VALUE"""),"JAMES ANDERSON")</f>
        <v>JAMES ANDERSON</v>
      </c>
      <c r="O186" s="27" t="str">
        <f>IFERROR(__xludf.DUMMYFUNCTION("""COMPUTED_VALUE"""),"WINDOW|||TRENTBJAMESANDERSON")</f>
        <v>WINDOW|||TRENTBJAMESANDERSON</v>
      </c>
      <c r="P186" s="27" t="str">
        <f>IFERROR(__xludf.DUMMYFUNCTION("""COMPUTED_VALUE"""),"Delivery||https://drive.google.com/file/d/14S3QHqzmrX49W1m12G8uDCqKXx2khonA/view?usp=drivesdk")</f>
        <v>Delivery||https://drive.google.com/file/d/14S3QHqzmrX49W1m12G8uDCqKXx2khonA/view?usp=drivesdk</v>
      </c>
      <c r="Q186" s="27" t="str">
        <f>IFERROR(__xludf.DUMMYFUNCTION("""COMPUTED_VALUE"""),"jose@ox-glass.com")</f>
        <v>jose@ox-glass.com</v>
      </c>
      <c r="R186" s="27" t="str">
        <f>IFERROR(__xludf.DUMMYFUNCTION("""COMPUTED_VALUE"""),"A")</f>
        <v>A</v>
      </c>
      <c r="S186" s="27" t="str">
        <f>IFERROR(__xludf.DUMMYFUNCTION("""COMPUTED_VALUE"""),"ENTRY")</f>
        <v>ENTRY</v>
      </c>
    </row>
    <row r="187" ht="21.75" customHeight="1">
      <c r="A187" s="23">
        <f>IFERROR(__xludf.DUMMYFUNCTION("""COMPUTED_VALUE"""),46178.410172881944)</f>
        <v>46178.41017</v>
      </c>
      <c r="B187" s="24" t="str">
        <f>IFERROR(__xludf.DUMMYFUNCTION("""COMPUTED_VALUE"""),"WINDOW")</f>
        <v>WINDOW</v>
      </c>
      <c r="C187" s="25" t="str">
        <f>IFERROR(__xludf.DUMMYFUNCTION("""COMPUTED_VALUE"""),"DAY POOL HOUSE_MAIN OFICCE")</f>
        <v>DAY POOL HOUSE_MAIN OFICCE</v>
      </c>
      <c r="D187" s="26"/>
      <c r="E187" s="27"/>
      <c r="F187" s="28">
        <f>IFERROR(__xludf.DUMMYFUNCTION("""COMPUTED_VALUE"""),1.0)</f>
        <v>1</v>
      </c>
      <c r="G187" s="27" t="str">
        <f>IFERROR(__xludf.DUMMYFUNCTION("""COMPUTED_VALUE"""),"UNIT")</f>
        <v>UNIT</v>
      </c>
      <c r="H187" s="29">
        <f>IFERROR(__xludf.DUMMYFUNCTION("""COMPUTED_VALUE"""),46176.0)</f>
        <v>46176</v>
      </c>
      <c r="I187" s="24" t="str">
        <f>IFERROR(__xludf.DUMMYFUNCTION("""COMPUTED_VALUE"""),"B1A")</f>
        <v>B1A</v>
      </c>
      <c r="J187" s="30"/>
      <c r="K187" s="27"/>
      <c r="L187" s="2" t="str">
        <f>IFERROR(__xludf.DUMMYFUNCTION("""COMPUTED_VALUE"""),"In Stock")</f>
        <v>In Stock</v>
      </c>
      <c r="M187" s="27" t="str">
        <f>IFERROR(__xludf.DUMMYFUNCTION("""COMPUTED_VALUE"""),"JOSE")</f>
        <v>JOSE</v>
      </c>
      <c r="N187" s="27" t="str">
        <f>IFERROR(__xludf.DUMMYFUNCTION("""COMPUTED_VALUE"""),"GENERIC")</f>
        <v>GENERIC</v>
      </c>
      <c r="O187" s="27" t="str">
        <f>IFERROR(__xludf.DUMMYFUNCTION("""COMPUTED_VALUE"""),"WINDOW|||DAY POOL HOUSE_MAIN OFICCE")</f>
        <v>WINDOW|||DAY POOL HOUSE_MAIN OFICCE</v>
      </c>
      <c r="P187" s="27"/>
      <c r="Q187" s="27" t="str">
        <f>IFERROR(__xludf.DUMMYFUNCTION("""COMPUTED_VALUE"""),"jose@ox-glass.com")</f>
        <v>jose@ox-glass.com</v>
      </c>
      <c r="R187" s="27" t="str">
        <f>IFERROR(__xludf.DUMMYFUNCTION("""COMPUTED_VALUE"""),"B6A")</f>
        <v>B6A</v>
      </c>
      <c r="S187" s="27" t="str">
        <f>IFERROR(__xludf.DUMMYFUNCTION("""COMPUTED_VALUE"""),"TRANSFER")</f>
        <v>TRANSFER</v>
      </c>
    </row>
    <row r="188" ht="21.75" customHeight="1">
      <c r="A188" s="23">
        <f>IFERROR(__xludf.DUMMYFUNCTION("""COMPUTED_VALUE"""),46177.64008872685)</f>
        <v>46177.64009</v>
      </c>
      <c r="B188" s="24" t="str">
        <f>IFERROR(__xludf.DUMMYFUNCTION("""COMPUTED_VALUE"""),"WINDOW")</f>
        <v>WINDOW</v>
      </c>
      <c r="C188" s="25" t="str">
        <f>IFERROR(__xludf.DUMMYFUNCTION("""COMPUTED_VALUE"""),"CRC COX")</f>
        <v>CRC COX</v>
      </c>
      <c r="D188" s="26"/>
      <c r="E188" s="27" t="str">
        <f>IFERROR(__xludf.DUMMYFUNCTION("""COMPUTED_VALUE"""),"7036")</f>
        <v>7036</v>
      </c>
      <c r="F188" s="28">
        <f>IFERROR(__xludf.DUMMYFUNCTION("""COMPUTED_VALUE"""),9.0)</f>
        <v>9</v>
      </c>
      <c r="G188" s="27" t="str">
        <f>IFERROR(__xludf.DUMMYFUNCTION("""COMPUTED_VALUE"""),"UNIT")</f>
        <v>UNIT</v>
      </c>
      <c r="H188" s="29">
        <f>IFERROR(__xludf.DUMMYFUNCTION("""COMPUTED_VALUE"""),46168.0)</f>
        <v>46168</v>
      </c>
      <c r="I188" s="24"/>
      <c r="J188" s="30" t="str">
        <f>IFERROR(__xludf.DUMMYFUNCTION("""COMPUTED_VALUE"""),"ALSIDE")</f>
        <v>ALSIDE</v>
      </c>
      <c r="K188" s="27" t="str">
        <f>IFERROR(__xludf.DUMMYFUNCTION("""COMPUTED_VALUE"""),"BIG WINDOWS COVERED IN CARDBOARD.")</f>
        <v>BIG WINDOWS COVERED IN CARDBOARD.</v>
      </c>
      <c r="L188" s="2" t="str">
        <f>IFERROR(__xludf.DUMMYFUNCTION("""COMPUTED_VALUE"""),"In Stock")</f>
        <v>In Stock</v>
      </c>
      <c r="M188" s="27" t="str">
        <f>IFERROR(__xludf.DUMMYFUNCTION("""COMPUTED_VALUE"""),"JOSE")</f>
        <v>JOSE</v>
      </c>
      <c r="N188" s="27" t="str">
        <f>IFERROR(__xludf.DUMMYFUNCTION("""COMPUTED_VALUE"""),"CRC COX")</f>
        <v>CRC COX</v>
      </c>
      <c r="O188" s="27" t="str">
        <f>IFERROR(__xludf.DUMMYFUNCTION("""COMPUTED_VALUE"""),"WINDOW|||CRC COX")</f>
        <v>WINDOW|||CRC COX</v>
      </c>
      <c r="P188" s="27"/>
      <c r="Q188" s="27" t="str">
        <f>IFERROR(__xludf.DUMMYFUNCTION("""COMPUTED_VALUE"""),"jose@ox-glass.com")</f>
        <v>jose@ox-glass.com</v>
      </c>
      <c r="R188" s="27" t="str">
        <f>IFERROR(__xludf.DUMMYFUNCTION("""COMPUTED_VALUE"""),"B5A")</f>
        <v>B5A</v>
      </c>
      <c r="S188" s="27" t="str">
        <f>IFERROR(__xludf.DUMMYFUNCTION("""COMPUTED_VALUE"""),"ENTRY")</f>
        <v>ENTRY</v>
      </c>
    </row>
    <row r="189" ht="21.75" customHeight="1">
      <c r="A189" s="23">
        <f>IFERROR(__xludf.DUMMYFUNCTION("""COMPUTED_VALUE"""),46176.50450351852)</f>
        <v>46176.5045</v>
      </c>
      <c r="B189" s="24" t="str">
        <f>IFERROR(__xludf.DUMMYFUNCTION("""COMPUTED_VALUE"""),"WINDOW")</f>
        <v>WINDOW</v>
      </c>
      <c r="C189" s="25" t="str">
        <f>IFERROR(__xludf.DUMMYFUNCTION("""COMPUTED_VALUE"""),"LGI OQM175 SUPP")</f>
        <v>LGI OQM175 SUPP</v>
      </c>
      <c r="D189" s="26" t="str">
        <f>IFERROR(__xludf.DUMMYFUNCTION("""COMPUTED_VALUE"""),"LGI")</f>
        <v>LGI</v>
      </c>
      <c r="E189" s="27"/>
      <c r="F189" s="28">
        <f>IFERROR(__xludf.DUMMYFUNCTION("""COMPUTED_VALUE"""),3.0)</f>
        <v>3</v>
      </c>
      <c r="G189" s="27" t="str">
        <f>IFERROR(__xludf.DUMMYFUNCTION("""COMPUTED_VALUE"""),"UNIT")</f>
        <v>UNIT</v>
      </c>
      <c r="H189" s="29">
        <f>IFERROR(__xludf.DUMMYFUNCTION("""COMPUTED_VALUE"""),46176.0)</f>
        <v>46176</v>
      </c>
      <c r="I189" s="24" t="str">
        <f>IFERROR(__xludf.DUMMYFUNCTION("""COMPUTED_VALUE"""),"C1A")</f>
        <v>C1A</v>
      </c>
      <c r="J189" s="30"/>
      <c r="K189" s="27"/>
      <c r="L189" s="2" t="str">
        <f>IFERROR(__xludf.DUMMYFUNCTION("""COMPUTED_VALUE"""),"Dispatched")</f>
        <v>Dispatched</v>
      </c>
      <c r="M189" s="27" t="str">
        <f>IFERROR(__xludf.DUMMYFUNCTION("""COMPUTED_VALUE"""),"JOE L.")</f>
        <v>JOE L.</v>
      </c>
      <c r="N189" s="27"/>
      <c r="O189" s="27" t="str">
        <f>IFERROR(__xludf.DUMMYFUNCTION("""COMPUTED_VALUE"""),"WINDOW|||LGI OQM175 SUPP")</f>
        <v>WINDOW|||LGI OQM175 SUPP</v>
      </c>
      <c r="P189" s="27"/>
      <c r="Q189" s="27" t="str">
        <f>IFERROR(__xludf.DUMMYFUNCTION("""COMPUTED_VALUE"""),"jose@ox-glass.com")</f>
        <v>jose@ox-glass.com</v>
      </c>
      <c r="R189" s="27" t="str">
        <f>IFERROR(__xludf.DUMMYFUNCTION("""COMPUTED_VALUE"""),"LGI OQM175 SUPP")</f>
        <v>LGI OQM175 SUPP</v>
      </c>
      <c r="S189" s="27" t="str">
        <f>IFERROR(__xludf.DUMMYFUNCTION("""COMPUTED_VALUE"""),"EXIT")</f>
        <v>EXIT</v>
      </c>
    </row>
    <row r="190" ht="21.75" customHeight="1">
      <c r="A190" s="23">
        <f>IFERROR(__xludf.DUMMYFUNCTION("""COMPUTED_VALUE"""),46176.502943252315)</f>
        <v>46176.50294</v>
      </c>
      <c r="B190" s="24" t="str">
        <f>IFERROR(__xludf.DUMMYFUNCTION("""COMPUTED_VALUE"""),"WINDOW")</f>
        <v>WINDOW</v>
      </c>
      <c r="C190" s="25" t="str">
        <f>IFERROR(__xludf.DUMMYFUNCTION("""COMPUTED_VALUE"""),"ALTA VISTA ADD WIND")</f>
        <v>ALTA VISTA ADD WIND</v>
      </c>
      <c r="D190" s="26"/>
      <c r="E190" s="27" t="str">
        <f>IFERROR(__xludf.DUMMYFUNCTION("""COMPUTED_VALUE"""),"7037")</f>
        <v>7037</v>
      </c>
      <c r="F190" s="28">
        <f>IFERROR(__xludf.DUMMYFUNCTION("""COMPUTED_VALUE"""),1.0)</f>
        <v>1</v>
      </c>
      <c r="G190" s="27" t="str">
        <f>IFERROR(__xludf.DUMMYFUNCTION("""COMPUTED_VALUE"""),"UNIT")</f>
        <v>UNIT</v>
      </c>
      <c r="H190" s="29">
        <f>IFERROR(__xludf.DUMMYFUNCTION("""COMPUTED_VALUE"""),46175.0)</f>
        <v>46175</v>
      </c>
      <c r="I190" s="24"/>
      <c r="J190" s="30" t="str">
        <f>IFERROR(__xludf.DUMMYFUNCTION("""COMPUTED_VALUE"""),"ALSIDE")</f>
        <v>ALSIDE</v>
      </c>
      <c r="K190" s="27"/>
      <c r="L190" s="2" t="str">
        <f>IFERROR(__xludf.DUMMYFUNCTION("""COMPUTED_VALUE"""),"In Stock")</f>
        <v>In Stock</v>
      </c>
      <c r="M190" s="27" t="str">
        <f>IFERROR(__xludf.DUMMYFUNCTION("""COMPUTED_VALUE"""),"JOSE")</f>
        <v>JOSE</v>
      </c>
      <c r="N190" s="27" t="str">
        <f>IFERROR(__xludf.DUMMYFUNCTION("""COMPUTED_VALUE"""),"ALTA VISTA ADD WIND")</f>
        <v>ALTA VISTA ADD WIND</v>
      </c>
      <c r="O190" s="27" t="str">
        <f>IFERROR(__xludf.DUMMYFUNCTION("""COMPUTED_VALUE"""),"WINDOW|||ALTA VISTA ADD WIND")</f>
        <v>WINDOW|||ALTA VISTA ADD WIND</v>
      </c>
      <c r="P190" s="27"/>
      <c r="Q190" s="27" t="str">
        <f>IFERROR(__xludf.DUMMYFUNCTION("""COMPUTED_VALUE"""),"jose@ox-glass.com")</f>
        <v>jose@ox-glass.com</v>
      </c>
      <c r="R190" s="27" t="str">
        <f>IFERROR(__xludf.DUMMYFUNCTION("""COMPUTED_VALUE"""),"B1A")</f>
        <v>B1A</v>
      </c>
      <c r="S190" s="27" t="str">
        <f>IFERROR(__xludf.DUMMYFUNCTION("""COMPUTED_VALUE"""),"ENTRY")</f>
        <v>ENTRY</v>
      </c>
    </row>
    <row r="191" ht="21.75" customHeight="1">
      <c r="A191" s="23">
        <f>IFERROR(__xludf.DUMMYFUNCTION("""COMPUTED_VALUE"""),46176.50195622685)</f>
        <v>46176.50196</v>
      </c>
      <c r="B191" s="24" t="str">
        <f>IFERROR(__xludf.DUMMYFUNCTION("""COMPUTED_VALUE"""),"WINDOW")</f>
        <v>WINDOW</v>
      </c>
      <c r="C191" s="25" t="str">
        <f>IFERROR(__xludf.DUMMYFUNCTION("""COMPUTED_VALUE"""),"LGI OQM175 SUPP")</f>
        <v>LGI OQM175 SUPP</v>
      </c>
      <c r="D191" s="26" t="str">
        <f>IFERROR(__xludf.DUMMYFUNCTION("""COMPUTED_VALUE"""),"LGI")</f>
        <v>LGI</v>
      </c>
      <c r="E191" s="27"/>
      <c r="F191" s="28">
        <f>IFERROR(__xludf.DUMMYFUNCTION("""COMPUTED_VALUE"""),3.0)</f>
        <v>3</v>
      </c>
      <c r="G191" s="27" t="str">
        <f>IFERROR(__xludf.DUMMYFUNCTION("""COMPUTED_VALUE"""),"UNIT")</f>
        <v>UNIT</v>
      </c>
      <c r="H191" s="29">
        <f>IFERROR(__xludf.DUMMYFUNCTION("""COMPUTED_VALUE"""),46175.0)</f>
        <v>46175</v>
      </c>
      <c r="I191" s="24"/>
      <c r="J191" s="30" t="str">
        <f>IFERROR(__xludf.DUMMYFUNCTION("""COMPUTED_VALUE"""),"ALSIDE")</f>
        <v>ALSIDE</v>
      </c>
      <c r="K191" s="27"/>
      <c r="L191" s="2" t="str">
        <f>IFERROR(__xludf.DUMMYFUNCTION("""COMPUTED_VALUE"""),"In Stock")</f>
        <v>In Stock</v>
      </c>
      <c r="M191" s="27" t="str">
        <f>IFERROR(__xludf.DUMMYFUNCTION("""COMPUTED_VALUE"""),"JOSE")</f>
        <v>JOSE</v>
      </c>
      <c r="N191" s="27" t="str">
        <f>IFERROR(__xludf.DUMMYFUNCTION("""COMPUTED_VALUE"""),"LGI OQM175 SUPP")</f>
        <v>LGI OQM175 SUPP</v>
      </c>
      <c r="O191" s="27" t="str">
        <f>IFERROR(__xludf.DUMMYFUNCTION("""COMPUTED_VALUE"""),"WINDOW|||LGI OQM175 SUPP")</f>
        <v>WINDOW|||LGI OQM175 SUPP</v>
      </c>
      <c r="P191" s="27"/>
      <c r="Q191" s="27" t="str">
        <f>IFERROR(__xludf.DUMMYFUNCTION("""COMPUTED_VALUE"""),"jose@ox-glass.com")</f>
        <v>jose@ox-glass.com</v>
      </c>
      <c r="R191" s="27" t="str">
        <f>IFERROR(__xludf.DUMMYFUNCTION("""COMPUTED_VALUE"""),"C1A")</f>
        <v>C1A</v>
      </c>
      <c r="S191" s="27" t="str">
        <f>IFERROR(__xludf.DUMMYFUNCTION("""COMPUTED_VALUE"""),"ENTRY")</f>
        <v>ENTRY</v>
      </c>
    </row>
    <row r="192" ht="21.75" customHeight="1">
      <c r="A192" s="23">
        <f>IFERROR(__xludf.DUMMYFUNCTION("""COMPUTED_VALUE"""),46176.5001462963)</f>
        <v>46176.50015</v>
      </c>
      <c r="B192" s="24" t="str">
        <f>IFERROR(__xludf.DUMMYFUNCTION("""COMPUTED_VALUE"""),"WINDOW")</f>
        <v>WINDOW</v>
      </c>
      <c r="C192" s="25" t="str">
        <f>IFERROR(__xludf.DUMMYFUNCTION("""COMPUTED_VALUE"""),"LGI OM159")</f>
        <v>LGI OM159</v>
      </c>
      <c r="D192" s="26"/>
      <c r="E192" s="27" t="str">
        <f>IFERROR(__xludf.DUMMYFUNCTION("""COMPUTED_VALUE"""),"7106")</f>
        <v>7106</v>
      </c>
      <c r="F192" s="28">
        <f>IFERROR(__xludf.DUMMYFUNCTION("""COMPUTED_VALUE"""),19.0)</f>
        <v>19</v>
      </c>
      <c r="G192" s="27" t="str">
        <f>IFERROR(__xludf.DUMMYFUNCTION("""COMPUTED_VALUE"""),"UNIT")</f>
        <v>UNIT</v>
      </c>
      <c r="H192" s="29">
        <f>IFERROR(__xludf.DUMMYFUNCTION("""COMPUTED_VALUE"""),46175.0)</f>
        <v>46175</v>
      </c>
      <c r="I192" s="24"/>
      <c r="J192" s="30" t="str">
        <f>IFERROR(__xludf.DUMMYFUNCTION("""COMPUTED_VALUE"""),"ALSIDE")</f>
        <v>ALSIDE</v>
      </c>
      <c r="K192" s="27"/>
      <c r="L192" s="2" t="str">
        <f>IFERROR(__xludf.DUMMYFUNCTION("""COMPUTED_VALUE"""),"In Stock")</f>
        <v>In Stock</v>
      </c>
      <c r="M192" s="27" t="str">
        <f>IFERROR(__xludf.DUMMYFUNCTION("""COMPUTED_VALUE"""),"JOSE")</f>
        <v>JOSE</v>
      </c>
      <c r="N192" s="27" t="str">
        <f>IFERROR(__xludf.DUMMYFUNCTION("""COMPUTED_VALUE"""),"LGI OM159")</f>
        <v>LGI OM159</v>
      </c>
      <c r="O192" s="27" t="str">
        <f>IFERROR(__xludf.DUMMYFUNCTION("""COMPUTED_VALUE"""),"WINDOW|||LGI OM159")</f>
        <v>WINDOW|||LGI OM159</v>
      </c>
      <c r="P192" s="27"/>
      <c r="Q192" s="27" t="str">
        <f>IFERROR(__xludf.DUMMYFUNCTION("""COMPUTED_VALUE"""),"jose@ox-glass.com")</f>
        <v>jose@ox-glass.com</v>
      </c>
      <c r="R192" s="27" t="str">
        <f>IFERROR(__xludf.DUMMYFUNCTION("""COMPUTED_VALUE"""),"A2A")</f>
        <v>A2A</v>
      </c>
      <c r="S192" s="27" t="str">
        <f>IFERROR(__xludf.DUMMYFUNCTION("""COMPUTED_VALUE"""),"ENTRY")</f>
        <v>ENTRY</v>
      </c>
    </row>
    <row r="193" ht="21.75" customHeight="1">
      <c r="A193" s="23">
        <f>IFERROR(__xludf.DUMMYFUNCTION("""COMPUTED_VALUE"""),46176.498845648144)</f>
        <v>46176.49885</v>
      </c>
      <c r="B193" s="24" t="str">
        <f>IFERROR(__xludf.DUMMYFUNCTION("""COMPUTED_VALUE"""),"WINDOW")</f>
        <v>WINDOW</v>
      </c>
      <c r="C193" s="25" t="str">
        <f>IFERROR(__xludf.DUMMYFUNCTION("""COMPUTED_VALUE"""),"LGI OM171")</f>
        <v>LGI OM171</v>
      </c>
      <c r="D193" s="26"/>
      <c r="E193" s="27" t="str">
        <f>IFERROR(__xludf.DUMMYFUNCTION("""COMPUTED_VALUE"""),"7105")</f>
        <v>7105</v>
      </c>
      <c r="F193" s="28">
        <f>IFERROR(__xludf.DUMMYFUNCTION("""COMPUTED_VALUE"""),13.0)</f>
        <v>13</v>
      </c>
      <c r="G193" s="27" t="str">
        <f>IFERROR(__xludf.DUMMYFUNCTION("""COMPUTED_VALUE"""),"UNIT")</f>
        <v>UNIT</v>
      </c>
      <c r="H193" s="29">
        <f>IFERROR(__xludf.DUMMYFUNCTION("""COMPUTED_VALUE"""),46175.0)</f>
        <v>46175</v>
      </c>
      <c r="I193" s="24"/>
      <c r="J193" s="30" t="str">
        <f>IFERROR(__xludf.DUMMYFUNCTION("""COMPUTED_VALUE"""),"ALSIDE")</f>
        <v>ALSIDE</v>
      </c>
      <c r="K193" s="27"/>
      <c r="L193" s="2" t="str">
        <f>IFERROR(__xludf.DUMMYFUNCTION("""COMPUTED_VALUE"""),"In Stock")</f>
        <v>In Stock</v>
      </c>
      <c r="M193" s="27" t="str">
        <f>IFERROR(__xludf.DUMMYFUNCTION("""COMPUTED_VALUE"""),"JOSE")</f>
        <v>JOSE</v>
      </c>
      <c r="N193" s="27" t="str">
        <f>IFERROR(__xludf.DUMMYFUNCTION("""COMPUTED_VALUE"""),"LGI OM171")</f>
        <v>LGI OM171</v>
      </c>
      <c r="O193" s="27" t="str">
        <f>IFERROR(__xludf.DUMMYFUNCTION("""COMPUTED_VALUE"""),"WINDOW|||LGI OM171")</f>
        <v>WINDOW|||LGI OM171</v>
      </c>
      <c r="P193" s="27"/>
      <c r="Q193" s="27" t="str">
        <f>IFERROR(__xludf.DUMMYFUNCTION("""COMPUTED_VALUE"""),"jose@ox-glass.com")</f>
        <v>jose@ox-glass.com</v>
      </c>
      <c r="R193" s="27" t="str">
        <f>IFERROR(__xludf.DUMMYFUNCTION("""COMPUTED_VALUE"""),"C5A")</f>
        <v>C5A</v>
      </c>
      <c r="S193" s="27" t="str">
        <f>IFERROR(__xludf.DUMMYFUNCTION("""COMPUTED_VALUE"""),"ENTRY")</f>
        <v>ENTRY</v>
      </c>
    </row>
    <row r="194" ht="21.75" customHeight="1">
      <c r="A194" s="23">
        <f>IFERROR(__xludf.DUMMYFUNCTION("""COMPUTED_VALUE"""),46176.49796859954)</f>
        <v>46176.49797</v>
      </c>
      <c r="B194" s="24" t="str">
        <f>IFERROR(__xludf.DUMMYFUNCTION("""COMPUTED_VALUE"""),"WINDOW")</f>
        <v>WINDOW</v>
      </c>
      <c r="C194" s="25" t="str">
        <f>IFERROR(__xludf.DUMMYFUNCTION("""COMPUTED_VALUE"""),"LGI DE009 DELANO")</f>
        <v>LGI DE009 DELANO</v>
      </c>
      <c r="D194" s="26"/>
      <c r="E194" s="27" t="str">
        <f>IFERROR(__xludf.DUMMYFUNCTION("""COMPUTED_VALUE"""),"7104")</f>
        <v>7104</v>
      </c>
      <c r="F194" s="28">
        <f>IFERROR(__xludf.DUMMYFUNCTION("""COMPUTED_VALUE"""),11.0)</f>
        <v>11</v>
      </c>
      <c r="G194" s="27" t="str">
        <f>IFERROR(__xludf.DUMMYFUNCTION("""COMPUTED_VALUE"""),"UNIT")</f>
        <v>UNIT</v>
      </c>
      <c r="H194" s="29">
        <f>IFERROR(__xludf.DUMMYFUNCTION("""COMPUTED_VALUE"""),46175.0)</f>
        <v>46175</v>
      </c>
      <c r="I194" s="24"/>
      <c r="J194" s="30" t="str">
        <f>IFERROR(__xludf.DUMMYFUNCTION("""COMPUTED_VALUE"""),"ALSIDE")</f>
        <v>ALSIDE</v>
      </c>
      <c r="K194" s="27"/>
      <c r="L194" s="2" t="str">
        <f>IFERROR(__xludf.DUMMYFUNCTION("""COMPUTED_VALUE"""),"In Stock")</f>
        <v>In Stock</v>
      </c>
      <c r="M194" s="27" t="str">
        <f>IFERROR(__xludf.DUMMYFUNCTION("""COMPUTED_VALUE"""),"JOSE")</f>
        <v>JOSE</v>
      </c>
      <c r="N194" s="27" t="str">
        <f>IFERROR(__xludf.DUMMYFUNCTION("""COMPUTED_VALUE"""),"LGI DE009 DELANO")</f>
        <v>LGI DE009 DELANO</v>
      </c>
      <c r="O194" s="27" t="str">
        <f>IFERROR(__xludf.DUMMYFUNCTION("""COMPUTED_VALUE"""),"WINDOW|||LGI DE009 DELANO")</f>
        <v>WINDOW|||LGI DE009 DELANO</v>
      </c>
      <c r="P194" s="27"/>
      <c r="Q194" s="27" t="str">
        <f>IFERROR(__xludf.DUMMYFUNCTION("""COMPUTED_VALUE"""),"jose@ox-glass.com")</f>
        <v>jose@ox-glass.com</v>
      </c>
      <c r="R194" s="27" t="str">
        <f>IFERROR(__xludf.DUMMYFUNCTION("""COMPUTED_VALUE"""),"C5A")</f>
        <v>C5A</v>
      </c>
      <c r="S194" s="27" t="str">
        <f>IFERROR(__xludf.DUMMYFUNCTION("""COMPUTED_VALUE"""),"ENTRY")</f>
        <v>ENTRY</v>
      </c>
    </row>
    <row r="195" ht="21.75" customHeight="1">
      <c r="A195" s="23">
        <f>IFERROR(__xludf.DUMMYFUNCTION("""COMPUTED_VALUE"""),46176.497213310184)</f>
        <v>46176.49721</v>
      </c>
      <c r="B195" s="24" t="str">
        <f>IFERROR(__xludf.DUMMYFUNCTION("""COMPUTED_VALUE"""),"WINDOW")</f>
        <v>WINDOW</v>
      </c>
      <c r="C195" s="25" t="str">
        <f>IFERROR(__xludf.DUMMYFUNCTION("""COMPUTED_VALUE"""),"LGI DE041 GRANITE")</f>
        <v>LGI DE041 GRANITE</v>
      </c>
      <c r="D195" s="26"/>
      <c r="E195" s="27" t="str">
        <f>IFERROR(__xludf.DUMMYFUNCTION("""COMPUTED_VALUE"""),"7103")</f>
        <v>7103</v>
      </c>
      <c r="F195" s="28">
        <f>IFERROR(__xludf.DUMMYFUNCTION("""COMPUTED_VALUE"""),10.0)</f>
        <v>10</v>
      </c>
      <c r="G195" s="27" t="str">
        <f>IFERROR(__xludf.DUMMYFUNCTION("""COMPUTED_VALUE"""),"UNIT")</f>
        <v>UNIT</v>
      </c>
      <c r="H195" s="29">
        <f>IFERROR(__xludf.DUMMYFUNCTION("""COMPUTED_VALUE"""),46175.0)</f>
        <v>46175</v>
      </c>
      <c r="I195" s="24"/>
      <c r="J195" s="30" t="str">
        <f>IFERROR(__xludf.DUMMYFUNCTION("""COMPUTED_VALUE"""),"ALSIDE")</f>
        <v>ALSIDE</v>
      </c>
      <c r="K195" s="27"/>
      <c r="L195" s="2" t="str">
        <f>IFERROR(__xludf.DUMMYFUNCTION("""COMPUTED_VALUE"""),"In Stock")</f>
        <v>In Stock</v>
      </c>
      <c r="M195" s="27" t="str">
        <f>IFERROR(__xludf.DUMMYFUNCTION("""COMPUTED_VALUE"""),"JOSE")</f>
        <v>JOSE</v>
      </c>
      <c r="N195" s="27" t="str">
        <f>IFERROR(__xludf.DUMMYFUNCTION("""COMPUTED_VALUE"""),"LGI DE041 GRANITE")</f>
        <v>LGI DE041 GRANITE</v>
      </c>
      <c r="O195" s="27" t="str">
        <f>IFERROR(__xludf.DUMMYFUNCTION("""COMPUTED_VALUE"""),"WINDOW|||LGI DE041 GRANITE")</f>
        <v>WINDOW|||LGI DE041 GRANITE</v>
      </c>
      <c r="P195" s="27"/>
      <c r="Q195" s="27" t="str">
        <f>IFERROR(__xludf.DUMMYFUNCTION("""COMPUTED_VALUE"""),"jose@ox-glass.com")</f>
        <v>jose@ox-glass.com</v>
      </c>
      <c r="R195" s="27" t="str">
        <f>IFERROR(__xludf.DUMMYFUNCTION("""COMPUTED_VALUE"""),"B5A")</f>
        <v>B5A</v>
      </c>
      <c r="S195" s="27" t="str">
        <f>IFERROR(__xludf.DUMMYFUNCTION("""COMPUTED_VALUE"""),"ENTRY")</f>
        <v>ENTRY</v>
      </c>
    </row>
    <row r="196" ht="21.75" customHeight="1">
      <c r="A196" s="23">
        <f>IFERROR(__xludf.DUMMYFUNCTION("""COMPUTED_VALUE"""),46176.49566414351)</f>
        <v>46176.49566</v>
      </c>
      <c r="B196" s="24" t="str">
        <f>IFERROR(__xludf.DUMMYFUNCTION("""COMPUTED_VALUE"""),"WINDOW")</f>
        <v>WINDOW</v>
      </c>
      <c r="C196" s="25" t="str">
        <f>IFERROR(__xludf.DUMMYFUNCTION("""COMPUTED_VALUE"""),"LGI DE007 CASCADE")</f>
        <v>LGI DE007 CASCADE</v>
      </c>
      <c r="D196" s="26"/>
      <c r="E196" s="27" t="str">
        <f>IFERROR(__xludf.DUMMYFUNCTION("""COMPUTED_VALUE"""),"7102")</f>
        <v>7102</v>
      </c>
      <c r="F196" s="28">
        <f>IFERROR(__xludf.DUMMYFUNCTION("""COMPUTED_VALUE"""),8.0)</f>
        <v>8</v>
      </c>
      <c r="G196" s="27" t="str">
        <f>IFERROR(__xludf.DUMMYFUNCTION("""COMPUTED_VALUE"""),"UNIT")</f>
        <v>UNIT</v>
      </c>
      <c r="H196" s="29">
        <f>IFERROR(__xludf.DUMMYFUNCTION("""COMPUTED_VALUE"""),46175.0)</f>
        <v>46175</v>
      </c>
      <c r="I196" s="24"/>
      <c r="J196" s="30" t="str">
        <f>IFERROR(__xludf.DUMMYFUNCTION("""COMPUTED_VALUE"""),"ALSIDE")</f>
        <v>ALSIDE</v>
      </c>
      <c r="K196" s="27"/>
      <c r="L196" s="2" t="str">
        <f>IFERROR(__xludf.DUMMYFUNCTION("""COMPUTED_VALUE"""),"In Stock")</f>
        <v>In Stock</v>
      </c>
      <c r="M196" s="27" t="str">
        <f>IFERROR(__xludf.DUMMYFUNCTION("""COMPUTED_VALUE"""),"JOSE")</f>
        <v>JOSE</v>
      </c>
      <c r="N196" s="27" t="str">
        <f>IFERROR(__xludf.DUMMYFUNCTION("""COMPUTED_VALUE"""),"LGI DE007 CASCADE")</f>
        <v>LGI DE007 CASCADE</v>
      </c>
      <c r="O196" s="27" t="str">
        <f>IFERROR(__xludf.DUMMYFUNCTION("""COMPUTED_VALUE"""),"WINDOW|||LGI DE007 CASCADE")</f>
        <v>WINDOW|||LGI DE007 CASCADE</v>
      </c>
      <c r="P196" s="27"/>
      <c r="Q196" s="27" t="str">
        <f>IFERROR(__xludf.DUMMYFUNCTION("""COMPUTED_VALUE"""),"jose@ox-glass.com")</f>
        <v>jose@ox-glass.com</v>
      </c>
      <c r="R196" s="27" t="str">
        <f>IFERROR(__xludf.DUMMYFUNCTION("""COMPUTED_VALUE"""),"A4A")</f>
        <v>A4A</v>
      </c>
      <c r="S196" s="27" t="str">
        <f>IFERROR(__xludf.DUMMYFUNCTION("""COMPUTED_VALUE"""),"ENTRY")</f>
        <v>ENTRY</v>
      </c>
    </row>
    <row r="197" ht="21.75" customHeight="1">
      <c r="A197" s="23">
        <f>IFERROR(__xludf.DUMMYFUNCTION("""COMPUTED_VALUE"""),46176.49367853009)</f>
        <v>46176.49368</v>
      </c>
      <c r="B197" s="24" t="str">
        <f>IFERROR(__xludf.DUMMYFUNCTION("""COMPUTED_VALUE"""),"WINDOW")</f>
        <v>WINDOW</v>
      </c>
      <c r="C197" s="25" t="str">
        <f>IFERROR(__xludf.DUMMYFUNCTION("""COMPUTED_VALUE"""),"LGI OQM184")</f>
        <v>LGI OQM184</v>
      </c>
      <c r="D197" s="26"/>
      <c r="E197" s="27" t="str">
        <f>IFERROR(__xludf.DUMMYFUNCTION("""COMPUTED_VALUE"""),"7095")</f>
        <v>7095</v>
      </c>
      <c r="F197" s="28">
        <f>IFERROR(__xludf.DUMMYFUNCTION("""COMPUTED_VALUE"""),8.0)</f>
        <v>8</v>
      </c>
      <c r="G197" s="27" t="str">
        <f>IFERROR(__xludf.DUMMYFUNCTION("""COMPUTED_VALUE"""),"UNIT")</f>
        <v>UNIT</v>
      </c>
      <c r="H197" s="29">
        <f>IFERROR(__xludf.DUMMYFUNCTION("""COMPUTED_VALUE"""),46175.0)</f>
        <v>46175</v>
      </c>
      <c r="I197" s="24"/>
      <c r="J197" s="30" t="str">
        <f>IFERROR(__xludf.DUMMYFUNCTION("""COMPUTED_VALUE"""),"ALSIDE")</f>
        <v>ALSIDE</v>
      </c>
      <c r="K197" s="27"/>
      <c r="L197" s="2" t="str">
        <f>IFERROR(__xludf.DUMMYFUNCTION("""COMPUTED_VALUE"""),"In Stock")</f>
        <v>In Stock</v>
      </c>
      <c r="M197" s="27" t="str">
        <f>IFERROR(__xludf.DUMMYFUNCTION("""COMPUTED_VALUE"""),"JOSE")</f>
        <v>JOSE</v>
      </c>
      <c r="N197" s="27" t="str">
        <f>IFERROR(__xludf.DUMMYFUNCTION("""COMPUTED_VALUE"""),"LGI OQM184")</f>
        <v>LGI OQM184</v>
      </c>
      <c r="O197" s="27" t="str">
        <f>IFERROR(__xludf.DUMMYFUNCTION("""COMPUTED_VALUE"""),"WINDOW|||LGI OQM184")</f>
        <v>WINDOW|||LGI OQM184</v>
      </c>
      <c r="P197" s="27"/>
      <c r="Q197" s="27" t="str">
        <f>IFERROR(__xludf.DUMMYFUNCTION("""COMPUTED_VALUE"""),"jose@ox-glass.com")</f>
        <v>jose@ox-glass.com</v>
      </c>
      <c r="R197" s="27" t="str">
        <f>IFERROR(__xludf.DUMMYFUNCTION("""COMPUTED_VALUE"""),"A3A")</f>
        <v>A3A</v>
      </c>
      <c r="S197" s="27" t="str">
        <f>IFERROR(__xludf.DUMMYFUNCTION("""COMPUTED_VALUE"""),"ENTRY")</f>
        <v>ENTRY</v>
      </c>
    </row>
    <row r="198" ht="21.75" customHeight="1">
      <c r="A198" s="23">
        <f>IFERROR(__xludf.DUMMYFUNCTION("""COMPUTED_VALUE"""),46176.492516516206)</f>
        <v>46176.49252</v>
      </c>
      <c r="B198" s="24" t="str">
        <f>IFERROR(__xludf.DUMMYFUNCTION("""COMPUTED_VALUE"""),"WINDOW")</f>
        <v>WINDOW</v>
      </c>
      <c r="C198" s="25" t="str">
        <f>IFERROR(__xludf.DUMMYFUNCTION("""COMPUTED_VALUE"""),"LGI OQM174")</f>
        <v>LGI OQM174</v>
      </c>
      <c r="D198" s="26"/>
      <c r="E198" s="27" t="str">
        <f>IFERROR(__xludf.DUMMYFUNCTION("""COMPUTED_VALUE"""),"7096")</f>
        <v>7096</v>
      </c>
      <c r="F198" s="28">
        <f>IFERROR(__xludf.DUMMYFUNCTION("""COMPUTED_VALUE"""),13.0)</f>
        <v>13</v>
      </c>
      <c r="G198" s="27" t="str">
        <f>IFERROR(__xludf.DUMMYFUNCTION("""COMPUTED_VALUE"""),"UNIT")</f>
        <v>UNIT</v>
      </c>
      <c r="H198" s="29">
        <f>IFERROR(__xludf.DUMMYFUNCTION("""COMPUTED_VALUE"""),46175.0)</f>
        <v>46175</v>
      </c>
      <c r="I198" s="24"/>
      <c r="J198" s="30" t="str">
        <f>IFERROR(__xludf.DUMMYFUNCTION("""COMPUTED_VALUE"""),"ALSIDE")</f>
        <v>ALSIDE</v>
      </c>
      <c r="K198" s="27"/>
      <c r="L198" s="2" t="str">
        <f>IFERROR(__xludf.DUMMYFUNCTION("""COMPUTED_VALUE"""),"In Stock")</f>
        <v>In Stock</v>
      </c>
      <c r="M198" s="27" t="str">
        <f>IFERROR(__xludf.DUMMYFUNCTION("""COMPUTED_VALUE"""),"JOSE")</f>
        <v>JOSE</v>
      </c>
      <c r="N198" s="27" t="str">
        <f>IFERROR(__xludf.DUMMYFUNCTION("""COMPUTED_VALUE"""),"LGI OQM174")</f>
        <v>LGI OQM174</v>
      </c>
      <c r="O198" s="27" t="str">
        <f>IFERROR(__xludf.DUMMYFUNCTION("""COMPUTED_VALUE"""),"WINDOW|||LGI OQM174")</f>
        <v>WINDOW|||LGI OQM174</v>
      </c>
      <c r="P198" s="27"/>
      <c r="Q198" s="27" t="str">
        <f>IFERROR(__xludf.DUMMYFUNCTION("""COMPUTED_VALUE"""),"jose@ox-glass.com")</f>
        <v>jose@ox-glass.com</v>
      </c>
      <c r="R198" s="27" t="str">
        <f>IFERROR(__xludf.DUMMYFUNCTION("""COMPUTED_VALUE"""),"A3A")</f>
        <v>A3A</v>
      </c>
      <c r="S198" s="27" t="str">
        <f>IFERROR(__xludf.DUMMYFUNCTION("""COMPUTED_VALUE"""),"ENTRY")</f>
        <v>ENTRY</v>
      </c>
    </row>
    <row r="199" ht="21.75" customHeight="1">
      <c r="A199" s="23">
        <f>IFERROR(__xludf.DUMMYFUNCTION("""COMPUTED_VALUE"""),46176.49170265046)</f>
        <v>46176.4917</v>
      </c>
      <c r="B199" s="24" t="str">
        <f>IFERROR(__xludf.DUMMYFUNCTION("""COMPUTED_VALUE"""),"WINDOW")</f>
        <v>WINDOW</v>
      </c>
      <c r="C199" s="25" t="str">
        <f>IFERROR(__xludf.DUMMYFUNCTION("""COMPUTED_VALUE"""),"LGI OQM177")</f>
        <v>LGI OQM177</v>
      </c>
      <c r="D199" s="26"/>
      <c r="E199" s="27" t="str">
        <f>IFERROR(__xludf.DUMMYFUNCTION("""COMPUTED_VALUE"""),"7094")</f>
        <v>7094</v>
      </c>
      <c r="F199" s="28">
        <f>IFERROR(__xludf.DUMMYFUNCTION("""COMPUTED_VALUE"""),14.0)</f>
        <v>14</v>
      </c>
      <c r="G199" s="27" t="str">
        <f>IFERROR(__xludf.DUMMYFUNCTION("""COMPUTED_VALUE"""),"UNIT")</f>
        <v>UNIT</v>
      </c>
      <c r="H199" s="29">
        <f>IFERROR(__xludf.DUMMYFUNCTION("""COMPUTED_VALUE"""),46175.0)</f>
        <v>46175</v>
      </c>
      <c r="I199" s="24"/>
      <c r="J199" s="30" t="str">
        <f>IFERROR(__xludf.DUMMYFUNCTION("""COMPUTED_VALUE"""),"ALSIDE")</f>
        <v>ALSIDE</v>
      </c>
      <c r="K199" s="27"/>
      <c r="L199" s="2" t="str">
        <f>IFERROR(__xludf.DUMMYFUNCTION("""COMPUTED_VALUE"""),"In Stock")</f>
        <v>In Stock</v>
      </c>
      <c r="M199" s="27" t="str">
        <f>IFERROR(__xludf.DUMMYFUNCTION("""COMPUTED_VALUE"""),"JOSE")</f>
        <v>JOSE</v>
      </c>
      <c r="N199" s="27" t="str">
        <f>IFERROR(__xludf.DUMMYFUNCTION("""COMPUTED_VALUE"""),"LGI OQM177")</f>
        <v>LGI OQM177</v>
      </c>
      <c r="O199" s="27" t="str">
        <f>IFERROR(__xludf.DUMMYFUNCTION("""COMPUTED_VALUE"""),"WINDOW|||LGI OQM177")</f>
        <v>WINDOW|||LGI OQM177</v>
      </c>
      <c r="P199" s="27"/>
      <c r="Q199" s="27" t="str">
        <f>IFERROR(__xludf.DUMMYFUNCTION("""COMPUTED_VALUE"""),"jose@ox-glass.com")</f>
        <v>jose@ox-glass.com</v>
      </c>
      <c r="R199" s="27" t="str">
        <f>IFERROR(__xludf.DUMMYFUNCTION("""COMPUTED_VALUE"""),"A4A")</f>
        <v>A4A</v>
      </c>
      <c r="S199" s="27" t="str">
        <f>IFERROR(__xludf.DUMMYFUNCTION("""COMPUTED_VALUE"""),"ENTRY")</f>
        <v>ENTRY</v>
      </c>
    </row>
    <row r="200" ht="21.75" customHeight="1">
      <c r="A200" s="23">
        <f>IFERROR(__xludf.DUMMYFUNCTION("""COMPUTED_VALUE"""),46174.61001324074)</f>
        <v>46174.61001</v>
      </c>
      <c r="B200" s="24" t="str">
        <f>IFERROR(__xludf.DUMMYFUNCTION("""COMPUTED_VALUE"""),"WINDOW")</f>
        <v>WINDOW</v>
      </c>
      <c r="C200" s="25" t="str">
        <f>IFERROR(__xludf.DUMMYFUNCTION("""COMPUTED_VALUE"""),"2PATSP639")</f>
        <v>2PATSP639</v>
      </c>
      <c r="D200" s="26"/>
      <c r="E200" s="27"/>
      <c r="F200" s="28">
        <f>IFERROR(__xludf.DUMMYFUNCTION("""COMPUTED_VALUE"""),19.0)</f>
        <v>19</v>
      </c>
      <c r="G200" s="27" t="str">
        <f>IFERROR(__xludf.DUMMYFUNCTION("""COMPUTED_VALUE"""),"UNIT")</f>
        <v>UNIT</v>
      </c>
      <c r="H200" s="29">
        <f>IFERROR(__xludf.DUMMYFUNCTION("""COMPUTED_VALUE"""),46174.0)</f>
        <v>46174</v>
      </c>
      <c r="I200" s="24" t="str">
        <f>IFERROR(__xludf.DUMMYFUNCTION("""COMPUTED_VALUE"""),"B3A")</f>
        <v>B3A</v>
      </c>
      <c r="J200" s="30"/>
      <c r="K200" s="27"/>
      <c r="L200" s="2" t="str">
        <f>IFERROR(__xludf.DUMMYFUNCTION("""COMPUTED_VALUE"""),"Dispatched")</f>
        <v>Dispatched</v>
      </c>
      <c r="M200" s="27" t="str">
        <f>IFERROR(__xludf.DUMMYFUNCTION("""COMPUTED_VALUE"""),"JOSE AND SPENCER")</f>
        <v>JOSE AND SPENCER</v>
      </c>
      <c r="N200" s="27"/>
      <c r="O200" s="27" t="str">
        <f>IFERROR(__xludf.DUMMYFUNCTION("""COMPUTED_VALUE"""),"WINDOW|||2PATSP639")</f>
        <v>WINDOW|||2PATSP639</v>
      </c>
      <c r="P200" s="27"/>
      <c r="Q200" s="27" t="str">
        <f>IFERROR(__xludf.DUMMYFUNCTION("""COMPUTED_VALUE"""),"jose@ox-glass.com")</f>
        <v>jose@ox-glass.com</v>
      </c>
      <c r="R200" s="27" t="str">
        <f>IFERROR(__xludf.DUMMYFUNCTION("""COMPUTED_VALUE"""),"PAT SP 639")</f>
        <v>PAT SP 639</v>
      </c>
      <c r="S200" s="27" t="str">
        <f>IFERROR(__xludf.DUMMYFUNCTION("""COMPUTED_VALUE"""),"EXIT")</f>
        <v>EXIT</v>
      </c>
    </row>
    <row r="201" ht="21.75" customHeight="1">
      <c r="A201" s="23">
        <f>IFERROR(__xludf.DUMMYFUNCTION("""COMPUTED_VALUE"""),46174.606345092594)</f>
        <v>46174.60635</v>
      </c>
      <c r="B201" s="24" t="str">
        <f>IFERROR(__xludf.DUMMYFUNCTION("""COMPUTED_VALUE"""),"WINDOW")</f>
        <v>WINDOW</v>
      </c>
      <c r="C201" s="25" t="str">
        <f>IFERROR(__xludf.DUMMYFUNCTION("""COMPUTED_VALUE"""),"HFLOT153")</f>
        <v>HFLOT153</v>
      </c>
      <c r="D201" s="26"/>
      <c r="E201" s="27"/>
      <c r="F201" s="28">
        <f>IFERROR(__xludf.DUMMYFUNCTION("""COMPUTED_VALUE"""),23.0)</f>
        <v>23</v>
      </c>
      <c r="G201" s="27" t="str">
        <f>IFERROR(__xludf.DUMMYFUNCTION("""COMPUTED_VALUE"""),"UNIT")</f>
        <v>UNIT</v>
      </c>
      <c r="H201" s="29">
        <f>IFERROR(__xludf.DUMMYFUNCTION("""COMPUTED_VALUE"""),46174.0)</f>
        <v>46174</v>
      </c>
      <c r="I201" s="24" t="str">
        <f>IFERROR(__xludf.DUMMYFUNCTION("""COMPUTED_VALUE"""),"B6A")</f>
        <v>B6A</v>
      </c>
      <c r="J201" s="30"/>
      <c r="K201" s="27"/>
      <c r="L201" s="2" t="str">
        <f>IFERROR(__xludf.DUMMYFUNCTION("""COMPUTED_VALUE"""),"Dispatched")</f>
        <v>Dispatched</v>
      </c>
      <c r="M201" s="27" t="str">
        <f>IFERROR(__xludf.DUMMYFUNCTION("""COMPUTED_VALUE"""),"DANE'S CREW")</f>
        <v>DANE'S CREW</v>
      </c>
      <c r="N201" s="27"/>
      <c r="O201" s="27" t="str">
        <f>IFERROR(__xludf.DUMMYFUNCTION("""COMPUTED_VALUE"""),"WINDOW|||HFLOT153")</f>
        <v>WINDOW|||HFLOT153</v>
      </c>
      <c r="P201" s="27"/>
      <c r="Q201" s="27" t="str">
        <f>IFERROR(__xludf.DUMMYFUNCTION("""COMPUTED_VALUE"""),"jose@ox-glass.com")</f>
        <v>jose@ox-glass.com</v>
      </c>
      <c r="R201" s="27" t="str">
        <f>IFERROR(__xludf.DUMMYFUNCTION("""COMPUTED_VALUE"""),"HFLOT153")</f>
        <v>HFLOT153</v>
      </c>
      <c r="S201" s="27" t="str">
        <f>IFERROR(__xludf.DUMMYFUNCTION("""COMPUTED_VALUE"""),"EXIT")</f>
        <v>EXIT</v>
      </c>
    </row>
    <row r="202" ht="21.75" customHeight="1">
      <c r="A202" s="23">
        <f>IFERROR(__xludf.DUMMYFUNCTION("""COMPUTED_VALUE"""),46174.605649317135)</f>
        <v>46174.60565</v>
      </c>
      <c r="B202" s="24" t="str">
        <f>IFERROR(__xludf.DUMMYFUNCTION("""COMPUTED_VALUE"""),"WINDOW")</f>
        <v>WINDOW</v>
      </c>
      <c r="C202" s="25" t="str">
        <f>IFERROR(__xludf.DUMMYFUNCTION("""COMPUTED_VALUE"""),"HFLOT154")</f>
        <v>HFLOT154</v>
      </c>
      <c r="D202" s="26"/>
      <c r="E202" s="27"/>
      <c r="F202" s="28">
        <f>IFERROR(__xludf.DUMMYFUNCTION("""COMPUTED_VALUE"""),18.0)</f>
        <v>18</v>
      </c>
      <c r="G202" s="27" t="str">
        <f>IFERROR(__xludf.DUMMYFUNCTION("""COMPUTED_VALUE"""),"UNIT")</f>
        <v>UNIT</v>
      </c>
      <c r="H202" s="29">
        <f>IFERROR(__xludf.DUMMYFUNCTION("""COMPUTED_VALUE"""),46174.0)</f>
        <v>46174</v>
      </c>
      <c r="I202" s="24" t="str">
        <f>IFERROR(__xludf.DUMMYFUNCTION("""COMPUTED_VALUE"""),"B1A")</f>
        <v>B1A</v>
      </c>
      <c r="J202" s="30"/>
      <c r="K202" s="27"/>
      <c r="L202" s="2" t="str">
        <f>IFERROR(__xludf.DUMMYFUNCTION("""COMPUTED_VALUE"""),"Dispatched")</f>
        <v>Dispatched</v>
      </c>
      <c r="M202" s="27" t="str">
        <f>IFERROR(__xludf.DUMMYFUNCTION("""COMPUTED_VALUE"""),"DANE'S CREW")</f>
        <v>DANE'S CREW</v>
      </c>
      <c r="N202" s="27"/>
      <c r="O202" s="27" t="str">
        <f>IFERROR(__xludf.DUMMYFUNCTION("""COMPUTED_VALUE"""),"WINDOW|||HFLOT154")</f>
        <v>WINDOW|||HFLOT154</v>
      </c>
      <c r="P202" s="27"/>
      <c r="Q202" s="27" t="str">
        <f>IFERROR(__xludf.DUMMYFUNCTION("""COMPUTED_VALUE"""),"jose@ox-glass.com")</f>
        <v>jose@ox-glass.com</v>
      </c>
      <c r="R202" s="27" t="str">
        <f>IFERROR(__xludf.DUMMYFUNCTION("""COMPUTED_VALUE"""),"HFLOT154")</f>
        <v>HFLOT154</v>
      </c>
      <c r="S202" s="27" t="str">
        <f>IFERROR(__xludf.DUMMYFUNCTION("""COMPUTED_VALUE"""),"EXIT")</f>
        <v>EXIT</v>
      </c>
    </row>
    <row r="203" ht="21.75" customHeight="1">
      <c r="A203" s="23">
        <f>IFERROR(__xludf.DUMMYFUNCTION("""COMPUTED_VALUE"""),46174.57000811343)</f>
        <v>46174.57001</v>
      </c>
      <c r="B203" s="24" t="str">
        <f>IFERROR(__xludf.DUMMYFUNCTION("""COMPUTED_VALUE"""),"WINDOW")</f>
        <v>WINDOW</v>
      </c>
      <c r="C203" s="25" t="str">
        <f>IFERROR(__xludf.DUMMYFUNCTION("""COMPUTED_VALUE"""),"ACC STUDENT")</f>
        <v>ACC STUDENT</v>
      </c>
      <c r="D203" s="26"/>
      <c r="E203" s="27"/>
      <c r="F203" s="28">
        <f>IFERROR(__xludf.DUMMYFUNCTION("""COMPUTED_VALUE"""),1.0)</f>
        <v>1</v>
      </c>
      <c r="G203" s="27" t="str">
        <f>IFERROR(__xludf.DUMMYFUNCTION("""COMPUTED_VALUE"""),"UNIT")</f>
        <v>UNIT</v>
      </c>
      <c r="H203" s="29">
        <f>IFERROR(__xludf.DUMMYFUNCTION("""COMPUTED_VALUE"""),46174.0)</f>
        <v>46174</v>
      </c>
      <c r="I203" s="24"/>
      <c r="J203" s="30" t="str">
        <f>IFERROR(__xludf.DUMMYFUNCTION("""COMPUTED_VALUE"""),"VPI QUALITY WINDOWS")</f>
        <v>VPI QUALITY WINDOWS</v>
      </c>
      <c r="K203" s="27"/>
      <c r="L203" s="2" t="str">
        <f>IFERROR(__xludf.DUMMYFUNCTION("""COMPUTED_VALUE"""),"In Stock")</f>
        <v>In Stock</v>
      </c>
      <c r="M203" s="27" t="str">
        <f>IFERROR(__xludf.DUMMYFUNCTION("""COMPUTED_VALUE"""),"SPENCER")</f>
        <v>SPENCER</v>
      </c>
      <c r="N203" s="27" t="str">
        <f>IFERROR(__xludf.DUMMYFUNCTION("""COMPUTED_VALUE"""),"ACC STUDENT HOUSING")</f>
        <v>ACC STUDENT HOUSING</v>
      </c>
      <c r="O203" s="27" t="str">
        <f>IFERROR(__xludf.DUMMYFUNCTION("""COMPUTED_VALUE"""),"WINDOW|||ACC STUDENT")</f>
        <v>WINDOW|||ACC STUDENT</v>
      </c>
      <c r="P203" s="27"/>
      <c r="Q203" s="27" t="str">
        <f>IFERROR(__xludf.DUMMYFUNCTION("""COMPUTED_VALUE"""),"jose@ox-glass.com")</f>
        <v>jose@ox-glass.com</v>
      </c>
      <c r="R203" s="27" t="str">
        <f>IFERROR(__xludf.DUMMYFUNCTION("""COMPUTED_VALUE"""),"C6A")</f>
        <v>C6A</v>
      </c>
      <c r="S203" s="27" t="str">
        <f>IFERROR(__xludf.DUMMYFUNCTION("""COMPUTED_VALUE"""),"ENTRY")</f>
        <v>ENTRY</v>
      </c>
    </row>
    <row r="204" ht="21.75" customHeight="1">
      <c r="A204" s="23">
        <f>IFERROR(__xludf.DUMMYFUNCTION("""COMPUTED_VALUE"""),46174.56692362268)</f>
        <v>46174.56692</v>
      </c>
      <c r="B204" s="24" t="str">
        <f>IFERROR(__xludf.DUMMYFUNCTION("""COMPUTED_VALUE"""),"WINDOW")</f>
        <v>WINDOW</v>
      </c>
      <c r="C204" s="25" t="str">
        <f>IFERROR(__xludf.DUMMYFUNCTION("""COMPUTED_VALUE"""),"BME2 TRACIE DOOR_MAIN")</f>
        <v>BME2 TRACIE DOOR_MAIN</v>
      </c>
      <c r="D204" s="26" t="str">
        <f>IFERROR(__xludf.DUMMYFUNCTION("""COMPUTED_VALUE"""),"PAT")</f>
        <v>PAT</v>
      </c>
      <c r="E204" s="27"/>
      <c r="F204" s="28">
        <f>IFERROR(__xludf.DUMMYFUNCTION("""COMPUTED_VALUE"""),1.0)</f>
        <v>1</v>
      </c>
      <c r="G204" s="27" t="str">
        <f>IFERROR(__xludf.DUMMYFUNCTION("""COMPUTED_VALUE"""),"UNIT")</f>
        <v>UNIT</v>
      </c>
      <c r="H204" s="29">
        <f>IFERROR(__xludf.DUMMYFUNCTION("""COMPUTED_VALUE"""),46174.0)</f>
        <v>46174</v>
      </c>
      <c r="I204" s="24"/>
      <c r="J204" s="30" t="str">
        <f>IFERROR(__xludf.DUMMYFUNCTION("""COMPUTED_VALUE"""),"WINDOR")</f>
        <v>WINDOR</v>
      </c>
      <c r="K204" s="27" t="str">
        <f>IFERROR(__xludf.DUMMYFUNCTION("""COMPUTED_VALUE"""),"1 DOOR FRAME AND 2 DOOR PANELS.")</f>
        <v>1 DOOR FRAME AND 2 DOOR PANELS.</v>
      </c>
      <c r="L204" s="2" t="str">
        <f>IFERROR(__xludf.DUMMYFUNCTION("""COMPUTED_VALUE"""),"In Stock")</f>
        <v>In Stock</v>
      </c>
      <c r="M204" s="27" t="str">
        <f>IFERROR(__xludf.DUMMYFUNCTION("""COMPUTED_VALUE"""),"JOSE")</f>
        <v>JOSE</v>
      </c>
      <c r="N204" s="27" t="str">
        <f>IFERROR(__xludf.DUMMYFUNCTION("""COMPUTED_VALUE"""),"PAT BME2")</f>
        <v>PAT BME2</v>
      </c>
      <c r="O204" s="27" t="str">
        <f>IFERROR(__xludf.DUMMYFUNCTION("""COMPUTED_VALUE"""),"WINDOW|||BME2 TRACIE DOOR_MAIN")</f>
        <v>WINDOW|||BME2 TRACIE DOOR_MAIN</v>
      </c>
      <c r="P204" s="27"/>
      <c r="Q204" s="27" t="str">
        <f>IFERROR(__xludf.DUMMYFUNCTION("""COMPUTED_VALUE"""),"jose@ox-glass.com")</f>
        <v>jose@ox-glass.com</v>
      </c>
      <c r="R204" s="27" t="str">
        <f>IFERROR(__xludf.DUMMYFUNCTION("""COMPUTED_VALUE"""),"B1A")</f>
        <v>B1A</v>
      </c>
      <c r="S204" s="27" t="str">
        <f>IFERROR(__xludf.DUMMYFUNCTION("""COMPUTED_VALUE"""),"ENTRY")</f>
        <v>ENTRY</v>
      </c>
    </row>
    <row r="205" ht="21.75" customHeight="1">
      <c r="A205" s="23">
        <f>IFERROR(__xludf.DUMMYFUNCTION("""COMPUTED_VALUE"""),46174.56564576389)</f>
        <v>46174.56565</v>
      </c>
      <c r="B205" s="24" t="str">
        <f>IFERROR(__xludf.DUMMYFUNCTION("""COMPUTED_VALUE"""),"WINDOW")</f>
        <v>WINDOW</v>
      </c>
      <c r="C205" s="25" t="str">
        <f>IFERROR(__xludf.DUMMYFUNCTION("""COMPUTED_VALUE"""),"DAY POOL HOUSE_MAIN OFICCE")</f>
        <v>DAY POOL HOUSE_MAIN OFICCE</v>
      </c>
      <c r="D205" s="26"/>
      <c r="E205" s="27"/>
      <c r="F205" s="28">
        <f>IFERROR(__xludf.DUMMYFUNCTION("""COMPUTED_VALUE"""),1.0)</f>
        <v>1</v>
      </c>
      <c r="G205" s="27" t="str">
        <f>IFERROR(__xludf.DUMMYFUNCTION("""COMPUTED_VALUE"""),"UNIT")</f>
        <v>UNIT</v>
      </c>
      <c r="H205" s="29">
        <f>IFERROR(__xludf.DUMMYFUNCTION("""COMPUTED_VALUE"""),46174.0)</f>
        <v>46174</v>
      </c>
      <c r="I205" s="24"/>
      <c r="J205" s="30" t="str">
        <f>IFERROR(__xludf.DUMMYFUNCTION("""COMPUTED_VALUE"""),"WINDOR")</f>
        <v>WINDOR</v>
      </c>
      <c r="K205" s="27" t="str">
        <f>IFERROR(__xludf.DUMMYFUNCTION("""COMPUTED_VALUE"""),"1 BIG DOOR FRAME AND 3 DOOR PANELS")</f>
        <v>1 BIG DOOR FRAME AND 3 DOOR PANELS</v>
      </c>
      <c r="L205" s="2" t="str">
        <f>IFERROR(__xludf.DUMMYFUNCTION("""COMPUTED_VALUE"""),"In Stock")</f>
        <v>In Stock</v>
      </c>
      <c r="M205" s="27" t="str">
        <f>IFERROR(__xludf.DUMMYFUNCTION("""COMPUTED_VALUE"""),"JOSE")</f>
        <v>JOSE</v>
      </c>
      <c r="N205" s="27" t="str">
        <f>IFERROR(__xludf.DUMMYFUNCTION("""COMPUTED_VALUE"""),"DAY POOL HOUSE")</f>
        <v>DAY POOL HOUSE</v>
      </c>
      <c r="O205" s="27" t="str">
        <f>IFERROR(__xludf.DUMMYFUNCTION("""COMPUTED_VALUE"""),"WINDOW|||DAY POOL HOUSE_MAIN OFICCE")</f>
        <v>WINDOW|||DAY POOL HOUSE_MAIN OFICCE</v>
      </c>
      <c r="P205" s="27"/>
      <c r="Q205" s="27" t="str">
        <f>IFERROR(__xludf.DUMMYFUNCTION("""COMPUTED_VALUE"""),"jose@ox-glass.com")</f>
        <v>jose@ox-glass.com</v>
      </c>
      <c r="R205" s="27" t="str">
        <f>IFERROR(__xludf.DUMMYFUNCTION("""COMPUTED_VALUE"""),"B1A")</f>
        <v>B1A</v>
      </c>
      <c r="S205" s="27" t="str">
        <f>IFERROR(__xludf.DUMMYFUNCTION("""COMPUTED_VALUE"""),"ENTRY")</f>
        <v>ENTRY</v>
      </c>
    </row>
    <row r="206" ht="21.75" customHeight="1">
      <c r="A206" s="23">
        <f>IFERROR(__xludf.DUMMYFUNCTION("""COMPUTED_VALUE"""),46174.564393263885)</f>
        <v>46174.56439</v>
      </c>
      <c r="B206" s="24" t="str">
        <f>IFERROR(__xludf.DUMMYFUNCTION("""COMPUTED_VALUE"""),"WINDOW")</f>
        <v>WINDOW</v>
      </c>
      <c r="C206" s="25" t="str">
        <f>IFERROR(__xludf.DUMMYFUNCTION("""COMPUTED_VALUE"""),"HIGHLAND REMODEL_MAIN OFFICE")</f>
        <v>HIGHLAND REMODEL_MAIN OFFICE</v>
      </c>
      <c r="D206" s="26" t="str">
        <f>IFERROR(__xludf.DUMMYFUNCTION("""COMPUTED_VALUE"""),"SWE")</f>
        <v>SWE</v>
      </c>
      <c r="E206" s="27"/>
      <c r="F206" s="28">
        <f>IFERROR(__xludf.DUMMYFUNCTION("""COMPUTED_VALUE"""),1.0)</f>
        <v>1</v>
      </c>
      <c r="G206" s="27" t="str">
        <f>IFERROR(__xludf.DUMMYFUNCTION("""COMPUTED_VALUE"""),"UNIT")</f>
        <v>UNIT</v>
      </c>
      <c r="H206" s="29">
        <f>IFERROR(__xludf.DUMMYFUNCTION("""COMPUTED_VALUE"""),46174.0)</f>
        <v>46174</v>
      </c>
      <c r="I206" s="24"/>
      <c r="J206" s="30" t="str">
        <f>IFERROR(__xludf.DUMMYFUNCTION("""COMPUTED_VALUE"""),"WINDOR")</f>
        <v>WINDOR</v>
      </c>
      <c r="K206" s="27" t="str">
        <f>IFERROR(__xludf.DUMMYFUNCTION("""COMPUTED_VALUE"""),"BIG SLIDING DOOR, 4 SASH PANELS")</f>
        <v>BIG SLIDING DOOR, 4 SASH PANELS</v>
      </c>
      <c r="L206" s="2" t="str">
        <f>IFERROR(__xludf.DUMMYFUNCTION("""COMPUTED_VALUE"""),"In Stock")</f>
        <v>In Stock</v>
      </c>
      <c r="M206" s="27" t="str">
        <f>IFERROR(__xludf.DUMMYFUNCTION("""COMPUTED_VALUE"""),"JOSE")</f>
        <v>JOSE</v>
      </c>
      <c r="N206" s="27" t="str">
        <f>IFERROR(__xludf.DUMMYFUNCTION("""COMPUTED_VALUE"""),"HIGHLAND REMODEL")</f>
        <v>HIGHLAND REMODEL</v>
      </c>
      <c r="O206" s="27" t="str">
        <f>IFERROR(__xludf.DUMMYFUNCTION("""COMPUTED_VALUE"""),"WINDOW|||HIGHLAND REMODEL_MAIN OFFICE")</f>
        <v>WINDOW|||HIGHLAND REMODEL_MAIN OFFICE</v>
      </c>
      <c r="P206" s="27"/>
      <c r="Q206" s="27" t="str">
        <f>IFERROR(__xludf.DUMMYFUNCTION("""COMPUTED_VALUE"""),"jose@ox-glass.com")</f>
        <v>jose@ox-glass.com</v>
      </c>
      <c r="R206" s="27" t="str">
        <f>IFERROR(__xludf.DUMMYFUNCTION("""COMPUTED_VALUE"""),"B1A")</f>
        <v>B1A</v>
      </c>
      <c r="S206" s="27" t="str">
        <f>IFERROR(__xludf.DUMMYFUNCTION("""COMPUTED_VALUE"""),"ENTRY")</f>
        <v>ENTRY</v>
      </c>
    </row>
    <row r="207" ht="21.75" customHeight="1">
      <c r="A207" s="23">
        <f>IFERROR(__xludf.DUMMYFUNCTION("""COMPUTED_VALUE"""),46174.43491403936)</f>
        <v>46174.43491</v>
      </c>
      <c r="B207" s="24" t="str">
        <f>IFERROR(__xludf.DUMMYFUNCTION("""COMPUTED_VALUE"""),"WINDOW")</f>
        <v>WINDOW</v>
      </c>
      <c r="C207" s="25" t="str">
        <f>IFERROR(__xludf.DUMMYFUNCTION("""COMPUTED_VALUE"""),"PRI LOVELESS3PLEXTH")</f>
        <v>PRI LOVELESS3PLEXTH</v>
      </c>
      <c r="D207" s="26"/>
      <c r="E207" s="27"/>
      <c r="F207" s="28">
        <f>IFERROR(__xludf.DUMMYFUNCTION("""COMPUTED_VALUE"""),29.0)</f>
        <v>29</v>
      </c>
      <c r="G207" s="27" t="str">
        <f>IFERROR(__xludf.DUMMYFUNCTION("""COMPUTED_VALUE"""),"UNIT")</f>
        <v>UNIT</v>
      </c>
      <c r="H207" s="29">
        <f>IFERROR(__xludf.DUMMYFUNCTION("""COMPUTED_VALUE"""),46174.0)</f>
        <v>46174</v>
      </c>
      <c r="I207" s="24" t="str">
        <f>IFERROR(__xludf.DUMMYFUNCTION("""COMPUTED_VALUE"""),"C2A")</f>
        <v>C2A</v>
      </c>
      <c r="J207" s="30"/>
      <c r="K207" s="27"/>
      <c r="L207" s="2" t="str">
        <f>IFERROR(__xludf.DUMMYFUNCTION("""COMPUTED_VALUE"""),"Dispatched")</f>
        <v>Dispatched</v>
      </c>
      <c r="M207" s="27" t="str">
        <f>IFERROR(__xludf.DUMMYFUNCTION("""COMPUTED_VALUE"""),"BRANDON")</f>
        <v>BRANDON</v>
      </c>
      <c r="N207" s="27" t="str">
        <f>IFERROR(__xludf.DUMMYFUNCTION("""COMPUTED_VALUE"""),"GENERIC")</f>
        <v>GENERIC</v>
      </c>
      <c r="O207" s="27" t="str">
        <f>IFERROR(__xludf.DUMMYFUNCTION("""COMPUTED_VALUE"""),"WINDOW|||PRI LOVELESS3PLEXTH")</f>
        <v>WINDOW|||PRI LOVELESS3PLEXTH</v>
      </c>
      <c r="P207" s="27"/>
      <c r="Q207" s="27" t="str">
        <f>IFERROR(__xludf.DUMMYFUNCTION("""COMPUTED_VALUE"""),"jose@ox-glass.com")</f>
        <v>jose@ox-glass.com</v>
      </c>
      <c r="R207" s="27" t="str">
        <f>IFERROR(__xludf.DUMMYFUNCTION("""COMPUTED_VALUE"""),"PRI LOVELESS3PLEXTH")</f>
        <v>PRI LOVELESS3PLEXTH</v>
      </c>
      <c r="S207" s="27" t="str">
        <f>IFERROR(__xludf.DUMMYFUNCTION("""COMPUTED_VALUE"""),"EXIT")</f>
        <v>EXIT</v>
      </c>
    </row>
    <row r="208" ht="21.75" customHeight="1">
      <c r="A208" s="23">
        <f>IFERROR(__xludf.DUMMYFUNCTION("""COMPUTED_VALUE"""),46171.51608851852)</f>
        <v>46171.51609</v>
      </c>
      <c r="B208" s="24" t="str">
        <f>IFERROR(__xludf.DUMMYFUNCTION("""COMPUTED_VALUE"""),"WINDOW")</f>
        <v>WINDOW</v>
      </c>
      <c r="C208" s="25" t="str">
        <f>IFERROR(__xludf.DUMMYFUNCTION("""COMPUTED_VALUE"""),"TOWERYSCREEN_SCREENTRACK")</f>
        <v>TOWERYSCREEN_SCREENTRACK</v>
      </c>
      <c r="D208" s="26"/>
      <c r="E208" s="27"/>
      <c r="F208" s="28">
        <f>IFERROR(__xludf.DUMMYFUNCTION("""COMPUTED_VALUE"""),1.0)</f>
        <v>1</v>
      </c>
      <c r="G208" s="27" t="str">
        <f>IFERROR(__xludf.DUMMYFUNCTION("""COMPUTED_VALUE"""),"UNIT")</f>
        <v>UNIT</v>
      </c>
      <c r="H208" s="29">
        <f>IFERROR(__xludf.DUMMYFUNCTION("""COMPUTED_VALUE"""),46171.0)</f>
        <v>46171</v>
      </c>
      <c r="I208" s="24"/>
      <c r="J208" s="30" t="str">
        <f>IFERROR(__xludf.DUMMYFUNCTION("""COMPUTED_VALUE"""),"AMSCO")</f>
        <v>AMSCO</v>
      </c>
      <c r="K208" s="27" t="str">
        <f>IFERROR(__xludf.DUMMYFUNCTION("""COMPUTED_VALUE"""),"1 SCREEN AND 1 LONG BOX")</f>
        <v>1 SCREEN AND 1 LONG BOX</v>
      </c>
      <c r="L208" s="2" t="str">
        <f>IFERROR(__xludf.DUMMYFUNCTION("""COMPUTED_VALUE"""),"In Stock")</f>
        <v>In Stock</v>
      </c>
      <c r="M208" s="27" t="str">
        <f>IFERROR(__xludf.DUMMYFUNCTION("""COMPUTED_VALUE"""),"JOSE")</f>
        <v>JOSE</v>
      </c>
      <c r="N208" s="27" t="str">
        <f>IFERROR(__xludf.DUMMYFUNCTION("""COMPUTED_VALUE"""),"TOWERY")</f>
        <v>TOWERY</v>
      </c>
      <c r="O208" s="27" t="str">
        <f>IFERROR(__xludf.DUMMYFUNCTION("""COMPUTED_VALUE"""),"WINDOW|||TOWERYSCREEN_SCREENTRACK")</f>
        <v>WINDOW|||TOWERYSCREEN_SCREENTRACK</v>
      </c>
      <c r="P208" s="27"/>
      <c r="Q208" s="27" t="str">
        <f>IFERROR(__xludf.DUMMYFUNCTION("""COMPUTED_VALUE"""),"jose@ox-glass.com")</f>
        <v>jose@ox-glass.com</v>
      </c>
      <c r="R208" s="27" t="str">
        <f>IFERROR(__xludf.DUMMYFUNCTION("""COMPUTED_VALUE"""),"C1B")</f>
        <v>C1B</v>
      </c>
      <c r="S208" s="27" t="str">
        <f>IFERROR(__xludf.DUMMYFUNCTION("""COMPUTED_VALUE"""),"ENTRY")</f>
        <v>ENTRY</v>
      </c>
    </row>
    <row r="209" ht="21.75" customHeight="1">
      <c r="A209" s="23">
        <f>IFERROR(__xludf.DUMMYFUNCTION("""COMPUTED_VALUE"""),46171.512750856484)</f>
        <v>46171.51275</v>
      </c>
      <c r="B209" s="24" t="str">
        <f>IFERROR(__xludf.DUMMYFUNCTION("""COMPUTED_VALUE"""),"WINDOW")</f>
        <v>WINDOW</v>
      </c>
      <c r="C209" s="25" t="str">
        <f>IFERROR(__xludf.DUMMYFUNCTION("""COMPUTED_VALUE"""),"SWE SC2REORDERSLIDER")</f>
        <v>SWE SC2REORDERSLIDER</v>
      </c>
      <c r="D209" s="26"/>
      <c r="E209" s="27"/>
      <c r="F209" s="28">
        <f>IFERROR(__xludf.DUMMYFUNCTION("""COMPUTED_VALUE"""),1.0)</f>
        <v>1</v>
      </c>
      <c r="G209" s="27" t="str">
        <f>IFERROR(__xludf.DUMMYFUNCTION("""COMPUTED_VALUE"""),"UNIT")</f>
        <v>UNIT</v>
      </c>
      <c r="H209" s="29">
        <f>IFERROR(__xludf.DUMMYFUNCTION("""COMPUTED_VALUE"""),46171.0)</f>
        <v>46171</v>
      </c>
      <c r="I209" s="24"/>
      <c r="J209" s="30" t="str">
        <f>IFERROR(__xludf.DUMMYFUNCTION("""COMPUTED_VALUE"""),"AMSCO")</f>
        <v>AMSCO</v>
      </c>
      <c r="K209" s="27"/>
      <c r="L209" s="2" t="str">
        <f>IFERROR(__xludf.DUMMYFUNCTION("""COMPUTED_VALUE"""),"In Stock")</f>
        <v>In Stock</v>
      </c>
      <c r="M209" s="27" t="str">
        <f>IFERROR(__xludf.DUMMYFUNCTION("""COMPUTED_VALUE"""),"JOSE")</f>
        <v>JOSE</v>
      </c>
      <c r="N209" s="27" t="str">
        <f>IFERROR(__xludf.DUMMYFUNCTION("""COMPUTED_VALUE"""),"SWE SC2")</f>
        <v>SWE SC2</v>
      </c>
      <c r="O209" s="27" t="str">
        <f>IFERROR(__xludf.DUMMYFUNCTION("""COMPUTED_VALUE"""),"WINDOW|||SWE SC2REORDERSLIDER")</f>
        <v>WINDOW|||SWE SC2REORDERSLIDER</v>
      </c>
      <c r="P209" s="27"/>
      <c r="Q209" s="27" t="str">
        <f>IFERROR(__xludf.DUMMYFUNCTION("""COMPUTED_VALUE"""),"jose@ox-glass.com")</f>
        <v>jose@ox-glass.com</v>
      </c>
      <c r="R209" s="27" t="str">
        <f>IFERROR(__xludf.DUMMYFUNCTION("""COMPUTED_VALUE"""),"B6A")</f>
        <v>B6A</v>
      </c>
      <c r="S209" s="27" t="str">
        <f>IFERROR(__xludf.DUMMYFUNCTION("""COMPUTED_VALUE"""),"ENTRY")</f>
        <v>ENTRY</v>
      </c>
    </row>
    <row r="210" ht="21.75" customHeight="1">
      <c r="A210" s="23">
        <f>IFERROR(__xludf.DUMMYFUNCTION("""COMPUTED_VALUE"""),46171.51108509259)</f>
        <v>46171.51109</v>
      </c>
      <c r="B210" s="24" t="str">
        <f>IFERROR(__xludf.DUMMYFUNCTION("""COMPUTED_VALUE"""),"WINDOW")</f>
        <v>WINDOW</v>
      </c>
      <c r="C210" s="25" t="str">
        <f>IFERROR(__xludf.DUMMYFUNCTION("""COMPUTED_VALUE"""),"MISCJAKEBARLOW")</f>
        <v>MISCJAKEBARLOW</v>
      </c>
      <c r="D210" s="26"/>
      <c r="E210" s="27"/>
      <c r="F210" s="28">
        <f>IFERROR(__xludf.DUMMYFUNCTION("""COMPUTED_VALUE"""),2.0)</f>
        <v>2</v>
      </c>
      <c r="G210" s="27" t="str">
        <f>IFERROR(__xludf.DUMMYFUNCTION("""COMPUTED_VALUE"""),"UNIT")</f>
        <v>UNIT</v>
      </c>
      <c r="H210" s="29">
        <f>IFERROR(__xludf.DUMMYFUNCTION("""COMPUTED_VALUE"""),46171.0)</f>
        <v>46171</v>
      </c>
      <c r="I210" s="24"/>
      <c r="J210" s="30" t="str">
        <f>IFERROR(__xludf.DUMMYFUNCTION("""COMPUTED_VALUE"""),"AMSCO")</f>
        <v>AMSCO</v>
      </c>
      <c r="K210" s="27"/>
      <c r="L210" s="2" t="str">
        <f>IFERROR(__xludf.DUMMYFUNCTION("""COMPUTED_VALUE"""),"In Stock")</f>
        <v>In Stock</v>
      </c>
      <c r="M210" s="27" t="str">
        <f>IFERROR(__xludf.DUMMYFUNCTION("""COMPUTED_VALUE"""),"JOSE")</f>
        <v>JOSE</v>
      </c>
      <c r="N210" s="27" t="str">
        <f>IFERROR(__xludf.DUMMYFUNCTION("""COMPUTED_VALUE"""),"MISC JAKE BARLOW")</f>
        <v>MISC JAKE BARLOW</v>
      </c>
      <c r="O210" s="27" t="str">
        <f>IFERROR(__xludf.DUMMYFUNCTION("""COMPUTED_VALUE"""),"WINDOW|||MISCJAKEBARLOW")</f>
        <v>WINDOW|||MISCJAKEBARLOW</v>
      </c>
      <c r="P210" s="27"/>
      <c r="Q210" s="27" t="str">
        <f>IFERROR(__xludf.DUMMYFUNCTION("""COMPUTED_VALUE"""),"jose@ox-glass.com")</f>
        <v>jose@ox-glass.com</v>
      </c>
      <c r="R210" s="27" t="str">
        <f>IFERROR(__xludf.DUMMYFUNCTION("""COMPUTED_VALUE"""),"C1A")</f>
        <v>C1A</v>
      </c>
      <c r="S210" s="27" t="str">
        <f>IFERROR(__xludf.DUMMYFUNCTION("""COMPUTED_VALUE"""),"ENTRY")</f>
        <v>ENTRY</v>
      </c>
    </row>
    <row r="211" ht="21.75" customHeight="1">
      <c r="A211" s="23">
        <f>IFERROR(__xludf.DUMMYFUNCTION("""COMPUTED_VALUE"""),46171.48447931713)</f>
        <v>46171.48448</v>
      </c>
      <c r="B211" s="24" t="str">
        <f>IFERROR(__xludf.DUMMYFUNCTION("""COMPUTED_VALUE"""),"WINDOW")</f>
        <v>WINDOW</v>
      </c>
      <c r="C211" s="25" t="str">
        <f>IFERROR(__xludf.DUMMYFUNCTION("""COMPUTED_VALUE"""),"REARDEN")</f>
        <v>REARDEN</v>
      </c>
      <c r="D211" s="26"/>
      <c r="E211" s="27"/>
      <c r="F211" s="28">
        <f>IFERROR(__xludf.DUMMYFUNCTION("""COMPUTED_VALUE"""),13.0)</f>
        <v>13</v>
      </c>
      <c r="G211" s="27" t="str">
        <f>IFERROR(__xludf.DUMMYFUNCTION("""COMPUTED_VALUE"""),"UNIT")</f>
        <v>UNIT</v>
      </c>
      <c r="H211" s="29">
        <f>IFERROR(__xludf.DUMMYFUNCTION("""COMPUTED_VALUE"""),46171.0)</f>
        <v>46171</v>
      </c>
      <c r="I211" s="24"/>
      <c r="J211" s="30" t="str">
        <f>IFERROR(__xludf.DUMMYFUNCTION("""COMPUTED_VALUE"""),"AMSCO")</f>
        <v>AMSCO</v>
      </c>
      <c r="K211" s="27"/>
      <c r="L211" s="2" t="str">
        <f>IFERROR(__xludf.DUMMYFUNCTION("""COMPUTED_VALUE"""),"In Stock")</f>
        <v>In Stock</v>
      </c>
      <c r="M211" s="27" t="str">
        <f>IFERROR(__xludf.DUMMYFUNCTION("""COMPUTED_VALUE"""),"JOSE")</f>
        <v>JOSE</v>
      </c>
      <c r="N211" s="27" t="str">
        <f>IFERROR(__xludf.DUMMYFUNCTION("""COMPUTED_VALUE"""),"REARDEN")</f>
        <v>REARDEN</v>
      </c>
      <c r="O211" s="27" t="str">
        <f>IFERROR(__xludf.DUMMYFUNCTION("""COMPUTED_VALUE"""),"WINDOW|||REARDEN")</f>
        <v>WINDOW|||REARDEN</v>
      </c>
      <c r="P211" s="27"/>
      <c r="Q211" s="27" t="str">
        <f>IFERROR(__xludf.DUMMYFUNCTION("""COMPUTED_VALUE"""),"jose@ox-glass.com")</f>
        <v>jose@ox-glass.com</v>
      </c>
      <c r="R211" s="27" t="str">
        <f>IFERROR(__xludf.DUMMYFUNCTION("""COMPUTED_VALUE"""),"B4A")</f>
        <v>B4A</v>
      </c>
      <c r="S211" s="27" t="str">
        <f>IFERROR(__xludf.DUMMYFUNCTION("""COMPUTED_VALUE"""),"ENTRY")</f>
        <v>ENTRY</v>
      </c>
    </row>
    <row r="212" ht="21.75" customHeight="1">
      <c r="A212" s="23">
        <f>IFERROR(__xludf.DUMMYFUNCTION("""COMPUTED_VALUE"""),46171.48442290509)</f>
        <v>46171.48442</v>
      </c>
      <c r="B212" s="24" t="str">
        <f>IFERROR(__xludf.DUMMYFUNCTION("""COMPUTED_VALUE"""),"WINDOW")</f>
        <v>WINDOW</v>
      </c>
      <c r="C212" s="25" t="str">
        <f>IFERROR(__xludf.DUMMYFUNCTION("""COMPUTED_VALUE"""),"REARDEN")</f>
        <v>REARDEN</v>
      </c>
      <c r="D212" s="26"/>
      <c r="E212" s="27"/>
      <c r="F212" s="28">
        <f>IFERROR(__xludf.DUMMYFUNCTION("""COMPUTED_VALUE"""),25.0)</f>
        <v>25</v>
      </c>
      <c r="G212" s="27" t="str">
        <f>IFERROR(__xludf.DUMMYFUNCTION("""COMPUTED_VALUE"""),"UNIT")</f>
        <v>UNIT</v>
      </c>
      <c r="H212" s="29">
        <f>IFERROR(__xludf.DUMMYFUNCTION("""COMPUTED_VALUE"""),46171.0)</f>
        <v>46171</v>
      </c>
      <c r="I212" s="24"/>
      <c r="J212" s="30" t="str">
        <f>IFERROR(__xludf.DUMMYFUNCTION("""COMPUTED_VALUE"""),"AMSCO")</f>
        <v>AMSCO</v>
      </c>
      <c r="K212" s="27"/>
      <c r="L212" s="2" t="str">
        <f>IFERROR(__xludf.DUMMYFUNCTION("""COMPUTED_VALUE"""),"In Stock")</f>
        <v>In Stock</v>
      </c>
      <c r="M212" s="27" t="str">
        <f>IFERROR(__xludf.DUMMYFUNCTION("""COMPUTED_VALUE"""),"JOSE")</f>
        <v>JOSE</v>
      </c>
      <c r="N212" s="27" t="str">
        <f>IFERROR(__xludf.DUMMYFUNCTION("""COMPUTED_VALUE"""),"REARDEN")</f>
        <v>REARDEN</v>
      </c>
      <c r="O212" s="27" t="str">
        <f>IFERROR(__xludf.DUMMYFUNCTION("""COMPUTED_VALUE"""),"WINDOW|||REARDEN")</f>
        <v>WINDOW|||REARDEN</v>
      </c>
      <c r="P212" s="27"/>
      <c r="Q212" s="27" t="str">
        <f>IFERROR(__xludf.DUMMYFUNCTION("""COMPUTED_VALUE"""),"jose@ox-glass.com")</f>
        <v>jose@ox-glass.com</v>
      </c>
      <c r="R212" s="27" t="str">
        <f>IFERROR(__xludf.DUMMYFUNCTION("""COMPUTED_VALUE"""),"C4A")</f>
        <v>C4A</v>
      </c>
      <c r="S212" s="27" t="str">
        <f>IFERROR(__xludf.DUMMYFUNCTION("""COMPUTED_VALUE"""),"ENTRY")</f>
        <v>ENTRY</v>
      </c>
    </row>
    <row r="213" ht="21.75" customHeight="1">
      <c r="A213" s="23">
        <f>IFERROR(__xludf.DUMMYFUNCTION("""COMPUTED_VALUE"""),46171.48434215278)</f>
        <v>46171.48434</v>
      </c>
      <c r="B213" s="24" t="str">
        <f>IFERROR(__xludf.DUMMYFUNCTION("""COMPUTED_VALUE"""),"WINDOW")</f>
        <v>WINDOW</v>
      </c>
      <c r="C213" s="25" t="str">
        <f>IFERROR(__xludf.DUMMYFUNCTION("""COMPUTED_VALUE"""),"REARDEN")</f>
        <v>REARDEN</v>
      </c>
      <c r="D213" s="26"/>
      <c r="E213" s="27"/>
      <c r="F213" s="28">
        <f>IFERROR(__xludf.DUMMYFUNCTION("""COMPUTED_VALUE"""),15.0)</f>
        <v>15</v>
      </c>
      <c r="G213" s="27" t="str">
        <f>IFERROR(__xludf.DUMMYFUNCTION("""COMPUTED_VALUE"""),"UNIT")</f>
        <v>UNIT</v>
      </c>
      <c r="H213" s="29">
        <f>IFERROR(__xludf.DUMMYFUNCTION("""COMPUTED_VALUE"""),46171.0)</f>
        <v>46171</v>
      </c>
      <c r="I213" s="24"/>
      <c r="J213" s="30" t="str">
        <f>IFERROR(__xludf.DUMMYFUNCTION("""COMPUTED_VALUE"""),"AMSCO")</f>
        <v>AMSCO</v>
      </c>
      <c r="K213" s="27"/>
      <c r="L213" s="2" t="str">
        <f>IFERROR(__xludf.DUMMYFUNCTION("""COMPUTED_VALUE"""),"In Stock")</f>
        <v>In Stock</v>
      </c>
      <c r="M213" s="27" t="str">
        <f>IFERROR(__xludf.DUMMYFUNCTION("""COMPUTED_VALUE"""),"JOSE")</f>
        <v>JOSE</v>
      </c>
      <c r="N213" s="27" t="str">
        <f>IFERROR(__xludf.DUMMYFUNCTION("""COMPUTED_VALUE"""),"REARDEN")</f>
        <v>REARDEN</v>
      </c>
      <c r="O213" s="27" t="str">
        <f>IFERROR(__xludf.DUMMYFUNCTION("""COMPUTED_VALUE"""),"WINDOW|||REARDEN")</f>
        <v>WINDOW|||REARDEN</v>
      </c>
      <c r="P213" s="27"/>
      <c r="Q213" s="27" t="str">
        <f>IFERROR(__xludf.DUMMYFUNCTION("""COMPUTED_VALUE"""),"jose@ox-glass.com")</f>
        <v>jose@ox-glass.com</v>
      </c>
      <c r="R213" s="27" t="str">
        <f>IFERROR(__xludf.DUMMYFUNCTION("""COMPUTED_VALUE"""),"C3A")</f>
        <v>C3A</v>
      </c>
      <c r="S213" s="27" t="str">
        <f>IFERROR(__xludf.DUMMYFUNCTION("""COMPUTED_VALUE"""),"ENTRY")</f>
        <v>ENTRY</v>
      </c>
    </row>
    <row r="214" ht="21.75" customHeight="1">
      <c r="A214" s="23">
        <f>IFERROR(__xludf.DUMMYFUNCTION("""COMPUTED_VALUE"""),46171.41104759259)</f>
        <v>46171.41105</v>
      </c>
      <c r="B214" s="24" t="str">
        <f>IFERROR(__xludf.DUMMYFUNCTION("""COMPUTED_VALUE"""),"WINDOW")</f>
        <v>WINDOW</v>
      </c>
      <c r="C214" s="25" t="str">
        <f>IFERROR(__xludf.DUMMYFUNCTION("""COMPUTED_VALUE"""),"TOL MH169")</f>
        <v>TOL MH169</v>
      </c>
      <c r="D214" s="26"/>
      <c r="E214" s="27"/>
      <c r="F214" s="28">
        <f>IFERROR(__xludf.DUMMYFUNCTION("""COMPUTED_VALUE"""),24.0)</f>
        <v>24</v>
      </c>
      <c r="G214" s="27" t="str">
        <f>IFERROR(__xludf.DUMMYFUNCTION("""COMPUTED_VALUE"""),"UNIT")</f>
        <v>UNIT</v>
      </c>
      <c r="H214" s="29">
        <f>IFERROR(__xludf.DUMMYFUNCTION("""COMPUTED_VALUE"""),46171.0)</f>
        <v>46171</v>
      </c>
      <c r="I214" s="24"/>
      <c r="J214" s="30" t="str">
        <f>IFERROR(__xludf.DUMMYFUNCTION("""COMPUTED_VALUE"""),"AMSCO")</f>
        <v>AMSCO</v>
      </c>
      <c r="K214" s="27"/>
      <c r="L214" s="2" t="str">
        <f>IFERROR(__xludf.DUMMYFUNCTION("""COMPUTED_VALUE"""),"In Stock")</f>
        <v>In Stock</v>
      </c>
      <c r="M214" s="27" t="str">
        <f>IFERROR(__xludf.DUMMYFUNCTION("""COMPUTED_VALUE"""),"JOSE")</f>
        <v>JOSE</v>
      </c>
      <c r="N214" s="27" t="str">
        <f>IFERROR(__xludf.DUMMYFUNCTION("""COMPUTED_VALUE"""),"MAPLETON HEIGHTS")</f>
        <v>MAPLETON HEIGHTS</v>
      </c>
      <c r="O214" s="27" t="str">
        <f>IFERROR(__xludf.DUMMYFUNCTION("""COMPUTED_VALUE"""),"WINDOW|||TOL MH169")</f>
        <v>WINDOW|||TOL MH169</v>
      </c>
      <c r="P214" s="27"/>
      <c r="Q214" s="27" t="str">
        <f>IFERROR(__xludf.DUMMYFUNCTION("""COMPUTED_VALUE"""),"jose@ox-glass.com")</f>
        <v>jose@ox-glass.com</v>
      </c>
      <c r="R214" s="27" t="str">
        <f>IFERROR(__xludf.DUMMYFUNCTION("""COMPUTED_VALUE"""),"A5A")</f>
        <v>A5A</v>
      </c>
      <c r="S214" s="27" t="str">
        <f>IFERROR(__xludf.DUMMYFUNCTION("""COMPUTED_VALUE"""),"ENTRY")</f>
        <v>ENTRY</v>
      </c>
    </row>
    <row r="215" ht="21.75" customHeight="1">
      <c r="A215" s="23">
        <f>IFERROR(__xludf.DUMMYFUNCTION("""COMPUTED_VALUE"""),46171.406871018524)</f>
        <v>46171.40687</v>
      </c>
      <c r="B215" s="24" t="str">
        <f>IFERROR(__xludf.DUMMYFUNCTION("""COMPUTED_VALUE"""),"WINDOW")</f>
        <v>WINDOW</v>
      </c>
      <c r="C215" s="25" t="str">
        <f>IFERROR(__xludf.DUMMYFUNCTION("""COMPUTED_VALUE"""),"TOL MH146")</f>
        <v>TOL MH146</v>
      </c>
      <c r="D215" s="26"/>
      <c r="E215" s="27"/>
      <c r="F215" s="28">
        <f>IFERROR(__xludf.DUMMYFUNCTION("""COMPUTED_VALUE"""),42.0)</f>
        <v>42</v>
      </c>
      <c r="G215" s="27" t="str">
        <f>IFERROR(__xludf.DUMMYFUNCTION("""COMPUTED_VALUE"""),"UNIT")</f>
        <v>UNIT</v>
      </c>
      <c r="H215" s="29">
        <f>IFERROR(__xludf.DUMMYFUNCTION("""COMPUTED_VALUE"""),46171.0)</f>
        <v>46171</v>
      </c>
      <c r="I215" s="24"/>
      <c r="J215" s="30" t="str">
        <f>IFERROR(__xludf.DUMMYFUNCTION("""COMPUTED_VALUE"""),"AMSCO")</f>
        <v>AMSCO</v>
      </c>
      <c r="K215" s="27"/>
      <c r="L215" s="2" t="str">
        <f>IFERROR(__xludf.DUMMYFUNCTION("""COMPUTED_VALUE"""),"In Stock")</f>
        <v>In Stock</v>
      </c>
      <c r="M215" s="27" t="str">
        <f>IFERROR(__xludf.DUMMYFUNCTION("""COMPUTED_VALUE"""),"JOSE")</f>
        <v>JOSE</v>
      </c>
      <c r="N215" s="27" t="str">
        <f>IFERROR(__xludf.DUMMYFUNCTION("""COMPUTED_VALUE"""),"MAPLETON HEIGHTS")</f>
        <v>MAPLETON HEIGHTS</v>
      </c>
      <c r="O215" s="27" t="str">
        <f>IFERROR(__xludf.DUMMYFUNCTION("""COMPUTED_VALUE"""),"WINDOW|||TOL MH146")</f>
        <v>WINDOW|||TOL MH146</v>
      </c>
      <c r="P215" s="27"/>
      <c r="Q215" s="27" t="str">
        <f>IFERROR(__xludf.DUMMYFUNCTION("""COMPUTED_VALUE"""),"jose@ox-glass.com")</f>
        <v>jose@ox-glass.com</v>
      </c>
      <c r="R215" s="27" t="str">
        <f>IFERROR(__xludf.DUMMYFUNCTION("""COMPUTED_VALUE"""),"A6A")</f>
        <v>A6A</v>
      </c>
      <c r="S215" s="27" t="str">
        <f>IFERROR(__xludf.DUMMYFUNCTION("""COMPUTED_VALUE"""),"ENTRY")</f>
        <v>ENTRY</v>
      </c>
    </row>
    <row r="216" ht="21.75" customHeight="1">
      <c r="A216" s="23">
        <f>IFERROR(__xludf.DUMMYFUNCTION("""COMPUTED_VALUE"""),46169.51766206018)</f>
        <v>46169.51766</v>
      </c>
      <c r="B216" s="24" t="str">
        <f>IFERROR(__xludf.DUMMYFUNCTION("""COMPUTED_VALUE"""),"WINDOW")</f>
        <v>WINDOW</v>
      </c>
      <c r="C216" s="25" t="str">
        <f>IFERROR(__xludf.DUMMYFUNCTION("""COMPUTED_VALUE"""),"TVC ORCHARDGROVESL")</f>
        <v>TVC ORCHARDGROVESL</v>
      </c>
      <c r="D216" s="26"/>
      <c r="E216" s="27"/>
      <c r="F216" s="28">
        <f>IFERROR(__xludf.DUMMYFUNCTION("""COMPUTED_VALUE"""),12.0)</f>
        <v>12</v>
      </c>
      <c r="G216" s="27" t="str">
        <f>IFERROR(__xludf.DUMMYFUNCTION("""COMPUTED_VALUE"""),"UNIT")</f>
        <v>UNIT</v>
      </c>
      <c r="H216" s="29">
        <f>IFERROR(__xludf.DUMMYFUNCTION("""COMPUTED_VALUE"""),46169.0)</f>
        <v>46169</v>
      </c>
      <c r="I216" s="24" t="str">
        <f>IFERROR(__xludf.DUMMYFUNCTION("""COMPUTED_VALUE"""),"B1A")</f>
        <v>B1A</v>
      </c>
      <c r="J216" s="30"/>
      <c r="K216" s="27"/>
      <c r="L216" s="2" t="str">
        <f>IFERROR(__xludf.DUMMYFUNCTION("""COMPUTED_VALUE"""),"Dispatched")</f>
        <v>Dispatched</v>
      </c>
      <c r="M216" s="27" t="str">
        <f>IFERROR(__xludf.DUMMYFUNCTION("""COMPUTED_VALUE"""),"SPENCER AND ELIJAH")</f>
        <v>SPENCER AND ELIJAH</v>
      </c>
      <c r="N216" s="27" t="str">
        <f>IFERROR(__xludf.DUMMYFUNCTION("""COMPUTED_VALUE"""),"GENERIC")</f>
        <v>GENERIC</v>
      </c>
      <c r="O216" s="27" t="str">
        <f>IFERROR(__xludf.DUMMYFUNCTION("""COMPUTED_VALUE"""),"WINDOW|||TVC ORCHARDGROVESL")</f>
        <v>WINDOW|||TVC ORCHARDGROVESL</v>
      </c>
      <c r="P216" s="27"/>
      <c r="Q216" s="27" t="str">
        <f>IFERROR(__xludf.DUMMYFUNCTION("""COMPUTED_VALUE"""),"jose@ox-glass.com")</f>
        <v>jose@ox-glass.com</v>
      </c>
      <c r="R216" s="27" t="str">
        <f>IFERROR(__xludf.DUMMYFUNCTION("""COMPUTED_VALUE"""),"TVC ORCHARD GROVE SL")</f>
        <v>TVC ORCHARD GROVE SL</v>
      </c>
      <c r="S216" s="27" t="str">
        <f>IFERROR(__xludf.DUMMYFUNCTION("""COMPUTED_VALUE"""),"EXIT")</f>
        <v>EXIT</v>
      </c>
    </row>
    <row r="217" ht="21.75" customHeight="1">
      <c r="A217" s="23">
        <f>IFERROR(__xludf.DUMMYFUNCTION("""COMPUTED_VALUE"""),46169.51678604167)</f>
        <v>46169.51679</v>
      </c>
      <c r="B217" s="24" t="str">
        <f>IFERROR(__xludf.DUMMYFUNCTION("""COMPUTED_VALUE"""),"WINDOW")</f>
        <v>WINDOW</v>
      </c>
      <c r="C217" s="25" t="str">
        <f>IFERROR(__xludf.DUMMYFUNCTION("""COMPUTED_VALUE"""),"CAMDEN COMMONS 11/12")</f>
        <v>CAMDEN COMMONS 11/12</v>
      </c>
      <c r="D217" s="26" t="str">
        <f>IFERROR(__xludf.DUMMYFUNCTION("""COMPUTED_VALUE"""),"GOO")</f>
        <v>GOO</v>
      </c>
      <c r="E217" s="27"/>
      <c r="F217" s="28">
        <f>IFERROR(__xludf.DUMMYFUNCTION("""COMPUTED_VALUE"""),28.0)</f>
        <v>28</v>
      </c>
      <c r="G217" s="27" t="str">
        <f>IFERROR(__xludf.DUMMYFUNCTION("""COMPUTED_VALUE"""),"UNIT")</f>
        <v>UNIT</v>
      </c>
      <c r="H217" s="29">
        <f>IFERROR(__xludf.DUMMYFUNCTION("""COMPUTED_VALUE"""),46169.0)</f>
        <v>46169</v>
      </c>
      <c r="I217" s="24" t="str">
        <f>IFERROR(__xludf.DUMMYFUNCTION("""COMPUTED_VALUE"""),"A6A")</f>
        <v>A6A</v>
      </c>
      <c r="J217" s="30" t="str">
        <f>IFERROR(__xludf.DUMMYFUNCTION("""COMPUTED_VALUE"""),"WINDSOR")</f>
        <v>WINDSOR</v>
      </c>
      <c r="K217" s="27"/>
      <c r="L217" s="2" t="str">
        <f>IFERROR(__xludf.DUMMYFUNCTION("""COMPUTED_VALUE"""),"Dispatched")</f>
        <v>Dispatched</v>
      </c>
      <c r="M217" s="27" t="str">
        <f>IFERROR(__xludf.DUMMYFUNCTION("""COMPUTED_VALUE"""),"ELIJAH AND SPENCER")</f>
        <v>ELIJAH AND SPENCER</v>
      </c>
      <c r="N217" s="27" t="str">
        <f>IFERROR(__xludf.DUMMYFUNCTION("""COMPUTED_VALUE"""),"GOOD BORO CAMDEN COMMONS 11/12")</f>
        <v>GOOD BORO CAMDEN COMMONS 11/12</v>
      </c>
      <c r="O217" s="27" t="str">
        <f>IFERROR(__xludf.DUMMYFUNCTION("""COMPUTED_VALUE"""),"WINDOW|||CAMDEN COMMONS 11_12")</f>
        <v>WINDOW|||CAMDEN COMMONS 11_12</v>
      </c>
      <c r="P217" s="27"/>
      <c r="Q217" s="27" t="str">
        <f>IFERROR(__xludf.DUMMYFUNCTION("""COMPUTED_VALUE"""),"jose@ox-glass.com")</f>
        <v>jose@ox-glass.com</v>
      </c>
      <c r="R217" s="27" t="str">
        <f>IFERROR(__xludf.DUMMYFUNCTION("""COMPUTED_VALUE"""),"GOOD BORO CAMDEN COMMONS 11/12")</f>
        <v>GOOD BORO CAMDEN COMMONS 11/12</v>
      </c>
      <c r="S217" s="27" t="str">
        <f>IFERROR(__xludf.DUMMYFUNCTION("""COMPUTED_VALUE"""),"EXIT")</f>
        <v>EXIT</v>
      </c>
    </row>
    <row r="218" ht="21.75" customHeight="1">
      <c r="A218" s="23">
        <f>IFERROR(__xludf.DUMMYFUNCTION("""COMPUTED_VALUE"""),46168.666552627314)</f>
        <v>46168.66655</v>
      </c>
      <c r="B218" s="24" t="str">
        <f>IFERROR(__xludf.DUMMYFUNCTION("""COMPUTED_VALUE"""),"WINDOW")</f>
        <v>WINDOW</v>
      </c>
      <c r="C218" s="25" t="str">
        <f>IFERROR(__xludf.DUMMYFUNCTION("""COMPUTED_VALUE"""),"JEFF WATSON")</f>
        <v>JEFF WATSON</v>
      </c>
      <c r="D218" s="26"/>
      <c r="E218" s="27"/>
      <c r="F218" s="28">
        <f>IFERROR(__xludf.DUMMYFUNCTION("""COMPUTED_VALUE"""),5.0)</f>
        <v>5</v>
      </c>
      <c r="G218" s="27" t="str">
        <f>IFERROR(__xludf.DUMMYFUNCTION("""COMPUTED_VALUE"""),"UNIT")</f>
        <v>UNIT</v>
      </c>
      <c r="H218" s="29">
        <f>IFERROR(__xludf.DUMMYFUNCTION("""COMPUTED_VALUE"""),46168.0)</f>
        <v>46168</v>
      </c>
      <c r="I218" s="24" t="str">
        <f>IFERROR(__xludf.DUMMYFUNCTION("""COMPUTED_VALUE"""),"B3A")</f>
        <v>B3A</v>
      </c>
      <c r="J218" s="30"/>
      <c r="K218" s="27"/>
      <c r="L218" s="2" t="str">
        <f>IFERROR(__xludf.DUMMYFUNCTION("""COMPUTED_VALUE"""),"Dispatched")</f>
        <v>Dispatched</v>
      </c>
      <c r="M218" s="27" t="str">
        <f>IFERROR(__xludf.DUMMYFUNCTION("""COMPUTED_VALUE"""),"TREVOR B.")</f>
        <v>TREVOR B.</v>
      </c>
      <c r="N218" s="27" t="str">
        <f>IFERROR(__xludf.DUMMYFUNCTION("""COMPUTED_VALUE"""),"JEFF WATSON")</f>
        <v>JEFF WATSON</v>
      </c>
      <c r="O218" s="27" t="str">
        <f>IFERROR(__xludf.DUMMYFUNCTION("""COMPUTED_VALUE"""),"WINDOW|||JEFF WATSON")</f>
        <v>WINDOW|||JEFF WATSON</v>
      </c>
      <c r="P218" s="27"/>
      <c r="Q218" s="27" t="str">
        <f>IFERROR(__xludf.DUMMYFUNCTION("""COMPUTED_VALUE"""),"jose@ox-glass.com")</f>
        <v>jose@ox-glass.com</v>
      </c>
      <c r="R218" s="27" t="str">
        <f>IFERROR(__xludf.DUMMYFUNCTION("""COMPUTED_VALUE"""),"JEFF WATSON")</f>
        <v>JEFF WATSON</v>
      </c>
      <c r="S218" s="27" t="str">
        <f>IFERROR(__xludf.DUMMYFUNCTION("""COMPUTED_VALUE"""),"EXIT")</f>
        <v>EXIT</v>
      </c>
    </row>
    <row r="219" ht="21.75" customHeight="1">
      <c r="A219" s="23">
        <f>IFERROR(__xludf.DUMMYFUNCTION("""COMPUTED_VALUE"""),46168.47595871527)</f>
        <v>46168.47596</v>
      </c>
      <c r="B219" s="24" t="str">
        <f>IFERROR(__xludf.DUMMYFUNCTION("""COMPUTED_VALUE"""),"WINDOW")</f>
        <v>WINDOW</v>
      </c>
      <c r="C219" s="25" t="str">
        <f>IFERROR(__xludf.DUMMYFUNCTION("""COMPUTED_VALUE"""),"JEFF WATSON")</f>
        <v>JEFF WATSON</v>
      </c>
      <c r="D219" s="26"/>
      <c r="E219" s="27"/>
      <c r="F219" s="28">
        <f>IFERROR(__xludf.DUMMYFUNCTION("""COMPUTED_VALUE"""),5.0)</f>
        <v>5</v>
      </c>
      <c r="G219" s="27" t="str">
        <f>IFERROR(__xludf.DUMMYFUNCTION("""COMPUTED_VALUE"""),"UNIT")</f>
        <v>UNIT</v>
      </c>
      <c r="H219" s="29">
        <f>IFERROR(__xludf.DUMMYFUNCTION("""COMPUTED_VALUE"""),46168.0)</f>
        <v>46168</v>
      </c>
      <c r="I219" s="24"/>
      <c r="J219" s="30" t="str">
        <f>IFERROR(__xludf.DUMMYFUNCTION("""COMPUTED_VALUE"""),"ALSIDE")</f>
        <v>ALSIDE</v>
      </c>
      <c r="K219" s="27"/>
      <c r="L219" s="2" t="str">
        <f>IFERROR(__xludf.DUMMYFUNCTION("""COMPUTED_VALUE"""),"In Stock")</f>
        <v>In Stock</v>
      </c>
      <c r="M219" s="27" t="str">
        <f>IFERROR(__xludf.DUMMYFUNCTION("""COMPUTED_VALUE"""),"JOSE")</f>
        <v>JOSE</v>
      </c>
      <c r="N219" s="27" t="str">
        <f>IFERROR(__xludf.DUMMYFUNCTION("""COMPUTED_VALUE"""),"JEFF WATSON")</f>
        <v>JEFF WATSON</v>
      </c>
      <c r="O219" s="27" t="str">
        <f>IFERROR(__xludf.DUMMYFUNCTION("""COMPUTED_VALUE"""),"WINDOW|||JEFF WATSON")</f>
        <v>WINDOW|||JEFF WATSON</v>
      </c>
      <c r="P219" s="27"/>
      <c r="Q219" s="27" t="str">
        <f>IFERROR(__xludf.DUMMYFUNCTION("""COMPUTED_VALUE"""),"jose@ox-glass.com")</f>
        <v>jose@ox-glass.com</v>
      </c>
      <c r="R219" s="27" t="str">
        <f>IFERROR(__xludf.DUMMYFUNCTION("""COMPUTED_VALUE"""),"B3A")</f>
        <v>B3A</v>
      </c>
      <c r="S219" s="27" t="str">
        <f>IFERROR(__xludf.DUMMYFUNCTION("""COMPUTED_VALUE"""),"ENTRY")</f>
        <v>ENTRY</v>
      </c>
    </row>
    <row r="220" ht="21.75" customHeight="1">
      <c r="A220" s="23">
        <f>IFERROR(__xludf.DUMMYFUNCTION("""COMPUTED_VALUE"""),46164.54358375)</f>
        <v>46164.54358</v>
      </c>
      <c r="B220" s="24" t="str">
        <f>IFERROR(__xludf.DUMMYFUNCTION("""COMPUTED_VALUE"""),"WINDOW")</f>
        <v>WINDOW</v>
      </c>
      <c r="C220" s="25" t="str">
        <f>IFERROR(__xludf.DUMMYFUNCTION("""COMPUTED_VALUE"""),"CAMDEN COMMONS 11/12")</f>
        <v>CAMDEN COMMONS 11/12</v>
      </c>
      <c r="D220" s="26" t="str">
        <f>IFERROR(__xludf.DUMMYFUNCTION("""COMPUTED_VALUE"""),"GOO")</f>
        <v>GOO</v>
      </c>
      <c r="E220" s="27"/>
      <c r="F220" s="28">
        <f>IFERROR(__xludf.DUMMYFUNCTION("""COMPUTED_VALUE"""),28.0)</f>
        <v>28</v>
      </c>
      <c r="G220" s="27" t="str">
        <f>IFERROR(__xludf.DUMMYFUNCTION("""COMPUTED_VALUE"""),"UNIT")</f>
        <v>UNIT</v>
      </c>
      <c r="H220" s="29">
        <f>IFERROR(__xludf.DUMMYFUNCTION("""COMPUTED_VALUE"""),46163.0)</f>
        <v>46163</v>
      </c>
      <c r="I220" s="24"/>
      <c r="J220" s="30" t="str">
        <f>IFERROR(__xludf.DUMMYFUNCTION("""COMPUTED_VALUE"""),"WINDSOR")</f>
        <v>WINDSOR</v>
      </c>
      <c r="K220" s="27" t="str">
        <f>IFERROR(__xludf.DUMMYFUNCTION("""COMPUTED_VALUE"""),"2GOOCC1112,  BORO CAMDEN COMMONS 11&amp;12 - TWIN TOWNHOME, CLAY COLOR WINDOWS.")</f>
        <v>2GOOCC1112,  BORO CAMDEN COMMONS 11&amp;12 - TWIN TOWNHOME, CLAY COLOR WINDOWS.</v>
      </c>
      <c r="L220" s="2" t="str">
        <f>IFERROR(__xludf.DUMMYFUNCTION("""COMPUTED_VALUE"""),"In Stock")</f>
        <v>In Stock</v>
      </c>
      <c r="M220" s="27" t="str">
        <f>IFERROR(__xludf.DUMMYFUNCTION("""COMPUTED_VALUE"""),"TERRY T.")</f>
        <v>TERRY T.</v>
      </c>
      <c r="N220" s="27" t="str">
        <f>IFERROR(__xludf.DUMMYFUNCTION("""COMPUTED_VALUE"""),"GOOD BORO CAMDEN COMMONS 11/12")</f>
        <v>GOOD BORO CAMDEN COMMONS 11/12</v>
      </c>
      <c r="O220" s="27" t="str">
        <f>IFERROR(__xludf.DUMMYFUNCTION("""COMPUTED_VALUE"""),"WINDOW|||CAMDEN COMMONS 11_12")</f>
        <v>WINDOW|||CAMDEN COMMONS 11_12</v>
      </c>
      <c r="P220" s="27" t="str">
        <f>IFERROR(__xludf.DUMMYFUNCTION("""COMPUTED_VALUE"""),"Document||https://drive.google.com/file/d/1F3w9wVJ5LZs3YdV9fPzRyP0T1XSl9USl/view?usp=drivesdk")</f>
        <v>Document||https://drive.google.com/file/d/1F3w9wVJ5LZs3YdV9fPzRyP0T1XSl9USl/view?usp=drivesdk</v>
      </c>
      <c r="Q220" s="27" t="str">
        <f>IFERROR(__xludf.DUMMYFUNCTION("""COMPUTED_VALUE"""),"jose@ox-glass.com")</f>
        <v>jose@ox-glass.com</v>
      </c>
      <c r="R220" s="27" t="str">
        <f>IFERROR(__xludf.DUMMYFUNCTION("""COMPUTED_VALUE"""),"A6A")</f>
        <v>A6A</v>
      </c>
      <c r="S220" s="27" t="str">
        <f>IFERROR(__xludf.DUMMYFUNCTION("""COMPUTED_VALUE"""),"ENTRY")</f>
        <v>ENTRY</v>
      </c>
    </row>
    <row r="221" ht="21.75" customHeight="1">
      <c r="A221" s="23">
        <f>IFERROR(__xludf.DUMMYFUNCTION("""COMPUTED_VALUE"""),46164.40810574074)</f>
        <v>46164.40811</v>
      </c>
      <c r="B221" s="24" t="str">
        <f>IFERROR(__xludf.DUMMYFUNCTION("""COMPUTED_VALUE"""),"WINDOW")</f>
        <v>WINDOW</v>
      </c>
      <c r="C221" s="25" t="str">
        <f>IFERROR(__xludf.DUMMYFUNCTION("""COMPUTED_VALUE"""),"KUNA XOSASHF106")</f>
        <v>KUNA XOSASHF106</v>
      </c>
      <c r="D221" s="26"/>
      <c r="E221" s="27"/>
      <c r="F221" s="28">
        <f>IFERROR(__xludf.DUMMYFUNCTION("""COMPUTED_VALUE"""),1.0)</f>
        <v>1</v>
      </c>
      <c r="G221" s="27" t="str">
        <f>IFERROR(__xludf.DUMMYFUNCTION("""COMPUTED_VALUE"""),"UNIT")</f>
        <v>UNIT</v>
      </c>
      <c r="H221" s="29">
        <f>IFERROR(__xludf.DUMMYFUNCTION("""COMPUTED_VALUE"""),46164.0)</f>
        <v>46164</v>
      </c>
      <c r="I221" s="24"/>
      <c r="J221" s="30" t="str">
        <f>IFERROR(__xludf.DUMMYFUNCTION("""COMPUTED_VALUE"""),"AMSCO")</f>
        <v>AMSCO</v>
      </c>
      <c r="K221" s="27" t="str">
        <f>IFERROR(__xludf.DUMMYFUNCTION("""COMPUTED_VALUE"""),"WHITE SASH")</f>
        <v>WHITE SASH</v>
      </c>
      <c r="L221" s="2" t="str">
        <f>IFERROR(__xludf.DUMMYFUNCTION("""COMPUTED_VALUE"""),"IN STOCK")</f>
        <v>IN STOCK</v>
      </c>
      <c r="M221" s="27" t="str">
        <f>IFERROR(__xludf.DUMMYFUNCTION("""COMPUTED_VALUE"""),"JOSE C.")</f>
        <v>JOSE C.</v>
      </c>
      <c r="N221" s="27" t="str">
        <f>IFERROR(__xludf.DUMMYFUNCTION("""COMPUTED_VALUE"""),"KUNA F106")</f>
        <v>KUNA F106</v>
      </c>
      <c r="O221" s="27" t="str">
        <f>IFERROR(__xludf.DUMMYFUNCTION("""COMPUTED_VALUE"""),"WINDOW|||KUNA XOSASHF106")</f>
        <v>WINDOW|||KUNA XOSASHF106</v>
      </c>
      <c r="P221" s="27" t="str">
        <f>IFERROR(__xludf.DUMMYFUNCTION("""COMPUTED_VALUE"""),"Document||https://drive.google.com/file/d/1tYnJWHbtPVnkgCn1d5R0_U_tOj-0v_y4/view?usp=drivesdk")</f>
        <v>Document||https://drive.google.com/file/d/1tYnJWHbtPVnkgCn1d5R0_U_tOj-0v_y4/view?usp=drivesdk</v>
      </c>
      <c r="Q221" s="27" t="str">
        <f>IFERROR(__xludf.DUMMYFUNCTION("""COMPUTED_VALUE"""),"jose@ox-glass.com")</f>
        <v>jose@ox-glass.com</v>
      </c>
      <c r="R221" s="27" t="str">
        <f>IFERROR(__xludf.DUMMYFUNCTION("""COMPUTED_VALUE"""),"B6A")</f>
        <v>B6A</v>
      </c>
      <c r="S221" s="27" t="str">
        <f>IFERROR(__xludf.DUMMYFUNCTION("""COMPUTED_VALUE"""),"ENTRY")</f>
        <v>ENTRY</v>
      </c>
    </row>
    <row r="222" ht="21.75" customHeight="1">
      <c r="A222" s="23">
        <f>IFERROR(__xludf.DUMMYFUNCTION("""COMPUTED_VALUE"""),46164.407302858795)</f>
        <v>46164.4073</v>
      </c>
      <c r="B222" s="24" t="str">
        <f>IFERROR(__xludf.DUMMYFUNCTION("""COMPUTED_VALUE"""),"WINDOW")</f>
        <v>WINDOW</v>
      </c>
      <c r="C222" s="25" t="str">
        <f>IFERROR(__xludf.DUMMYFUNCTION("""COMPUTED_VALUE"""),"KUNA OXSASHG102")</f>
        <v>KUNA OXSASHG102</v>
      </c>
      <c r="D222" s="26"/>
      <c r="E222" s="27"/>
      <c r="F222" s="28">
        <f>IFERROR(__xludf.DUMMYFUNCTION("""COMPUTED_VALUE"""),1.0)</f>
        <v>1</v>
      </c>
      <c r="G222" s="27" t="str">
        <f>IFERROR(__xludf.DUMMYFUNCTION("""COMPUTED_VALUE"""),"UNIT")</f>
        <v>UNIT</v>
      </c>
      <c r="H222" s="29">
        <f>IFERROR(__xludf.DUMMYFUNCTION("""COMPUTED_VALUE"""),46164.0)</f>
        <v>46164</v>
      </c>
      <c r="I222" s="24"/>
      <c r="J222" s="30" t="str">
        <f>IFERROR(__xludf.DUMMYFUNCTION("""COMPUTED_VALUE"""),"AMSCO")</f>
        <v>AMSCO</v>
      </c>
      <c r="K222" s="27" t="str">
        <f>IFERROR(__xludf.DUMMYFUNCTION("""COMPUTED_VALUE"""),"WHITE SASH")</f>
        <v>WHITE SASH</v>
      </c>
      <c r="L222" s="2" t="str">
        <f>IFERROR(__xludf.DUMMYFUNCTION("""COMPUTED_VALUE"""),"IN STOCK")</f>
        <v>IN STOCK</v>
      </c>
      <c r="M222" s="27" t="str">
        <f>IFERROR(__xludf.DUMMYFUNCTION("""COMPUTED_VALUE"""),"JOSE C.")</f>
        <v>JOSE C.</v>
      </c>
      <c r="N222" s="27" t="str">
        <f>IFERROR(__xludf.DUMMYFUNCTION("""COMPUTED_VALUE"""),"KUNA G102")</f>
        <v>KUNA G102</v>
      </c>
      <c r="O222" s="27" t="str">
        <f>IFERROR(__xludf.DUMMYFUNCTION("""COMPUTED_VALUE"""),"WINDOW|||KUNA OXSASHG102")</f>
        <v>WINDOW|||KUNA OXSASHG102</v>
      </c>
      <c r="P222" s="27" t="str">
        <f>IFERROR(__xludf.DUMMYFUNCTION("""COMPUTED_VALUE"""),"Document||https://drive.google.com/file/d/1rEu6qXgctzuzrJdGsFtMoW30YX1NaIrq/view?usp=drivesdk")</f>
        <v>Document||https://drive.google.com/file/d/1rEu6qXgctzuzrJdGsFtMoW30YX1NaIrq/view?usp=drivesdk</v>
      </c>
      <c r="Q222" s="27" t="str">
        <f>IFERROR(__xludf.DUMMYFUNCTION("""COMPUTED_VALUE"""),"jose@ox-glass.com")</f>
        <v>jose@ox-glass.com</v>
      </c>
      <c r="R222" s="27" t="str">
        <f>IFERROR(__xludf.DUMMYFUNCTION("""COMPUTED_VALUE"""),"B6A")</f>
        <v>B6A</v>
      </c>
      <c r="S222" s="27" t="str">
        <f>IFERROR(__xludf.DUMMYFUNCTION("""COMPUTED_VALUE"""),"ENTRY")</f>
        <v>ENTRY</v>
      </c>
    </row>
    <row r="223" ht="21.75" customHeight="1">
      <c r="A223" s="23">
        <f>IFERROR(__xludf.DUMMYFUNCTION("""COMPUTED_VALUE"""),46164.40628726852)</f>
        <v>46164.40629</v>
      </c>
      <c r="B223" s="24" t="str">
        <f>IFERROR(__xludf.DUMMYFUNCTION("""COMPUTED_VALUE"""),"WINDOW")</f>
        <v>WINDOW</v>
      </c>
      <c r="C223" s="25" t="str">
        <f>IFERROR(__xludf.DUMMYFUNCTION("""COMPUTED_VALUE"""),"KUNA 2640")</f>
        <v>KUNA 2640</v>
      </c>
      <c r="D223" s="26"/>
      <c r="E223" s="27"/>
      <c r="F223" s="28">
        <f>IFERROR(__xludf.DUMMYFUNCTION("""COMPUTED_VALUE"""),1.0)</f>
        <v>1</v>
      </c>
      <c r="G223" s="27" t="str">
        <f>IFERROR(__xludf.DUMMYFUNCTION("""COMPUTED_VALUE"""),"UNIT")</f>
        <v>UNIT</v>
      </c>
      <c r="H223" s="29">
        <f>IFERROR(__xludf.DUMMYFUNCTION("""COMPUTED_VALUE"""),46164.0)</f>
        <v>46164</v>
      </c>
      <c r="I223" s="24"/>
      <c r="J223" s="30" t="str">
        <f>IFERROR(__xludf.DUMMYFUNCTION("""COMPUTED_VALUE"""),"AMSCO")</f>
        <v>AMSCO</v>
      </c>
      <c r="K223" s="27" t="str">
        <f>IFERROR(__xludf.DUMMYFUNCTION("""COMPUTED_VALUE"""),"WHITE WINDOW")</f>
        <v>WHITE WINDOW</v>
      </c>
      <c r="L223" s="2" t="str">
        <f>IFERROR(__xludf.DUMMYFUNCTION("""COMPUTED_VALUE"""),"IN STOCK")</f>
        <v>IN STOCK</v>
      </c>
      <c r="M223" s="27" t="str">
        <f>IFERROR(__xludf.DUMMYFUNCTION("""COMPUTED_VALUE"""),"JOSE C.")</f>
        <v>JOSE C.</v>
      </c>
      <c r="N223" s="27" t="str">
        <f>IFERROR(__xludf.DUMMYFUNCTION("""COMPUTED_VALUE"""),"KUNA 2640")</f>
        <v>KUNA 2640</v>
      </c>
      <c r="O223" s="27" t="str">
        <f>IFERROR(__xludf.DUMMYFUNCTION("""COMPUTED_VALUE"""),"WINDOW|||KUNA 2640")</f>
        <v>WINDOW|||KUNA 2640</v>
      </c>
      <c r="P223" s="27" t="str">
        <f>IFERROR(__xludf.DUMMYFUNCTION("""COMPUTED_VALUE"""),"Document||https://drive.google.com/file/d/1pX07XN0I5Ps7XQ4DfUnLj3ii9CF-E2ir/view?usp=drivesdk")</f>
        <v>Document||https://drive.google.com/file/d/1pX07XN0I5Ps7XQ4DfUnLj3ii9CF-E2ir/view?usp=drivesdk</v>
      </c>
      <c r="Q223" s="27" t="str">
        <f>IFERROR(__xludf.DUMMYFUNCTION("""COMPUTED_VALUE"""),"jose@ox-glass.com")</f>
        <v>jose@ox-glass.com</v>
      </c>
      <c r="R223" s="27" t="str">
        <f>IFERROR(__xludf.DUMMYFUNCTION("""COMPUTED_VALUE"""),"B6A")</f>
        <v>B6A</v>
      </c>
      <c r="S223" s="27" t="str">
        <f>IFERROR(__xludf.DUMMYFUNCTION("""COMPUTED_VALUE"""),"ENTRY")</f>
        <v>ENTRY</v>
      </c>
    </row>
    <row r="224" ht="21.75" customHeight="1">
      <c r="A224" s="23">
        <f>IFERROR(__xludf.DUMMYFUNCTION("""COMPUTED_VALUE"""),46164.4029394213)</f>
        <v>46164.40294</v>
      </c>
      <c r="B224" s="24" t="str">
        <f>IFERROR(__xludf.DUMMYFUNCTION("""COMPUTED_VALUE"""),"WINDOW")</f>
        <v>WINDOW</v>
      </c>
      <c r="C224" s="25" t="str">
        <f>IFERROR(__xludf.DUMMYFUNCTION("""COMPUTED_VALUE"""),"MISCJAKEBARLOW")</f>
        <v>MISCJAKEBARLOW</v>
      </c>
      <c r="D224" s="26"/>
      <c r="E224" s="27"/>
      <c r="F224" s="28">
        <f>IFERROR(__xludf.DUMMYFUNCTION("""COMPUTED_VALUE"""),2.0)</f>
        <v>2</v>
      </c>
      <c r="G224" s="27" t="str">
        <f>IFERROR(__xludf.DUMMYFUNCTION("""COMPUTED_VALUE"""),"UNIT")</f>
        <v>UNIT</v>
      </c>
      <c r="H224" s="29">
        <f>IFERROR(__xludf.DUMMYFUNCTION("""COMPUTED_VALUE"""),46164.0)</f>
        <v>46164</v>
      </c>
      <c r="I224" s="24"/>
      <c r="J224" s="30" t="str">
        <f>IFERROR(__xludf.DUMMYFUNCTION("""COMPUTED_VALUE"""),"AMSCO")</f>
        <v>AMSCO</v>
      </c>
      <c r="K224" s="27"/>
      <c r="L224" s="2" t="str">
        <f>IFERROR(__xludf.DUMMYFUNCTION("""COMPUTED_VALUE"""),"In Stock")</f>
        <v>In Stock</v>
      </c>
      <c r="M224" s="27" t="str">
        <f>IFERROR(__xludf.DUMMYFUNCTION("""COMPUTED_VALUE"""),"JOSE")</f>
        <v>JOSE</v>
      </c>
      <c r="N224" s="27" t="str">
        <f>IFERROR(__xludf.DUMMYFUNCTION("""COMPUTED_VALUE"""),"MISC JAKE BARLOW")</f>
        <v>MISC JAKE BARLOW</v>
      </c>
      <c r="O224" s="27" t="str">
        <f>IFERROR(__xludf.DUMMYFUNCTION("""COMPUTED_VALUE"""),"WINDOW|||MISCJAKEBARLOW")</f>
        <v>WINDOW|||MISCJAKEBARLOW</v>
      </c>
      <c r="P224" s="27" t="str">
        <f>IFERROR(__xludf.DUMMYFUNCTION("""COMPUTED_VALUE"""),"Document||https://drive.google.com/file/d/1zwi06uMTs-8nRrTgfUkU8aFl0SdIGA45/view?usp=drivesdk")</f>
        <v>Document||https://drive.google.com/file/d/1zwi06uMTs-8nRrTgfUkU8aFl0SdIGA45/view?usp=drivesdk</v>
      </c>
      <c r="Q224" s="27" t="str">
        <f>IFERROR(__xludf.DUMMYFUNCTION("""COMPUTED_VALUE"""),"jose@ox-glass.com")</f>
        <v>jose@ox-glass.com</v>
      </c>
      <c r="R224" s="27" t="str">
        <f>IFERROR(__xludf.DUMMYFUNCTION("""COMPUTED_VALUE"""),"B6A")</f>
        <v>B6A</v>
      </c>
      <c r="S224" s="27" t="str">
        <f>IFERROR(__xludf.DUMMYFUNCTION("""COMPUTED_VALUE"""),"ENTRY")</f>
        <v>ENTRY</v>
      </c>
    </row>
    <row r="225" ht="21.75" customHeight="1">
      <c r="A225" s="23">
        <f>IFERROR(__xludf.DUMMYFUNCTION("""COMPUTED_VALUE"""),46163.36642912037)</f>
        <v>46163.36643</v>
      </c>
      <c r="B225" s="24" t="str">
        <f>IFERROR(__xludf.DUMMYFUNCTION("""COMPUTED_VALUE"""),"WINDOW")</f>
        <v>WINDOW</v>
      </c>
      <c r="C225" s="25" t="str">
        <f>IFERROR(__xludf.DUMMYFUNCTION("""COMPUTED_VALUE"""),"TVC ORCHARDGROVESL")</f>
        <v>TVC ORCHARDGROVESL</v>
      </c>
      <c r="D225" s="26"/>
      <c r="E225" s="27" t="str">
        <f>IFERROR(__xludf.DUMMYFUNCTION("""COMPUTED_VALUE"""),"7034")</f>
        <v>7034</v>
      </c>
      <c r="F225" s="28">
        <f>IFERROR(__xludf.DUMMYFUNCTION("""COMPUTED_VALUE"""),12.0)</f>
        <v>12</v>
      </c>
      <c r="G225" s="27" t="str">
        <f>IFERROR(__xludf.DUMMYFUNCTION("""COMPUTED_VALUE"""),"UNIT")</f>
        <v>UNIT</v>
      </c>
      <c r="H225" s="29">
        <f>IFERROR(__xludf.DUMMYFUNCTION("""COMPUTED_VALUE"""),46163.0)</f>
        <v>46163</v>
      </c>
      <c r="I225" s="24"/>
      <c r="J225" s="30" t="str">
        <f>IFERROR(__xludf.DUMMYFUNCTION("""COMPUTED_VALUE"""),"ALSIDE")</f>
        <v>ALSIDE</v>
      </c>
      <c r="K225" s="27"/>
      <c r="L225" s="2" t="str">
        <f>IFERROR(__xludf.DUMMYFUNCTION("""COMPUTED_VALUE"""),"IN STOCK")</f>
        <v>IN STOCK</v>
      </c>
      <c r="M225" s="27" t="str">
        <f>IFERROR(__xludf.DUMMYFUNCTION("""COMPUTED_VALUE"""),"Elijah")</f>
        <v>Elijah</v>
      </c>
      <c r="N225" s="27" t="str">
        <f>IFERROR(__xludf.DUMMYFUNCTION("""COMPUTED_VALUE"""),"GENERIC")</f>
        <v>GENERIC</v>
      </c>
      <c r="O225" s="27" t="str">
        <f>IFERROR(__xludf.DUMMYFUNCTION("""COMPUTED_VALUE"""),"WINDOW|||TVC ORCHARDGROVESL")</f>
        <v>WINDOW|||TVC ORCHARDGROVESL</v>
      </c>
      <c r="P225" s="27" t="str">
        <f>IFERROR(__xludf.DUMMYFUNCTION("""COMPUTED_VALUE"""),"Shipping doc||https://drive.google.com/file/d/1qlWURIJPRtYT0XX8prq3_J0kwecXOjCo/view?usp=drivesdk")</f>
        <v>Shipping doc||https://drive.google.com/file/d/1qlWURIJPRtYT0XX8prq3_J0kwecXOjCo/view?usp=drivesdk</v>
      </c>
      <c r="Q225" s="27" t="str">
        <f>IFERROR(__xludf.DUMMYFUNCTION("""COMPUTED_VALUE"""),"jose@ox-glass.com")</f>
        <v>jose@ox-glass.com</v>
      </c>
      <c r="R225" s="27" t="str">
        <f>IFERROR(__xludf.DUMMYFUNCTION("""COMPUTED_VALUE"""),"B1A")</f>
        <v>B1A</v>
      </c>
      <c r="S225" s="27" t="str">
        <f>IFERROR(__xludf.DUMMYFUNCTION("""COMPUTED_VALUE"""),"ENTRY")</f>
        <v>ENTRY</v>
      </c>
    </row>
    <row r="226" ht="21.75" customHeight="1">
      <c r="A226" s="23">
        <f>IFERROR(__xludf.DUMMYFUNCTION("""COMPUTED_VALUE"""),46163.36020697916)</f>
        <v>46163.36021</v>
      </c>
      <c r="B226" s="24" t="str">
        <f>IFERROR(__xludf.DUMMYFUNCTION("""COMPUTED_VALUE"""),"WINDOW")</f>
        <v>WINDOW</v>
      </c>
      <c r="C226" s="25" t="str">
        <f>IFERROR(__xludf.DUMMYFUNCTION("""COMPUTED_VALUE"""),"LIBERTYWELLS B4")</f>
        <v>LIBERTYWELLS B4</v>
      </c>
      <c r="D226" s="26"/>
      <c r="E226" s="27"/>
      <c r="F226" s="28">
        <f>IFERROR(__xludf.DUMMYFUNCTION("""COMPUTED_VALUE"""),2.0)</f>
        <v>2</v>
      </c>
      <c r="G226" s="27" t="str">
        <f>IFERROR(__xludf.DUMMYFUNCTION("""COMPUTED_VALUE"""),"UNIT")</f>
        <v>UNIT</v>
      </c>
      <c r="H226" s="29">
        <f>IFERROR(__xludf.DUMMYFUNCTION("""COMPUTED_VALUE"""),46162.0)</f>
        <v>46162</v>
      </c>
      <c r="I226" s="24"/>
      <c r="J226" s="30" t="str">
        <f>IFERROR(__xludf.DUMMYFUNCTION("""COMPUTED_VALUE"""),"HARTUNG")</f>
        <v>HARTUNG</v>
      </c>
      <c r="K226" s="27"/>
      <c r="L226" s="2" t="str">
        <f>IFERROR(__xludf.DUMMYFUNCTION("""COMPUTED_VALUE"""),"IN STOCK")</f>
        <v>IN STOCK</v>
      </c>
      <c r="M226" s="27" t="str">
        <f>IFERROR(__xludf.DUMMYFUNCTION("""COMPUTED_VALUE"""),"JOSE C.")</f>
        <v>JOSE C.</v>
      </c>
      <c r="N226" s="27" t="str">
        <f>IFERROR(__xludf.DUMMYFUNCTION("""COMPUTED_VALUE"""),"GENERIC")</f>
        <v>GENERIC</v>
      </c>
      <c r="O226" s="27" t="str">
        <f>IFERROR(__xludf.DUMMYFUNCTION("""COMPUTED_VALUE"""),"WINDOW|||LIBERTYWELLS B4")</f>
        <v>WINDOW|||LIBERTYWELLS B4</v>
      </c>
      <c r="P226" s="27"/>
      <c r="Q226" s="27" t="str">
        <f>IFERROR(__xludf.DUMMYFUNCTION("""COMPUTED_VALUE"""),"jose@ox-glass.com")</f>
        <v>jose@ox-glass.com</v>
      </c>
      <c r="R226" s="27" t="str">
        <f>IFERROR(__xludf.DUMMYFUNCTION("""COMPUTED_VALUE"""),"JOE L. CART")</f>
        <v>JOE L. CART</v>
      </c>
      <c r="S226" s="27" t="str">
        <f>IFERROR(__xludf.DUMMYFUNCTION("""COMPUTED_VALUE"""),"ENTRY")</f>
        <v>ENTRY</v>
      </c>
    </row>
    <row r="227" ht="21.75" customHeight="1">
      <c r="A227" s="23">
        <f>IFERROR(__xludf.DUMMYFUNCTION("""COMPUTED_VALUE"""),46163.34034251157)</f>
        <v>46163.34034</v>
      </c>
      <c r="B227" s="24" t="str">
        <f>IFERROR(__xludf.DUMMYFUNCTION("""COMPUTED_VALUE"""),"WINDOW")</f>
        <v>WINDOW</v>
      </c>
      <c r="C227" s="25" t="str">
        <f>IFERROR(__xludf.DUMMYFUNCTION("""COMPUTED_VALUE"""),"SAL BUSHMAN FARMS 2")</f>
        <v>SAL BUSHMAN FARMS 2</v>
      </c>
      <c r="D227" s="26"/>
      <c r="E227" s="27"/>
      <c r="F227" s="28">
        <f>IFERROR(__xludf.DUMMYFUNCTION("""COMPUTED_VALUE"""),1.0)</f>
        <v>1</v>
      </c>
      <c r="G227" s="27" t="str">
        <f>IFERROR(__xludf.DUMMYFUNCTION("""COMPUTED_VALUE"""),"UNIT")</f>
        <v>UNIT</v>
      </c>
      <c r="H227" s="29">
        <f>IFERROR(__xludf.DUMMYFUNCTION("""COMPUTED_VALUE"""),46162.0)</f>
        <v>46162</v>
      </c>
      <c r="I227" s="24"/>
      <c r="J227" s="30" t="str">
        <f>IFERROR(__xludf.DUMMYFUNCTION("""COMPUTED_VALUE"""),"WINDOR")</f>
        <v>WINDOR</v>
      </c>
      <c r="K227" s="27" t="str">
        <f>IFERROR(__xludf.DUMMYFUNCTION("""COMPUTED_VALUE"""),"3 PANELS AND 1 FRAME, Bushman Lot 2|Main Office")</f>
        <v>3 PANELS AND 1 FRAME, Bushman Lot 2|Main Office</v>
      </c>
      <c r="L227" s="2" t="str">
        <f>IFERROR(__xludf.DUMMYFUNCTION("""COMPUTED_VALUE"""),"IN STOCK")</f>
        <v>IN STOCK</v>
      </c>
      <c r="M227" s="27" t="str">
        <f>IFERROR(__xludf.DUMMYFUNCTION("""COMPUTED_VALUE"""),"JOSE C.")</f>
        <v>JOSE C.</v>
      </c>
      <c r="N227" s="27" t="str">
        <f>IFERROR(__xludf.DUMMYFUNCTION("""COMPUTED_VALUE"""),"SAL BUSHMAN FARMS 2")</f>
        <v>SAL BUSHMAN FARMS 2</v>
      </c>
      <c r="O227" s="27" t="str">
        <f>IFERROR(__xludf.DUMMYFUNCTION("""COMPUTED_VALUE"""),"WINDOW|||SAL BUSHMAN FARMS 2")</f>
        <v>WINDOW|||SAL BUSHMAN FARMS 2</v>
      </c>
      <c r="P227" s="27"/>
      <c r="Q227" s="27" t="str">
        <f>IFERROR(__xludf.DUMMYFUNCTION("""COMPUTED_VALUE"""),"jose@ox-glass.com")</f>
        <v>jose@ox-glass.com</v>
      </c>
      <c r="R227" s="27" t="str">
        <f>IFERROR(__xludf.DUMMYFUNCTION("""COMPUTED_VALUE"""),"A")</f>
        <v>A</v>
      </c>
      <c r="S227" s="27" t="str">
        <f>IFERROR(__xludf.DUMMYFUNCTION("""COMPUTED_VALUE"""),"ENTRY")</f>
        <v>ENTRY</v>
      </c>
    </row>
    <row r="228" ht="21.75" customHeight="1">
      <c r="A228" s="23">
        <f>IFERROR(__xludf.DUMMYFUNCTION("""COMPUTED_VALUE"""),46163.33689398148)</f>
        <v>46163.33689</v>
      </c>
      <c r="B228" s="24" t="str">
        <f>IFERROR(__xludf.DUMMYFUNCTION("""COMPUTED_VALUE"""),"WINDOW")</f>
        <v>WINDOW</v>
      </c>
      <c r="C228" s="25" t="str">
        <f>IFERROR(__xludf.DUMMYFUNCTION("""COMPUTED_VALUE"""),"EPJ 420 JACKIE")</f>
        <v>EPJ 420 JACKIE</v>
      </c>
      <c r="D228" s="26"/>
      <c r="E228" s="27"/>
      <c r="F228" s="28">
        <f>IFERROR(__xludf.DUMMYFUNCTION("""COMPUTED_VALUE"""),12.0)</f>
        <v>12</v>
      </c>
      <c r="G228" s="27" t="str">
        <f>IFERROR(__xludf.DUMMYFUNCTION("""COMPUTED_VALUE"""),"UNIT")</f>
        <v>UNIT</v>
      </c>
      <c r="H228" s="29">
        <f>IFERROR(__xludf.DUMMYFUNCTION("""COMPUTED_VALUE"""),46163.0)</f>
        <v>46163</v>
      </c>
      <c r="I228" s="24" t="str">
        <f>IFERROR(__xludf.DUMMYFUNCTION("""COMPUTED_VALUE"""),"B1A")</f>
        <v>B1A</v>
      </c>
      <c r="J228" s="30"/>
      <c r="K228" s="27"/>
      <c r="L228" s="2" t="str">
        <f>IFERROR(__xludf.DUMMYFUNCTION("""COMPUTED_VALUE"""),"DISPATCHED")</f>
        <v>DISPATCHED</v>
      </c>
      <c r="M228" s="27" t="str">
        <f>IFERROR(__xludf.DUMMYFUNCTION("""COMPUTED_VALUE"""),"DANE'S TEAM")</f>
        <v>DANE'S TEAM</v>
      </c>
      <c r="N228" s="27" t="str">
        <f>IFERROR(__xludf.DUMMYFUNCTION("""COMPUTED_VALUE"""),"GENERIC")</f>
        <v>GENERIC</v>
      </c>
      <c r="O228" s="27" t="str">
        <f>IFERROR(__xludf.DUMMYFUNCTION("""COMPUTED_VALUE"""),"WINDOW|||EPJ 420 JACKIE")</f>
        <v>WINDOW|||EPJ 420 JACKIE</v>
      </c>
      <c r="P228" s="27"/>
      <c r="Q228" s="27" t="str">
        <f>IFERROR(__xludf.DUMMYFUNCTION("""COMPUTED_VALUE"""),"jose@ox-glass.com")</f>
        <v>jose@ox-glass.com</v>
      </c>
      <c r="R228" s="27" t="str">
        <f>IFERROR(__xludf.DUMMYFUNCTION("""COMPUTED_VALUE"""),"EPJ 420 JACKIE")</f>
        <v>EPJ 420 JACKIE</v>
      </c>
      <c r="S228" s="27" t="str">
        <f>IFERROR(__xludf.DUMMYFUNCTION("""COMPUTED_VALUE"""),"EXIT")</f>
        <v>EXIT</v>
      </c>
    </row>
    <row r="229" ht="21.75" customHeight="1">
      <c r="A229" s="23">
        <f>IFERROR(__xludf.DUMMYFUNCTION("""COMPUTED_VALUE"""),46162.66028152777)</f>
        <v>46162.66028</v>
      </c>
      <c r="B229" s="24" t="str">
        <f>IFERROR(__xludf.DUMMYFUNCTION("""COMPUTED_VALUE"""),"WINDOW")</f>
        <v>WINDOW</v>
      </c>
      <c r="C229" s="25" t="str">
        <f>IFERROR(__xludf.DUMMYFUNCTION("""COMPUTED_VALUE"""),"PAT PVS4")</f>
        <v>PAT PVS4</v>
      </c>
      <c r="D229" s="26"/>
      <c r="E229" s="27"/>
      <c r="F229" s="28">
        <f>IFERROR(__xludf.DUMMYFUNCTION("""COMPUTED_VALUE"""),19.0)</f>
        <v>19</v>
      </c>
      <c r="G229" s="27" t="str">
        <f>IFERROR(__xludf.DUMMYFUNCTION("""COMPUTED_VALUE"""),"UNIT")</f>
        <v>UNIT</v>
      </c>
      <c r="H229" s="29">
        <f>IFERROR(__xludf.DUMMYFUNCTION("""COMPUTED_VALUE"""),46134.0)</f>
        <v>46134</v>
      </c>
      <c r="I229" s="24" t="str">
        <f>IFERROR(__xludf.DUMMYFUNCTION("""COMPUTED_VALUE"""),"B2A")</f>
        <v>B2A</v>
      </c>
      <c r="J229" s="30"/>
      <c r="K229" s="27"/>
      <c r="L229" s="2" t="str">
        <f>IFERROR(__xludf.DUMMYFUNCTION("""COMPUTED_VALUE"""),"DISPATCHED")</f>
        <v>DISPATCHED</v>
      </c>
      <c r="M229" s="27" t="str">
        <f>IFERROR(__xludf.DUMMYFUNCTION("""COMPUTED_VALUE"""),"SPENCER AND ELIJAH")</f>
        <v>SPENCER AND ELIJAH</v>
      </c>
      <c r="N229" s="27" t="str">
        <f>IFERROR(__xludf.DUMMYFUNCTION("""COMPUTED_VALUE"""),"GENERIC")</f>
        <v>GENERIC</v>
      </c>
      <c r="O229" s="27" t="str">
        <f>IFERROR(__xludf.DUMMYFUNCTION("""COMPUTED_VALUE"""),"WINDOW|||PAT PVS4")</f>
        <v>WINDOW|||PAT PVS4</v>
      </c>
      <c r="P229" s="27"/>
      <c r="Q229" s="27" t="str">
        <f>IFERROR(__xludf.DUMMYFUNCTION("""COMPUTED_VALUE"""),"jose@ox-glass.com")</f>
        <v>jose@ox-glass.com</v>
      </c>
      <c r="R229" s="27" t="str">
        <f>IFERROR(__xludf.DUMMYFUNCTION("""COMPUTED_VALUE"""),"PATTERNSON HOMES PVS4")</f>
        <v>PATTERNSON HOMES PVS4</v>
      </c>
      <c r="S229" s="27" t="str">
        <f>IFERROR(__xludf.DUMMYFUNCTION("""COMPUTED_VALUE"""),"EXIT")</f>
        <v>EXIT</v>
      </c>
    </row>
    <row r="230" ht="21.75" customHeight="1">
      <c r="A230" s="23">
        <f>IFERROR(__xludf.DUMMYFUNCTION("""COMPUTED_VALUE"""),46162.643717175924)</f>
        <v>46162.64372</v>
      </c>
      <c r="B230" s="24" t="str">
        <f>IFERROR(__xludf.DUMMYFUNCTION("""COMPUTED_VALUE"""),"WINDOW")</f>
        <v>WINDOW</v>
      </c>
      <c r="C230" s="25" t="str">
        <f>IFERROR(__xludf.DUMMYFUNCTION("""COMPUTED_VALUE"""),"LGILOT1049")</f>
        <v>LGILOT1049</v>
      </c>
      <c r="D230" s="26"/>
      <c r="E230" s="27"/>
      <c r="F230" s="28">
        <f>IFERROR(__xludf.DUMMYFUNCTION("""COMPUTED_VALUE"""),1.0)</f>
        <v>1</v>
      </c>
      <c r="G230" s="27" t="str">
        <f>IFERROR(__xludf.DUMMYFUNCTION("""COMPUTED_VALUE"""),"UNIT")</f>
        <v>UNIT</v>
      </c>
      <c r="H230" s="29">
        <f>IFERROR(__xludf.DUMMYFUNCTION("""COMPUTED_VALUE"""),46049.0)</f>
        <v>46049</v>
      </c>
      <c r="I230" s="24" t="str">
        <f>IFERROR(__xludf.DUMMYFUNCTION("""COMPUTED_VALUE"""),"A1A")</f>
        <v>A1A</v>
      </c>
      <c r="J230" s="30"/>
      <c r="K230" s="27"/>
      <c r="L230" s="2" t="str">
        <f>IFERROR(__xludf.DUMMYFUNCTION("""COMPUTED_VALUE"""),"DISPATCHED")</f>
        <v>DISPATCHED</v>
      </c>
      <c r="M230" s="27" t="str">
        <f>IFERROR(__xludf.DUMMYFUNCTION("""COMPUTED_VALUE"""),"JOSE C.")</f>
        <v>JOSE C.</v>
      </c>
      <c r="N230" s="27" t="str">
        <f>IFERROR(__xludf.DUMMYFUNCTION("""COMPUTED_VALUE"""),"GENERIC")</f>
        <v>GENERIC</v>
      </c>
      <c r="O230" s="27" t="str">
        <f>IFERROR(__xludf.DUMMYFUNCTION("""COMPUTED_VALUE"""),"WINDOW|||LGILOT1049")</f>
        <v>WINDOW|||LGILOT1049</v>
      </c>
      <c r="P230" s="27"/>
      <c r="Q230" s="27" t="str">
        <f>IFERROR(__xludf.DUMMYFUNCTION("""COMPUTED_VALUE"""),"jose@ox-glass.com")</f>
        <v>jose@ox-glass.com</v>
      </c>
      <c r="R230" s="27" t="str">
        <f>IFERROR(__xludf.DUMMYFUNCTION("""COMPUTED_VALUE"""),"LGILOT1049")</f>
        <v>LGILOT1049</v>
      </c>
      <c r="S230" s="27" t="str">
        <f>IFERROR(__xludf.DUMMYFUNCTION("""COMPUTED_VALUE"""),"EXIT")</f>
        <v>EXIT</v>
      </c>
    </row>
    <row r="231" ht="21.75" customHeight="1">
      <c r="A231" s="23">
        <f>IFERROR(__xludf.DUMMYFUNCTION("""COMPUTED_VALUE"""),46162.64215760417)</f>
        <v>46162.64216</v>
      </c>
      <c r="B231" s="24" t="str">
        <f>IFERROR(__xludf.DUMMYFUNCTION("""COMPUTED_VALUE"""),"WINDOW")</f>
        <v>WINDOW</v>
      </c>
      <c r="C231" s="25" t="str">
        <f>IFERROR(__xludf.DUMMYFUNCTION("""COMPUTED_VALUE"""),"ELKWOOD ADDITIONAL")</f>
        <v>ELKWOOD ADDITIONAL</v>
      </c>
      <c r="D231" s="26"/>
      <c r="E231" s="27"/>
      <c r="F231" s="28">
        <f>IFERROR(__xludf.DUMMYFUNCTION("""COMPUTED_VALUE"""),2.0)</f>
        <v>2</v>
      </c>
      <c r="G231" s="27" t="str">
        <f>IFERROR(__xludf.DUMMYFUNCTION("""COMPUTED_VALUE"""),"UNIT")</f>
        <v>UNIT</v>
      </c>
      <c r="H231" s="29">
        <f>IFERROR(__xludf.DUMMYFUNCTION("""COMPUTED_VALUE"""),46162.0)</f>
        <v>46162</v>
      </c>
      <c r="I231" s="24" t="str">
        <f>IFERROR(__xludf.DUMMYFUNCTION("""COMPUTED_VALUE"""),"A")</f>
        <v>A</v>
      </c>
      <c r="J231" s="30"/>
      <c r="K231" s="27" t="str">
        <f>IFERROR(__xludf.DUMMYFUNCTION("""COMPUTED_VALUE"""),"WINDOWS NOT FOUND")</f>
        <v>WINDOWS NOT FOUND</v>
      </c>
      <c r="L231" s="2" t="str">
        <f>IFERROR(__xludf.DUMMYFUNCTION("""COMPUTED_VALUE"""),"DAMAGED")</f>
        <v>DAMAGED</v>
      </c>
      <c r="M231" s="27" t="str">
        <f>IFERROR(__xludf.DUMMYFUNCTION("""COMPUTED_VALUE"""),"JOSE C.")</f>
        <v>JOSE C.</v>
      </c>
      <c r="N231" s="27" t="str">
        <f>IFERROR(__xludf.DUMMYFUNCTION("""COMPUTED_VALUE"""),"GENERIC")</f>
        <v>GENERIC</v>
      </c>
      <c r="O231" s="27" t="str">
        <f>IFERROR(__xludf.DUMMYFUNCTION("""COMPUTED_VALUE"""),"WINDOW|||ELKWOOD ADDITIONAL")</f>
        <v>WINDOW|||ELKWOOD ADDITIONAL</v>
      </c>
      <c r="P231" s="27"/>
      <c r="Q231" s="27" t="str">
        <f>IFERROR(__xludf.DUMMYFUNCTION("""COMPUTED_VALUE"""),"jose@ox-glass.com")</f>
        <v>jose@ox-glass.com</v>
      </c>
      <c r="R231" s="27"/>
      <c r="S231" s="27" t="str">
        <f>IFERROR(__xludf.DUMMYFUNCTION("""COMPUTED_VALUE"""),"WASTE")</f>
        <v>WASTE</v>
      </c>
    </row>
    <row r="232" ht="21.75" customHeight="1">
      <c r="A232" s="23">
        <f>IFERROR(__xludf.DUMMYFUNCTION("""COMPUTED_VALUE"""),46162.56604899305)</f>
        <v>46162.56605</v>
      </c>
      <c r="B232" s="24" t="str">
        <f>IFERROR(__xludf.DUMMYFUNCTION("""COMPUTED_VALUE"""),"WINDOW")</f>
        <v>WINDOW</v>
      </c>
      <c r="C232" s="25" t="str">
        <f>IFERROR(__xludf.DUMMYFUNCTION("""COMPUTED_VALUE"""),"MISCKENTADD")</f>
        <v>MISCKENTADD</v>
      </c>
      <c r="D232" s="26"/>
      <c r="E232" s="27"/>
      <c r="F232" s="28">
        <f>IFERROR(__xludf.DUMMYFUNCTION("""COMPUTED_VALUE"""),1.0)</f>
        <v>1</v>
      </c>
      <c r="G232" s="27" t="str">
        <f>IFERROR(__xludf.DUMMYFUNCTION("""COMPUTED_VALUE"""),"UNIT")</f>
        <v>UNIT</v>
      </c>
      <c r="H232" s="29">
        <f>IFERROR(__xludf.DUMMYFUNCTION("""COMPUTED_VALUE"""),46157.0)</f>
        <v>46157</v>
      </c>
      <c r="I232" s="24" t="str">
        <f>IFERROR(__xludf.DUMMYFUNCTION("""COMPUTED_VALUE"""),"B6A")</f>
        <v>B6A</v>
      </c>
      <c r="J232" s="30"/>
      <c r="K232" s="27"/>
      <c r="L232" s="2" t="str">
        <f>IFERROR(__xludf.DUMMYFUNCTION("""COMPUTED_VALUE"""),"DISPATCHED")</f>
        <v>DISPATCHED</v>
      </c>
      <c r="M232" s="27" t="str">
        <f>IFERROR(__xludf.DUMMYFUNCTION("""COMPUTED_VALUE"""),"CALEB")</f>
        <v>CALEB</v>
      </c>
      <c r="N232" s="27" t="str">
        <f>IFERROR(__xludf.DUMMYFUNCTION("""COMPUTED_VALUE"""),"GENERIC")</f>
        <v>GENERIC</v>
      </c>
      <c r="O232" s="27" t="str">
        <f>IFERROR(__xludf.DUMMYFUNCTION("""COMPUTED_VALUE"""),"WINDOW|||MISCKENTADD")</f>
        <v>WINDOW|||MISCKENTADD</v>
      </c>
      <c r="P232" s="27"/>
      <c r="Q232" s="27" t="str">
        <f>IFERROR(__xludf.DUMMYFUNCTION("""COMPUTED_VALUE"""),"jose@ox-glass.com")</f>
        <v>jose@ox-glass.com</v>
      </c>
      <c r="R232" s="27" t="str">
        <f>IFERROR(__xludf.DUMMYFUNCTION("""COMPUTED_VALUE"""),"KENT KAY RESIDENCE")</f>
        <v>KENT KAY RESIDENCE</v>
      </c>
      <c r="S232" s="27" t="str">
        <f>IFERROR(__xludf.DUMMYFUNCTION("""COMPUTED_VALUE"""),"EXIT")</f>
        <v>EXIT</v>
      </c>
    </row>
    <row r="233" ht="21.75" customHeight="1">
      <c r="A233" s="23">
        <f>IFERROR(__xludf.DUMMYFUNCTION("""COMPUTED_VALUE"""),46162.56572503472)</f>
        <v>46162.56573</v>
      </c>
      <c r="B233" s="24" t="str">
        <f>IFERROR(__xludf.DUMMYFUNCTION("""COMPUTED_VALUE"""),"WINDOW")</f>
        <v>WINDOW</v>
      </c>
      <c r="C233" s="25" t="str">
        <f>IFERROR(__xludf.DUMMYFUNCTION("""COMPUTED_VALUE"""),"MISCKK4060")</f>
        <v>MISCKK4060</v>
      </c>
      <c r="D233" s="26"/>
      <c r="E233" s="27"/>
      <c r="F233" s="28">
        <f>IFERROR(__xludf.DUMMYFUNCTION("""COMPUTED_VALUE"""),1.0)</f>
        <v>1</v>
      </c>
      <c r="G233" s="27" t="str">
        <f>IFERROR(__xludf.DUMMYFUNCTION("""COMPUTED_VALUE"""),"UNIT")</f>
        <v>UNIT</v>
      </c>
      <c r="H233" s="29">
        <f>IFERROR(__xludf.DUMMYFUNCTION("""COMPUTED_VALUE"""),46157.0)</f>
        <v>46157</v>
      </c>
      <c r="I233" s="24" t="str">
        <f>IFERROR(__xludf.DUMMYFUNCTION("""COMPUTED_VALUE"""),"B6A")</f>
        <v>B6A</v>
      </c>
      <c r="J233" s="30"/>
      <c r="K233" s="27"/>
      <c r="L233" s="2" t="str">
        <f>IFERROR(__xludf.DUMMYFUNCTION("""COMPUTED_VALUE"""),"DISPATCHED")</f>
        <v>DISPATCHED</v>
      </c>
      <c r="M233" s="27" t="str">
        <f>IFERROR(__xludf.DUMMYFUNCTION("""COMPUTED_VALUE"""),"CALEB")</f>
        <v>CALEB</v>
      </c>
      <c r="N233" s="27" t="str">
        <f>IFERROR(__xludf.DUMMYFUNCTION("""COMPUTED_VALUE"""),"GENERIC")</f>
        <v>GENERIC</v>
      </c>
      <c r="O233" s="27" t="str">
        <f>IFERROR(__xludf.DUMMYFUNCTION("""COMPUTED_VALUE"""),"WINDOW|||MISCKK4060")</f>
        <v>WINDOW|||MISCKK4060</v>
      </c>
      <c r="P233" s="27"/>
      <c r="Q233" s="27" t="str">
        <f>IFERROR(__xludf.DUMMYFUNCTION("""COMPUTED_VALUE"""),"jose@ox-glass.com")</f>
        <v>jose@ox-glass.com</v>
      </c>
      <c r="R233" s="27" t="str">
        <f>IFERROR(__xludf.DUMMYFUNCTION("""COMPUTED_VALUE"""),"KENT KAY RESIDENCE")</f>
        <v>KENT KAY RESIDENCE</v>
      </c>
      <c r="S233" s="27" t="str">
        <f>IFERROR(__xludf.DUMMYFUNCTION("""COMPUTED_VALUE"""),"EXIT")</f>
        <v>EXIT</v>
      </c>
    </row>
    <row r="234" ht="21.75" customHeight="1">
      <c r="A234" s="23">
        <f>IFERROR(__xludf.DUMMYFUNCTION("""COMPUTED_VALUE"""),46162.5316637963)</f>
        <v>46162.53166</v>
      </c>
      <c r="B234" s="24" t="str">
        <f>IFERROR(__xludf.DUMMYFUNCTION("""COMPUTED_VALUE"""),"WINDOW")</f>
        <v>WINDOW</v>
      </c>
      <c r="C234" s="25" t="str">
        <f>IFERROR(__xludf.DUMMYFUNCTION("""COMPUTED_VALUE"""),"LGI DESERT EDGE TOWNHOMES B1")</f>
        <v>LGI DESERT EDGE TOWNHOMES B1</v>
      </c>
      <c r="D234" s="26"/>
      <c r="E234" s="27"/>
      <c r="F234" s="28">
        <f>IFERROR(__xludf.DUMMYFUNCTION("""COMPUTED_VALUE"""),28.0)</f>
        <v>28</v>
      </c>
      <c r="G234" s="27" t="str">
        <f>IFERROR(__xludf.DUMMYFUNCTION("""COMPUTED_VALUE"""),"UNIT")</f>
        <v>UNIT</v>
      </c>
      <c r="H234" s="29">
        <f>IFERROR(__xludf.DUMMYFUNCTION("""COMPUTED_VALUE"""),46162.0)</f>
        <v>46162</v>
      </c>
      <c r="I234" s="24" t="str">
        <f>IFERROR(__xludf.DUMMYFUNCTION("""COMPUTED_VALUE"""),"C5A")</f>
        <v>C5A</v>
      </c>
      <c r="J234" s="30" t="str">
        <f>IFERROR(__xludf.DUMMYFUNCTION("""COMPUTED_VALUE"""),"ALSIDE")</f>
        <v>ALSIDE</v>
      </c>
      <c r="K234" s="27"/>
      <c r="L234" s="2" t="str">
        <f>IFERROR(__xludf.DUMMYFUNCTION("""COMPUTED_VALUE"""),"DISPATCHED")</f>
        <v>DISPATCHED</v>
      </c>
      <c r="M234" s="27" t="str">
        <f>IFERROR(__xludf.DUMMYFUNCTION("""COMPUTED_VALUE"""),"ELIJAH AND SPENCER")</f>
        <v>ELIJAH AND SPENCER</v>
      </c>
      <c r="N234" s="27" t="str">
        <f>IFERROR(__xludf.DUMMYFUNCTION("""COMPUTED_VALUE"""),"LGI DESERT EDGE TOWNHOMES")</f>
        <v>LGI DESERT EDGE TOWNHOMES</v>
      </c>
      <c r="O234" s="27" t="str">
        <f>IFERROR(__xludf.DUMMYFUNCTION("""COMPUTED_VALUE"""),"WINDOW|||LGI DESERT EDGE TOWNHOMES B1")</f>
        <v>WINDOW|||LGI DESERT EDGE TOWNHOMES B1</v>
      </c>
      <c r="P234" s="27"/>
      <c r="Q234" s="27" t="str">
        <f>IFERROR(__xludf.DUMMYFUNCTION("""COMPUTED_VALUE"""),"jose@ox-glass.com")</f>
        <v>jose@ox-glass.com</v>
      </c>
      <c r="R234" s="27" t="str">
        <f>IFERROR(__xludf.DUMMYFUNCTION("""COMPUTED_VALUE"""),"LGI DESERT EDGE TOWNHOMES")</f>
        <v>LGI DESERT EDGE TOWNHOMES</v>
      </c>
      <c r="S234" s="27" t="str">
        <f>IFERROR(__xludf.DUMMYFUNCTION("""COMPUTED_VALUE"""),"EXIT")</f>
        <v>EXIT</v>
      </c>
    </row>
    <row r="235" ht="21.75" customHeight="1">
      <c r="A235" s="23">
        <f>IFERROR(__xludf.DUMMYFUNCTION("""COMPUTED_VALUE"""),46162.52888888889)</f>
        <v>46162.52889</v>
      </c>
      <c r="B235" s="24" t="str">
        <f>IFERROR(__xludf.DUMMYFUNCTION("""COMPUTED_VALUE"""),"WINDOW")</f>
        <v>WINDOW</v>
      </c>
      <c r="C235" s="25" t="str">
        <f>IFERROR(__xludf.DUMMYFUNCTION("""COMPUTED_VALUE"""),"LGI DESERT EDGE TOWNHOMES B1")</f>
        <v>LGI DESERT EDGE TOWNHOMES B1</v>
      </c>
      <c r="D235" s="26"/>
      <c r="E235" s="27"/>
      <c r="F235" s="28">
        <f>IFERROR(__xludf.DUMMYFUNCTION("""COMPUTED_VALUE"""),28.0)</f>
        <v>28</v>
      </c>
      <c r="G235" s="27" t="str">
        <f>IFERROR(__xludf.DUMMYFUNCTION("""COMPUTED_VALUE"""),"UNIT")</f>
        <v>UNIT</v>
      </c>
      <c r="H235" s="29">
        <f>IFERROR(__xludf.DUMMYFUNCTION("""COMPUTED_VALUE"""),46162.0)</f>
        <v>46162</v>
      </c>
      <c r="I235" s="24" t="str">
        <f>IFERROR(__xludf.DUMMYFUNCTION("""COMPUTED_VALUE"""),"B5A")</f>
        <v>B5A</v>
      </c>
      <c r="J235" s="30" t="str">
        <f>IFERROR(__xludf.DUMMYFUNCTION("""COMPUTED_VALUE"""),"ALSIDE")</f>
        <v>ALSIDE</v>
      </c>
      <c r="K235" s="27"/>
      <c r="L235" s="2" t="str">
        <f>IFERROR(__xludf.DUMMYFUNCTION("""COMPUTED_VALUE"""),"DISPATCHED")</f>
        <v>DISPATCHED</v>
      </c>
      <c r="M235" s="27" t="str">
        <f>IFERROR(__xludf.DUMMYFUNCTION("""COMPUTED_VALUE"""),"ELIJAH AND SPENCER")</f>
        <v>ELIJAH AND SPENCER</v>
      </c>
      <c r="N235" s="27" t="str">
        <f>IFERROR(__xludf.DUMMYFUNCTION("""COMPUTED_VALUE"""),"LGI DESERT EDGE TOWNHOMES")</f>
        <v>LGI DESERT EDGE TOWNHOMES</v>
      </c>
      <c r="O235" s="27" t="str">
        <f>IFERROR(__xludf.DUMMYFUNCTION("""COMPUTED_VALUE"""),"WINDOW|||LGI DESERT EDGE TOWNHOMES B1")</f>
        <v>WINDOW|||LGI DESERT EDGE TOWNHOMES B1</v>
      </c>
      <c r="P235" s="27"/>
      <c r="Q235" s="27" t="str">
        <f>IFERROR(__xludf.DUMMYFUNCTION("""COMPUTED_VALUE"""),"jose@ox-glass.com")</f>
        <v>jose@ox-glass.com</v>
      </c>
      <c r="R235" s="27" t="str">
        <f>IFERROR(__xludf.DUMMYFUNCTION("""COMPUTED_VALUE"""),"LGI DESERT EDGE TOWNHOMES")</f>
        <v>LGI DESERT EDGE TOWNHOMES</v>
      </c>
      <c r="S235" s="27" t="str">
        <f>IFERROR(__xludf.DUMMYFUNCTION("""COMPUTED_VALUE"""),"EXIT")</f>
        <v>EXIT</v>
      </c>
    </row>
    <row r="236" ht="21.75" customHeight="1">
      <c r="A236" s="23">
        <f>IFERROR(__xludf.DUMMYFUNCTION("""COMPUTED_VALUE"""),46162.476836863425)</f>
        <v>46162.47684</v>
      </c>
      <c r="B236" s="24" t="str">
        <f>IFERROR(__xludf.DUMMYFUNCTION("""COMPUTED_VALUE"""),"WINDOW")</f>
        <v>WINDOW</v>
      </c>
      <c r="C236" s="25" t="str">
        <f>IFERROR(__xludf.DUMMYFUNCTION("""COMPUTED_VALUE"""),"WHI 222")</f>
        <v>WHI 222</v>
      </c>
      <c r="D236" s="26"/>
      <c r="E236" s="27"/>
      <c r="F236" s="28">
        <f>IFERROR(__xludf.DUMMYFUNCTION("""COMPUTED_VALUE"""),16.0)</f>
        <v>16</v>
      </c>
      <c r="G236" s="27" t="str">
        <f>IFERROR(__xludf.DUMMYFUNCTION("""COMPUTED_VALUE"""),"UNIT")</f>
        <v>UNIT</v>
      </c>
      <c r="H236" s="29">
        <f>IFERROR(__xludf.DUMMYFUNCTION("""COMPUTED_VALUE"""),46162.0)</f>
        <v>46162</v>
      </c>
      <c r="I236" s="24" t="str">
        <f>IFERROR(__xludf.DUMMYFUNCTION("""COMPUTED_VALUE"""),"B2A")</f>
        <v>B2A</v>
      </c>
      <c r="J236" s="30"/>
      <c r="K236" s="27" t="str">
        <f>IFERROR(__xludf.DUMMYFUNCTION("""COMPUTED_VALUE"""),"Lot 222 Poppy(5ft tall main) [WHI-222]")</f>
        <v>Lot 222 Poppy(5ft tall main) [WHI-222]</v>
      </c>
      <c r="L236" s="2" t="str">
        <f>IFERROR(__xludf.DUMMYFUNCTION("""COMPUTED_VALUE"""),"DISPATCHED")</f>
        <v>DISPATCHED</v>
      </c>
      <c r="M236" s="27" t="str">
        <f>IFERROR(__xludf.DUMMYFUNCTION("""COMPUTED_VALUE"""),"SPENCER AND ELIJAH")</f>
        <v>SPENCER AND ELIJAH</v>
      </c>
      <c r="N236" s="27" t="str">
        <f>IFERROR(__xludf.DUMMYFUNCTION("""COMPUTED_VALUE"""),"GENERIC")</f>
        <v>GENERIC</v>
      </c>
      <c r="O236" s="27" t="str">
        <f>IFERROR(__xludf.DUMMYFUNCTION("""COMPUTED_VALUE"""),"WINDOW|||WHI 222")</f>
        <v>WINDOW|||WHI 222</v>
      </c>
      <c r="P236" s="27"/>
      <c r="Q236" s="27" t="str">
        <f>IFERROR(__xludf.DUMMYFUNCTION("""COMPUTED_VALUE"""),"jose@ox-glass.com")</f>
        <v>jose@ox-glass.com</v>
      </c>
      <c r="R236" s="27" t="str">
        <f>IFERROR(__xludf.DUMMYFUNCTION("""COMPUTED_VALUE"""),"WHITE STAR PROPERTY 222")</f>
        <v>WHITE STAR PROPERTY 222</v>
      </c>
      <c r="S236" s="27" t="str">
        <f>IFERROR(__xludf.DUMMYFUNCTION("""COMPUTED_VALUE"""),"EXIT")</f>
        <v>EXIT</v>
      </c>
    </row>
    <row r="237" ht="21.75" customHeight="1">
      <c r="A237" s="23">
        <f>IFERROR(__xludf.DUMMYFUNCTION("""COMPUTED_VALUE"""),46162.47101019676)</f>
        <v>46162.47101</v>
      </c>
      <c r="B237" s="24" t="str">
        <f>IFERROR(__xludf.DUMMYFUNCTION("""COMPUTED_VALUE"""),"WINDOW")</f>
        <v>WINDOW</v>
      </c>
      <c r="C237" s="25" t="str">
        <f>IFERROR(__xludf.DUMMYFUNCTION("""COMPUTED_VALUE"""),"WHIPR220")</f>
        <v>WHIPR220</v>
      </c>
      <c r="D237" s="26"/>
      <c r="E237" s="27"/>
      <c r="F237" s="28">
        <f>IFERROR(__xludf.DUMMYFUNCTION("""COMPUTED_VALUE"""),15.0)</f>
        <v>15</v>
      </c>
      <c r="G237" s="27" t="str">
        <f>IFERROR(__xludf.DUMMYFUNCTION("""COMPUTED_VALUE"""),"UNIT")</f>
        <v>UNIT</v>
      </c>
      <c r="H237" s="29">
        <f>IFERROR(__xludf.DUMMYFUNCTION("""COMPUTED_VALUE"""),46162.0)</f>
        <v>46162</v>
      </c>
      <c r="I237" s="24" t="str">
        <f>IFERROR(__xludf.DUMMYFUNCTION("""COMPUTED_VALUE"""),"B2A")</f>
        <v>B2A</v>
      </c>
      <c r="J237" s="30"/>
      <c r="K237" s="27"/>
      <c r="L237" s="2" t="str">
        <f>IFERROR(__xludf.DUMMYFUNCTION("""COMPUTED_VALUE"""),"DISPATCHED")</f>
        <v>DISPATCHED</v>
      </c>
      <c r="M237" s="27" t="str">
        <f>IFERROR(__xludf.DUMMYFUNCTION("""COMPUTED_VALUE"""),"SPENCER AND ELIJAH")</f>
        <v>SPENCER AND ELIJAH</v>
      </c>
      <c r="N237" s="27" t="str">
        <f>IFERROR(__xludf.DUMMYFUNCTION("""COMPUTED_VALUE"""),"GENERIC")</f>
        <v>GENERIC</v>
      </c>
      <c r="O237" s="27" t="str">
        <f>IFERROR(__xludf.DUMMYFUNCTION("""COMPUTED_VALUE"""),"WINDOW|||WHIPR220")</f>
        <v>WINDOW|||WHIPR220</v>
      </c>
      <c r="P237" s="27"/>
      <c r="Q237" s="27" t="str">
        <f>IFERROR(__xludf.DUMMYFUNCTION("""COMPUTED_VALUE"""),"jose@ox-glass.com")</f>
        <v>jose@ox-glass.com</v>
      </c>
      <c r="R237" s="27" t="str">
        <f>IFERROR(__xludf.DUMMYFUNCTION("""COMPUTED_VALUE"""),"WHITE STAR PROPERTY 220")</f>
        <v>WHITE STAR PROPERTY 220</v>
      </c>
      <c r="S237" s="27" t="str">
        <f>IFERROR(__xludf.DUMMYFUNCTION("""COMPUTED_VALUE"""),"EXIT")</f>
        <v>EXIT</v>
      </c>
    </row>
    <row r="238" ht="21.75" customHeight="1">
      <c r="A238" s="23">
        <f>IFERROR(__xludf.DUMMYFUNCTION("""COMPUTED_VALUE"""),46162.45864519676)</f>
        <v>46162.45865</v>
      </c>
      <c r="B238" s="24" t="str">
        <f>IFERROR(__xludf.DUMMYFUNCTION("""COMPUTED_VALUE"""),"WINDOW")</f>
        <v>WINDOW</v>
      </c>
      <c r="C238" s="25" t="str">
        <f>IFERROR(__xludf.DUMMYFUNCTION("""COMPUTED_VALUE"""),"1187 HOUSING AUTHORITY")</f>
        <v>1187 HOUSING AUTHORITY</v>
      </c>
      <c r="D238" s="26"/>
      <c r="E238" s="27"/>
      <c r="F238" s="28">
        <f>IFERROR(__xludf.DUMMYFUNCTION("""COMPUTED_VALUE"""),7.0)</f>
        <v>7</v>
      </c>
      <c r="G238" s="27" t="str">
        <f>IFERROR(__xludf.DUMMYFUNCTION("""COMPUTED_VALUE"""),"UNIT")</f>
        <v>UNIT</v>
      </c>
      <c r="H238" s="29">
        <f>IFERROR(__xludf.DUMMYFUNCTION("""COMPUTED_VALUE"""),46161.0)</f>
        <v>46161</v>
      </c>
      <c r="I238" s="24" t="str">
        <f>IFERROR(__xludf.DUMMYFUNCTION("""COMPUTED_VALUE"""),"A5A")</f>
        <v>A5A</v>
      </c>
      <c r="J238" s="30"/>
      <c r="K238" s="27" t="str">
        <f>IFERROR(__xludf.DUMMYFUNCTION("""COMPUTED_VALUE"""),"DALIVERY MADE TO A WAREHOUSE IN AMERICAN FORK")</f>
        <v>DALIVERY MADE TO A WAREHOUSE IN AMERICAN FORK</v>
      </c>
      <c r="L238" s="2" t="str">
        <f>IFERROR(__xludf.DUMMYFUNCTION("""COMPUTED_VALUE"""),"DISPATCHED")</f>
        <v>DISPATCHED</v>
      </c>
      <c r="M238" s="27" t="str">
        <f>IFERROR(__xludf.DUMMYFUNCTION("""COMPUTED_VALUE"""),"JOSE AND SPENCER")</f>
        <v>JOSE AND SPENCER</v>
      </c>
      <c r="N238" s="27" t="str">
        <f>IFERROR(__xludf.DUMMYFUNCTION("""COMPUTED_VALUE"""),"GENERIC")</f>
        <v>GENERIC</v>
      </c>
      <c r="O238" s="27" t="str">
        <f>IFERROR(__xludf.DUMMYFUNCTION("""COMPUTED_VALUE"""),"WINDOW|||1187 HOUSING AUTHORITY")</f>
        <v>WINDOW|||1187 HOUSING AUTHORITY</v>
      </c>
      <c r="P238" s="27"/>
      <c r="Q238" s="27" t="str">
        <f>IFERROR(__xludf.DUMMYFUNCTION("""COMPUTED_VALUE"""),"jose@ox-glass.com")</f>
        <v>jose@ox-glass.com</v>
      </c>
      <c r="R238" s="27" t="str">
        <f>IFERROR(__xludf.DUMMYFUNCTION("""COMPUTED_VALUE"""),"TIMP VALLEY CONSTRUCTION")</f>
        <v>TIMP VALLEY CONSTRUCTION</v>
      </c>
      <c r="S238" s="27" t="str">
        <f>IFERROR(__xludf.DUMMYFUNCTION("""COMPUTED_VALUE"""),"EXIT")</f>
        <v>EXIT</v>
      </c>
    </row>
    <row r="239" ht="21.75" customHeight="1">
      <c r="A239" s="23">
        <f>IFERROR(__xludf.DUMMYFUNCTION("""COMPUTED_VALUE"""),46162.45801862268)</f>
        <v>46162.45802</v>
      </c>
      <c r="B239" s="24" t="str">
        <f>IFERROR(__xludf.DUMMYFUNCTION("""COMPUTED_VALUE"""),"WINDOW")</f>
        <v>WINDOW</v>
      </c>
      <c r="C239" s="25" t="str">
        <f>IFERROR(__xludf.DUMMYFUNCTION("""COMPUTED_VALUE"""),"1181 HOUSING AUTHORITY")</f>
        <v>1181 HOUSING AUTHORITY</v>
      </c>
      <c r="D239" s="26"/>
      <c r="E239" s="27"/>
      <c r="F239" s="28">
        <f>IFERROR(__xludf.DUMMYFUNCTION("""COMPUTED_VALUE"""),7.0)</f>
        <v>7</v>
      </c>
      <c r="G239" s="27" t="str">
        <f>IFERROR(__xludf.DUMMYFUNCTION("""COMPUTED_VALUE"""),"UNIT")</f>
        <v>UNIT</v>
      </c>
      <c r="H239" s="29">
        <f>IFERROR(__xludf.DUMMYFUNCTION("""COMPUTED_VALUE"""),46161.0)</f>
        <v>46161</v>
      </c>
      <c r="I239" s="24" t="str">
        <f>IFERROR(__xludf.DUMMYFUNCTION("""COMPUTED_VALUE"""),"A5A")</f>
        <v>A5A</v>
      </c>
      <c r="J239" s="30"/>
      <c r="K239" s="27" t="str">
        <f>IFERROR(__xludf.DUMMYFUNCTION("""COMPUTED_VALUE"""),"DALIVERY MADE TO A WAREHOUSE IN AMERICAN FORK")</f>
        <v>DALIVERY MADE TO A WAREHOUSE IN AMERICAN FORK</v>
      </c>
      <c r="L239" s="2" t="str">
        <f>IFERROR(__xludf.DUMMYFUNCTION("""COMPUTED_VALUE"""),"DISPATCHED")</f>
        <v>DISPATCHED</v>
      </c>
      <c r="M239" s="27" t="str">
        <f>IFERROR(__xludf.DUMMYFUNCTION("""COMPUTED_VALUE"""),"JOSE AND SPENCER")</f>
        <v>JOSE AND SPENCER</v>
      </c>
      <c r="N239" s="27" t="str">
        <f>IFERROR(__xludf.DUMMYFUNCTION("""COMPUTED_VALUE"""),"GENERIC")</f>
        <v>GENERIC</v>
      </c>
      <c r="O239" s="27" t="str">
        <f>IFERROR(__xludf.DUMMYFUNCTION("""COMPUTED_VALUE"""),"WINDOW|||1181 HOUSING AUTHORITY")</f>
        <v>WINDOW|||1181 HOUSING AUTHORITY</v>
      </c>
      <c r="P239" s="27"/>
      <c r="Q239" s="27" t="str">
        <f>IFERROR(__xludf.DUMMYFUNCTION("""COMPUTED_VALUE"""),"jose@ox-glass.com")</f>
        <v>jose@ox-glass.com</v>
      </c>
      <c r="R239" s="27" t="str">
        <f>IFERROR(__xludf.DUMMYFUNCTION("""COMPUTED_VALUE"""),"TIMP VALLEY CONSTRUCTION")</f>
        <v>TIMP VALLEY CONSTRUCTION</v>
      </c>
      <c r="S239" s="27" t="str">
        <f>IFERROR(__xludf.DUMMYFUNCTION("""COMPUTED_VALUE"""),"EXIT")</f>
        <v>EXIT</v>
      </c>
    </row>
    <row r="240" ht="21.75" customHeight="1">
      <c r="A240" s="23">
        <f>IFERROR(__xludf.DUMMYFUNCTION("""COMPUTED_VALUE"""),46162.45747809028)</f>
        <v>46162.45748</v>
      </c>
      <c r="B240" s="24" t="str">
        <f>IFERROR(__xludf.DUMMYFUNCTION("""COMPUTED_VALUE"""),"WINDOW")</f>
        <v>WINDOW</v>
      </c>
      <c r="C240" s="25" t="str">
        <f>IFERROR(__xludf.DUMMYFUNCTION("""COMPUTED_VALUE"""),"1173 HOUSING AUTHORITY")</f>
        <v>1173 HOUSING AUTHORITY</v>
      </c>
      <c r="D240" s="26"/>
      <c r="E240" s="27"/>
      <c r="F240" s="28">
        <f>IFERROR(__xludf.DUMMYFUNCTION("""COMPUTED_VALUE"""),7.0)</f>
        <v>7</v>
      </c>
      <c r="G240" s="27" t="str">
        <f>IFERROR(__xludf.DUMMYFUNCTION("""COMPUTED_VALUE"""),"UNIT")</f>
        <v>UNIT</v>
      </c>
      <c r="H240" s="29">
        <f>IFERROR(__xludf.DUMMYFUNCTION("""COMPUTED_VALUE"""),46161.0)</f>
        <v>46161</v>
      </c>
      <c r="I240" s="24" t="str">
        <f>IFERROR(__xludf.DUMMYFUNCTION("""COMPUTED_VALUE"""),"B5A")</f>
        <v>B5A</v>
      </c>
      <c r="J240" s="30"/>
      <c r="K240" s="27" t="str">
        <f>IFERROR(__xludf.DUMMYFUNCTION("""COMPUTED_VALUE"""),"DALIVERY MADE TO A WAREHOUSE IN AMERICAN FORK")</f>
        <v>DALIVERY MADE TO A WAREHOUSE IN AMERICAN FORK</v>
      </c>
      <c r="L240" s="2" t="str">
        <f>IFERROR(__xludf.DUMMYFUNCTION("""COMPUTED_VALUE"""),"DISPATCHED")</f>
        <v>DISPATCHED</v>
      </c>
      <c r="M240" s="27" t="str">
        <f>IFERROR(__xludf.DUMMYFUNCTION("""COMPUTED_VALUE"""),"JOSE AND SPENCER")</f>
        <v>JOSE AND SPENCER</v>
      </c>
      <c r="N240" s="27" t="str">
        <f>IFERROR(__xludf.DUMMYFUNCTION("""COMPUTED_VALUE"""),"GENERIC")</f>
        <v>GENERIC</v>
      </c>
      <c r="O240" s="27" t="str">
        <f>IFERROR(__xludf.DUMMYFUNCTION("""COMPUTED_VALUE"""),"WINDOW|||1173 HOUSING AUTHORITY")</f>
        <v>WINDOW|||1173 HOUSING AUTHORITY</v>
      </c>
      <c r="P240" s="27"/>
      <c r="Q240" s="27" t="str">
        <f>IFERROR(__xludf.DUMMYFUNCTION("""COMPUTED_VALUE"""),"jose@ox-glass.com")</f>
        <v>jose@ox-glass.com</v>
      </c>
      <c r="R240" s="27" t="str">
        <f>IFERROR(__xludf.DUMMYFUNCTION("""COMPUTED_VALUE"""),"TIMP VALLEY CONSTRUCTION")</f>
        <v>TIMP VALLEY CONSTRUCTION</v>
      </c>
      <c r="S240" s="27" t="str">
        <f>IFERROR(__xludf.DUMMYFUNCTION("""COMPUTED_VALUE"""),"EXIT")</f>
        <v>EXIT</v>
      </c>
    </row>
    <row r="241" ht="21.75" customHeight="1">
      <c r="A241" s="23">
        <f>IFERROR(__xludf.DUMMYFUNCTION("""COMPUTED_VALUE"""),46162.41692905092)</f>
        <v>46162.41693</v>
      </c>
      <c r="B241" s="24" t="str">
        <f>IFERROR(__xludf.DUMMYFUNCTION("""COMPUTED_VALUE"""),"WINDOW")</f>
        <v>WINDOW</v>
      </c>
      <c r="C241" s="25" t="str">
        <f>IFERROR(__xludf.DUMMYFUNCTION("""COMPUTED_VALUE"""),"1167 HOUSING AUTHORITY")</f>
        <v>1167 HOUSING AUTHORITY</v>
      </c>
      <c r="D241" s="26"/>
      <c r="E241" s="27"/>
      <c r="F241" s="28">
        <f>IFERROR(__xludf.DUMMYFUNCTION("""COMPUTED_VALUE"""),7.0)</f>
        <v>7</v>
      </c>
      <c r="G241" s="27" t="str">
        <f>IFERROR(__xludf.DUMMYFUNCTION("""COMPUTED_VALUE"""),"UNIT")</f>
        <v>UNIT</v>
      </c>
      <c r="H241" s="29">
        <f>IFERROR(__xludf.DUMMYFUNCTION("""COMPUTED_VALUE"""),46161.0)</f>
        <v>46161</v>
      </c>
      <c r="I241" s="24" t="str">
        <f>IFERROR(__xludf.DUMMYFUNCTION("""COMPUTED_VALUE"""),"A6A")</f>
        <v>A6A</v>
      </c>
      <c r="J241" s="30"/>
      <c r="K241" s="27" t="str">
        <f>IFERROR(__xludf.DUMMYFUNCTION("""COMPUTED_VALUE"""),"DALIVERY MADE TO A WAREHOUSE IN AMERICAN FORK")</f>
        <v>DALIVERY MADE TO A WAREHOUSE IN AMERICAN FORK</v>
      </c>
      <c r="L241" s="2" t="str">
        <f>IFERROR(__xludf.DUMMYFUNCTION("""COMPUTED_VALUE"""),"DISPATCHED")</f>
        <v>DISPATCHED</v>
      </c>
      <c r="M241" s="27" t="str">
        <f>IFERROR(__xludf.DUMMYFUNCTION("""COMPUTED_VALUE"""),"JOSE AND SPENCER")</f>
        <v>JOSE AND SPENCER</v>
      </c>
      <c r="N241" s="27" t="str">
        <f>IFERROR(__xludf.DUMMYFUNCTION("""COMPUTED_VALUE"""),"GENERIC")</f>
        <v>GENERIC</v>
      </c>
      <c r="O241" s="27" t="str">
        <f>IFERROR(__xludf.DUMMYFUNCTION("""COMPUTED_VALUE"""),"WINDOW|||1167 HOUSING AUTHORITY")</f>
        <v>WINDOW|||1167 HOUSING AUTHORITY</v>
      </c>
      <c r="P241" s="27"/>
      <c r="Q241" s="27" t="str">
        <f>IFERROR(__xludf.DUMMYFUNCTION("""COMPUTED_VALUE"""),"jose@ox-glass.com")</f>
        <v>jose@ox-glass.com</v>
      </c>
      <c r="R241" s="27" t="str">
        <f>IFERROR(__xludf.DUMMYFUNCTION("""COMPUTED_VALUE"""),"TIMP VALLEY CONSTRUCTION")</f>
        <v>TIMP VALLEY CONSTRUCTION</v>
      </c>
      <c r="S241" s="27" t="str">
        <f>IFERROR(__xludf.DUMMYFUNCTION("""COMPUTED_VALUE"""),"EXIT")</f>
        <v>EXIT</v>
      </c>
    </row>
    <row r="242" ht="21.75" customHeight="1">
      <c r="A242" s="23">
        <f>IFERROR(__xludf.DUMMYFUNCTION("""COMPUTED_VALUE"""),46162.41639571759)</f>
        <v>46162.4164</v>
      </c>
      <c r="B242" s="24" t="str">
        <f>IFERROR(__xludf.DUMMYFUNCTION("""COMPUTED_VALUE"""),"WINDOW")</f>
        <v>WINDOW</v>
      </c>
      <c r="C242" s="25" t="str">
        <f>IFERROR(__xludf.DUMMYFUNCTION("""COMPUTED_VALUE"""),"1147 HOUSING AUTHORITY")</f>
        <v>1147 HOUSING AUTHORITY</v>
      </c>
      <c r="D242" s="26"/>
      <c r="E242" s="27"/>
      <c r="F242" s="28">
        <f>IFERROR(__xludf.DUMMYFUNCTION("""COMPUTED_VALUE"""),7.0)</f>
        <v>7</v>
      </c>
      <c r="G242" s="27" t="str">
        <f>IFERROR(__xludf.DUMMYFUNCTION("""COMPUTED_VALUE"""),"UNIT")</f>
        <v>UNIT</v>
      </c>
      <c r="H242" s="29">
        <f>IFERROR(__xludf.DUMMYFUNCTION("""COMPUTED_VALUE"""),46161.0)</f>
        <v>46161</v>
      </c>
      <c r="I242" s="24" t="str">
        <f>IFERROR(__xludf.DUMMYFUNCTION("""COMPUTED_VALUE"""),"A4A")</f>
        <v>A4A</v>
      </c>
      <c r="J242" s="30"/>
      <c r="K242" s="27" t="str">
        <f>IFERROR(__xludf.DUMMYFUNCTION("""COMPUTED_VALUE"""),"DALIVERY MADE TO A WAREHOUSE IN AMERICAN FORK")</f>
        <v>DALIVERY MADE TO A WAREHOUSE IN AMERICAN FORK</v>
      </c>
      <c r="L242" s="2" t="str">
        <f>IFERROR(__xludf.DUMMYFUNCTION("""COMPUTED_VALUE"""),"DISPATCHED")</f>
        <v>DISPATCHED</v>
      </c>
      <c r="M242" s="27" t="str">
        <f>IFERROR(__xludf.DUMMYFUNCTION("""COMPUTED_VALUE"""),"JOSE AND SPENCER")</f>
        <v>JOSE AND SPENCER</v>
      </c>
      <c r="N242" s="27" t="str">
        <f>IFERROR(__xludf.DUMMYFUNCTION("""COMPUTED_VALUE"""),"GENERIC")</f>
        <v>GENERIC</v>
      </c>
      <c r="O242" s="27" t="str">
        <f>IFERROR(__xludf.DUMMYFUNCTION("""COMPUTED_VALUE"""),"WINDOW|||1147 HOUSING AUTHORITY")</f>
        <v>WINDOW|||1147 HOUSING AUTHORITY</v>
      </c>
      <c r="P242" s="27"/>
      <c r="Q242" s="27" t="str">
        <f>IFERROR(__xludf.DUMMYFUNCTION("""COMPUTED_VALUE"""),"jose@ox-glass.com")</f>
        <v>jose@ox-glass.com</v>
      </c>
      <c r="R242" s="27" t="str">
        <f>IFERROR(__xludf.DUMMYFUNCTION("""COMPUTED_VALUE"""),"TIMP VALLEY CONSTRUCTION")</f>
        <v>TIMP VALLEY CONSTRUCTION</v>
      </c>
      <c r="S242" s="27" t="str">
        <f>IFERROR(__xludf.DUMMYFUNCTION("""COMPUTED_VALUE"""),"EXIT")</f>
        <v>EXIT</v>
      </c>
    </row>
    <row r="243" ht="21.75" customHeight="1">
      <c r="A243" s="23">
        <f>IFERROR(__xludf.DUMMYFUNCTION("""COMPUTED_VALUE"""),46162.41559700231)</f>
        <v>46162.4156</v>
      </c>
      <c r="B243" s="24" t="str">
        <f>IFERROR(__xludf.DUMMYFUNCTION("""COMPUTED_VALUE"""),"WINDOW")</f>
        <v>WINDOW</v>
      </c>
      <c r="C243" s="25" t="str">
        <f>IFERROR(__xludf.DUMMYFUNCTION("""COMPUTED_VALUE"""),"1143 HOUSING AUTHORITY")</f>
        <v>1143 HOUSING AUTHORITY</v>
      </c>
      <c r="D243" s="26"/>
      <c r="E243" s="27"/>
      <c r="F243" s="28">
        <f>IFERROR(__xludf.DUMMYFUNCTION("""COMPUTED_VALUE"""),7.0)</f>
        <v>7</v>
      </c>
      <c r="G243" s="27" t="str">
        <f>IFERROR(__xludf.DUMMYFUNCTION("""COMPUTED_VALUE"""),"UNIT")</f>
        <v>UNIT</v>
      </c>
      <c r="H243" s="29">
        <f>IFERROR(__xludf.DUMMYFUNCTION("""COMPUTED_VALUE"""),46161.0)</f>
        <v>46161</v>
      </c>
      <c r="I243" s="24" t="str">
        <f>IFERROR(__xludf.DUMMYFUNCTION("""COMPUTED_VALUE"""),"A4A")</f>
        <v>A4A</v>
      </c>
      <c r="J243" s="30"/>
      <c r="K243" s="27" t="str">
        <f>IFERROR(__xludf.DUMMYFUNCTION("""COMPUTED_VALUE"""),"THE DELIVERY WAS MADE TO A WAREHOUSE IN AMERICAN FORK")</f>
        <v>THE DELIVERY WAS MADE TO A WAREHOUSE IN AMERICAN FORK</v>
      </c>
      <c r="L243" s="2" t="str">
        <f>IFERROR(__xludf.DUMMYFUNCTION("""COMPUTED_VALUE"""),"DISPATCHED")</f>
        <v>DISPATCHED</v>
      </c>
      <c r="M243" s="27" t="str">
        <f>IFERROR(__xludf.DUMMYFUNCTION("""COMPUTED_VALUE"""),"JOSE AND SPENCER")</f>
        <v>JOSE AND SPENCER</v>
      </c>
      <c r="N243" s="27" t="str">
        <f>IFERROR(__xludf.DUMMYFUNCTION("""COMPUTED_VALUE"""),"GENERIC")</f>
        <v>GENERIC</v>
      </c>
      <c r="O243" s="27" t="str">
        <f>IFERROR(__xludf.DUMMYFUNCTION("""COMPUTED_VALUE"""),"WINDOW|||1143 HOUSING AUTHORITY")</f>
        <v>WINDOW|||1143 HOUSING AUTHORITY</v>
      </c>
      <c r="P243" s="27"/>
      <c r="Q243" s="27" t="str">
        <f>IFERROR(__xludf.DUMMYFUNCTION("""COMPUTED_VALUE"""),"jose@ox-glass.com")</f>
        <v>jose@ox-glass.com</v>
      </c>
      <c r="R243" s="27" t="str">
        <f>IFERROR(__xludf.DUMMYFUNCTION("""COMPUTED_VALUE"""),"TIMP VALLEY CONSTRUCTION")</f>
        <v>TIMP VALLEY CONSTRUCTION</v>
      </c>
      <c r="S243" s="27" t="str">
        <f>IFERROR(__xludf.DUMMYFUNCTION("""COMPUTED_VALUE"""),"EXIT")</f>
        <v>EXIT</v>
      </c>
    </row>
    <row r="244" ht="21.75" customHeight="1">
      <c r="A244" s="23">
        <f>IFERROR(__xludf.DUMMYFUNCTION("""COMPUTED_VALUE"""),46162.415549039346)</f>
        <v>46162.41555</v>
      </c>
      <c r="B244" s="24" t="str">
        <f>IFERROR(__xludf.DUMMYFUNCTION("""COMPUTED_VALUE"""),"WINDOW")</f>
        <v>WINDOW</v>
      </c>
      <c r="C244" s="25" t="str">
        <f>IFERROR(__xludf.DUMMYFUNCTION("""COMPUTED_VALUE"""),"1143 HOUSING AUTHORITY")</f>
        <v>1143 HOUSING AUTHORITY</v>
      </c>
      <c r="D244" s="26"/>
      <c r="E244" s="27"/>
      <c r="F244" s="28">
        <f>IFERROR(__xludf.DUMMYFUNCTION("""COMPUTED_VALUE"""),7.0)</f>
        <v>7</v>
      </c>
      <c r="G244" s="27" t="str">
        <f>IFERROR(__xludf.DUMMYFUNCTION("""COMPUTED_VALUE"""),"UNIT")</f>
        <v>UNIT</v>
      </c>
      <c r="H244" s="29">
        <f>IFERROR(__xludf.DUMMYFUNCTION("""COMPUTED_VALUE"""),46161.0)</f>
        <v>46161</v>
      </c>
      <c r="I244" s="24" t="str">
        <f>IFERROR(__xludf.DUMMYFUNCTION("""COMPUTED_VALUE"""),"A6A")</f>
        <v>A6A</v>
      </c>
      <c r="J244" s="30"/>
      <c r="K244" s="27" t="str">
        <f>IFERROR(__xludf.DUMMYFUNCTION("""COMPUTED_VALUE"""),"THE DELIVERY WAS MADE TO A WAREHOUSE IN AMERICAN FORK")</f>
        <v>THE DELIVERY WAS MADE TO A WAREHOUSE IN AMERICAN FORK</v>
      </c>
      <c r="L244" s="2" t="str">
        <f>IFERROR(__xludf.DUMMYFUNCTION("""COMPUTED_VALUE"""),"DISPATCHED")</f>
        <v>DISPATCHED</v>
      </c>
      <c r="M244" s="27" t="str">
        <f>IFERROR(__xludf.DUMMYFUNCTION("""COMPUTED_VALUE"""),"JOSE AND SPENCER")</f>
        <v>JOSE AND SPENCER</v>
      </c>
      <c r="N244" s="27" t="str">
        <f>IFERROR(__xludf.DUMMYFUNCTION("""COMPUTED_VALUE"""),"GENERIC")</f>
        <v>GENERIC</v>
      </c>
      <c r="O244" s="27" t="str">
        <f>IFERROR(__xludf.DUMMYFUNCTION("""COMPUTED_VALUE"""),"WINDOW|||1143 HOUSING AUTHORITY")</f>
        <v>WINDOW|||1143 HOUSING AUTHORITY</v>
      </c>
      <c r="P244" s="27"/>
      <c r="Q244" s="27" t="str">
        <f>IFERROR(__xludf.DUMMYFUNCTION("""COMPUTED_VALUE"""),"jose@ox-glass.com")</f>
        <v>jose@ox-glass.com</v>
      </c>
      <c r="R244" s="27" t="str">
        <f>IFERROR(__xludf.DUMMYFUNCTION("""COMPUTED_VALUE"""),"TIMP VALLEY CONSTRUCTION")</f>
        <v>TIMP VALLEY CONSTRUCTION</v>
      </c>
      <c r="S244" s="27" t="str">
        <f>IFERROR(__xludf.DUMMYFUNCTION("""COMPUTED_VALUE"""),"EXIT")</f>
        <v>EXIT</v>
      </c>
    </row>
    <row r="245" ht="21.75" customHeight="1">
      <c r="A245" s="23">
        <f>IFERROR(__xludf.DUMMYFUNCTION("""COMPUTED_VALUE"""),46160.59274280092)</f>
        <v>46160.59274</v>
      </c>
      <c r="B245" s="24" t="str">
        <f>IFERROR(__xludf.DUMMYFUNCTION("""COMPUTED_VALUE"""),"WINDOW")</f>
        <v>WINDOW</v>
      </c>
      <c r="C245" s="25" t="str">
        <f>IFERROR(__xludf.DUMMYFUNCTION("""COMPUTED_VALUE"""),"1173 HOUSING AUTHORITY")</f>
        <v>1173 HOUSING AUTHORITY</v>
      </c>
      <c r="D245" s="26"/>
      <c r="E245" s="27" t="str">
        <f>IFERROR(__xludf.DUMMYFUNCTION("""COMPUTED_VALUE"""),"7009")</f>
        <v>7009</v>
      </c>
      <c r="F245" s="28">
        <f>IFERROR(__xludf.DUMMYFUNCTION("""COMPUTED_VALUE"""),7.0)</f>
        <v>7</v>
      </c>
      <c r="G245" s="27" t="str">
        <f>IFERROR(__xludf.DUMMYFUNCTION("""COMPUTED_VALUE"""),"UNIT")</f>
        <v>UNIT</v>
      </c>
      <c r="H245" s="29">
        <f>IFERROR(__xludf.DUMMYFUNCTION("""COMPUTED_VALUE"""),46160.0)</f>
        <v>46160</v>
      </c>
      <c r="I245" s="24"/>
      <c r="J245" s="30" t="str">
        <f>IFERROR(__xludf.DUMMYFUNCTION("""COMPUTED_VALUE"""),"ALSIDE")</f>
        <v>ALSIDE</v>
      </c>
      <c r="K245" s="27" t="str">
        <f>IFERROR(__xludf.DUMMYFUNCTION("""COMPUTED_VALUE"""),"WHITE WINDOWS")</f>
        <v>WHITE WINDOWS</v>
      </c>
      <c r="L245" s="2" t="str">
        <f>IFERROR(__xludf.DUMMYFUNCTION("""COMPUTED_VALUE"""),"IN STOCK")</f>
        <v>IN STOCK</v>
      </c>
      <c r="M245" s="27" t="str">
        <f>IFERROR(__xludf.DUMMYFUNCTION("""COMPUTED_VALUE"""),"TERRY T.")</f>
        <v>TERRY T.</v>
      </c>
      <c r="N245" s="27" t="str">
        <f>IFERROR(__xludf.DUMMYFUNCTION("""COMPUTED_VALUE"""),"TIMP VALLEY CONSTRUCTION")</f>
        <v>TIMP VALLEY CONSTRUCTION</v>
      </c>
      <c r="O245" s="27" t="str">
        <f>IFERROR(__xludf.DUMMYFUNCTION("""COMPUTED_VALUE"""),"WINDOW|||1173 HOUSING AUTHORITY")</f>
        <v>WINDOW|||1173 HOUSING AUTHORITY</v>
      </c>
      <c r="P245" s="27"/>
      <c r="Q245" s="27" t="str">
        <f>IFERROR(__xludf.DUMMYFUNCTION("""COMPUTED_VALUE"""),"jose@ox-glass.com")</f>
        <v>jose@ox-glass.com</v>
      </c>
      <c r="R245" s="27" t="str">
        <f>IFERROR(__xludf.DUMMYFUNCTION("""COMPUTED_VALUE"""),"B5A")</f>
        <v>B5A</v>
      </c>
      <c r="S245" s="27" t="str">
        <f>IFERROR(__xludf.DUMMYFUNCTION("""COMPUTED_VALUE"""),"ENTRY")</f>
        <v>ENTRY</v>
      </c>
    </row>
    <row r="246" ht="21.75" customHeight="1">
      <c r="A246" s="23">
        <f>IFERROR(__xludf.DUMMYFUNCTION("""COMPUTED_VALUE"""),46160.59212927084)</f>
        <v>46160.59213</v>
      </c>
      <c r="B246" s="24" t="str">
        <f>IFERROR(__xludf.DUMMYFUNCTION("""COMPUTED_VALUE"""),"WINDOW")</f>
        <v>WINDOW</v>
      </c>
      <c r="C246" s="25" t="str">
        <f>IFERROR(__xludf.DUMMYFUNCTION("""COMPUTED_VALUE"""),"1181 HOUSING AUTHORITY")</f>
        <v>1181 HOUSING AUTHORITY</v>
      </c>
      <c r="D246" s="26"/>
      <c r="E246" s="27" t="str">
        <f>IFERROR(__xludf.DUMMYFUNCTION("""COMPUTED_VALUE"""),"7008")</f>
        <v>7008</v>
      </c>
      <c r="F246" s="28">
        <f>IFERROR(__xludf.DUMMYFUNCTION("""COMPUTED_VALUE"""),7.0)</f>
        <v>7</v>
      </c>
      <c r="G246" s="27" t="str">
        <f>IFERROR(__xludf.DUMMYFUNCTION("""COMPUTED_VALUE"""),"UNIT")</f>
        <v>UNIT</v>
      </c>
      <c r="H246" s="29">
        <f>IFERROR(__xludf.DUMMYFUNCTION("""COMPUTED_VALUE"""),46160.0)</f>
        <v>46160</v>
      </c>
      <c r="I246" s="24"/>
      <c r="J246" s="30" t="str">
        <f>IFERROR(__xludf.DUMMYFUNCTION("""COMPUTED_VALUE"""),"ALSIDE")</f>
        <v>ALSIDE</v>
      </c>
      <c r="K246" s="27" t="str">
        <f>IFERROR(__xludf.DUMMYFUNCTION("""COMPUTED_VALUE"""),"WHITE WINDOWS")</f>
        <v>WHITE WINDOWS</v>
      </c>
      <c r="L246" s="2" t="str">
        <f>IFERROR(__xludf.DUMMYFUNCTION("""COMPUTED_VALUE"""),"IN STOCK")</f>
        <v>IN STOCK</v>
      </c>
      <c r="M246" s="27" t="str">
        <f>IFERROR(__xludf.DUMMYFUNCTION("""COMPUTED_VALUE"""),"TERRY T.")</f>
        <v>TERRY T.</v>
      </c>
      <c r="N246" s="27" t="str">
        <f>IFERROR(__xludf.DUMMYFUNCTION("""COMPUTED_VALUE"""),"TIMP VALLEY CONSTRUCTION")</f>
        <v>TIMP VALLEY CONSTRUCTION</v>
      </c>
      <c r="O246" s="27" t="str">
        <f>IFERROR(__xludf.DUMMYFUNCTION("""COMPUTED_VALUE"""),"WINDOW|||1181 HOUSING AUTHORITY")</f>
        <v>WINDOW|||1181 HOUSING AUTHORITY</v>
      </c>
      <c r="P246" s="27"/>
      <c r="Q246" s="27" t="str">
        <f>IFERROR(__xludf.DUMMYFUNCTION("""COMPUTED_VALUE"""),"jose@ox-glass.com")</f>
        <v>jose@ox-glass.com</v>
      </c>
      <c r="R246" s="27" t="str">
        <f>IFERROR(__xludf.DUMMYFUNCTION("""COMPUTED_VALUE"""),"A5A")</f>
        <v>A5A</v>
      </c>
      <c r="S246" s="27" t="str">
        <f>IFERROR(__xludf.DUMMYFUNCTION("""COMPUTED_VALUE"""),"ENTRY")</f>
        <v>ENTRY</v>
      </c>
    </row>
    <row r="247" ht="21.75" customHeight="1">
      <c r="A247" s="23">
        <f>IFERROR(__xludf.DUMMYFUNCTION("""COMPUTED_VALUE"""),46160.59150252315)</f>
        <v>46160.5915</v>
      </c>
      <c r="B247" s="24" t="str">
        <f>IFERROR(__xludf.DUMMYFUNCTION("""COMPUTED_VALUE"""),"WINDOW")</f>
        <v>WINDOW</v>
      </c>
      <c r="C247" s="25" t="str">
        <f>IFERROR(__xludf.DUMMYFUNCTION("""COMPUTED_VALUE"""),"1187 HOUSING AUTHORITY")</f>
        <v>1187 HOUSING AUTHORITY</v>
      </c>
      <c r="D247" s="26"/>
      <c r="E247" s="27" t="str">
        <f>IFERROR(__xludf.DUMMYFUNCTION("""COMPUTED_VALUE"""),"7007")</f>
        <v>7007</v>
      </c>
      <c r="F247" s="28">
        <f>IFERROR(__xludf.DUMMYFUNCTION("""COMPUTED_VALUE"""),7.0)</f>
        <v>7</v>
      </c>
      <c r="G247" s="27" t="str">
        <f>IFERROR(__xludf.DUMMYFUNCTION("""COMPUTED_VALUE"""),"UNIT")</f>
        <v>UNIT</v>
      </c>
      <c r="H247" s="29">
        <f>IFERROR(__xludf.DUMMYFUNCTION("""COMPUTED_VALUE"""),46160.0)</f>
        <v>46160</v>
      </c>
      <c r="I247" s="24"/>
      <c r="J247" s="30" t="str">
        <f>IFERROR(__xludf.DUMMYFUNCTION("""COMPUTED_VALUE"""),"ALSIDE")</f>
        <v>ALSIDE</v>
      </c>
      <c r="K247" s="27" t="str">
        <f>IFERROR(__xludf.DUMMYFUNCTION("""COMPUTED_VALUE"""),"WHITE WINDOWS")</f>
        <v>WHITE WINDOWS</v>
      </c>
      <c r="L247" s="2" t="str">
        <f>IFERROR(__xludf.DUMMYFUNCTION("""COMPUTED_VALUE"""),"IN STOCK")</f>
        <v>IN STOCK</v>
      </c>
      <c r="M247" s="27" t="str">
        <f>IFERROR(__xludf.DUMMYFUNCTION("""COMPUTED_VALUE"""),"TERRY T.")</f>
        <v>TERRY T.</v>
      </c>
      <c r="N247" s="27" t="str">
        <f>IFERROR(__xludf.DUMMYFUNCTION("""COMPUTED_VALUE"""),"TIMP VALLEY CONSTRUCTION")</f>
        <v>TIMP VALLEY CONSTRUCTION</v>
      </c>
      <c r="O247" s="27" t="str">
        <f>IFERROR(__xludf.DUMMYFUNCTION("""COMPUTED_VALUE"""),"WINDOW|||1187 HOUSING AUTHORITY")</f>
        <v>WINDOW|||1187 HOUSING AUTHORITY</v>
      </c>
      <c r="P247" s="27"/>
      <c r="Q247" s="27" t="str">
        <f>IFERROR(__xludf.DUMMYFUNCTION("""COMPUTED_VALUE"""),"jose@ox-glass.com")</f>
        <v>jose@ox-glass.com</v>
      </c>
      <c r="R247" s="27" t="str">
        <f>IFERROR(__xludf.DUMMYFUNCTION("""COMPUTED_VALUE"""),"A5A")</f>
        <v>A5A</v>
      </c>
      <c r="S247" s="27" t="str">
        <f>IFERROR(__xludf.DUMMYFUNCTION("""COMPUTED_VALUE"""),"ENTRY")</f>
        <v>ENTRY</v>
      </c>
    </row>
    <row r="248" ht="21.75" customHeight="1">
      <c r="A248" s="23">
        <f>IFERROR(__xludf.DUMMYFUNCTION("""COMPUTED_VALUE"""),46160.590877106486)</f>
        <v>46160.59088</v>
      </c>
      <c r="B248" s="24" t="str">
        <f>IFERROR(__xludf.DUMMYFUNCTION("""COMPUTED_VALUE"""),"WINDOW")</f>
        <v>WINDOW</v>
      </c>
      <c r="C248" s="25" t="str">
        <f>IFERROR(__xludf.DUMMYFUNCTION("""COMPUTED_VALUE"""),"1143 HOUSING AUTHORITY")</f>
        <v>1143 HOUSING AUTHORITY</v>
      </c>
      <c r="D248" s="26"/>
      <c r="E248" s="27" t="str">
        <f>IFERROR(__xludf.DUMMYFUNCTION("""COMPUTED_VALUE"""),"7006")</f>
        <v>7006</v>
      </c>
      <c r="F248" s="28">
        <f>IFERROR(__xludf.DUMMYFUNCTION("""COMPUTED_VALUE"""),7.0)</f>
        <v>7</v>
      </c>
      <c r="G248" s="27" t="str">
        <f>IFERROR(__xludf.DUMMYFUNCTION("""COMPUTED_VALUE"""),"UNIT")</f>
        <v>UNIT</v>
      </c>
      <c r="H248" s="29">
        <f>IFERROR(__xludf.DUMMYFUNCTION("""COMPUTED_VALUE"""),46160.0)</f>
        <v>46160</v>
      </c>
      <c r="I248" s="24"/>
      <c r="J248" s="30" t="str">
        <f>IFERROR(__xludf.DUMMYFUNCTION("""COMPUTED_VALUE"""),"ALSIDE")</f>
        <v>ALSIDE</v>
      </c>
      <c r="K248" s="27" t="str">
        <f>IFERROR(__xludf.DUMMYFUNCTION("""COMPUTED_VALUE"""),"WHITE WINDOWS")</f>
        <v>WHITE WINDOWS</v>
      </c>
      <c r="L248" s="2" t="str">
        <f>IFERROR(__xludf.DUMMYFUNCTION("""COMPUTED_VALUE"""),"IN STOCK")</f>
        <v>IN STOCK</v>
      </c>
      <c r="M248" s="27" t="str">
        <f>IFERROR(__xludf.DUMMYFUNCTION("""COMPUTED_VALUE"""),"TERRY T.")</f>
        <v>TERRY T.</v>
      </c>
      <c r="N248" s="27" t="str">
        <f>IFERROR(__xludf.DUMMYFUNCTION("""COMPUTED_VALUE"""),"TIMP VALLEY CONSTRUCTION")</f>
        <v>TIMP VALLEY CONSTRUCTION</v>
      </c>
      <c r="O248" s="27" t="str">
        <f>IFERROR(__xludf.DUMMYFUNCTION("""COMPUTED_VALUE"""),"WINDOW|||1143 HOUSING AUTHORITY")</f>
        <v>WINDOW|||1143 HOUSING AUTHORITY</v>
      </c>
      <c r="P248" s="27"/>
      <c r="Q248" s="27" t="str">
        <f>IFERROR(__xludf.DUMMYFUNCTION("""COMPUTED_VALUE"""),"jose@ox-glass.com")</f>
        <v>jose@ox-glass.com</v>
      </c>
      <c r="R248" s="27" t="str">
        <f>IFERROR(__xludf.DUMMYFUNCTION("""COMPUTED_VALUE"""),"A6A")</f>
        <v>A6A</v>
      </c>
      <c r="S248" s="27" t="str">
        <f>IFERROR(__xludf.DUMMYFUNCTION("""COMPUTED_VALUE"""),"ENTRY")</f>
        <v>ENTRY</v>
      </c>
    </row>
    <row r="249" ht="21.75" customHeight="1">
      <c r="A249" s="23">
        <f>IFERROR(__xludf.DUMMYFUNCTION("""COMPUTED_VALUE"""),46160.58936351852)</f>
        <v>46160.58936</v>
      </c>
      <c r="B249" s="24" t="str">
        <f>IFERROR(__xludf.DUMMYFUNCTION("""COMPUTED_VALUE"""),"WINDOW")</f>
        <v>WINDOW</v>
      </c>
      <c r="C249" s="25" t="str">
        <f>IFERROR(__xludf.DUMMYFUNCTION("""COMPUTED_VALUE"""),"1147 HOUSING AUTHORITY")</f>
        <v>1147 HOUSING AUTHORITY</v>
      </c>
      <c r="D249" s="26"/>
      <c r="E249" s="27" t="str">
        <f>IFERROR(__xludf.DUMMYFUNCTION("""COMPUTED_VALUE"""),"7005")</f>
        <v>7005</v>
      </c>
      <c r="F249" s="28">
        <f>IFERROR(__xludf.DUMMYFUNCTION("""COMPUTED_VALUE"""),7.0)</f>
        <v>7</v>
      </c>
      <c r="G249" s="27" t="str">
        <f>IFERROR(__xludf.DUMMYFUNCTION("""COMPUTED_VALUE"""),"UNIT")</f>
        <v>UNIT</v>
      </c>
      <c r="H249" s="29">
        <f>IFERROR(__xludf.DUMMYFUNCTION("""COMPUTED_VALUE"""),46160.0)</f>
        <v>46160</v>
      </c>
      <c r="I249" s="24"/>
      <c r="J249" s="30" t="str">
        <f>IFERROR(__xludf.DUMMYFUNCTION("""COMPUTED_VALUE"""),"ALSIDE")</f>
        <v>ALSIDE</v>
      </c>
      <c r="K249" s="27" t="str">
        <f>IFERROR(__xludf.DUMMYFUNCTION("""COMPUTED_VALUE"""),"WHITE WINDOWS")</f>
        <v>WHITE WINDOWS</v>
      </c>
      <c r="L249" s="2" t="str">
        <f>IFERROR(__xludf.DUMMYFUNCTION("""COMPUTED_VALUE"""),"IN STOCK")</f>
        <v>IN STOCK</v>
      </c>
      <c r="M249" s="27" t="str">
        <f>IFERROR(__xludf.DUMMYFUNCTION("""COMPUTED_VALUE"""),"TERRY T.")</f>
        <v>TERRY T.</v>
      </c>
      <c r="N249" s="27" t="str">
        <f>IFERROR(__xludf.DUMMYFUNCTION("""COMPUTED_VALUE"""),"TIMP VALLEY CONSTRUCTION")</f>
        <v>TIMP VALLEY CONSTRUCTION</v>
      </c>
      <c r="O249" s="27" t="str">
        <f>IFERROR(__xludf.DUMMYFUNCTION("""COMPUTED_VALUE"""),"WINDOW|||1147 HOUSING AUTHORITY")</f>
        <v>WINDOW|||1147 HOUSING AUTHORITY</v>
      </c>
      <c r="P249" s="27"/>
      <c r="Q249" s="27" t="str">
        <f>IFERROR(__xludf.DUMMYFUNCTION("""COMPUTED_VALUE"""),"jose@ox-glass.com")</f>
        <v>jose@ox-glass.com</v>
      </c>
      <c r="R249" s="27" t="str">
        <f>IFERROR(__xludf.DUMMYFUNCTION("""COMPUTED_VALUE"""),"A4A")</f>
        <v>A4A</v>
      </c>
      <c r="S249" s="27" t="str">
        <f>IFERROR(__xludf.DUMMYFUNCTION("""COMPUTED_VALUE"""),"ENTRY")</f>
        <v>ENTRY</v>
      </c>
    </row>
    <row r="250" ht="21.75" customHeight="1">
      <c r="A250" s="23">
        <f>IFERROR(__xludf.DUMMYFUNCTION("""COMPUTED_VALUE"""),46160.5885181713)</f>
        <v>46160.58852</v>
      </c>
      <c r="B250" s="24" t="str">
        <f>IFERROR(__xludf.DUMMYFUNCTION("""COMPUTED_VALUE"""),"WINDOW")</f>
        <v>WINDOW</v>
      </c>
      <c r="C250" s="25" t="str">
        <f>IFERROR(__xludf.DUMMYFUNCTION("""COMPUTED_VALUE"""),"1167 HOUSING AUTHORITY")</f>
        <v>1167 HOUSING AUTHORITY</v>
      </c>
      <c r="D250" s="26"/>
      <c r="E250" s="27" t="str">
        <f>IFERROR(__xludf.DUMMYFUNCTION("""COMPUTED_VALUE"""),"7004")</f>
        <v>7004</v>
      </c>
      <c r="F250" s="28">
        <f>IFERROR(__xludf.DUMMYFUNCTION("""COMPUTED_VALUE"""),7.0)</f>
        <v>7</v>
      </c>
      <c r="G250" s="27" t="str">
        <f>IFERROR(__xludf.DUMMYFUNCTION("""COMPUTED_VALUE"""),"UNIT")</f>
        <v>UNIT</v>
      </c>
      <c r="H250" s="29">
        <f>IFERROR(__xludf.DUMMYFUNCTION("""COMPUTED_VALUE"""),46160.0)</f>
        <v>46160</v>
      </c>
      <c r="I250" s="24"/>
      <c r="J250" s="30" t="str">
        <f>IFERROR(__xludf.DUMMYFUNCTION("""COMPUTED_VALUE"""),"ALSIDE")</f>
        <v>ALSIDE</v>
      </c>
      <c r="K250" s="27" t="str">
        <f>IFERROR(__xludf.DUMMYFUNCTION("""COMPUTED_VALUE"""),"WHITE WINDOWS")</f>
        <v>WHITE WINDOWS</v>
      </c>
      <c r="L250" s="2" t="str">
        <f>IFERROR(__xludf.DUMMYFUNCTION("""COMPUTED_VALUE"""),"IN STOCK")</f>
        <v>IN STOCK</v>
      </c>
      <c r="M250" s="27" t="str">
        <f>IFERROR(__xludf.DUMMYFUNCTION("""COMPUTED_VALUE"""),"TERRY T.")</f>
        <v>TERRY T.</v>
      </c>
      <c r="N250" s="27" t="str">
        <f>IFERROR(__xludf.DUMMYFUNCTION("""COMPUTED_VALUE"""),"TIMP VALLEY CONSTRUCTION")</f>
        <v>TIMP VALLEY CONSTRUCTION</v>
      </c>
      <c r="O250" s="27" t="str">
        <f>IFERROR(__xludf.DUMMYFUNCTION("""COMPUTED_VALUE"""),"WINDOW|||1167 HOUSING AUTHORITY")</f>
        <v>WINDOW|||1167 HOUSING AUTHORITY</v>
      </c>
      <c r="P250" s="27"/>
      <c r="Q250" s="27" t="str">
        <f>IFERROR(__xludf.DUMMYFUNCTION("""COMPUTED_VALUE"""),"jose@ox-glass.com")</f>
        <v>jose@ox-glass.com</v>
      </c>
      <c r="R250" s="27" t="str">
        <f>IFERROR(__xludf.DUMMYFUNCTION("""COMPUTED_VALUE"""),"A6A")</f>
        <v>A6A</v>
      </c>
      <c r="S250" s="27" t="str">
        <f>IFERROR(__xludf.DUMMYFUNCTION("""COMPUTED_VALUE"""),"ENTRY")</f>
        <v>ENTRY</v>
      </c>
    </row>
    <row r="251" ht="21.75" customHeight="1">
      <c r="A251" s="23">
        <f>IFERROR(__xludf.DUMMYFUNCTION("""COMPUTED_VALUE"""),46160.585669085645)</f>
        <v>46160.58567</v>
      </c>
      <c r="B251" s="24" t="str">
        <f>IFERROR(__xludf.DUMMYFUNCTION("""COMPUTED_VALUE"""),"WINDOW")</f>
        <v>WINDOW</v>
      </c>
      <c r="C251" s="25" t="str">
        <f>IFERROR(__xludf.DUMMYFUNCTION("""COMPUTED_VALUE"""),"1143 HOUSING AUTHORITY")</f>
        <v>1143 HOUSING AUTHORITY</v>
      </c>
      <c r="D251" s="26"/>
      <c r="E251" s="27" t="str">
        <f>IFERROR(__xludf.DUMMYFUNCTION("""COMPUTED_VALUE"""),"7003")</f>
        <v>7003</v>
      </c>
      <c r="F251" s="28">
        <f>IFERROR(__xludf.DUMMYFUNCTION("""COMPUTED_VALUE"""),7.0)</f>
        <v>7</v>
      </c>
      <c r="G251" s="27" t="str">
        <f>IFERROR(__xludf.DUMMYFUNCTION("""COMPUTED_VALUE"""),"UNIT")</f>
        <v>UNIT</v>
      </c>
      <c r="H251" s="29">
        <f>IFERROR(__xludf.DUMMYFUNCTION("""COMPUTED_VALUE"""),46160.0)</f>
        <v>46160</v>
      </c>
      <c r="I251" s="24"/>
      <c r="J251" s="30" t="str">
        <f>IFERROR(__xludf.DUMMYFUNCTION("""COMPUTED_VALUE"""),"ALSIDE")</f>
        <v>ALSIDE</v>
      </c>
      <c r="K251" s="27" t="str">
        <f>IFERROR(__xludf.DUMMYFUNCTION("""COMPUTED_VALUE"""),"WHITE WINDOWS")</f>
        <v>WHITE WINDOWS</v>
      </c>
      <c r="L251" s="2" t="str">
        <f>IFERROR(__xludf.DUMMYFUNCTION("""COMPUTED_VALUE"""),"IN STOCK")</f>
        <v>IN STOCK</v>
      </c>
      <c r="M251" s="27" t="str">
        <f>IFERROR(__xludf.DUMMYFUNCTION("""COMPUTED_VALUE"""),"TERRY T.")</f>
        <v>TERRY T.</v>
      </c>
      <c r="N251" s="27" t="str">
        <f>IFERROR(__xludf.DUMMYFUNCTION("""COMPUTED_VALUE"""),"TIMP VALLEY CONSTRUCTION")</f>
        <v>TIMP VALLEY CONSTRUCTION</v>
      </c>
      <c r="O251" s="27" t="str">
        <f>IFERROR(__xludf.DUMMYFUNCTION("""COMPUTED_VALUE"""),"WINDOW|||1143 HOUSING AUTHORITY")</f>
        <v>WINDOW|||1143 HOUSING AUTHORITY</v>
      </c>
      <c r="P251" s="27"/>
      <c r="Q251" s="27" t="str">
        <f>IFERROR(__xludf.DUMMYFUNCTION("""COMPUTED_VALUE"""),"jose@ox-glass.com")</f>
        <v>jose@ox-glass.com</v>
      </c>
      <c r="R251" s="27" t="str">
        <f>IFERROR(__xludf.DUMMYFUNCTION("""COMPUTED_VALUE"""),"A4A")</f>
        <v>A4A</v>
      </c>
      <c r="S251" s="27" t="str">
        <f>IFERROR(__xludf.DUMMYFUNCTION("""COMPUTED_VALUE"""),"ENTRY")</f>
        <v>ENTRY</v>
      </c>
    </row>
    <row r="252" ht="21.75" customHeight="1">
      <c r="A252" s="23">
        <f>IFERROR(__xludf.DUMMYFUNCTION("""COMPUTED_VALUE"""),46160.57208752315)</f>
        <v>46160.57209</v>
      </c>
      <c r="B252" s="24" t="str">
        <f>IFERROR(__xludf.DUMMYFUNCTION("""COMPUTED_VALUE"""),"WINDOW")</f>
        <v>WINDOW</v>
      </c>
      <c r="C252" s="25" t="str">
        <f>IFERROR(__xludf.DUMMYFUNCTION("""COMPUTED_VALUE"""),"LGI OQU183")</f>
        <v>LGI OQU183</v>
      </c>
      <c r="D252" s="26"/>
      <c r="E252" s="27"/>
      <c r="F252" s="28">
        <f>IFERROR(__xludf.DUMMYFUNCTION("""COMPUTED_VALUE"""),8.0)</f>
        <v>8</v>
      </c>
      <c r="G252" s="27" t="str">
        <f>IFERROR(__xludf.DUMMYFUNCTION("""COMPUTED_VALUE"""),"UNIT")</f>
        <v>UNIT</v>
      </c>
      <c r="H252" s="29">
        <f>IFERROR(__xludf.DUMMYFUNCTION("""COMPUTED_VALUE"""),46160.0)</f>
        <v>46160</v>
      </c>
      <c r="I252" s="24" t="str">
        <f>IFERROR(__xludf.DUMMYFUNCTION("""COMPUTED_VALUE"""),"A")</f>
        <v>A</v>
      </c>
      <c r="J252" s="30"/>
      <c r="K252" s="27"/>
      <c r="L252" s="2" t="str">
        <f>IFERROR(__xludf.DUMMYFUNCTION("""COMPUTED_VALUE"""),"DISPATCHED")</f>
        <v>DISPATCHED</v>
      </c>
      <c r="M252" s="27" t="str">
        <f>IFERROR(__xludf.DUMMYFUNCTION("""COMPUTED_VALUE"""),"JOSE AND SPENCER")</f>
        <v>JOSE AND SPENCER</v>
      </c>
      <c r="N252" s="27" t="str">
        <f>IFERROR(__xludf.DUMMYFUNCTION("""COMPUTED_VALUE"""),"GENERIC")</f>
        <v>GENERIC</v>
      </c>
      <c r="O252" s="27" t="str">
        <f>IFERROR(__xludf.DUMMYFUNCTION("""COMPUTED_VALUE"""),"WINDOW|||LGI OQU183")</f>
        <v>WINDOW|||LGI OQU183</v>
      </c>
      <c r="P252" s="27"/>
      <c r="Q252" s="27" t="str">
        <f>IFERROR(__xludf.DUMMYFUNCTION("""COMPUTED_VALUE"""),"jose@ox-glass.com")</f>
        <v>jose@ox-glass.com</v>
      </c>
      <c r="R252" s="27" t="str">
        <f>IFERROR(__xludf.DUMMYFUNCTION("""COMPUTED_VALUE"""),"LGI OQU183")</f>
        <v>LGI OQU183</v>
      </c>
      <c r="S252" s="27" t="str">
        <f>IFERROR(__xludf.DUMMYFUNCTION("""COMPUTED_VALUE"""),"EXIT")</f>
        <v>EXIT</v>
      </c>
    </row>
    <row r="253" ht="21.75" customHeight="1">
      <c r="A253" s="23">
        <f>IFERROR(__xludf.DUMMYFUNCTION("""COMPUTED_VALUE"""),46160.571355162036)</f>
        <v>46160.57136</v>
      </c>
      <c r="B253" s="24" t="str">
        <f>IFERROR(__xludf.DUMMYFUNCTION("""COMPUTED_VALUE"""),"WINDOW")</f>
        <v>WINDOW</v>
      </c>
      <c r="C253" s="25" t="str">
        <f>IFERROR(__xludf.DUMMYFUNCTION("""COMPUTED_VALUE"""),"LGI OQU185")</f>
        <v>LGI OQU185</v>
      </c>
      <c r="D253" s="26" t="str">
        <f>IFERROR(__xludf.DUMMYFUNCTION("""COMPUTED_VALUE"""),"LGI")</f>
        <v>LGI</v>
      </c>
      <c r="E253" s="27" t="str">
        <f>IFERROR(__xludf.DUMMYFUNCTION("""COMPUTED_VALUE"""),"6941")</f>
        <v>6941</v>
      </c>
      <c r="F253" s="28">
        <f>IFERROR(__xludf.DUMMYFUNCTION("""COMPUTED_VALUE"""),6.0)</f>
        <v>6</v>
      </c>
      <c r="G253" s="27" t="str">
        <f>IFERROR(__xludf.DUMMYFUNCTION("""COMPUTED_VALUE"""),"UNIT")</f>
        <v>UNIT</v>
      </c>
      <c r="H253" s="29">
        <f>IFERROR(__xludf.DUMMYFUNCTION("""COMPUTED_VALUE"""),46160.0)</f>
        <v>46160</v>
      </c>
      <c r="I253" s="24" t="str">
        <f>IFERROR(__xludf.DUMMYFUNCTION("""COMPUTED_VALUE"""),"B2A")</f>
        <v>B2A</v>
      </c>
      <c r="J253" s="30"/>
      <c r="K253" s="27"/>
      <c r="L253" s="2" t="str">
        <f>IFERROR(__xludf.DUMMYFUNCTION("""COMPUTED_VALUE"""),"DISPATCHED")</f>
        <v>DISPATCHED</v>
      </c>
      <c r="M253" s="27" t="str">
        <f>IFERROR(__xludf.DUMMYFUNCTION("""COMPUTED_VALUE"""),"JOSE AND SPENCER")</f>
        <v>JOSE AND SPENCER</v>
      </c>
      <c r="N253" s="27" t="str">
        <f>IFERROR(__xludf.DUMMYFUNCTION("""COMPUTED_VALUE"""),"GENERIC")</f>
        <v>GENERIC</v>
      </c>
      <c r="O253" s="27" t="str">
        <f>IFERROR(__xludf.DUMMYFUNCTION("""COMPUTED_VALUE"""),"WINDOW|||LGI OQU185")</f>
        <v>WINDOW|||LGI OQU185</v>
      </c>
      <c r="P253" s="27"/>
      <c r="Q253" s="27" t="str">
        <f>IFERROR(__xludf.DUMMYFUNCTION("""COMPUTED_VALUE"""),"jose@ox-glass.com")</f>
        <v>jose@ox-glass.com</v>
      </c>
      <c r="R253" s="27" t="str">
        <f>IFERROR(__xludf.DUMMYFUNCTION("""COMPUTED_VALUE"""),"LGI OQU185")</f>
        <v>LGI OQU185</v>
      </c>
      <c r="S253" s="27" t="str">
        <f>IFERROR(__xludf.DUMMYFUNCTION("""COMPUTED_VALUE"""),"EXIT")</f>
        <v>EXIT</v>
      </c>
    </row>
    <row r="254" ht="21.75" customHeight="1">
      <c r="A254" s="23">
        <f>IFERROR(__xludf.DUMMYFUNCTION("""COMPUTED_VALUE"""),46160.57090475695)</f>
        <v>46160.5709</v>
      </c>
      <c r="B254" s="24" t="str">
        <f>IFERROR(__xludf.DUMMYFUNCTION("""COMPUTED_VALUE"""),"WINDOW")</f>
        <v>WINDOW</v>
      </c>
      <c r="C254" s="25" t="str">
        <f>IFERROR(__xludf.DUMMYFUNCTION("""COMPUTED_VALUE"""),"LGI OQU175")</f>
        <v>LGI OQU175</v>
      </c>
      <c r="D254" s="26" t="str">
        <f>IFERROR(__xludf.DUMMYFUNCTION("""COMPUTED_VALUE"""),"LGI")</f>
        <v>LGI</v>
      </c>
      <c r="E254" s="27"/>
      <c r="F254" s="28">
        <f>IFERROR(__xludf.DUMMYFUNCTION("""COMPUTED_VALUE"""),10.0)</f>
        <v>10</v>
      </c>
      <c r="G254" s="27" t="str">
        <f>IFERROR(__xludf.DUMMYFUNCTION("""COMPUTED_VALUE"""),"UNIT")</f>
        <v>UNIT</v>
      </c>
      <c r="H254" s="29">
        <f>IFERROR(__xludf.DUMMYFUNCTION("""COMPUTED_VALUE"""),46160.0)</f>
        <v>46160</v>
      </c>
      <c r="I254" s="24" t="str">
        <f>IFERROR(__xludf.DUMMYFUNCTION("""COMPUTED_VALUE"""),"B2A")</f>
        <v>B2A</v>
      </c>
      <c r="J254" s="30"/>
      <c r="K254" s="27"/>
      <c r="L254" s="2" t="str">
        <f>IFERROR(__xludf.DUMMYFUNCTION("""COMPUTED_VALUE"""),"DISPATCHED")</f>
        <v>DISPATCHED</v>
      </c>
      <c r="M254" s="27" t="str">
        <f>IFERROR(__xludf.DUMMYFUNCTION("""COMPUTED_VALUE"""),"JOSE AND SPENCER")</f>
        <v>JOSE AND SPENCER</v>
      </c>
      <c r="N254" s="27" t="str">
        <f>IFERROR(__xludf.DUMMYFUNCTION("""COMPUTED_VALUE"""),"GENERIC")</f>
        <v>GENERIC</v>
      </c>
      <c r="O254" s="27" t="str">
        <f>IFERROR(__xludf.DUMMYFUNCTION("""COMPUTED_VALUE"""),"WINDOW|||LGI OQU175")</f>
        <v>WINDOW|||LGI OQU175</v>
      </c>
      <c r="P254" s="27"/>
      <c r="Q254" s="27" t="str">
        <f>IFERROR(__xludf.DUMMYFUNCTION("""COMPUTED_VALUE"""),"jose@ox-glass.com")</f>
        <v>jose@ox-glass.com</v>
      </c>
      <c r="R254" s="27" t="str">
        <f>IFERROR(__xludf.DUMMYFUNCTION("""COMPUTED_VALUE"""),"LGI OQU175")</f>
        <v>LGI OQU175</v>
      </c>
      <c r="S254" s="27" t="str">
        <f>IFERROR(__xludf.DUMMYFUNCTION("""COMPUTED_VALUE"""),"EXIT")</f>
        <v>EXIT</v>
      </c>
    </row>
    <row r="255" ht="21.75" customHeight="1">
      <c r="A255" s="23">
        <f>IFERROR(__xludf.DUMMYFUNCTION("""COMPUTED_VALUE"""),46160.5662999537)</f>
        <v>46160.5663</v>
      </c>
      <c r="B255" s="24" t="str">
        <f>IFERROR(__xludf.DUMMYFUNCTION("""COMPUTED_VALUE"""),"WINDOW")</f>
        <v>WINDOW</v>
      </c>
      <c r="C255" s="25" t="str">
        <f>IFERROR(__xludf.DUMMYFUNCTION("""COMPUTED_VALUE"""),"LGI OQU60")</f>
        <v>LGI OQU60</v>
      </c>
      <c r="D255" s="26"/>
      <c r="E255" s="27"/>
      <c r="F255" s="28">
        <f>IFERROR(__xludf.DUMMYFUNCTION("""COMPUTED_VALUE"""),10.0)</f>
        <v>10</v>
      </c>
      <c r="G255" s="27" t="str">
        <f>IFERROR(__xludf.DUMMYFUNCTION("""COMPUTED_VALUE"""),"UNIT")</f>
        <v>UNIT</v>
      </c>
      <c r="H255" s="29">
        <f>IFERROR(__xludf.DUMMYFUNCTION("""COMPUTED_VALUE"""),46153.0)</f>
        <v>46153</v>
      </c>
      <c r="I255" s="24" t="str">
        <f>IFERROR(__xludf.DUMMYFUNCTION("""COMPUTED_VALUE"""),"A3A")</f>
        <v>A3A</v>
      </c>
      <c r="J255" s="30"/>
      <c r="K255" s="27"/>
      <c r="L255" s="2" t="str">
        <f>IFERROR(__xludf.DUMMYFUNCTION("""COMPUTED_VALUE"""),"DISPATCHED")</f>
        <v>DISPATCHED</v>
      </c>
      <c r="M255" s="27" t="str">
        <f>IFERROR(__xludf.DUMMYFUNCTION("""COMPUTED_VALUE"""),"JOSE AND SPENCER")</f>
        <v>JOSE AND SPENCER</v>
      </c>
      <c r="N255" s="27" t="str">
        <f>IFERROR(__xludf.DUMMYFUNCTION("""COMPUTED_VALUE"""),"LGI HOMES")</f>
        <v>LGI HOMES</v>
      </c>
      <c r="O255" s="27" t="str">
        <f>IFERROR(__xludf.DUMMYFUNCTION("""COMPUTED_VALUE"""),"WINDOW|||LGI OQU60")</f>
        <v>WINDOW|||LGI OQU60</v>
      </c>
      <c r="P255" s="27"/>
      <c r="Q255" s="27" t="str">
        <f>IFERROR(__xludf.DUMMYFUNCTION("""COMPUTED_VALUE"""),"jose@ox-glass.com")</f>
        <v>jose@ox-glass.com</v>
      </c>
      <c r="R255" s="27" t="str">
        <f>IFERROR(__xludf.DUMMYFUNCTION("""COMPUTED_VALUE"""),"LGI OQU60")</f>
        <v>LGI OQU60</v>
      </c>
      <c r="S255" s="27" t="str">
        <f>IFERROR(__xludf.DUMMYFUNCTION("""COMPUTED_VALUE"""),"EXIT")</f>
        <v>EXIT</v>
      </c>
    </row>
    <row r="256" ht="21.75" customHeight="1">
      <c r="A256" s="35">
        <f>IFERROR(__xludf.DUMMYFUNCTION("""COMPUTED_VALUE"""),46160.56578895833)</f>
        <v>46160.56579</v>
      </c>
      <c r="B256" s="36" t="str">
        <f>IFERROR(__xludf.DUMMYFUNCTION("""COMPUTED_VALUE"""),"WINDOW")</f>
        <v>WINDOW</v>
      </c>
      <c r="C256" s="58" t="str">
        <f>IFERROR(__xludf.DUMMYFUNCTION("""COMPUTED_VALUE"""),"LGI OQU67")</f>
        <v>LGI OQU67</v>
      </c>
      <c r="D256" s="36"/>
      <c r="E256" s="27"/>
      <c r="F256" s="36">
        <f>IFERROR(__xludf.DUMMYFUNCTION("""COMPUTED_VALUE"""),8.0)</f>
        <v>8</v>
      </c>
      <c r="G256" s="59" t="str">
        <f>IFERROR(__xludf.DUMMYFUNCTION("""COMPUTED_VALUE"""),"UNIT")</f>
        <v>UNIT</v>
      </c>
      <c r="H256" s="59">
        <f>IFERROR(__xludf.DUMMYFUNCTION("""COMPUTED_VALUE"""),46153.0)</f>
        <v>46153</v>
      </c>
      <c r="I256" s="27" t="str">
        <f>IFERROR(__xludf.DUMMYFUNCTION("""COMPUTED_VALUE"""),"A3A")</f>
        <v>A3A</v>
      </c>
      <c r="K256" s="30"/>
      <c r="L256" s="30" t="str">
        <f>IFERROR(__xludf.DUMMYFUNCTION("""COMPUTED_VALUE"""),"DISPATCHED")</f>
        <v>DISPATCHED</v>
      </c>
      <c r="M256" s="27" t="str">
        <f>IFERROR(__xludf.DUMMYFUNCTION("""COMPUTED_VALUE"""),"JOSE AND SPENCER")</f>
        <v>JOSE AND SPENCER</v>
      </c>
      <c r="N256" s="27" t="str">
        <f>IFERROR(__xludf.DUMMYFUNCTION("""COMPUTED_VALUE"""),"LGI HOMES")</f>
        <v>LGI HOMES</v>
      </c>
      <c r="O256" s="27" t="str">
        <f>IFERROR(__xludf.DUMMYFUNCTION("""COMPUTED_VALUE"""),"WINDOW|||LGI OQU67")</f>
        <v>WINDOW|||LGI OQU67</v>
      </c>
      <c r="P256" s="27"/>
      <c r="Q256" s="27" t="str">
        <f>IFERROR(__xludf.DUMMYFUNCTION("""COMPUTED_VALUE"""),"jose@ox-glass.com")</f>
        <v>jose@ox-glass.com</v>
      </c>
      <c r="R256" s="27" t="str">
        <f>IFERROR(__xludf.DUMMYFUNCTION("""COMPUTED_VALUE"""),"LGI OQU67")</f>
        <v>LGI OQU67</v>
      </c>
      <c r="S256" s="27" t="str">
        <f>IFERROR(__xludf.DUMMYFUNCTION("""COMPUTED_VALUE"""),"EXIT")</f>
        <v>EXIT</v>
      </c>
    </row>
    <row r="257" ht="21.75" customHeight="1">
      <c r="A257" s="35">
        <f>IFERROR(__xludf.DUMMYFUNCTION("""COMPUTED_VALUE"""),46160.565163981475)</f>
        <v>46160.56516</v>
      </c>
      <c r="B257" s="36" t="str">
        <f>IFERROR(__xludf.DUMMYFUNCTION("""COMPUTED_VALUE"""),"WINDOW")</f>
        <v>WINDOW</v>
      </c>
      <c r="C257" s="58" t="str">
        <f>IFERROR(__xludf.DUMMYFUNCTION("""COMPUTED_VALUE"""),"LGI OQU66")</f>
        <v>LGI OQU66</v>
      </c>
      <c r="D257" s="36"/>
      <c r="E257" s="27"/>
      <c r="F257" s="36">
        <f>IFERROR(__xludf.DUMMYFUNCTION("""COMPUTED_VALUE"""),6.0)</f>
        <v>6</v>
      </c>
      <c r="G257" s="59" t="str">
        <f>IFERROR(__xludf.DUMMYFUNCTION("""COMPUTED_VALUE"""),"UNIT")</f>
        <v>UNIT</v>
      </c>
      <c r="H257" s="59">
        <f>IFERROR(__xludf.DUMMYFUNCTION("""COMPUTED_VALUE"""),46153.0)</f>
        <v>46153</v>
      </c>
      <c r="I257" s="27" t="str">
        <f>IFERROR(__xludf.DUMMYFUNCTION("""COMPUTED_VALUE"""),"A3A")</f>
        <v>A3A</v>
      </c>
      <c r="K257" s="30"/>
      <c r="L257" s="30" t="str">
        <f>IFERROR(__xludf.DUMMYFUNCTION("""COMPUTED_VALUE"""),"DISPATCHED")</f>
        <v>DISPATCHED</v>
      </c>
      <c r="M257" s="27" t="str">
        <f>IFERROR(__xludf.DUMMYFUNCTION("""COMPUTED_VALUE"""),"JOSE AND SPENCER")</f>
        <v>JOSE AND SPENCER</v>
      </c>
      <c r="N257" s="27" t="str">
        <f>IFERROR(__xludf.DUMMYFUNCTION("""COMPUTED_VALUE"""),"LGI HOMES")</f>
        <v>LGI HOMES</v>
      </c>
      <c r="O257" s="27" t="str">
        <f>IFERROR(__xludf.DUMMYFUNCTION("""COMPUTED_VALUE"""),"WINDOW|||LGI OQU66")</f>
        <v>WINDOW|||LGI OQU66</v>
      </c>
      <c r="P257" s="27"/>
      <c r="Q257" s="27" t="str">
        <f>IFERROR(__xludf.DUMMYFUNCTION("""COMPUTED_VALUE"""),"jose@ox-glass.com")</f>
        <v>jose@ox-glass.com</v>
      </c>
      <c r="R257" s="27" t="str">
        <f>IFERROR(__xludf.DUMMYFUNCTION("""COMPUTED_VALUE"""),"LGI OQU66")</f>
        <v>LGI OQU66</v>
      </c>
      <c r="S257" s="27" t="str">
        <f>IFERROR(__xludf.DUMMYFUNCTION("""COMPUTED_VALUE"""),"EXIT")</f>
        <v>EXIT</v>
      </c>
    </row>
    <row r="258" ht="21.75" customHeight="1">
      <c r="A258" s="35">
        <f>IFERROR(__xludf.DUMMYFUNCTION("""COMPUTED_VALUE"""),46160.564116273155)</f>
        <v>46160.56412</v>
      </c>
      <c r="B258" s="36" t="str">
        <f>IFERROR(__xludf.DUMMYFUNCTION("""COMPUTED_VALUE"""),"WINDOW")</f>
        <v>WINDOW</v>
      </c>
      <c r="C258" s="58" t="str">
        <f>IFERROR(__xludf.DUMMYFUNCTION("""COMPUTED_VALUE"""),"LGI OQU67")</f>
        <v>LGI OQU67</v>
      </c>
      <c r="D258" s="36"/>
      <c r="E258" s="27"/>
      <c r="F258" s="36">
        <f>IFERROR(__xludf.DUMMYFUNCTION("""COMPUTED_VALUE"""),8.0)</f>
        <v>8</v>
      </c>
      <c r="G258" s="59" t="str">
        <f>IFERROR(__xludf.DUMMYFUNCTION("""COMPUTED_VALUE"""),"UNIT")</f>
        <v>UNIT</v>
      </c>
      <c r="H258" s="59">
        <f>IFERROR(__xludf.DUMMYFUNCTION("""COMPUTED_VALUE"""),46150.0)</f>
        <v>46150</v>
      </c>
      <c r="I258" s="27"/>
      <c r="K258" s="30" t="str">
        <f>IFERROR(__xludf.DUMMYFUNCTION("""COMPUTED_VALUE"""),"2LGIOQU67")</f>
        <v>2LGIOQU67</v>
      </c>
      <c r="L258" s="30" t="str">
        <f>IFERROR(__xludf.DUMMYFUNCTION("""COMPUTED_VALUE"""),"IN STOCK")</f>
        <v>IN STOCK</v>
      </c>
      <c r="M258" s="27" t="str">
        <f>IFERROR(__xludf.DUMMYFUNCTION("""COMPUTED_VALUE"""),"JOSE C.")</f>
        <v>JOSE C.</v>
      </c>
      <c r="N258" s="27" t="str">
        <f>IFERROR(__xludf.DUMMYFUNCTION("""COMPUTED_VALUE"""),"LGI HOMES")</f>
        <v>LGI HOMES</v>
      </c>
      <c r="O258" s="27" t="str">
        <f>IFERROR(__xludf.DUMMYFUNCTION("""COMPUTED_VALUE"""),"WINDOW|||LGI OQU67")</f>
        <v>WINDOW|||LGI OQU67</v>
      </c>
      <c r="P258" s="27"/>
      <c r="Q258" s="27" t="str">
        <f>IFERROR(__xludf.DUMMYFUNCTION("""COMPUTED_VALUE"""),"jose@ox-glass.com")</f>
        <v>jose@ox-glass.com</v>
      </c>
      <c r="R258" s="27" t="str">
        <f>IFERROR(__xludf.DUMMYFUNCTION("""COMPUTED_VALUE"""),"A3A")</f>
        <v>A3A</v>
      </c>
      <c r="S258" s="27" t="str">
        <f>IFERROR(__xludf.DUMMYFUNCTION("""COMPUTED_VALUE"""),"ENTRY")</f>
        <v>ENTRY</v>
      </c>
    </row>
    <row r="259" ht="21.75" customHeight="1">
      <c r="A259" s="35">
        <f>IFERROR(__xludf.DUMMYFUNCTION("""COMPUTED_VALUE"""),46160.56363439815)</f>
        <v>46160.56363</v>
      </c>
      <c r="B259" s="36" t="str">
        <f>IFERROR(__xludf.DUMMYFUNCTION("""COMPUTED_VALUE"""),"WINDOW")</f>
        <v>WINDOW</v>
      </c>
      <c r="C259" s="58" t="str">
        <f>IFERROR(__xludf.DUMMYFUNCTION("""COMPUTED_VALUE"""),"LGI OQU60")</f>
        <v>LGI OQU60</v>
      </c>
      <c r="D259" s="36"/>
      <c r="E259" s="27"/>
      <c r="F259" s="36">
        <f>IFERROR(__xludf.DUMMYFUNCTION("""COMPUTED_VALUE"""),10.0)</f>
        <v>10</v>
      </c>
      <c r="G259" s="59" t="str">
        <f>IFERROR(__xludf.DUMMYFUNCTION("""COMPUTED_VALUE"""),"UNIT")</f>
        <v>UNIT</v>
      </c>
      <c r="H259" s="59">
        <f>IFERROR(__xludf.DUMMYFUNCTION("""COMPUTED_VALUE"""),46150.0)</f>
        <v>46150</v>
      </c>
      <c r="I259" s="27"/>
      <c r="K259" s="30" t="str">
        <f>IFERROR(__xludf.DUMMYFUNCTION("""COMPUTED_VALUE"""),"2LGIOQU60")</f>
        <v>2LGIOQU60</v>
      </c>
      <c r="L259" s="30" t="str">
        <f>IFERROR(__xludf.DUMMYFUNCTION("""COMPUTED_VALUE"""),"IN STOCK")</f>
        <v>IN STOCK</v>
      </c>
      <c r="M259" s="27" t="str">
        <f>IFERROR(__xludf.DUMMYFUNCTION("""COMPUTED_VALUE"""),"JOSE C.")</f>
        <v>JOSE C.</v>
      </c>
      <c r="N259" s="27" t="str">
        <f>IFERROR(__xludf.DUMMYFUNCTION("""COMPUTED_VALUE"""),"LGI HOMES")</f>
        <v>LGI HOMES</v>
      </c>
      <c r="O259" s="27" t="str">
        <f>IFERROR(__xludf.DUMMYFUNCTION("""COMPUTED_VALUE"""),"WINDOW|||LGI OQU60")</f>
        <v>WINDOW|||LGI OQU60</v>
      </c>
      <c r="P259" s="27"/>
      <c r="Q259" s="27" t="str">
        <f>IFERROR(__xludf.DUMMYFUNCTION("""COMPUTED_VALUE"""),"jose@ox-glass.com")</f>
        <v>jose@ox-glass.com</v>
      </c>
      <c r="R259" s="27" t="str">
        <f>IFERROR(__xludf.DUMMYFUNCTION("""COMPUTED_VALUE"""),"A3A")</f>
        <v>A3A</v>
      </c>
      <c r="S259" s="27" t="str">
        <f>IFERROR(__xludf.DUMMYFUNCTION("""COMPUTED_VALUE"""),"ENTRY")</f>
        <v>ENTRY</v>
      </c>
    </row>
    <row r="260" ht="21.75" customHeight="1">
      <c r="A260" s="35">
        <f>IFERROR(__xludf.DUMMYFUNCTION("""COMPUTED_VALUE"""),46160.56301193287)</f>
        <v>46160.56301</v>
      </c>
      <c r="B260" s="36" t="str">
        <f>IFERROR(__xludf.DUMMYFUNCTION("""COMPUTED_VALUE"""),"WINDOW")</f>
        <v>WINDOW</v>
      </c>
      <c r="C260" s="58" t="str">
        <f>IFERROR(__xludf.DUMMYFUNCTION("""COMPUTED_VALUE"""),"LGI OQU66")</f>
        <v>LGI OQU66</v>
      </c>
      <c r="D260" s="36"/>
      <c r="E260" s="27"/>
      <c r="F260" s="36">
        <f>IFERROR(__xludf.DUMMYFUNCTION("""COMPUTED_VALUE"""),6.0)</f>
        <v>6</v>
      </c>
      <c r="G260" s="59" t="str">
        <f>IFERROR(__xludf.DUMMYFUNCTION("""COMPUTED_VALUE"""),"UNIT")</f>
        <v>UNIT</v>
      </c>
      <c r="H260" s="59">
        <f>IFERROR(__xludf.DUMMYFUNCTION("""COMPUTED_VALUE"""),46150.0)</f>
        <v>46150</v>
      </c>
      <c r="I260" s="27"/>
      <c r="K260" s="30" t="str">
        <f>IFERROR(__xludf.DUMMYFUNCTION("""COMPUTED_VALUE"""),"2LGIOQU66")</f>
        <v>2LGIOQU66</v>
      </c>
      <c r="L260" s="30" t="str">
        <f>IFERROR(__xludf.DUMMYFUNCTION("""COMPUTED_VALUE"""),"IN STOCK")</f>
        <v>IN STOCK</v>
      </c>
      <c r="M260" s="27" t="str">
        <f>IFERROR(__xludf.DUMMYFUNCTION("""COMPUTED_VALUE"""),"JOSE C.")</f>
        <v>JOSE C.</v>
      </c>
      <c r="N260" s="27" t="str">
        <f>IFERROR(__xludf.DUMMYFUNCTION("""COMPUTED_VALUE"""),"LGI HOMES")</f>
        <v>LGI HOMES</v>
      </c>
      <c r="O260" s="27" t="str">
        <f>IFERROR(__xludf.DUMMYFUNCTION("""COMPUTED_VALUE"""),"WINDOW|||LGI OQU66")</f>
        <v>WINDOW|||LGI OQU66</v>
      </c>
      <c r="P260" s="27"/>
      <c r="Q260" s="27" t="str">
        <f>IFERROR(__xludf.DUMMYFUNCTION("""COMPUTED_VALUE"""),"jose@ox-glass.com")</f>
        <v>jose@ox-glass.com</v>
      </c>
      <c r="R260" s="27" t="str">
        <f>IFERROR(__xludf.DUMMYFUNCTION("""COMPUTED_VALUE"""),"A3A")</f>
        <v>A3A</v>
      </c>
      <c r="S260" s="27" t="str">
        <f>IFERROR(__xludf.DUMMYFUNCTION("""COMPUTED_VALUE"""),"ENTRY")</f>
        <v>ENTRY</v>
      </c>
    </row>
    <row r="261" ht="21.75" customHeight="1">
      <c r="A261" s="35">
        <f>IFERROR(__xludf.DUMMYFUNCTION("""COMPUTED_VALUE"""),46160.52353846065)</f>
        <v>46160.52354</v>
      </c>
      <c r="B261" s="36" t="str">
        <f>IFERROR(__xludf.DUMMYFUNCTION("""COMPUTED_VALUE"""),"WINDOW")</f>
        <v>WINDOW</v>
      </c>
      <c r="C261" s="58" t="str">
        <f>IFERROR(__xludf.DUMMYFUNCTION("""COMPUTED_VALUE"""),"MISCLEVATA")</f>
        <v>MISCLEVATA</v>
      </c>
      <c r="D261" s="36"/>
      <c r="E261" s="27"/>
      <c r="F261" s="36">
        <f>IFERROR(__xludf.DUMMYFUNCTION("""COMPUTED_VALUE"""),25.0)</f>
        <v>25</v>
      </c>
      <c r="G261" s="59" t="str">
        <f>IFERROR(__xludf.DUMMYFUNCTION("""COMPUTED_VALUE"""),"UNIT")</f>
        <v>UNIT</v>
      </c>
      <c r="H261" s="59">
        <f>IFERROR(__xludf.DUMMYFUNCTION("""COMPUTED_VALUE"""),46160.0)</f>
        <v>46160</v>
      </c>
      <c r="I261" s="27" t="str">
        <f>IFERROR(__xludf.DUMMYFUNCTION("""COMPUTED_VALUE"""),"A4A")</f>
        <v>A4A</v>
      </c>
      <c r="K261" s="30" t="str">
        <f>IFERROR(__xludf.DUMMYFUNCTION("""COMPUTED_VALUE"""),"TOO MANY, SOME WINDOWS WERE DELIVERED IN A TRAILER")</f>
        <v>TOO MANY, SOME WINDOWS WERE DELIVERED IN A TRAILER</v>
      </c>
      <c r="L261" s="30" t="str">
        <f>IFERROR(__xludf.DUMMYFUNCTION("""COMPUTED_VALUE"""),"DISPATCHED")</f>
        <v>DISPATCHED</v>
      </c>
      <c r="M261" s="27" t="str">
        <f>IFERROR(__xludf.DUMMYFUNCTION("""COMPUTED_VALUE"""),"JOSE, BUDDHA AND TEAM")</f>
        <v>JOSE, BUDDHA AND TEAM</v>
      </c>
      <c r="N261" s="27" t="str">
        <f>IFERROR(__xludf.DUMMYFUNCTION("""COMPUTED_VALUE"""),"GENERIC")</f>
        <v>GENERIC</v>
      </c>
      <c r="O261" s="27" t="str">
        <f>IFERROR(__xludf.DUMMYFUNCTION("""COMPUTED_VALUE"""),"WINDOW|||MISCLEVATA")</f>
        <v>WINDOW|||MISCLEVATA</v>
      </c>
      <c r="P261" s="27"/>
      <c r="Q261" s="27" t="str">
        <f>IFERROR(__xludf.DUMMYFUNCTION("""COMPUTED_VALUE"""),"jose@ox-glass.com")</f>
        <v>jose@ox-glass.com</v>
      </c>
      <c r="R261" s="27" t="str">
        <f>IFERROR(__xludf.DUMMYFUNCTION("""COMPUTED_VALUE"""),"MISC LEVATA")</f>
        <v>MISC LEVATA</v>
      </c>
      <c r="S261" s="27" t="str">
        <f>IFERROR(__xludf.DUMMYFUNCTION("""COMPUTED_VALUE"""),"EXIT")</f>
        <v>EXIT</v>
      </c>
    </row>
    <row r="262" ht="21.75" customHeight="1">
      <c r="A262" s="35">
        <f>IFERROR(__xludf.DUMMYFUNCTION("""COMPUTED_VALUE"""),46160.52349515046)</f>
        <v>46160.5235</v>
      </c>
      <c r="B262" s="36" t="str">
        <f>IFERROR(__xludf.DUMMYFUNCTION("""COMPUTED_VALUE"""),"WINDOW")</f>
        <v>WINDOW</v>
      </c>
      <c r="C262" s="58" t="str">
        <f>IFERROR(__xludf.DUMMYFUNCTION("""COMPUTED_VALUE"""),"MISCLEVATA")</f>
        <v>MISCLEVATA</v>
      </c>
      <c r="D262" s="36"/>
      <c r="E262" s="27"/>
      <c r="F262" s="36">
        <f>IFERROR(__xludf.DUMMYFUNCTION("""COMPUTED_VALUE"""),25.0)</f>
        <v>25</v>
      </c>
      <c r="G262" s="59" t="str">
        <f>IFERROR(__xludf.DUMMYFUNCTION("""COMPUTED_VALUE"""),"UNIT")</f>
        <v>UNIT</v>
      </c>
      <c r="H262" s="59">
        <f>IFERROR(__xludf.DUMMYFUNCTION("""COMPUTED_VALUE"""),46160.0)</f>
        <v>46160</v>
      </c>
      <c r="I262" s="27" t="str">
        <f>IFERROR(__xludf.DUMMYFUNCTION("""COMPUTED_VALUE"""),"A5A")</f>
        <v>A5A</v>
      </c>
      <c r="K262" s="30" t="str">
        <f>IFERROR(__xludf.DUMMYFUNCTION("""COMPUTED_VALUE"""),"TOO MANY, SOME WINDOWS WERE DELIVERED IN A TRAILER")</f>
        <v>TOO MANY, SOME WINDOWS WERE DELIVERED IN A TRAILER</v>
      </c>
      <c r="L262" s="30" t="str">
        <f>IFERROR(__xludf.DUMMYFUNCTION("""COMPUTED_VALUE"""),"DISPATCHED")</f>
        <v>DISPATCHED</v>
      </c>
      <c r="M262" s="27" t="str">
        <f>IFERROR(__xludf.DUMMYFUNCTION("""COMPUTED_VALUE"""),"JOSE, BUDDHA AND TEAM")</f>
        <v>JOSE, BUDDHA AND TEAM</v>
      </c>
      <c r="N262" s="27" t="str">
        <f>IFERROR(__xludf.DUMMYFUNCTION("""COMPUTED_VALUE"""),"GENERIC")</f>
        <v>GENERIC</v>
      </c>
      <c r="O262" s="27" t="str">
        <f>IFERROR(__xludf.DUMMYFUNCTION("""COMPUTED_VALUE"""),"WINDOW|||MISCLEVATA")</f>
        <v>WINDOW|||MISCLEVATA</v>
      </c>
      <c r="P262" s="27"/>
      <c r="Q262" s="27" t="str">
        <f>IFERROR(__xludf.DUMMYFUNCTION("""COMPUTED_VALUE"""),"jose@ox-glass.com")</f>
        <v>jose@ox-glass.com</v>
      </c>
      <c r="R262" s="27" t="str">
        <f>IFERROR(__xludf.DUMMYFUNCTION("""COMPUTED_VALUE"""),"MISC LEVATA")</f>
        <v>MISC LEVATA</v>
      </c>
      <c r="S262" s="27" t="str">
        <f>IFERROR(__xludf.DUMMYFUNCTION("""COMPUTED_VALUE"""),"EXIT")</f>
        <v>EXIT</v>
      </c>
    </row>
    <row r="263" ht="21.75" customHeight="1">
      <c r="A263" s="35">
        <f>IFERROR(__xludf.DUMMYFUNCTION("""COMPUTED_VALUE"""),46160.523450023145)</f>
        <v>46160.52345</v>
      </c>
      <c r="B263" s="36" t="str">
        <f>IFERROR(__xludf.DUMMYFUNCTION("""COMPUTED_VALUE"""),"WINDOW")</f>
        <v>WINDOW</v>
      </c>
      <c r="C263" s="58" t="str">
        <f>IFERROR(__xludf.DUMMYFUNCTION("""COMPUTED_VALUE"""),"MISCLEVATA")</f>
        <v>MISCLEVATA</v>
      </c>
      <c r="D263" s="36"/>
      <c r="E263" s="27"/>
      <c r="F263" s="36">
        <f>IFERROR(__xludf.DUMMYFUNCTION("""COMPUTED_VALUE"""),26.0)</f>
        <v>26</v>
      </c>
      <c r="G263" s="59" t="str">
        <f>IFERROR(__xludf.DUMMYFUNCTION("""COMPUTED_VALUE"""),"UNIT")</f>
        <v>UNIT</v>
      </c>
      <c r="H263" s="59">
        <f>IFERROR(__xludf.DUMMYFUNCTION("""COMPUTED_VALUE"""),46160.0)</f>
        <v>46160</v>
      </c>
      <c r="I263" s="27" t="str">
        <f>IFERROR(__xludf.DUMMYFUNCTION("""COMPUTED_VALUE"""),"A6A")</f>
        <v>A6A</v>
      </c>
      <c r="K263" s="30" t="str">
        <f>IFERROR(__xludf.DUMMYFUNCTION("""COMPUTED_VALUE"""),"TOO MANY, SOME WINDOWS WERE DELIVERED IN A TRAILER")</f>
        <v>TOO MANY, SOME WINDOWS WERE DELIVERED IN A TRAILER</v>
      </c>
      <c r="L263" s="30" t="str">
        <f>IFERROR(__xludf.DUMMYFUNCTION("""COMPUTED_VALUE"""),"DISPATCHED")</f>
        <v>DISPATCHED</v>
      </c>
      <c r="M263" s="27" t="str">
        <f>IFERROR(__xludf.DUMMYFUNCTION("""COMPUTED_VALUE"""),"JOSE, BUDDHA AND TEAM")</f>
        <v>JOSE, BUDDHA AND TEAM</v>
      </c>
      <c r="N263" s="27" t="str">
        <f>IFERROR(__xludf.DUMMYFUNCTION("""COMPUTED_VALUE"""),"GENERIC")</f>
        <v>GENERIC</v>
      </c>
      <c r="O263" s="27" t="str">
        <f>IFERROR(__xludf.DUMMYFUNCTION("""COMPUTED_VALUE"""),"WINDOW|||MISCLEVATA")</f>
        <v>WINDOW|||MISCLEVATA</v>
      </c>
      <c r="P263" s="27"/>
      <c r="Q263" s="27" t="str">
        <f>IFERROR(__xludf.DUMMYFUNCTION("""COMPUTED_VALUE"""),"jose@ox-glass.com")</f>
        <v>jose@ox-glass.com</v>
      </c>
      <c r="R263" s="27" t="str">
        <f>IFERROR(__xludf.DUMMYFUNCTION("""COMPUTED_VALUE"""),"MISC LEVATA")</f>
        <v>MISC LEVATA</v>
      </c>
      <c r="S263" s="27" t="str">
        <f>IFERROR(__xludf.DUMMYFUNCTION("""COMPUTED_VALUE"""),"EXIT")</f>
        <v>EXIT</v>
      </c>
    </row>
    <row r="264" ht="21.75" customHeight="1">
      <c r="A264" s="35">
        <f>IFERROR(__xludf.DUMMYFUNCTION("""COMPUTED_VALUE"""),46160.521894363425)</f>
        <v>46160.52189</v>
      </c>
      <c r="B264" s="36" t="str">
        <f>IFERROR(__xludf.DUMMYFUNCTION("""COMPUTED_VALUE"""),"WINDOW")</f>
        <v>WINDOW</v>
      </c>
      <c r="C264" s="58" t="str">
        <f>IFERROR(__xludf.DUMMYFUNCTION("""COMPUTED_VALUE"""),"SPRING CANYON 2")</f>
        <v>SPRING CANYON 2</v>
      </c>
      <c r="D264" s="36"/>
      <c r="E264" s="27"/>
      <c r="F264" s="36">
        <f>IFERROR(__xludf.DUMMYFUNCTION("""COMPUTED_VALUE"""),35.0)</f>
        <v>35</v>
      </c>
      <c r="G264" s="59" t="str">
        <f>IFERROR(__xludf.DUMMYFUNCTION("""COMPUTED_VALUE"""),"UNIT")</f>
        <v>UNIT</v>
      </c>
      <c r="H264" s="59">
        <f>IFERROR(__xludf.DUMMYFUNCTION("""COMPUTED_VALUE"""),46157.0)</f>
        <v>46157</v>
      </c>
      <c r="I264" s="27" t="str">
        <f>IFERROR(__xludf.DUMMYFUNCTION("""COMPUTED_VALUE"""),"A2A")</f>
        <v>A2A</v>
      </c>
      <c r="K264" s="30"/>
      <c r="L264" s="30" t="str">
        <f>IFERROR(__xludf.DUMMYFUNCTION("""COMPUTED_VALUE"""),"DISPATCHED")</f>
        <v>DISPATCHED</v>
      </c>
      <c r="M264" s="27" t="str">
        <f>IFERROR(__xludf.DUMMYFUNCTION("""COMPUTED_VALUE"""),"JOSE AND ELIJAH")</f>
        <v>JOSE AND ELIJAH</v>
      </c>
      <c r="N264" s="27" t="str">
        <f>IFERROR(__xludf.DUMMYFUNCTION("""COMPUTED_VALUE"""),"Sweetwater - SPRING CANYON 2")</f>
        <v>Sweetwater - SPRING CANYON 2</v>
      </c>
      <c r="O264" s="27" t="str">
        <f>IFERROR(__xludf.DUMMYFUNCTION("""COMPUTED_VALUE"""),"WINDOW|||SPRING CANYON 2")</f>
        <v>WINDOW|||SPRING CANYON 2</v>
      </c>
      <c r="P264" s="27"/>
      <c r="Q264" s="27" t="str">
        <f>IFERROR(__xludf.DUMMYFUNCTION("""COMPUTED_VALUE"""),"jose@ox-glass.com")</f>
        <v>jose@ox-glass.com</v>
      </c>
      <c r="R264" s="27" t="str">
        <f>IFERROR(__xludf.DUMMYFUNCTION("""COMPUTED_VALUE"""),"Sweetwater - SPRING CANYON 2")</f>
        <v>Sweetwater - SPRING CANYON 2</v>
      </c>
      <c r="S264" s="27" t="str">
        <f>IFERROR(__xludf.DUMMYFUNCTION("""COMPUTED_VALUE"""),"EXIT")</f>
        <v>EXIT</v>
      </c>
    </row>
    <row r="265" ht="21.75" customHeight="1">
      <c r="A265" s="35">
        <f>IFERROR(__xludf.DUMMYFUNCTION("""COMPUTED_VALUE"""),46160.520454537036)</f>
        <v>46160.52045</v>
      </c>
      <c r="B265" s="36" t="str">
        <f>IFERROR(__xludf.DUMMYFUNCTION("""COMPUTED_VALUE"""),"WINDOW")</f>
        <v>WINDOW</v>
      </c>
      <c r="C265" s="58" t="str">
        <f>IFERROR(__xludf.DUMMYFUNCTION("""COMPUTED_VALUE"""),"WHI STRATTON MEADOWS LOT216")</f>
        <v>WHI STRATTON MEADOWS LOT216</v>
      </c>
      <c r="D265" s="36"/>
      <c r="E265" s="27"/>
      <c r="F265" s="36">
        <f>IFERROR(__xludf.DUMMYFUNCTION("""COMPUTED_VALUE"""),16.0)</f>
        <v>16</v>
      </c>
      <c r="G265" s="59" t="str">
        <f>IFERROR(__xludf.DUMMYFUNCTION("""COMPUTED_VALUE"""),"UNIT")</f>
        <v>UNIT</v>
      </c>
      <c r="H265" s="59">
        <f>IFERROR(__xludf.DUMMYFUNCTION("""COMPUTED_VALUE"""),46156.0)</f>
        <v>46156</v>
      </c>
      <c r="I265" s="27" t="str">
        <f>IFERROR(__xludf.DUMMYFUNCTION("""COMPUTED_VALUE"""),"C1A")</f>
        <v>C1A</v>
      </c>
      <c r="K265" s="30"/>
      <c r="L265" s="30" t="str">
        <f>IFERROR(__xludf.DUMMYFUNCTION("""COMPUTED_VALUE"""),"DISPATCHED")</f>
        <v>DISPATCHED</v>
      </c>
      <c r="M265" s="27" t="str">
        <f>IFERROR(__xludf.DUMMYFUNCTION("""COMPUTED_VALUE"""),"JOSE AND ELIJAH")</f>
        <v>JOSE AND ELIJAH</v>
      </c>
      <c r="N265" s="27" t="str">
        <f>IFERROR(__xludf.DUMMYFUNCTION("""COMPUTED_VALUE"""),"GENERIC")</f>
        <v>GENERIC</v>
      </c>
      <c r="O265" s="27" t="str">
        <f>IFERROR(__xludf.DUMMYFUNCTION("""COMPUTED_VALUE"""),"WINDOW|||WHI STRATTON MEADOWS LOT216")</f>
        <v>WINDOW|||WHI STRATTON MEADOWS LOT216</v>
      </c>
      <c r="P265" s="27"/>
      <c r="Q265" s="27" t="str">
        <f>IFERROR(__xludf.DUMMYFUNCTION("""COMPUTED_VALUE"""),"jose@ox-glass.com")</f>
        <v>jose@ox-glass.com</v>
      </c>
      <c r="R265" s="27" t="str">
        <f>IFERROR(__xludf.DUMMYFUNCTION("""COMPUTED_VALUE"""),"WHITE STAR STRATTON MEADOWS LOT 216")</f>
        <v>WHITE STAR STRATTON MEADOWS LOT 216</v>
      </c>
      <c r="S265" s="27" t="str">
        <f>IFERROR(__xludf.DUMMYFUNCTION("""COMPUTED_VALUE"""),"EXIT")</f>
        <v>EXIT</v>
      </c>
    </row>
    <row r="266" ht="21.75" customHeight="1">
      <c r="A266" s="35">
        <f>IFERROR(__xludf.DUMMYFUNCTION("""COMPUTED_VALUE"""),46160.51847434027)</f>
        <v>46160.51847</v>
      </c>
      <c r="B266" s="36" t="str">
        <f>IFERROR(__xludf.DUMMYFUNCTION("""COMPUTED_VALUE"""),"WINDOW")</f>
        <v>WINDOW</v>
      </c>
      <c r="C266" s="58" t="str">
        <f>IFERROR(__xludf.DUMMYFUNCTION("""COMPUTED_VALUE"""),"WHI STRATTON MEADOWS LOT214")</f>
        <v>WHI STRATTON MEADOWS LOT214</v>
      </c>
      <c r="D266" s="36"/>
      <c r="E266" s="27"/>
      <c r="F266" s="36">
        <f>IFERROR(__xludf.DUMMYFUNCTION("""COMPUTED_VALUE"""),16.0)</f>
        <v>16</v>
      </c>
      <c r="G266" s="59" t="str">
        <f>IFERROR(__xludf.DUMMYFUNCTION("""COMPUTED_VALUE"""),"UNIT")</f>
        <v>UNIT</v>
      </c>
      <c r="H266" s="59">
        <f>IFERROR(__xludf.DUMMYFUNCTION("""COMPUTED_VALUE"""),46156.0)</f>
        <v>46156</v>
      </c>
      <c r="I266" s="27" t="str">
        <f>IFERROR(__xludf.DUMMYFUNCTION("""COMPUTED_VALUE"""),"C1A")</f>
        <v>C1A</v>
      </c>
      <c r="K266" s="30"/>
      <c r="L266" s="30" t="str">
        <f>IFERROR(__xludf.DUMMYFUNCTION("""COMPUTED_VALUE"""),"DISPATCHED")</f>
        <v>DISPATCHED</v>
      </c>
      <c r="M266" s="27" t="str">
        <f>IFERROR(__xludf.DUMMYFUNCTION("""COMPUTED_VALUE"""),"JOSE AND ELIJAH")</f>
        <v>JOSE AND ELIJAH</v>
      </c>
      <c r="N266" s="27" t="str">
        <f>IFERROR(__xludf.DUMMYFUNCTION("""COMPUTED_VALUE"""),"GENERIC")</f>
        <v>GENERIC</v>
      </c>
      <c r="O266" s="27" t="str">
        <f>IFERROR(__xludf.DUMMYFUNCTION("""COMPUTED_VALUE"""),"WINDOW|||WHI STRATTON MEADOWS LOT214")</f>
        <v>WINDOW|||WHI STRATTON MEADOWS LOT214</v>
      </c>
      <c r="P266" s="27"/>
      <c r="Q266" s="27" t="str">
        <f>IFERROR(__xludf.DUMMYFUNCTION("""COMPUTED_VALUE"""),"jose@ox-glass.com")</f>
        <v>jose@ox-glass.com</v>
      </c>
      <c r="R266" s="27" t="str">
        <f>IFERROR(__xludf.DUMMYFUNCTION("""COMPUTED_VALUE"""),"WHITE STAR STRATTON MEADOWS LOT 214")</f>
        <v>WHITE STAR STRATTON MEADOWS LOT 214</v>
      </c>
      <c r="S266" s="27" t="str">
        <f>IFERROR(__xludf.DUMMYFUNCTION("""COMPUTED_VALUE"""),"EXIT")</f>
        <v>EXIT</v>
      </c>
    </row>
    <row r="267" ht="21.75" customHeight="1">
      <c r="A267" s="35">
        <f>IFERROR(__xludf.DUMMYFUNCTION("""COMPUTED_VALUE"""),46160.46353344907)</f>
        <v>46160.46353</v>
      </c>
      <c r="B267" s="36" t="str">
        <f>IFERROR(__xludf.DUMMYFUNCTION("""COMPUTED_VALUE"""),"WINDOW")</f>
        <v>WINDOW</v>
      </c>
      <c r="C267" s="58" t="str">
        <f>IFERROR(__xludf.DUMMYFUNCTION("""COMPUTED_VALUE"""),"WHIPR220")</f>
        <v>WHIPR220</v>
      </c>
      <c r="D267" s="36"/>
      <c r="E267" s="27"/>
      <c r="F267" s="36">
        <f>IFERROR(__xludf.DUMMYFUNCTION("""COMPUTED_VALUE"""),15.0)</f>
        <v>15</v>
      </c>
      <c r="G267" s="59" t="str">
        <f>IFERROR(__xludf.DUMMYFUNCTION("""COMPUTED_VALUE"""),"UNIT")</f>
        <v>UNIT</v>
      </c>
      <c r="H267" s="59">
        <f>IFERROR(__xludf.DUMMYFUNCTION("""COMPUTED_VALUE"""),46157.0)</f>
        <v>46157</v>
      </c>
      <c r="I267" s="27"/>
      <c r="K267" s="30" t="str">
        <f>IFERROR(__xludf.DUMMYFUNCTION("""COMPUTED_VALUE"""),"lot 220 Kathryn [WHI-Prosperity220]")</f>
        <v>lot 220 Kathryn [WHI-Prosperity220]</v>
      </c>
      <c r="L267" s="30" t="str">
        <f>IFERROR(__xludf.DUMMYFUNCTION("""COMPUTED_VALUE"""),"IN STOCK")</f>
        <v>IN STOCK</v>
      </c>
      <c r="M267" s="27" t="str">
        <f>IFERROR(__xludf.DUMMYFUNCTION("""COMPUTED_VALUE"""),"JOSE C.")</f>
        <v>JOSE C.</v>
      </c>
      <c r="N267" s="27" t="str">
        <f>IFERROR(__xludf.DUMMYFUNCTION("""COMPUTED_VALUE"""),"GENERIC")</f>
        <v>GENERIC</v>
      </c>
      <c r="O267" s="27" t="str">
        <f>IFERROR(__xludf.DUMMYFUNCTION("""COMPUTED_VALUE"""),"WINDOW|||WHIPR220")</f>
        <v>WINDOW|||WHIPR220</v>
      </c>
      <c r="P267" s="27"/>
      <c r="Q267" s="27" t="str">
        <f>IFERROR(__xludf.DUMMYFUNCTION("""COMPUTED_VALUE"""),"jose@ox-glass.com")</f>
        <v>jose@ox-glass.com</v>
      </c>
      <c r="R267" s="27" t="str">
        <f>IFERROR(__xludf.DUMMYFUNCTION("""COMPUTED_VALUE"""),"B2A")</f>
        <v>B2A</v>
      </c>
      <c r="S267" s="27" t="str">
        <f>IFERROR(__xludf.DUMMYFUNCTION("""COMPUTED_VALUE"""),"ENTRY")</f>
        <v>ENTRY</v>
      </c>
    </row>
    <row r="268" ht="21.75" customHeight="1">
      <c r="A268" s="35">
        <f>IFERROR(__xludf.DUMMYFUNCTION("""COMPUTED_VALUE"""),46160.462621087965)</f>
        <v>46160.46262</v>
      </c>
      <c r="B268" s="36" t="str">
        <f>IFERROR(__xludf.DUMMYFUNCTION("""COMPUTED_VALUE"""),"WINDOW")</f>
        <v>WINDOW</v>
      </c>
      <c r="C268" s="58" t="str">
        <f>IFERROR(__xludf.DUMMYFUNCTION("""COMPUTED_VALUE"""),"WHI 222")</f>
        <v>WHI 222</v>
      </c>
      <c r="D268" s="36"/>
      <c r="E268" s="27"/>
      <c r="F268" s="36">
        <f>IFERROR(__xludf.DUMMYFUNCTION("""COMPUTED_VALUE"""),16.0)</f>
        <v>16</v>
      </c>
      <c r="G268" s="59" t="str">
        <f>IFERROR(__xludf.DUMMYFUNCTION("""COMPUTED_VALUE"""),"UNIT")</f>
        <v>UNIT</v>
      </c>
      <c r="H268" s="59">
        <f>IFERROR(__xludf.DUMMYFUNCTION("""COMPUTED_VALUE"""),46157.0)</f>
        <v>46157</v>
      </c>
      <c r="I268" s="27"/>
      <c r="K268" s="30" t="str">
        <f>IFERROR(__xludf.DUMMYFUNCTION("""COMPUTED_VALUE"""),"Lot 222 Poppy(5ft tall main) [WHI-222]")</f>
        <v>Lot 222 Poppy(5ft tall main) [WHI-222]</v>
      </c>
      <c r="L268" s="30" t="str">
        <f>IFERROR(__xludf.DUMMYFUNCTION("""COMPUTED_VALUE"""),"IN STOCK")</f>
        <v>IN STOCK</v>
      </c>
      <c r="M268" s="27" t="str">
        <f>IFERROR(__xludf.DUMMYFUNCTION("""COMPUTED_VALUE"""),"JOSE C.")</f>
        <v>JOSE C.</v>
      </c>
      <c r="N268" s="27" t="str">
        <f>IFERROR(__xludf.DUMMYFUNCTION("""COMPUTED_VALUE"""),"WHITE STAR")</f>
        <v>WHITE STAR</v>
      </c>
      <c r="O268" s="27" t="str">
        <f>IFERROR(__xludf.DUMMYFUNCTION("""COMPUTED_VALUE"""),"WINDOW|||WHI 222")</f>
        <v>WINDOW|||WHI 222</v>
      </c>
      <c r="P268" s="27"/>
      <c r="Q268" s="27" t="str">
        <f>IFERROR(__xludf.DUMMYFUNCTION("""COMPUTED_VALUE"""),"jose@ox-glass.com")</f>
        <v>jose@ox-glass.com</v>
      </c>
      <c r="R268" s="27" t="str">
        <f>IFERROR(__xludf.DUMMYFUNCTION("""COMPUTED_VALUE"""),"B2A")</f>
        <v>B2A</v>
      </c>
      <c r="S268" s="27" t="str">
        <f>IFERROR(__xludf.DUMMYFUNCTION("""COMPUTED_VALUE"""),"ENTRY")</f>
        <v>ENTRY</v>
      </c>
    </row>
    <row r="269" ht="21.75" customHeight="1">
      <c r="A269" s="35">
        <f>IFERROR(__xludf.DUMMYFUNCTION("""COMPUTED_VALUE"""),46160.46169678241)</f>
        <v>46160.4617</v>
      </c>
      <c r="B269" s="36" t="str">
        <f>IFERROR(__xludf.DUMMYFUNCTION("""COMPUTED_VALUE"""),"WINDOW")</f>
        <v>WINDOW</v>
      </c>
      <c r="C269" s="58" t="str">
        <f>IFERROR(__xludf.DUMMYFUNCTION("""COMPUTED_VALUE"""),"SAL BF2 PARTS")</f>
        <v>SAL BF2 PARTS</v>
      </c>
      <c r="D269" s="36"/>
      <c r="E269" s="27"/>
      <c r="F269" s="36">
        <f>IFERROR(__xludf.DUMMYFUNCTION("""COMPUTED_VALUE"""),2.0)</f>
        <v>2</v>
      </c>
      <c r="G269" s="59" t="str">
        <f>IFERROR(__xludf.DUMMYFUNCTION("""COMPUTED_VALUE"""),"UNIT")</f>
        <v>UNIT</v>
      </c>
      <c r="H269" s="59">
        <f>IFERROR(__xludf.DUMMYFUNCTION("""COMPUTED_VALUE"""),46157.0)</f>
        <v>46157</v>
      </c>
      <c r="I269" s="27"/>
      <c r="K269" s="30" t="str">
        <f>IFERROR(__xludf.DUMMYFUNCTION("""COMPUTED_VALUE"""),"SAL-BF2-Parts [SAL-Bushman Farms 2], WRAP IN GLASS FOAM")</f>
        <v>SAL-BF2-Parts [SAL-Bushman Farms 2], WRAP IN GLASS FOAM</v>
      </c>
      <c r="L269" s="30" t="str">
        <f>IFERROR(__xludf.DUMMYFUNCTION("""COMPUTED_VALUE"""),"IN STOCK")</f>
        <v>IN STOCK</v>
      </c>
      <c r="M269" s="27" t="str">
        <f>IFERROR(__xludf.DUMMYFUNCTION("""COMPUTED_VALUE"""),"JOSE C.")</f>
        <v>JOSE C.</v>
      </c>
      <c r="N269" s="27" t="str">
        <f>IFERROR(__xludf.DUMMYFUNCTION("""COMPUTED_VALUE"""),"SALT RIVER")</f>
        <v>SALT RIVER</v>
      </c>
      <c r="O269" s="27" t="str">
        <f>IFERROR(__xludf.DUMMYFUNCTION("""COMPUTED_VALUE"""),"WINDOW|||SAL BF2 PARTS")</f>
        <v>WINDOW|||SAL BF2 PARTS</v>
      </c>
      <c r="P269" s="27"/>
      <c r="Q269" s="27" t="str">
        <f>IFERROR(__xludf.DUMMYFUNCTION("""COMPUTED_VALUE"""),"jose@ox-glass.com")</f>
        <v>jose@ox-glass.com</v>
      </c>
      <c r="R269" s="27" t="str">
        <f>IFERROR(__xludf.DUMMYFUNCTION("""COMPUTED_VALUE"""),"B6A")</f>
        <v>B6A</v>
      </c>
      <c r="S269" s="27" t="str">
        <f>IFERROR(__xludf.DUMMYFUNCTION("""COMPUTED_VALUE"""),"ENTRY")</f>
        <v>ENTRY</v>
      </c>
    </row>
    <row r="270" ht="21.75" customHeight="1">
      <c r="A270" s="35">
        <f>IFERROR(__xludf.DUMMYFUNCTION("""COMPUTED_VALUE"""),46160.460906886576)</f>
        <v>46160.46091</v>
      </c>
      <c r="B270" s="36" t="str">
        <f>IFERROR(__xludf.DUMMYFUNCTION("""COMPUTED_VALUE"""),"WINDOW")</f>
        <v>WINDOW</v>
      </c>
      <c r="C270" s="58" t="str">
        <f>IFERROR(__xludf.DUMMYFUNCTION("""COMPUTED_VALUE"""),"MISCKK4060")</f>
        <v>MISCKK4060</v>
      </c>
      <c r="D270" s="36"/>
      <c r="E270" s="27"/>
      <c r="F270" s="36">
        <f>IFERROR(__xludf.DUMMYFUNCTION("""COMPUTED_VALUE"""),1.0)</f>
        <v>1</v>
      </c>
      <c r="G270" s="59" t="str">
        <f>IFERROR(__xludf.DUMMYFUNCTION("""COMPUTED_VALUE"""),"UNIT")</f>
        <v>UNIT</v>
      </c>
      <c r="H270" s="59">
        <f>IFERROR(__xludf.DUMMYFUNCTION("""COMPUTED_VALUE"""),46157.0)</f>
        <v>46157</v>
      </c>
      <c r="I270" s="27"/>
      <c r="K270" s="30" t="str">
        <f>IFERROR(__xludf.DUMMYFUNCTION("""COMPUTED_VALUE"""),"Kent Kay Addition [MISCKentKay]")</f>
        <v>Kent Kay Addition [MISCKentKay]</v>
      </c>
      <c r="L270" s="30" t="str">
        <f>IFERROR(__xludf.DUMMYFUNCTION("""COMPUTED_VALUE"""),"IN STOCK")</f>
        <v>IN STOCK</v>
      </c>
      <c r="M270" s="27" t="str">
        <f>IFERROR(__xludf.DUMMYFUNCTION("""COMPUTED_VALUE"""),"JOSE C.")</f>
        <v>JOSE C.</v>
      </c>
      <c r="N270" s="27" t="str">
        <f>IFERROR(__xludf.DUMMYFUNCTION("""COMPUTED_VALUE"""),"GENERIC")</f>
        <v>GENERIC</v>
      </c>
      <c r="O270" s="27" t="str">
        <f>IFERROR(__xludf.DUMMYFUNCTION("""COMPUTED_VALUE"""),"WINDOW|||MISCKK4060")</f>
        <v>WINDOW|||MISCKK4060</v>
      </c>
      <c r="P270" s="27"/>
      <c r="Q270" s="27" t="str">
        <f>IFERROR(__xludf.DUMMYFUNCTION("""COMPUTED_VALUE"""),"jose@ox-glass.com")</f>
        <v>jose@ox-glass.com</v>
      </c>
      <c r="R270" s="27" t="str">
        <f>IFERROR(__xludf.DUMMYFUNCTION("""COMPUTED_VALUE"""),"B6A")</f>
        <v>B6A</v>
      </c>
      <c r="S270" s="27" t="str">
        <f>IFERROR(__xludf.DUMMYFUNCTION("""COMPUTED_VALUE"""),"ENTRY")</f>
        <v>ENTRY</v>
      </c>
    </row>
    <row r="271" ht="21.75" customHeight="1">
      <c r="A271" s="35">
        <f>IFERROR(__xludf.DUMMYFUNCTION("""COMPUTED_VALUE"""),46160.460221875)</f>
        <v>46160.46022</v>
      </c>
      <c r="B271" s="36" t="str">
        <f>IFERROR(__xludf.DUMMYFUNCTION("""COMPUTED_VALUE"""),"WINDOW")</f>
        <v>WINDOW</v>
      </c>
      <c r="C271" s="58" t="str">
        <f>IFERROR(__xludf.DUMMYFUNCTION("""COMPUTED_VALUE"""),"MISCKENTADD")</f>
        <v>MISCKENTADD</v>
      </c>
      <c r="D271" s="36"/>
      <c r="E271" s="27"/>
      <c r="F271" s="36">
        <f>IFERROR(__xludf.DUMMYFUNCTION("""COMPUTED_VALUE"""),1.0)</f>
        <v>1</v>
      </c>
      <c r="G271" s="59" t="str">
        <f>IFERROR(__xludf.DUMMYFUNCTION("""COMPUTED_VALUE"""),"UNIT")</f>
        <v>UNIT</v>
      </c>
      <c r="H271" s="59">
        <f>IFERROR(__xludf.DUMMYFUNCTION("""COMPUTED_VALUE"""),46157.0)</f>
        <v>46157</v>
      </c>
      <c r="I271" s="27"/>
      <c r="K271" s="30" t="str">
        <f>IFERROR(__xludf.DUMMYFUNCTION("""COMPUTED_VALUE"""),"Kent Kay Addition reorder [MISCKentKay]")</f>
        <v>Kent Kay Addition reorder [MISCKentKay]</v>
      </c>
      <c r="L271" s="30" t="str">
        <f>IFERROR(__xludf.DUMMYFUNCTION("""COMPUTED_VALUE"""),"IN STOCK")</f>
        <v>IN STOCK</v>
      </c>
      <c r="M271" s="27" t="str">
        <f>IFERROR(__xludf.DUMMYFUNCTION("""COMPUTED_VALUE"""),"JOSE C.")</f>
        <v>JOSE C.</v>
      </c>
      <c r="N271" s="27" t="str">
        <f>IFERROR(__xludf.DUMMYFUNCTION("""COMPUTED_VALUE"""),"GENERIC")</f>
        <v>GENERIC</v>
      </c>
      <c r="O271" s="27" t="str">
        <f>IFERROR(__xludf.DUMMYFUNCTION("""COMPUTED_VALUE"""),"WINDOW|||MISCKENTADD")</f>
        <v>WINDOW|||MISCKENTADD</v>
      </c>
      <c r="P271" s="27"/>
      <c r="Q271" s="27" t="str">
        <f>IFERROR(__xludf.DUMMYFUNCTION("""COMPUTED_VALUE"""),"jose@ox-glass.com")</f>
        <v>jose@ox-glass.com</v>
      </c>
      <c r="R271" s="27" t="str">
        <f>IFERROR(__xludf.DUMMYFUNCTION("""COMPUTED_VALUE"""),"B6A")</f>
        <v>B6A</v>
      </c>
      <c r="S271" s="27" t="str">
        <f>IFERROR(__xludf.DUMMYFUNCTION("""COMPUTED_VALUE"""),"ENTRY")</f>
        <v>ENTRY</v>
      </c>
    </row>
    <row r="272" ht="21.75" customHeight="1">
      <c r="A272" s="35">
        <f>IFERROR(__xludf.DUMMYFUNCTION("""COMPUTED_VALUE"""),46160.458819085645)</f>
        <v>46160.45882</v>
      </c>
      <c r="B272" s="36" t="str">
        <f>IFERROR(__xludf.DUMMYFUNCTION("""COMPUTED_VALUE"""),"WINDOW")</f>
        <v>WINDOW</v>
      </c>
      <c r="C272" s="58" t="str">
        <f>IFERROR(__xludf.DUMMYFUNCTION("""COMPUTED_VALUE"""),"MISCLEVATA")</f>
        <v>MISCLEVATA</v>
      </c>
      <c r="D272" s="36"/>
      <c r="E272" s="27"/>
      <c r="F272" s="36">
        <f>IFERROR(__xludf.DUMMYFUNCTION("""COMPUTED_VALUE"""),26.0)</f>
        <v>26</v>
      </c>
      <c r="G272" s="59" t="str">
        <f>IFERROR(__xludf.DUMMYFUNCTION("""COMPUTED_VALUE"""),"UNIT")</f>
        <v>UNIT</v>
      </c>
      <c r="H272" s="59">
        <f>IFERROR(__xludf.DUMMYFUNCTION("""COMPUTED_VALUE"""),46157.0)</f>
        <v>46157</v>
      </c>
      <c r="I272" s="27"/>
      <c r="K272" s="30" t="str">
        <f>IFERROR(__xludf.DUMMYFUNCTION("""COMPUTED_VALUE"""),"Levata 2.26(VE taupe) [Levata]")</f>
        <v>Levata 2.26(VE taupe) [Levata]</v>
      </c>
      <c r="L272" s="30" t="str">
        <f>IFERROR(__xludf.DUMMYFUNCTION("""COMPUTED_VALUE"""),"IN STOCK")</f>
        <v>IN STOCK</v>
      </c>
      <c r="M272" s="27" t="str">
        <f>IFERROR(__xludf.DUMMYFUNCTION("""COMPUTED_VALUE"""),"JOSE C.")</f>
        <v>JOSE C.</v>
      </c>
      <c r="N272" s="27" t="str">
        <f>IFERROR(__xludf.DUMMYFUNCTION("""COMPUTED_VALUE"""),"GENERIC")</f>
        <v>GENERIC</v>
      </c>
      <c r="O272" s="27" t="str">
        <f>IFERROR(__xludf.DUMMYFUNCTION("""COMPUTED_VALUE"""),"WINDOW|||MISCLEVATA")</f>
        <v>WINDOW|||MISCLEVATA</v>
      </c>
      <c r="P272" s="27"/>
      <c r="Q272" s="27" t="str">
        <f>IFERROR(__xludf.DUMMYFUNCTION("""COMPUTED_VALUE"""),"jose@ox-glass.com")</f>
        <v>jose@ox-glass.com</v>
      </c>
      <c r="R272" s="27" t="str">
        <f>IFERROR(__xludf.DUMMYFUNCTION("""COMPUTED_VALUE"""),"A6A")</f>
        <v>A6A</v>
      </c>
      <c r="S272" s="27" t="str">
        <f>IFERROR(__xludf.DUMMYFUNCTION("""COMPUTED_VALUE"""),"ENTRY")</f>
        <v>ENTRY</v>
      </c>
    </row>
    <row r="273" ht="21.75" customHeight="1">
      <c r="A273" s="35">
        <f>IFERROR(__xludf.DUMMYFUNCTION("""COMPUTED_VALUE"""),46160.45876734954)</f>
        <v>46160.45877</v>
      </c>
      <c r="B273" s="36" t="str">
        <f>IFERROR(__xludf.DUMMYFUNCTION("""COMPUTED_VALUE"""),"WINDOW")</f>
        <v>WINDOW</v>
      </c>
      <c r="C273" s="58" t="str">
        <f>IFERROR(__xludf.DUMMYFUNCTION("""COMPUTED_VALUE"""),"MISCLEVATA")</f>
        <v>MISCLEVATA</v>
      </c>
      <c r="D273" s="36"/>
      <c r="E273" s="27"/>
      <c r="F273" s="36">
        <f>IFERROR(__xludf.DUMMYFUNCTION("""COMPUTED_VALUE"""),25.0)</f>
        <v>25</v>
      </c>
      <c r="G273" s="59" t="str">
        <f>IFERROR(__xludf.DUMMYFUNCTION("""COMPUTED_VALUE"""),"UNIT")</f>
        <v>UNIT</v>
      </c>
      <c r="H273" s="59">
        <f>IFERROR(__xludf.DUMMYFUNCTION("""COMPUTED_VALUE"""),46157.0)</f>
        <v>46157</v>
      </c>
      <c r="I273" s="27"/>
      <c r="K273" s="30" t="str">
        <f>IFERROR(__xludf.DUMMYFUNCTION("""COMPUTED_VALUE"""),"Levata 2.26(VE taupe) [Levata]")</f>
        <v>Levata 2.26(VE taupe) [Levata]</v>
      </c>
      <c r="L273" s="30" t="str">
        <f>IFERROR(__xludf.DUMMYFUNCTION("""COMPUTED_VALUE"""),"IN STOCK")</f>
        <v>IN STOCK</v>
      </c>
      <c r="M273" s="27" t="str">
        <f>IFERROR(__xludf.DUMMYFUNCTION("""COMPUTED_VALUE"""),"JOSE C.")</f>
        <v>JOSE C.</v>
      </c>
      <c r="N273" s="27" t="str">
        <f>IFERROR(__xludf.DUMMYFUNCTION("""COMPUTED_VALUE"""),"GENERIC")</f>
        <v>GENERIC</v>
      </c>
      <c r="O273" s="27" t="str">
        <f>IFERROR(__xludf.DUMMYFUNCTION("""COMPUTED_VALUE"""),"WINDOW|||MISCLEVATA")</f>
        <v>WINDOW|||MISCLEVATA</v>
      </c>
      <c r="P273" s="27"/>
      <c r="Q273" s="27" t="str">
        <f>IFERROR(__xludf.DUMMYFUNCTION("""COMPUTED_VALUE"""),"jose@ox-glass.com")</f>
        <v>jose@ox-glass.com</v>
      </c>
      <c r="R273" s="27" t="str">
        <f>IFERROR(__xludf.DUMMYFUNCTION("""COMPUTED_VALUE"""),"A5A")</f>
        <v>A5A</v>
      </c>
      <c r="S273" s="27" t="str">
        <f>IFERROR(__xludf.DUMMYFUNCTION("""COMPUTED_VALUE"""),"ENTRY")</f>
        <v>ENTRY</v>
      </c>
    </row>
    <row r="274" ht="21.75" customHeight="1">
      <c r="A274" s="35">
        <f>IFERROR(__xludf.DUMMYFUNCTION("""COMPUTED_VALUE"""),46160.458708125)</f>
        <v>46160.45871</v>
      </c>
      <c r="B274" s="36" t="str">
        <f>IFERROR(__xludf.DUMMYFUNCTION("""COMPUTED_VALUE"""),"WINDOW")</f>
        <v>WINDOW</v>
      </c>
      <c r="C274" s="58" t="str">
        <f>IFERROR(__xludf.DUMMYFUNCTION("""COMPUTED_VALUE"""),"MISCLEVATA")</f>
        <v>MISCLEVATA</v>
      </c>
      <c r="D274" s="36"/>
      <c r="E274" s="27"/>
      <c r="F274" s="36">
        <f>IFERROR(__xludf.DUMMYFUNCTION("""COMPUTED_VALUE"""),25.0)</f>
        <v>25</v>
      </c>
      <c r="G274" s="59" t="str">
        <f>IFERROR(__xludf.DUMMYFUNCTION("""COMPUTED_VALUE"""),"UNIT")</f>
        <v>UNIT</v>
      </c>
      <c r="H274" s="59">
        <f>IFERROR(__xludf.DUMMYFUNCTION("""COMPUTED_VALUE"""),46157.0)</f>
        <v>46157</v>
      </c>
      <c r="I274" s="27"/>
      <c r="K274" s="30" t="str">
        <f>IFERROR(__xludf.DUMMYFUNCTION("""COMPUTED_VALUE"""),"Levata 2.26(VE taupe) [Levata]")</f>
        <v>Levata 2.26(VE taupe) [Levata]</v>
      </c>
      <c r="L274" s="30" t="str">
        <f>IFERROR(__xludf.DUMMYFUNCTION("""COMPUTED_VALUE"""),"IN STOCK")</f>
        <v>IN STOCK</v>
      </c>
      <c r="M274" s="27" t="str">
        <f>IFERROR(__xludf.DUMMYFUNCTION("""COMPUTED_VALUE"""),"JOSE C.")</f>
        <v>JOSE C.</v>
      </c>
      <c r="N274" s="27" t="str">
        <f>IFERROR(__xludf.DUMMYFUNCTION("""COMPUTED_VALUE"""),"GENERIC")</f>
        <v>GENERIC</v>
      </c>
      <c r="O274" s="27" t="str">
        <f>IFERROR(__xludf.DUMMYFUNCTION("""COMPUTED_VALUE"""),"WINDOW|||MISCLEVATA")</f>
        <v>WINDOW|||MISCLEVATA</v>
      </c>
      <c r="P274" s="27"/>
      <c r="Q274" s="27" t="str">
        <f>IFERROR(__xludf.DUMMYFUNCTION("""COMPUTED_VALUE"""),"jose@ox-glass.com")</f>
        <v>jose@ox-glass.com</v>
      </c>
      <c r="R274" s="27" t="str">
        <f>IFERROR(__xludf.DUMMYFUNCTION("""COMPUTED_VALUE"""),"A4A")</f>
        <v>A4A</v>
      </c>
      <c r="S274" s="27" t="str">
        <f>IFERROR(__xludf.DUMMYFUNCTION("""COMPUTED_VALUE"""),"ENTRY")</f>
        <v>ENTRY</v>
      </c>
    </row>
    <row r="275" ht="21.75" customHeight="1">
      <c r="A275" s="35">
        <f>IFERROR(__xludf.DUMMYFUNCTION("""COMPUTED_VALUE"""),46160.37975141204)</f>
        <v>46160.37975</v>
      </c>
      <c r="B275" s="36" t="str">
        <f>IFERROR(__xludf.DUMMYFUNCTION("""COMPUTED_VALUE"""),"WINDOW")</f>
        <v>WINDOW</v>
      </c>
      <c r="C275" s="58" t="str">
        <f>IFERROR(__xludf.DUMMYFUNCTION("""COMPUTED_VALUE"""),"2PATSP639")</f>
        <v>2PATSP639</v>
      </c>
      <c r="D275" s="36"/>
      <c r="E275" s="27"/>
      <c r="F275" s="36">
        <f>IFERROR(__xludf.DUMMYFUNCTION("""COMPUTED_VALUE"""),19.0)</f>
        <v>19</v>
      </c>
      <c r="G275" s="59" t="str">
        <f>IFERROR(__xludf.DUMMYFUNCTION("""COMPUTED_VALUE"""),"UNIT")</f>
        <v>UNIT</v>
      </c>
      <c r="H275" s="59">
        <f>IFERROR(__xludf.DUMMYFUNCTION("""COMPUTED_VALUE"""),46157.0)</f>
        <v>46157</v>
      </c>
      <c r="I275" s="27"/>
      <c r="K275" s="30" t="str">
        <f>IFERROR(__xludf.DUMMYFUNCTION("""COMPUTED_VALUE"""),"SP 639 Roslyn [PAT-SP 639], SEE ~04-5489~ FOR SPECIAL ORDER")</f>
        <v>SP 639 Roslyn [PAT-SP 639], SEE ~04-5489~ FOR SPECIAL ORDER</v>
      </c>
      <c r="L275" s="30" t="str">
        <f>IFERROR(__xludf.DUMMYFUNCTION("""COMPUTED_VALUE"""),"IN STOCK")</f>
        <v>IN STOCK</v>
      </c>
      <c r="M275" s="27" t="str">
        <f>IFERROR(__xludf.DUMMYFUNCTION("""COMPUTED_VALUE"""),"JOSE C.")</f>
        <v>JOSE C.</v>
      </c>
      <c r="N275" s="27" t="str">
        <f>IFERROR(__xludf.DUMMYFUNCTION("""COMPUTED_VALUE"""),"PAT SP 639")</f>
        <v>PAT SP 639</v>
      </c>
      <c r="O275" s="27" t="str">
        <f>IFERROR(__xludf.DUMMYFUNCTION("""COMPUTED_VALUE"""),"WINDOW|||2PATSP639")</f>
        <v>WINDOW|||2PATSP639</v>
      </c>
      <c r="P275" s="27"/>
      <c r="Q275" s="27" t="str">
        <f>IFERROR(__xludf.DUMMYFUNCTION("""COMPUTED_VALUE"""),"jose@ox-glass.com")</f>
        <v>jose@ox-glass.com</v>
      </c>
      <c r="R275" s="27" t="str">
        <f>IFERROR(__xludf.DUMMYFUNCTION("""COMPUTED_VALUE"""),"B3A")</f>
        <v>B3A</v>
      </c>
      <c r="S275" s="27" t="str">
        <f>IFERROR(__xludf.DUMMYFUNCTION("""COMPUTED_VALUE"""),"ENTRY")</f>
        <v>ENTRY</v>
      </c>
    </row>
    <row r="276" ht="21.75" customHeight="1">
      <c r="A276" s="35">
        <f>IFERROR(__xludf.DUMMYFUNCTION("""COMPUTED_VALUE"""),46160.377616921294)</f>
        <v>46160.37762</v>
      </c>
      <c r="B276" s="36" t="str">
        <f>IFERROR(__xludf.DUMMYFUNCTION("""COMPUTED_VALUE"""),"WINDOW")</f>
        <v>WINDOW</v>
      </c>
      <c r="C276" s="58" t="str">
        <f>IFERROR(__xludf.DUMMYFUNCTION("""COMPUTED_VALUE"""),"2PER SAGE@COMPASS")</f>
        <v>2PER SAGE@COMPASS</v>
      </c>
      <c r="D276" s="36"/>
      <c r="E276" s="27"/>
      <c r="F276" s="36">
        <f>IFERROR(__xludf.DUMMYFUNCTION("""COMPUTED_VALUE"""),22.0)</f>
        <v>22</v>
      </c>
      <c r="G276" s="59" t="str">
        <f>IFERROR(__xludf.DUMMYFUNCTION("""COMPUTED_VALUE"""),"UNIT")</f>
        <v>UNIT</v>
      </c>
      <c r="H276" s="59">
        <f>IFERROR(__xludf.DUMMYFUNCTION("""COMPUTED_VALUE"""),46157.0)</f>
        <v>46157</v>
      </c>
      <c r="I276" s="27"/>
      <c r="K276" s="30"/>
      <c r="L276" s="30" t="str">
        <f>IFERROR(__xludf.DUMMYFUNCTION("""COMPUTED_VALUE"""),"IN STOCK")</f>
        <v>IN STOCK</v>
      </c>
      <c r="M276" s="27" t="str">
        <f>IFERROR(__xludf.DUMMYFUNCTION("""COMPUTED_VALUE"""),"JOSE C.")</f>
        <v>JOSE C.</v>
      </c>
      <c r="N276" s="27" t="str">
        <f>IFERROR(__xludf.DUMMYFUNCTION("""COMPUTED_VALUE"""),"2PER SAGE@COMPASS")</f>
        <v>2PER SAGE@COMPASS</v>
      </c>
      <c r="O276" s="27" t="str">
        <f>IFERROR(__xludf.DUMMYFUNCTION("""COMPUTED_VALUE"""),"WINDOW|||2PER SAGE@COMPASS")</f>
        <v>WINDOW|||2PER SAGE@COMPASS</v>
      </c>
      <c r="P276" s="27"/>
      <c r="Q276" s="27" t="str">
        <f>IFERROR(__xludf.DUMMYFUNCTION("""COMPUTED_VALUE"""),"jose@ox-glass.com")</f>
        <v>jose@ox-glass.com</v>
      </c>
      <c r="R276" s="27" t="str">
        <f>IFERROR(__xludf.DUMMYFUNCTION("""COMPUTED_VALUE"""),"C3A")</f>
        <v>C3A</v>
      </c>
      <c r="S276" s="27" t="str">
        <f>IFERROR(__xludf.DUMMYFUNCTION("""COMPUTED_VALUE"""),"ENTRY")</f>
        <v>ENTRY</v>
      </c>
    </row>
    <row r="277" ht="21.75" customHeight="1">
      <c r="A277" s="35">
        <f>IFERROR(__xludf.DUMMYFUNCTION("""COMPUTED_VALUE"""),46160.37755841435)</f>
        <v>46160.37756</v>
      </c>
      <c r="B277" s="36" t="str">
        <f>IFERROR(__xludf.DUMMYFUNCTION("""COMPUTED_VALUE"""),"WINDOW")</f>
        <v>WINDOW</v>
      </c>
      <c r="C277" s="58" t="str">
        <f>IFERROR(__xludf.DUMMYFUNCTION("""COMPUTED_VALUE"""),"2PER SAGE@COMPASS")</f>
        <v>2PER SAGE@COMPASS</v>
      </c>
      <c r="D277" s="36"/>
      <c r="E277" s="27"/>
      <c r="F277" s="36">
        <f>IFERROR(__xludf.DUMMYFUNCTION("""COMPUTED_VALUE"""),25.0)</f>
        <v>25</v>
      </c>
      <c r="G277" s="59" t="str">
        <f>IFERROR(__xludf.DUMMYFUNCTION("""COMPUTED_VALUE"""),"UNIT")</f>
        <v>UNIT</v>
      </c>
      <c r="H277" s="59">
        <f>IFERROR(__xludf.DUMMYFUNCTION("""COMPUTED_VALUE"""),46157.0)</f>
        <v>46157</v>
      </c>
      <c r="I277" s="27"/>
      <c r="K277" s="30"/>
      <c r="L277" s="30" t="str">
        <f>IFERROR(__xludf.DUMMYFUNCTION("""COMPUTED_VALUE"""),"IN STOCK")</f>
        <v>IN STOCK</v>
      </c>
      <c r="M277" s="27" t="str">
        <f>IFERROR(__xludf.DUMMYFUNCTION("""COMPUTED_VALUE"""),"JOSE C.")</f>
        <v>JOSE C.</v>
      </c>
      <c r="N277" s="27" t="str">
        <f>IFERROR(__xludf.DUMMYFUNCTION("""COMPUTED_VALUE"""),"2PER SAGE@COMPASS")</f>
        <v>2PER SAGE@COMPASS</v>
      </c>
      <c r="O277" s="27" t="str">
        <f>IFERROR(__xludf.DUMMYFUNCTION("""COMPUTED_VALUE"""),"WINDOW|||2PER SAGE@COMPASS")</f>
        <v>WINDOW|||2PER SAGE@COMPASS</v>
      </c>
      <c r="P277" s="27"/>
      <c r="Q277" s="27" t="str">
        <f>IFERROR(__xludf.DUMMYFUNCTION("""COMPUTED_VALUE"""),"jose@ox-glass.com")</f>
        <v>jose@ox-glass.com</v>
      </c>
      <c r="R277" s="27" t="str">
        <f>IFERROR(__xludf.DUMMYFUNCTION("""COMPUTED_VALUE"""),"C4A")</f>
        <v>C4A</v>
      </c>
      <c r="S277" s="27" t="str">
        <f>IFERROR(__xludf.DUMMYFUNCTION("""COMPUTED_VALUE"""),"ENTRY")</f>
        <v>ENTRY</v>
      </c>
    </row>
    <row r="278" ht="21.75" customHeight="1">
      <c r="A278" s="35">
        <f>IFERROR(__xludf.DUMMYFUNCTION("""COMPUTED_VALUE"""),46157.7090206713)</f>
        <v>46157.70902</v>
      </c>
      <c r="B278" s="36" t="str">
        <f>IFERROR(__xludf.DUMMYFUNCTION("""COMPUTED_VALUE"""),"WINDOW")</f>
        <v>WINDOW</v>
      </c>
      <c r="C278" s="58" t="str">
        <f>IFERROR(__xludf.DUMMYFUNCTION("""COMPUTED_VALUE"""),"2PER SAGE@COMPASS")</f>
        <v>2PER SAGE@COMPASS</v>
      </c>
      <c r="D278" s="36"/>
      <c r="E278" s="27"/>
      <c r="F278" s="36">
        <f>IFERROR(__xludf.DUMMYFUNCTION("""COMPUTED_VALUE"""),25.0)</f>
        <v>25</v>
      </c>
      <c r="G278" s="59" t="str">
        <f>IFERROR(__xludf.DUMMYFUNCTION("""COMPUTED_VALUE"""),"UNIT")</f>
        <v>UNIT</v>
      </c>
      <c r="H278" s="59">
        <f>IFERROR(__xludf.DUMMYFUNCTION("""COMPUTED_VALUE"""),46157.0)</f>
        <v>46157</v>
      </c>
      <c r="I278" s="27"/>
      <c r="K278" s="30" t="str">
        <f>IFERROR(__xludf.DUMMYFUNCTION("""COMPUTED_VALUE"""),"Sage@CompassPoint Order1 24 Plex [Perry-Sage at Compass Poi")</f>
        <v>Sage@CompassPoint Order1 24 Plex [Perry-Sage at Compass Poi</v>
      </c>
      <c r="L278" s="30" t="str">
        <f>IFERROR(__xludf.DUMMYFUNCTION("""COMPUTED_VALUE"""),"IN STOCK")</f>
        <v>IN STOCK</v>
      </c>
      <c r="M278" s="27" t="str">
        <f>IFERROR(__xludf.DUMMYFUNCTION("""COMPUTED_VALUE"""),"JOSE C.")</f>
        <v>JOSE C.</v>
      </c>
      <c r="N278" s="27" t="str">
        <f>IFERROR(__xludf.DUMMYFUNCTION("""COMPUTED_VALUE"""),"2PER SAGE@COMPASS")</f>
        <v>2PER SAGE@COMPASS</v>
      </c>
      <c r="O278" s="27" t="str">
        <f>IFERROR(__xludf.DUMMYFUNCTION("""COMPUTED_VALUE"""),"WINDOW|||2PER SAGE@COMPASS")</f>
        <v>WINDOW|||2PER SAGE@COMPASS</v>
      </c>
      <c r="P278" s="27"/>
      <c r="Q278" s="27" t="str">
        <f>IFERROR(__xludf.DUMMYFUNCTION("""COMPUTED_VALUE"""),"jose@ox-glass.com")</f>
        <v>jose@ox-glass.com</v>
      </c>
      <c r="R278" s="27" t="str">
        <f>IFERROR(__xludf.DUMMYFUNCTION("""COMPUTED_VALUE"""),"B4A")</f>
        <v>B4A</v>
      </c>
      <c r="S278" s="27" t="str">
        <f>IFERROR(__xludf.DUMMYFUNCTION("""COMPUTED_VALUE"""),"ENTRY")</f>
        <v>ENTRY</v>
      </c>
    </row>
    <row r="279" ht="21.75" customHeight="1">
      <c r="A279" s="35">
        <f>IFERROR(__xludf.DUMMYFUNCTION("""COMPUTED_VALUE"""),46157.707622002315)</f>
        <v>46157.70762</v>
      </c>
      <c r="B279" s="36" t="str">
        <f>IFERROR(__xludf.DUMMYFUNCTION("""COMPUTED_VALUE"""),"WINDOW")</f>
        <v>WINDOW</v>
      </c>
      <c r="C279" s="58" t="str">
        <f>IFERROR(__xludf.DUMMYFUNCTION("""COMPUTED_VALUE"""),"PRI LOVELESS3PLEXTH")</f>
        <v>PRI LOVELESS3PLEXTH</v>
      </c>
      <c r="D279" s="36"/>
      <c r="E279" s="27"/>
      <c r="F279" s="36">
        <f>IFERROR(__xludf.DUMMYFUNCTION("""COMPUTED_VALUE"""),29.0)</f>
        <v>29</v>
      </c>
      <c r="G279" s="59" t="str">
        <f>IFERROR(__xludf.DUMMYFUNCTION("""COMPUTED_VALUE"""),"UNIT")</f>
        <v>UNIT</v>
      </c>
      <c r="H279" s="59">
        <f>IFERROR(__xludf.DUMMYFUNCTION("""COMPUTED_VALUE"""),46157.0)</f>
        <v>46157</v>
      </c>
      <c r="I279" s="27"/>
      <c r="K279" s="30" t="str">
        <f>IFERROR(__xludf.DUMMYFUNCTION("""COMPUTED_VALUE"""),"Loveless3PlexTH [PRI - Loveless 3 plex Townhome]")</f>
        <v>Loveless3PlexTH [PRI - Loveless 3 plex Townhome]</v>
      </c>
      <c r="L279" s="30" t="str">
        <f>IFERROR(__xludf.DUMMYFUNCTION("""COMPUTED_VALUE"""),"IN STOCK")</f>
        <v>IN STOCK</v>
      </c>
      <c r="M279" s="27" t="str">
        <f>IFERROR(__xludf.DUMMYFUNCTION("""COMPUTED_VALUE"""),"JOSE C.")</f>
        <v>JOSE C.</v>
      </c>
      <c r="N279" s="27" t="str">
        <f>IFERROR(__xludf.DUMMYFUNCTION("""COMPUTED_VALUE"""),"GENERIC")</f>
        <v>GENERIC</v>
      </c>
      <c r="O279" s="27" t="str">
        <f>IFERROR(__xludf.DUMMYFUNCTION("""COMPUTED_VALUE"""),"WINDOW|||PRI LOVELESS3PLEXTH")</f>
        <v>WINDOW|||PRI LOVELESS3PLEXTH</v>
      </c>
      <c r="P279" s="27"/>
      <c r="Q279" s="27" t="str">
        <f>IFERROR(__xludf.DUMMYFUNCTION("""COMPUTED_VALUE"""),"jose@ox-glass.com")</f>
        <v>jose@ox-glass.com</v>
      </c>
      <c r="R279" s="27" t="str">
        <f>IFERROR(__xludf.DUMMYFUNCTION("""COMPUTED_VALUE"""),"C2A")</f>
        <v>C2A</v>
      </c>
      <c r="S279" s="27" t="str">
        <f>IFERROR(__xludf.DUMMYFUNCTION("""COMPUTED_VALUE"""),"ENTRY")</f>
        <v>ENTRY</v>
      </c>
    </row>
    <row r="280" ht="21.75" customHeight="1">
      <c r="A280" s="35">
        <f>IFERROR(__xludf.DUMMYFUNCTION("""COMPUTED_VALUE"""),46153.58297847222)</f>
        <v>46153.58298</v>
      </c>
      <c r="B280" s="36" t="str">
        <f>IFERROR(__xludf.DUMMYFUNCTION("""COMPUTED_VALUE"""),"WINDOW")</f>
        <v>WINDOW</v>
      </c>
      <c r="C280" s="58" t="str">
        <f>IFERROR(__xludf.DUMMYFUNCTION("""COMPUTED_VALUE"""),"WHIASPEN")</f>
        <v>WHIASPEN</v>
      </c>
      <c r="D280" s="36" t="str">
        <f>IFERROR(__xludf.DUMMYFUNCTION("""COMPUTED_VALUE"""),"WHI")</f>
        <v>WHI</v>
      </c>
      <c r="E280" s="27"/>
      <c r="F280" s="36">
        <f>IFERROR(__xludf.DUMMYFUNCTION("""COMPUTED_VALUE"""),16.0)</f>
        <v>16</v>
      </c>
      <c r="G280" s="59" t="str">
        <f>IFERROR(__xludf.DUMMYFUNCTION("""COMPUTED_VALUE"""),"UNIT")</f>
        <v>UNIT</v>
      </c>
      <c r="H280" s="59">
        <f>IFERROR(__xludf.DUMMYFUNCTION("""COMPUTED_VALUE"""),46132.0)</f>
        <v>46132</v>
      </c>
      <c r="I280" s="27" t="str">
        <f>IFERROR(__xludf.DUMMYFUNCTION("""COMPUTED_VALUE"""),"A3A")</f>
        <v>A3A</v>
      </c>
      <c r="K280" s="30" t="str">
        <f>IFERROR(__xludf.DUMMYFUNCTION("""COMPUTED_VALUE"""),"LOT 211")</f>
        <v>LOT 211</v>
      </c>
      <c r="L280" s="30" t="str">
        <f>IFERROR(__xludf.DUMMYFUNCTION("""COMPUTED_VALUE"""),"DISPATCHED")</f>
        <v>DISPATCHED</v>
      </c>
      <c r="M280" s="27" t="str">
        <f>IFERROR(__xludf.DUMMYFUNCTION("""COMPUTED_VALUE"""),"JOSE C. AND SPENCER")</f>
        <v>JOSE C. AND SPENCER</v>
      </c>
      <c r="N280" s="27" t="str">
        <f>IFERROR(__xludf.DUMMYFUNCTION("""COMPUTED_VALUE"""),"WHITE STAR")</f>
        <v>WHITE STAR</v>
      </c>
      <c r="O280" s="27" t="str">
        <f>IFERROR(__xludf.DUMMYFUNCTION("""COMPUTED_VALUE"""),"WINDOW|||WHIASPEN")</f>
        <v>WINDOW|||WHIASPEN</v>
      </c>
      <c r="P280" s="27"/>
      <c r="Q280" s="27" t="str">
        <f>IFERROR(__xludf.DUMMYFUNCTION("""COMPUTED_VALUE"""),"jose@ox-glass.com")</f>
        <v>jose@ox-glass.com</v>
      </c>
      <c r="R280" s="27" t="str">
        <f>IFERROR(__xludf.DUMMYFUNCTION("""COMPUTED_VALUE"""),"WHIASPEN")</f>
        <v>WHIASPEN</v>
      </c>
      <c r="S280" s="27" t="str">
        <f>IFERROR(__xludf.DUMMYFUNCTION("""COMPUTED_VALUE"""),"EXIT")</f>
        <v>EXIT</v>
      </c>
    </row>
    <row r="281" ht="21.75" customHeight="1">
      <c r="A281" s="35">
        <f>IFERROR(__xludf.DUMMYFUNCTION("""COMPUTED_VALUE"""),46153.37852561343)</f>
        <v>46153.37853</v>
      </c>
      <c r="B281" s="36" t="str">
        <f>IFERROR(__xludf.DUMMYFUNCTION("""COMPUTED_VALUE"""),"WINDOW")</f>
        <v>WINDOW</v>
      </c>
      <c r="C281" s="58" t="str">
        <f>IFERROR(__xludf.DUMMYFUNCTION("""COMPUTED_VALUE"""),"LGI OQU183")</f>
        <v>LGI OQU183</v>
      </c>
      <c r="D281" s="36" t="str">
        <f>IFERROR(__xludf.DUMMYFUNCTION("""COMPUTED_VALUE"""),"LGI")</f>
        <v>LGI</v>
      </c>
      <c r="E281" s="27" t="str">
        <f>IFERROR(__xludf.DUMMYFUNCTION("""COMPUTED_VALUE"""),"6939")</f>
        <v>6939</v>
      </c>
      <c r="F281" s="36">
        <f>IFERROR(__xludf.DUMMYFUNCTION("""COMPUTED_VALUE"""),8.0)</f>
        <v>8</v>
      </c>
      <c r="G281" s="59" t="str">
        <f>IFERROR(__xludf.DUMMYFUNCTION("""COMPUTED_VALUE"""),"UNIT")</f>
        <v>UNIT</v>
      </c>
      <c r="H281" s="59">
        <f>IFERROR(__xludf.DUMMYFUNCTION("""COMPUTED_VALUE"""),46150.0)</f>
        <v>46150</v>
      </c>
      <c r="I281" s="27"/>
      <c r="K281" s="30" t="str">
        <f>IFERROR(__xludf.DUMMYFUNCTION("""COMPUTED_VALUE"""),"WHITE WINDOWS")</f>
        <v>WHITE WINDOWS</v>
      </c>
      <c r="L281" s="30" t="str">
        <f>IFERROR(__xludf.DUMMYFUNCTION("""COMPUTED_VALUE"""),"IN STOCK")</f>
        <v>IN STOCK</v>
      </c>
      <c r="M281" s="27" t="str">
        <f>IFERROR(__xludf.DUMMYFUNCTION("""COMPUTED_VALUE"""),"JOSE C.")</f>
        <v>JOSE C.</v>
      </c>
      <c r="N281" s="27" t="str">
        <f>IFERROR(__xludf.DUMMYFUNCTION("""COMPUTED_VALUE"""),"LGI HOMES")</f>
        <v>LGI HOMES</v>
      </c>
      <c r="O281" s="27" t="str">
        <f>IFERROR(__xludf.DUMMYFUNCTION("""COMPUTED_VALUE"""),"WINDOW|||LGI OQU183")</f>
        <v>WINDOW|||LGI OQU183</v>
      </c>
      <c r="P281" s="27"/>
      <c r="Q281" s="27" t="str">
        <f>IFERROR(__xludf.DUMMYFUNCTION("""COMPUTED_VALUE"""),"jose@ox-glass.com")</f>
        <v>jose@ox-glass.com</v>
      </c>
      <c r="R281" s="27" t="str">
        <f>IFERROR(__xludf.DUMMYFUNCTION("""COMPUTED_VALUE"""),"A")</f>
        <v>A</v>
      </c>
      <c r="S281" s="27" t="str">
        <f>IFERROR(__xludf.DUMMYFUNCTION("""COMPUTED_VALUE"""),"ENTRY")</f>
        <v>ENTRY</v>
      </c>
    </row>
    <row r="282" ht="21.75" customHeight="1">
      <c r="A282" s="35">
        <f>IFERROR(__xludf.DUMMYFUNCTION("""COMPUTED_VALUE"""),46153.37367533565)</f>
        <v>46153.37368</v>
      </c>
      <c r="B282" s="36" t="str">
        <f>IFERROR(__xludf.DUMMYFUNCTION("""COMPUTED_VALUE"""),"WINDOW")</f>
        <v>WINDOW</v>
      </c>
      <c r="C282" s="58" t="str">
        <f>IFERROR(__xludf.DUMMYFUNCTION("""COMPUTED_VALUE"""),"LGI OQU175")</f>
        <v>LGI OQU175</v>
      </c>
      <c r="D282" s="36" t="str">
        <f>IFERROR(__xludf.DUMMYFUNCTION("""COMPUTED_VALUE"""),"LGI")</f>
        <v>LGI</v>
      </c>
      <c r="E282" s="27" t="str">
        <f>IFERROR(__xludf.DUMMYFUNCTION("""COMPUTED_VALUE"""),"6938")</f>
        <v>6938</v>
      </c>
      <c r="F282" s="36">
        <f>IFERROR(__xludf.DUMMYFUNCTION("""COMPUTED_VALUE"""),10.0)</f>
        <v>10</v>
      </c>
      <c r="G282" s="59" t="str">
        <f>IFERROR(__xludf.DUMMYFUNCTION("""COMPUTED_VALUE"""),"UNIT")</f>
        <v>UNIT</v>
      </c>
      <c r="H282" s="59">
        <f>IFERROR(__xludf.DUMMYFUNCTION("""COMPUTED_VALUE"""),46150.0)</f>
        <v>46150</v>
      </c>
      <c r="I282" s="27"/>
      <c r="K282" s="30" t="str">
        <f>IFERROR(__xludf.DUMMYFUNCTION("""COMPUTED_VALUE"""),"WHITE WINDOWS.")</f>
        <v>WHITE WINDOWS.</v>
      </c>
      <c r="L282" s="30" t="str">
        <f>IFERROR(__xludf.DUMMYFUNCTION("""COMPUTED_VALUE"""),"IN STOCK")</f>
        <v>IN STOCK</v>
      </c>
      <c r="M282" s="27" t="str">
        <f>IFERROR(__xludf.DUMMYFUNCTION("""COMPUTED_VALUE"""),"JOSE C.")</f>
        <v>JOSE C.</v>
      </c>
      <c r="N282" s="27" t="str">
        <f>IFERROR(__xludf.DUMMYFUNCTION("""COMPUTED_VALUE"""),"LGI HOMES")</f>
        <v>LGI HOMES</v>
      </c>
      <c r="O282" s="27" t="str">
        <f>IFERROR(__xludf.DUMMYFUNCTION("""COMPUTED_VALUE"""),"WINDOW|||LGI OQU175")</f>
        <v>WINDOW|||LGI OQU175</v>
      </c>
      <c r="P282" s="27"/>
      <c r="Q282" s="27" t="str">
        <f>IFERROR(__xludf.DUMMYFUNCTION("""COMPUTED_VALUE"""),"jose@ox-glass.com")</f>
        <v>jose@ox-glass.com</v>
      </c>
      <c r="R282" s="27" t="str">
        <f>IFERROR(__xludf.DUMMYFUNCTION("""COMPUTED_VALUE"""),"B2A")</f>
        <v>B2A</v>
      </c>
      <c r="S282" s="27" t="str">
        <f>IFERROR(__xludf.DUMMYFUNCTION("""COMPUTED_VALUE"""),"ENTRY")</f>
        <v>ENTRY</v>
      </c>
    </row>
    <row r="283" ht="21.75" customHeight="1">
      <c r="A283" s="35">
        <f>IFERROR(__xludf.DUMMYFUNCTION("""COMPUTED_VALUE"""),46153.369347465275)</f>
        <v>46153.36935</v>
      </c>
      <c r="B283" s="36" t="str">
        <f>IFERROR(__xludf.DUMMYFUNCTION("""COMPUTED_VALUE"""),"WINDOW")</f>
        <v>WINDOW</v>
      </c>
      <c r="C283" s="58" t="str">
        <f>IFERROR(__xludf.DUMMYFUNCTION("""COMPUTED_VALUE"""),"LGI OQU185")</f>
        <v>LGI OQU185</v>
      </c>
      <c r="D283" s="36" t="str">
        <f>IFERROR(__xludf.DUMMYFUNCTION("""COMPUTED_VALUE"""),"LGI")</f>
        <v>LGI</v>
      </c>
      <c r="E283" s="27" t="str">
        <f>IFERROR(__xludf.DUMMYFUNCTION("""COMPUTED_VALUE"""),"6940")</f>
        <v>6940</v>
      </c>
      <c r="F283" s="36">
        <f>IFERROR(__xludf.DUMMYFUNCTION("""COMPUTED_VALUE"""),6.0)</f>
        <v>6</v>
      </c>
      <c r="G283" s="59" t="str">
        <f>IFERROR(__xludf.DUMMYFUNCTION("""COMPUTED_VALUE"""),"UNIT")</f>
        <v>UNIT</v>
      </c>
      <c r="H283" s="59">
        <f>IFERROR(__xludf.DUMMYFUNCTION("""COMPUTED_VALUE"""),46150.0)</f>
        <v>46150</v>
      </c>
      <c r="I283" s="27"/>
      <c r="K283" s="30" t="str">
        <f>IFERROR(__xludf.DUMMYFUNCTION("""COMPUTED_VALUE"""),"2LGIOQU185-GLENWOOD, WHITE WINDOWS")</f>
        <v>2LGIOQU185-GLENWOOD, WHITE WINDOWS</v>
      </c>
      <c r="L283" s="30" t="str">
        <f>IFERROR(__xludf.DUMMYFUNCTION("""COMPUTED_VALUE"""),"IN STOCK")</f>
        <v>IN STOCK</v>
      </c>
      <c r="M283" s="27" t="str">
        <f>IFERROR(__xludf.DUMMYFUNCTION("""COMPUTED_VALUE"""),"JOSE C.")</f>
        <v>JOSE C.</v>
      </c>
      <c r="N283" s="27" t="str">
        <f>IFERROR(__xludf.DUMMYFUNCTION("""COMPUTED_VALUE"""),"LGI HOMES")</f>
        <v>LGI HOMES</v>
      </c>
      <c r="O283" s="27" t="str">
        <f>IFERROR(__xludf.DUMMYFUNCTION("""COMPUTED_VALUE"""),"WINDOW|||LGI OQU185")</f>
        <v>WINDOW|||LGI OQU185</v>
      </c>
      <c r="P283" s="27"/>
      <c r="Q283" s="27" t="str">
        <f>IFERROR(__xludf.DUMMYFUNCTION("""COMPUTED_VALUE"""),"jose@ox-glass.com")</f>
        <v>jose@ox-glass.com</v>
      </c>
      <c r="R283" s="27" t="str">
        <f>IFERROR(__xludf.DUMMYFUNCTION("""COMPUTED_VALUE"""),"B2A")</f>
        <v>B2A</v>
      </c>
      <c r="S283" s="27" t="str">
        <f>IFERROR(__xludf.DUMMYFUNCTION("""COMPUTED_VALUE"""),"ENTRY")</f>
        <v>ENTRY</v>
      </c>
    </row>
    <row r="284" ht="21.75" customHeight="1">
      <c r="A284" s="35">
        <f>IFERROR(__xludf.DUMMYFUNCTION("""COMPUTED_VALUE"""),46150.69445981482)</f>
        <v>46150.69446</v>
      </c>
      <c r="B284" s="36" t="str">
        <f>IFERROR(__xludf.DUMMYFUNCTION("""COMPUTED_VALUE"""),"WINDOW")</f>
        <v>WINDOW</v>
      </c>
      <c r="C284" s="58" t="str">
        <f>IFERROR(__xludf.DUMMYFUNCTION("""COMPUTED_VALUE"""),"PAT BME2")</f>
        <v>PAT BME2</v>
      </c>
      <c r="D284" s="36" t="str">
        <f>IFERROR(__xludf.DUMMYFUNCTION("""COMPUTED_VALUE"""),"PAT")</f>
        <v>PAT</v>
      </c>
      <c r="E284" s="27" t="str">
        <f>IFERROR(__xludf.DUMMYFUNCTION("""COMPUTED_VALUE"""),"PAT")</f>
        <v>PAT</v>
      </c>
      <c r="F284" s="36">
        <f>IFERROR(__xludf.DUMMYFUNCTION("""COMPUTED_VALUE"""),12.0)</f>
        <v>12</v>
      </c>
      <c r="G284" s="59" t="str">
        <f>IFERROR(__xludf.DUMMYFUNCTION("""COMPUTED_VALUE"""),"UNIT")</f>
        <v>UNIT</v>
      </c>
      <c r="H284" s="59">
        <f>IFERROR(__xludf.DUMMYFUNCTION("""COMPUTED_VALUE"""),46150.0)</f>
        <v>46150</v>
      </c>
      <c r="I284" s="27"/>
      <c r="K284" s="30" t="str">
        <f>IFERROR(__xludf.DUMMYFUNCTION("""COMPUTED_VALUE"""),"WHITE WINDOWS.")</f>
        <v>WHITE WINDOWS.</v>
      </c>
      <c r="L284" s="30" t="str">
        <f>IFERROR(__xludf.DUMMYFUNCTION("""COMPUTED_VALUE"""),"IN STOCK")</f>
        <v>IN STOCK</v>
      </c>
      <c r="M284" s="27" t="str">
        <f>IFERROR(__xludf.DUMMYFUNCTION("""COMPUTED_VALUE"""),"JOSE C.")</f>
        <v>JOSE C.</v>
      </c>
      <c r="N284" s="27" t="str">
        <f>IFERROR(__xludf.DUMMYFUNCTION("""COMPUTED_VALUE""")," PATTERSON HOMES")</f>
        <v> PATTERSON HOMES</v>
      </c>
      <c r="O284" s="27" t="str">
        <f>IFERROR(__xludf.DUMMYFUNCTION("""COMPUTED_VALUE"""),"WINDOW|||PAT BME2")</f>
        <v>WINDOW|||PAT BME2</v>
      </c>
      <c r="P284" s="27"/>
      <c r="Q284" s="27" t="str">
        <f>IFERROR(__xludf.DUMMYFUNCTION("""COMPUTED_VALUE"""),"jose@ox-glass.com")</f>
        <v>jose@ox-glass.com</v>
      </c>
      <c r="R284" s="27" t="str">
        <f>IFERROR(__xludf.DUMMYFUNCTION("""COMPUTED_VALUE"""),"C")</f>
        <v>C</v>
      </c>
      <c r="S284" s="27" t="str">
        <f>IFERROR(__xludf.DUMMYFUNCTION("""COMPUTED_VALUE"""),"ENTRY")</f>
        <v>ENTRY</v>
      </c>
    </row>
    <row r="285" ht="21.75" customHeight="1">
      <c r="A285" s="35">
        <f>IFERROR(__xludf.DUMMYFUNCTION("""COMPUTED_VALUE"""),46150.694430428244)</f>
        <v>46150.69443</v>
      </c>
      <c r="B285" s="36" t="str">
        <f>IFERROR(__xludf.DUMMYFUNCTION("""COMPUTED_VALUE"""),"WINDOW")</f>
        <v>WINDOW</v>
      </c>
      <c r="C285" s="58" t="str">
        <f>IFERROR(__xludf.DUMMYFUNCTION("""COMPUTED_VALUE"""),"PAT BME2")</f>
        <v>PAT BME2</v>
      </c>
      <c r="D285" s="36" t="str">
        <f>IFERROR(__xludf.DUMMYFUNCTION("""COMPUTED_VALUE"""),"PAT")</f>
        <v>PAT</v>
      </c>
      <c r="E285" s="27" t="str">
        <f>IFERROR(__xludf.DUMMYFUNCTION("""COMPUTED_VALUE"""),"PAT")</f>
        <v>PAT</v>
      </c>
      <c r="F285" s="36">
        <f>IFERROR(__xludf.DUMMYFUNCTION("""COMPUTED_VALUE"""),12.0)</f>
        <v>12</v>
      </c>
      <c r="G285" s="59" t="str">
        <f>IFERROR(__xludf.DUMMYFUNCTION("""COMPUTED_VALUE"""),"UNIT")</f>
        <v>UNIT</v>
      </c>
      <c r="H285" s="59">
        <f>IFERROR(__xludf.DUMMYFUNCTION("""COMPUTED_VALUE"""),46150.0)</f>
        <v>46150</v>
      </c>
      <c r="I285" s="27"/>
      <c r="K285" s="30" t="str">
        <f>IFERROR(__xludf.DUMMYFUNCTION("""COMPUTED_VALUE"""),"WHITE WINDOWS.")</f>
        <v>WHITE WINDOWS.</v>
      </c>
      <c r="L285" s="30" t="str">
        <f>IFERROR(__xludf.DUMMYFUNCTION("""COMPUTED_VALUE"""),"IN STOCK")</f>
        <v>IN STOCK</v>
      </c>
      <c r="M285" s="27" t="str">
        <f>IFERROR(__xludf.DUMMYFUNCTION("""COMPUTED_VALUE"""),"JOSE C.")</f>
        <v>JOSE C.</v>
      </c>
      <c r="N285" s="27" t="str">
        <f>IFERROR(__xludf.DUMMYFUNCTION("""COMPUTED_VALUE""")," PATTERSON HOMES")</f>
        <v> PATTERSON HOMES</v>
      </c>
      <c r="O285" s="27" t="str">
        <f>IFERROR(__xludf.DUMMYFUNCTION("""COMPUTED_VALUE"""),"WINDOW|||PAT BME2")</f>
        <v>WINDOW|||PAT BME2</v>
      </c>
      <c r="P285" s="27"/>
      <c r="Q285" s="27" t="str">
        <f>IFERROR(__xludf.DUMMYFUNCTION("""COMPUTED_VALUE"""),"jose@ox-glass.com")</f>
        <v>jose@ox-glass.com</v>
      </c>
      <c r="R285" s="27" t="str">
        <f>IFERROR(__xludf.DUMMYFUNCTION("""COMPUTED_VALUE"""),"B")</f>
        <v>B</v>
      </c>
      <c r="S285" s="27" t="str">
        <f>IFERROR(__xludf.DUMMYFUNCTION("""COMPUTED_VALUE"""),"ENTRY")</f>
        <v>ENTRY</v>
      </c>
    </row>
    <row r="286" ht="21.75" customHeight="1">
      <c r="A286" s="35">
        <f>IFERROR(__xludf.DUMMYFUNCTION("""COMPUTED_VALUE"""),46150.68995666667)</f>
        <v>46150.68996</v>
      </c>
      <c r="B286" s="36" t="str">
        <f>IFERROR(__xludf.DUMMYFUNCTION("""COMPUTED_VALUE"""),"WINDOW")</f>
        <v>WINDOW</v>
      </c>
      <c r="C286" s="58" t="str">
        <f>IFERROR(__xludf.DUMMYFUNCTION("""COMPUTED_VALUE"""),"PAT BMW 3")</f>
        <v>PAT BMW 3</v>
      </c>
      <c r="D286" s="36" t="str">
        <f>IFERROR(__xludf.DUMMYFUNCTION("""COMPUTED_VALUE"""),"PAT")</f>
        <v>PAT</v>
      </c>
      <c r="E286" s="27" t="str">
        <f>IFERROR(__xludf.DUMMYFUNCTION("""COMPUTED_VALUE"""),"04-3954")</f>
        <v>04-3954</v>
      </c>
      <c r="F286" s="36">
        <f>IFERROR(__xludf.DUMMYFUNCTION("""COMPUTED_VALUE"""),28.0)</f>
        <v>28</v>
      </c>
      <c r="G286" s="59" t="str">
        <f>IFERROR(__xludf.DUMMYFUNCTION("""COMPUTED_VALUE"""),"UNIT")</f>
        <v>UNIT</v>
      </c>
      <c r="H286" s="59">
        <f>IFERROR(__xludf.DUMMYFUNCTION("""COMPUTED_VALUE"""),46150.0)</f>
        <v>46150</v>
      </c>
      <c r="I286" s="27"/>
      <c r="K286" s="30" t="str">
        <f>IFERROR(__xludf.DUMMYFUNCTION("""COMPUTED_VALUE"""),"BLACK/WHITE WINDOWS")</f>
        <v>BLACK/WHITE WINDOWS</v>
      </c>
      <c r="L286" s="30" t="str">
        <f>IFERROR(__xludf.DUMMYFUNCTION("""COMPUTED_VALUE"""),"IN STOCK")</f>
        <v>IN STOCK</v>
      </c>
      <c r="M286" s="27" t="str">
        <f>IFERROR(__xludf.DUMMYFUNCTION("""COMPUTED_VALUE"""),"JOSE C.")</f>
        <v>JOSE C.</v>
      </c>
      <c r="N286" s="27" t="str">
        <f>IFERROR(__xludf.DUMMYFUNCTION("""COMPUTED_VALUE""")," PATTERSON HOMES")</f>
        <v> PATTERSON HOMES</v>
      </c>
      <c r="O286" s="27" t="str">
        <f>IFERROR(__xludf.DUMMYFUNCTION("""COMPUTED_VALUE"""),"WINDOW|||PAT BMW 3")</f>
        <v>WINDOW|||PAT BMW 3</v>
      </c>
      <c r="P286" s="27"/>
      <c r="Q286" s="27" t="str">
        <f>IFERROR(__xludf.DUMMYFUNCTION("""COMPUTED_VALUE"""),"jose@ox-glass.com")</f>
        <v>jose@ox-glass.com</v>
      </c>
      <c r="R286" s="27" t="str">
        <f>IFERROR(__xludf.DUMMYFUNCTION("""COMPUTED_VALUE"""),"A3A")</f>
        <v>A3A</v>
      </c>
      <c r="S286" s="27" t="str">
        <f>IFERROR(__xludf.DUMMYFUNCTION("""COMPUTED_VALUE"""),"ENTRY")</f>
        <v>ENTRY</v>
      </c>
    </row>
    <row r="287" ht="21.75" customHeight="1">
      <c r="A287" s="35">
        <f>IFERROR(__xludf.DUMMYFUNCTION("""COMPUTED_VALUE"""),46150.678262905094)</f>
        <v>46150.67826</v>
      </c>
      <c r="B287" s="36" t="str">
        <f>IFERROR(__xludf.DUMMYFUNCTION("""COMPUTED_VALUE"""),"WINDOW")</f>
        <v>WINDOW</v>
      </c>
      <c r="C287" s="58" t="str">
        <f>IFERROR(__xludf.DUMMYFUNCTION("""COMPUTED_VALUE"""),"EPJ 420 JACKIE")</f>
        <v>EPJ 420 JACKIE</v>
      </c>
      <c r="D287" s="36"/>
      <c r="E287" s="27" t="str">
        <f>IFERROR(__xludf.DUMMYFUNCTION("""COMPUTED_VALUE"""),"PAT")</f>
        <v>PAT</v>
      </c>
      <c r="F287" s="36">
        <f>IFERROR(__xludf.DUMMYFUNCTION("""COMPUTED_VALUE"""),12.0)</f>
        <v>12</v>
      </c>
      <c r="G287" s="59" t="str">
        <f>IFERROR(__xludf.DUMMYFUNCTION("""COMPUTED_VALUE"""),"UNIT")</f>
        <v>UNIT</v>
      </c>
      <c r="H287" s="59">
        <f>IFERROR(__xludf.DUMMYFUNCTION("""COMPUTED_VALUE"""),46150.0)</f>
        <v>46150</v>
      </c>
      <c r="I287" s="27"/>
      <c r="K287" s="30" t="str">
        <f>IFERROR(__xludf.DUMMYFUNCTION("""COMPUTED_VALUE"""),"BLACK/WHITE WINDOWS")</f>
        <v>BLACK/WHITE WINDOWS</v>
      </c>
      <c r="L287" s="30" t="str">
        <f>IFERROR(__xludf.DUMMYFUNCTION("""COMPUTED_VALUE"""),"IN STOCK")</f>
        <v>IN STOCK</v>
      </c>
      <c r="M287" s="27" t="str">
        <f>IFERROR(__xludf.DUMMYFUNCTION("""COMPUTED_VALUE"""),"JOSE C.")</f>
        <v>JOSE C.</v>
      </c>
      <c r="N287" s="27" t="str">
        <f>IFERROR(__xludf.DUMMYFUNCTION("""COMPUTED_VALUE"""),"PATTERSON HOMES")</f>
        <v>PATTERSON HOMES</v>
      </c>
      <c r="O287" s="27" t="str">
        <f>IFERROR(__xludf.DUMMYFUNCTION("""COMPUTED_VALUE"""),"WINDOW|||EPJ 420 JACKIE")</f>
        <v>WINDOW|||EPJ 420 JACKIE</v>
      </c>
      <c r="P287" s="27"/>
      <c r="Q287" s="27" t="str">
        <f>IFERROR(__xludf.DUMMYFUNCTION("""COMPUTED_VALUE"""),"jose@ox-glass.com")</f>
        <v>jose@ox-glass.com</v>
      </c>
      <c r="R287" s="27" t="str">
        <f>IFERROR(__xludf.DUMMYFUNCTION("""COMPUTED_VALUE"""),"B1A")</f>
        <v>B1A</v>
      </c>
      <c r="S287" s="27" t="str">
        <f>IFERROR(__xludf.DUMMYFUNCTION("""COMPUTED_VALUE"""),"ENTRY")</f>
        <v>ENTRY</v>
      </c>
    </row>
    <row r="288" ht="21.75" customHeight="1">
      <c r="A288" s="35">
        <f>IFERROR(__xludf.DUMMYFUNCTION("""COMPUTED_VALUE"""),46149.337361192134)</f>
        <v>46149.33736</v>
      </c>
      <c r="B288" s="36" t="str">
        <f>IFERROR(__xludf.DUMMYFUNCTION("""COMPUTED_VALUE"""),"WINDOW")</f>
        <v>WINDOW</v>
      </c>
      <c r="C288" s="58" t="str">
        <f>IFERROR(__xludf.DUMMYFUNCTION("""COMPUTED_VALUE"""),"FELT FAMILY DENTAL")</f>
        <v>FELT FAMILY DENTAL</v>
      </c>
      <c r="D288" s="36"/>
      <c r="E288" s="27"/>
      <c r="F288" s="36">
        <f>IFERROR(__xludf.DUMMYFUNCTION("""COMPUTED_VALUE"""),-16.0)</f>
        <v>-16</v>
      </c>
      <c r="G288" s="59" t="str">
        <f>IFERROR(__xludf.DUMMYFUNCTION("""COMPUTED_VALUE"""),"UNIT")</f>
        <v>UNIT</v>
      </c>
      <c r="H288" s="59">
        <f>IFERROR(__xludf.DUMMYFUNCTION("""COMPUTED_VALUE"""),46149.0)</f>
        <v>46149</v>
      </c>
      <c r="I288" s="27" t="str">
        <f>IFERROR(__xludf.DUMMYFUNCTION("""COMPUTED_VALUE"""),"A2A")</f>
        <v>A2A</v>
      </c>
      <c r="K288" s="30"/>
      <c r="L288" s="30" t="str">
        <f>IFERROR(__xludf.DUMMYFUNCTION("""COMPUTED_VALUE"""),"DISPATCHED")</f>
        <v>DISPATCHED</v>
      </c>
      <c r="M288" s="27" t="str">
        <f>IFERROR(__xludf.DUMMYFUNCTION("""COMPUTED_VALUE"""),"COLLIN'S CREW")</f>
        <v>COLLIN'S CREW</v>
      </c>
      <c r="N288" s="27" t="str">
        <f>IFERROR(__xludf.DUMMYFUNCTION("""COMPUTED_VALUE"""),"FELT FAMILY DENTAL")</f>
        <v>FELT FAMILY DENTAL</v>
      </c>
      <c r="O288" s="27" t="str">
        <f>IFERROR(__xludf.DUMMYFUNCTION("""COMPUTED_VALUE"""),"WINDOW|||FELT FAMILY DENTAL")</f>
        <v>WINDOW|||FELT FAMILY DENTAL</v>
      </c>
      <c r="P288" s="27"/>
      <c r="Q288" s="27" t="str">
        <f>IFERROR(__xludf.DUMMYFUNCTION("""COMPUTED_VALUE"""),"jose@ox-glass.com")</f>
        <v>jose@ox-glass.com</v>
      </c>
      <c r="R288" s="27" t="str">
        <f>IFERROR(__xludf.DUMMYFUNCTION("""COMPUTED_VALUE"""),"FELT FAMILY DENTAL")</f>
        <v>FELT FAMILY DENTAL</v>
      </c>
      <c r="S288" s="27" t="str">
        <f>IFERROR(__xludf.DUMMYFUNCTION("""COMPUTED_VALUE"""),"EXIT")</f>
        <v>EXIT</v>
      </c>
    </row>
    <row r="289" ht="21.75" customHeight="1">
      <c r="A289" s="35">
        <f>IFERROR(__xludf.DUMMYFUNCTION("""COMPUTED_VALUE"""),46148.541018125004)</f>
        <v>46148.54102</v>
      </c>
      <c r="B289" s="36" t="str">
        <f>IFERROR(__xludf.DUMMYFUNCTION("""COMPUTED_VALUE"""),"WINDOW")</f>
        <v>WINDOW</v>
      </c>
      <c r="C289" s="58" t="str">
        <f>IFERROR(__xludf.DUMMYFUNCTION("""COMPUTED_VALUE"""),"JEFF WATSON")</f>
        <v>JEFF WATSON</v>
      </c>
      <c r="D289" s="36"/>
      <c r="E289" s="27"/>
      <c r="F289" s="36">
        <f>IFERROR(__xludf.DUMMYFUNCTION("""COMPUTED_VALUE"""),-11.0)</f>
        <v>-11</v>
      </c>
      <c r="G289" s="59" t="str">
        <f>IFERROR(__xludf.DUMMYFUNCTION("""COMPUTED_VALUE"""),"UNIT")</f>
        <v>UNIT</v>
      </c>
      <c r="H289" s="59">
        <f>IFERROR(__xludf.DUMMYFUNCTION("""COMPUTED_VALUE"""),46145.0)</f>
        <v>46145</v>
      </c>
      <c r="I289" s="27" t="str">
        <f>IFERROR(__xludf.DUMMYFUNCTION("""COMPUTED_VALUE"""),"B2A")</f>
        <v>B2A</v>
      </c>
      <c r="K289" s="30"/>
      <c r="L289" s="30" t="str">
        <f>IFERROR(__xludf.DUMMYFUNCTION("""COMPUTED_VALUE"""),"DISPATCHED")</f>
        <v>DISPATCHED</v>
      </c>
      <c r="M289" s="27" t="str">
        <f>IFERROR(__xludf.DUMMYFUNCTION("""COMPUTED_VALUE"""),"JOSH")</f>
        <v>JOSH</v>
      </c>
      <c r="N289" s="27" t="str">
        <f>IFERROR(__xludf.DUMMYFUNCTION("""COMPUTED_VALUE"""),"JEFF WATSON")</f>
        <v>JEFF WATSON</v>
      </c>
      <c r="O289" s="27" t="str">
        <f>IFERROR(__xludf.DUMMYFUNCTION("""COMPUTED_VALUE"""),"WINDOW|||JEFF WATSON")</f>
        <v>WINDOW|||JEFF WATSON</v>
      </c>
      <c r="P289" s="27"/>
      <c r="Q289" s="27" t="str">
        <f>IFERROR(__xludf.DUMMYFUNCTION("""COMPUTED_VALUE"""),"jose@ox-glass.com")</f>
        <v>jose@ox-glass.com</v>
      </c>
      <c r="R289" s="27" t="str">
        <f>IFERROR(__xludf.DUMMYFUNCTION("""COMPUTED_VALUE"""),"JEFF WATSON")</f>
        <v>JEFF WATSON</v>
      </c>
      <c r="S289" s="27" t="str">
        <f>IFERROR(__xludf.DUMMYFUNCTION("""COMPUTED_VALUE"""),"EXIT")</f>
        <v>EXIT</v>
      </c>
    </row>
    <row r="290" ht="21.75" customHeight="1">
      <c r="A290" s="35">
        <f>IFERROR(__xludf.DUMMYFUNCTION("""COMPUTED_VALUE"""),46148.49097222222)</f>
        <v>46148.49097</v>
      </c>
      <c r="B290" s="36" t="str">
        <f>IFERROR(__xludf.DUMMYFUNCTION("""COMPUTED_VALUE"""),"WINDOW")</f>
        <v>WINDOW</v>
      </c>
      <c r="C290" s="58" t="str">
        <f>IFERROR(__xludf.DUMMYFUNCTION("""COMPUTED_VALUE"""),"WHILOT224POPPY")</f>
        <v>WHILOT224POPPY</v>
      </c>
      <c r="D290" s="36" t="str">
        <f>IFERROR(__xludf.DUMMYFUNCTION("""COMPUTED_VALUE"""),"WHI")</f>
        <v>WHI</v>
      </c>
      <c r="E290" s="27"/>
      <c r="F290" s="36">
        <f>IFERROR(__xludf.DUMMYFUNCTION("""COMPUTED_VALUE"""),-16.0)</f>
        <v>-16</v>
      </c>
      <c r="G290" s="59" t="str">
        <f>IFERROR(__xludf.DUMMYFUNCTION("""COMPUTED_VALUE"""),"UNIT")</f>
        <v>UNIT</v>
      </c>
      <c r="H290" s="59">
        <f>IFERROR(__xludf.DUMMYFUNCTION("""COMPUTED_VALUE"""),46115.0)</f>
        <v>46115</v>
      </c>
      <c r="I290" s="27" t="str">
        <f>IFERROR(__xludf.DUMMYFUNCTION("""COMPUTED_VALUE"""),"A3A")</f>
        <v>A3A</v>
      </c>
      <c r="K290" s="30" t="str">
        <f>IFERROR(__xludf.DUMMYFUNCTION("""COMPUTED_VALUE"""),"WHITE WINDOWS")</f>
        <v>WHITE WINDOWS</v>
      </c>
      <c r="L290" s="30" t="str">
        <f>IFERROR(__xludf.DUMMYFUNCTION("""COMPUTED_VALUE"""),"DISPATCHED")</f>
        <v>DISPATCHED</v>
      </c>
      <c r="M290" s="27" t="str">
        <f>IFERROR(__xludf.DUMMYFUNCTION("""COMPUTED_VALUE"""),"JOSE AND ELIJAH")</f>
        <v>JOSE AND ELIJAH</v>
      </c>
      <c r="N290" s="27" t="str">
        <f>IFERROR(__xludf.DUMMYFUNCTION("""COMPUTED_VALUE"""),"WHITE STAR")</f>
        <v>WHITE STAR</v>
      </c>
      <c r="O290" s="27" t="str">
        <f>IFERROR(__xludf.DUMMYFUNCTION("""COMPUTED_VALUE"""),"WINDOW|||WHILOT224POPPY")</f>
        <v>WINDOW|||WHILOT224POPPY</v>
      </c>
      <c r="P290" s="27"/>
      <c r="Q290" s="27" t="str">
        <f>IFERROR(__xludf.DUMMYFUNCTION("""COMPUTED_VALUE"""),"jose@ox-glass.com")</f>
        <v>jose@ox-glass.com</v>
      </c>
      <c r="R290" s="27" t="str">
        <f>IFERROR(__xludf.DUMMYFUNCTION("""COMPUTED_VALUE"""),"WHITE STAR")</f>
        <v>WHITE STAR</v>
      </c>
      <c r="S290" s="27" t="str">
        <f>IFERROR(__xludf.DUMMYFUNCTION("""COMPUTED_VALUE"""),"EXIT")</f>
        <v>EXIT</v>
      </c>
    </row>
    <row r="291" ht="21.75" customHeight="1">
      <c r="A291" s="35">
        <f>IFERROR(__xludf.DUMMYFUNCTION("""COMPUTED_VALUE"""),46148.490015462965)</f>
        <v>46148.49002</v>
      </c>
      <c r="B291" s="36" t="str">
        <f>IFERROR(__xludf.DUMMYFUNCTION("""COMPUTED_VALUE"""),"WINDOW")</f>
        <v>WINDOW</v>
      </c>
      <c r="C291" s="58" t="str">
        <f>IFERROR(__xludf.DUMMYFUNCTION("""COMPUTED_VALUE"""),"WHILOT219")</f>
        <v>WHILOT219</v>
      </c>
      <c r="D291" s="36"/>
      <c r="E291" s="27"/>
      <c r="F291" s="36">
        <f>IFERROR(__xludf.DUMMYFUNCTION("""COMPUTED_VALUE"""),-16.0)</f>
        <v>-16</v>
      </c>
      <c r="G291" s="59" t="str">
        <f>IFERROR(__xludf.DUMMYFUNCTION("""COMPUTED_VALUE"""),"UNIT")</f>
        <v>UNIT</v>
      </c>
      <c r="H291" s="59">
        <f>IFERROR(__xludf.DUMMYFUNCTION("""COMPUTED_VALUE"""),46142.0)</f>
        <v>46142</v>
      </c>
      <c r="I291" s="27" t="str">
        <f>IFERROR(__xludf.DUMMYFUNCTION("""COMPUTED_VALUE"""),"A2A")</f>
        <v>A2A</v>
      </c>
      <c r="K291" s="30" t="str">
        <f>IFERROR(__xludf.DUMMYFUNCTION("""COMPUTED_VALUE"""),"WHITE WINDOWS")</f>
        <v>WHITE WINDOWS</v>
      </c>
      <c r="L291" s="30" t="str">
        <f>IFERROR(__xludf.DUMMYFUNCTION("""COMPUTED_VALUE"""),"DISPATCHED")</f>
        <v>DISPATCHED</v>
      </c>
      <c r="M291" s="27" t="str">
        <f>IFERROR(__xludf.DUMMYFUNCTION("""COMPUTED_VALUE"""),"JOSE AND ELIJAH")</f>
        <v>JOSE AND ELIJAH</v>
      </c>
      <c r="N291" s="27" t="str">
        <f>IFERROR(__xludf.DUMMYFUNCTION("""COMPUTED_VALUE"""),"WHITE STAR")</f>
        <v>WHITE STAR</v>
      </c>
      <c r="O291" s="27" t="str">
        <f>IFERROR(__xludf.DUMMYFUNCTION("""COMPUTED_VALUE"""),"WINDOW|||WHILOT219")</f>
        <v>WINDOW|||WHILOT219</v>
      </c>
      <c r="P291" s="27"/>
      <c r="Q291" s="27" t="str">
        <f>IFERROR(__xludf.DUMMYFUNCTION("""COMPUTED_VALUE"""),"jose@ox-glass.com")</f>
        <v>jose@ox-glass.com</v>
      </c>
      <c r="R291" s="27" t="str">
        <f>IFERROR(__xludf.DUMMYFUNCTION("""COMPUTED_VALUE"""),"WHITE STAR")</f>
        <v>WHITE STAR</v>
      </c>
      <c r="S291" s="27" t="str">
        <f>IFERROR(__xludf.DUMMYFUNCTION("""COMPUTED_VALUE"""),"EXIT")</f>
        <v>EXIT</v>
      </c>
    </row>
    <row r="292" ht="21.75" customHeight="1">
      <c r="A292" s="35">
        <f>IFERROR(__xludf.DUMMYFUNCTION("""COMPUTED_VALUE"""),46148.48835493056)</f>
        <v>46148.48835</v>
      </c>
      <c r="B292" s="36" t="str">
        <f>IFERROR(__xludf.DUMMYFUNCTION("""COMPUTED_VALUE"""),"WINDOW")</f>
        <v>WINDOW</v>
      </c>
      <c r="C292" s="58" t="str">
        <f>IFERROR(__xludf.DUMMYFUNCTION("""COMPUTED_VALUE"""),"JACKLING WAY")</f>
        <v>JACKLING WAY</v>
      </c>
      <c r="D292" s="36"/>
      <c r="E292" s="27"/>
      <c r="F292" s="36">
        <f>IFERROR(__xludf.DUMMYFUNCTION("""COMPUTED_VALUE"""),-16.0)</f>
        <v>-16</v>
      </c>
      <c r="G292" s="59" t="str">
        <f>IFERROR(__xludf.DUMMYFUNCTION("""COMPUTED_VALUE"""),"UNIT")</f>
        <v>UNIT</v>
      </c>
      <c r="H292" s="59">
        <f>IFERROR(__xludf.DUMMYFUNCTION("""COMPUTED_VALUE"""),46139.0)</f>
        <v>46139</v>
      </c>
      <c r="I292" s="27" t="str">
        <f>IFERROR(__xludf.DUMMYFUNCTION("""COMPUTED_VALUE"""),"B - C")</f>
        <v>B - C</v>
      </c>
      <c r="K292" s="30"/>
      <c r="L292" s="30" t="str">
        <f>IFERROR(__xludf.DUMMYFUNCTION("""COMPUTED_VALUE"""),"DISPATCHED")</f>
        <v>DISPATCHED</v>
      </c>
      <c r="M292" s="27" t="str">
        <f>IFERROR(__xludf.DUMMYFUNCTION("""COMPUTED_VALUE"""),"JOSE AND ASTAN")</f>
        <v>JOSE AND ASTAN</v>
      </c>
      <c r="N292" s="27" t="str">
        <f>IFERROR(__xludf.DUMMYFUNCTION("""COMPUTED_VALUE"""),"JACKLING WAY")</f>
        <v>JACKLING WAY</v>
      </c>
      <c r="O292" s="27" t="str">
        <f>IFERROR(__xludf.DUMMYFUNCTION("""COMPUTED_VALUE"""),"WINDOW|||JACKLING WAY")</f>
        <v>WINDOW|||JACKLING WAY</v>
      </c>
      <c r="P292" s="27"/>
      <c r="Q292" s="27" t="str">
        <f>IFERROR(__xludf.DUMMYFUNCTION("""COMPUTED_VALUE"""),"jose@ox-glass.com")</f>
        <v>jose@ox-glass.com</v>
      </c>
      <c r="R292" s="27" t="str">
        <f>IFERROR(__xludf.DUMMYFUNCTION("""COMPUTED_VALUE"""),"JACKLING WAY")</f>
        <v>JACKLING WAY</v>
      </c>
      <c r="S292" s="27" t="str">
        <f>IFERROR(__xludf.DUMMYFUNCTION("""COMPUTED_VALUE"""),"EXIT")</f>
        <v>EXIT</v>
      </c>
    </row>
    <row r="293" ht="21.75" customHeight="1">
      <c r="A293" s="35">
        <f>IFERROR(__xludf.DUMMYFUNCTION("""COMPUTED_VALUE"""),46148.38717497685)</f>
        <v>46148.38717</v>
      </c>
      <c r="B293" s="36" t="str">
        <f>IFERROR(__xludf.DUMMYFUNCTION("""COMPUTED_VALUE"""),"WINDOW")</f>
        <v>WINDOW</v>
      </c>
      <c r="C293" s="58" t="str">
        <f>IFERROR(__xludf.DUMMYFUNCTION("""COMPUTED_VALUE"""),"KENT KAY")</f>
        <v>KENT KAY</v>
      </c>
      <c r="D293" s="36"/>
      <c r="E293" s="27"/>
      <c r="F293" s="36">
        <f>IFERROR(__xludf.DUMMYFUNCTION("""COMPUTED_VALUE"""),-13.0)</f>
        <v>-13</v>
      </c>
      <c r="G293" s="59" t="str">
        <f>IFERROR(__xludf.DUMMYFUNCTION("""COMPUTED_VALUE"""),"UNIT")</f>
        <v>UNIT</v>
      </c>
      <c r="H293" s="59">
        <f>IFERROR(__xludf.DUMMYFUNCTION("""COMPUTED_VALUE"""),46148.0)</f>
        <v>46148</v>
      </c>
      <c r="I293" s="27" t="str">
        <f>IFERROR(__xludf.DUMMYFUNCTION("""COMPUTED_VALUE"""),"B2A")</f>
        <v>B2A</v>
      </c>
      <c r="K293" s="30"/>
      <c r="L293" s="30" t="str">
        <f>IFERROR(__xludf.DUMMYFUNCTION("""COMPUTED_VALUE"""),"DISPATCHED")</f>
        <v>DISPATCHED</v>
      </c>
      <c r="M293" s="27" t="str">
        <f>IFERROR(__xludf.DUMMYFUNCTION("""COMPUTED_VALUE"""),"BRANDON")</f>
        <v>BRANDON</v>
      </c>
      <c r="N293" s="27" t="str">
        <f>IFERROR(__xludf.DUMMYFUNCTION("""COMPUTED_VALUE"""),"KENT KAY")</f>
        <v>KENT KAY</v>
      </c>
      <c r="O293" s="27" t="str">
        <f>IFERROR(__xludf.DUMMYFUNCTION("""COMPUTED_VALUE"""),"WINDOW|||KENT KAY")</f>
        <v>WINDOW|||KENT KAY</v>
      </c>
      <c r="P293" s="27"/>
      <c r="Q293" s="27" t="str">
        <f>IFERROR(__xludf.DUMMYFUNCTION("""COMPUTED_VALUE"""),"jose@ox-glass.com")</f>
        <v>jose@ox-glass.com</v>
      </c>
      <c r="R293" s="27" t="str">
        <f>IFERROR(__xludf.DUMMYFUNCTION("""COMPUTED_VALUE"""),"KENT KAY")</f>
        <v>KENT KAY</v>
      </c>
      <c r="S293" s="27" t="str">
        <f>IFERROR(__xludf.DUMMYFUNCTION("""COMPUTED_VALUE"""),"EXIT")</f>
        <v>EXIT</v>
      </c>
    </row>
    <row r="294" ht="21.75" customHeight="1">
      <c r="A294" s="35">
        <f>IFERROR(__xludf.DUMMYFUNCTION("""COMPUTED_VALUE"""),46146.55044799769)</f>
        <v>46146.55045</v>
      </c>
      <c r="B294" s="36" t="str">
        <f>IFERROR(__xludf.DUMMYFUNCTION("""COMPUTED_VALUE"""),"WINDOW")</f>
        <v>WINDOW</v>
      </c>
      <c r="C294" s="58" t="str">
        <f>IFERROR(__xludf.DUMMYFUNCTION("""COMPUTED_VALUE"""),"ALVIN JENSON ADDITIONAL")</f>
        <v>ALVIN JENSON ADDITIONAL</v>
      </c>
      <c r="D294" s="36"/>
      <c r="E294" s="27" t="str">
        <f>IFERROR(__xludf.DUMMYFUNCTION("""COMPUTED_VALUE"""),"6906")</f>
        <v>6906</v>
      </c>
      <c r="F294" s="36">
        <f>IFERROR(__xludf.DUMMYFUNCTION("""COMPUTED_VALUE"""),1.0)</f>
        <v>1</v>
      </c>
      <c r="G294" s="59" t="str">
        <f>IFERROR(__xludf.DUMMYFUNCTION("""COMPUTED_VALUE"""),"UNIT")</f>
        <v>UNIT</v>
      </c>
      <c r="H294" s="59">
        <f>IFERROR(__xludf.DUMMYFUNCTION("""COMPUTED_VALUE"""),46146.0)</f>
        <v>46146</v>
      </c>
      <c r="I294" s="27" t="str">
        <f>IFERROR(__xludf.DUMMYFUNCTION("""COMPUTED_VALUE"""),"B6A")</f>
        <v>B6A</v>
      </c>
      <c r="K294" s="30" t="str">
        <f>IFERROR(__xludf.DUMMYFUNCTION("""COMPUTED_VALUE"""),"WHITE WINDOW, 1@35 1/2 X 59 1/2")</f>
        <v>WHITE WINDOW, 1@35 1/2 X 59 1/2</v>
      </c>
      <c r="L294" s="30" t="str">
        <f>IFERROR(__xludf.DUMMYFUNCTION("""COMPUTED_VALUE"""),"IN STOCK")</f>
        <v>IN STOCK</v>
      </c>
      <c r="M294" s="27" t="str">
        <f>IFERROR(__xludf.DUMMYFUNCTION("""COMPUTED_VALUE"""),"JOSE C.")</f>
        <v>JOSE C.</v>
      </c>
      <c r="N294" s="27" t="str">
        <f>IFERROR(__xludf.DUMMYFUNCTION("""COMPUTED_VALUE"""),"ALVIN JENSON")</f>
        <v>ALVIN JENSON</v>
      </c>
      <c r="O294" s="27" t="str">
        <f>IFERROR(__xludf.DUMMYFUNCTION("""COMPUTED_VALUE"""),"WINDOW|||ALVIN JENSON ADDITIONAL")</f>
        <v>WINDOW|||ALVIN JENSON ADDITIONAL</v>
      </c>
      <c r="P294" s="27"/>
      <c r="Q294" s="27" t="str">
        <f>IFERROR(__xludf.DUMMYFUNCTION("""COMPUTED_VALUE"""),"jose@ox-glass.com")</f>
        <v>jose@ox-glass.com</v>
      </c>
      <c r="R294" s="27" t="str">
        <f>IFERROR(__xludf.DUMMYFUNCTION("""COMPUTED_VALUE"""),"B6A")</f>
        <v>B6A</v>
      </c>
      <c r="S294" s="27" t="str">
        <f>IFERROR(__xludf.DUMMYFUNCTION("""COMPUTED_VALUE"""),"ENTRY")</f>
        <v>ENTRY</v>
      </c>
    </row>
    <row r="295" ht="21.75" customHeight="1">
      <c r="A295" s="35">
        <f>IFERROR(__xludf.DUMMYFUNCTION("""COMPUTED_VALUE"""),46146.53683114584)</f>
        <v>46146.53683</v>
      </c>
      <c r="B295" s="36" t="str">
        <f>IFERROR(__xludf.DUMMYFUNCTION("""COMPUTED_VALUE"""),"WINDOW")</f>
        <v>WINDOW</v>
      </c>
      <c r="C295" s="58" t="str">
        <f>IFERROR(__xludf.DUMMYFUNCTION("""COMPUTED_VALUE"""),"ELKWOOD ADDITIONAL")</f>
        <v>ELKWOOD ADDITIONAL</v>
      </c>
      <c r="D295" s="36"/>
      <c r="E295" s="27" t="str">
        <f>IFERROR(__xludf.DUMMYFUNCTION("""COMPUTED_VALUE"""),"6853")</f>
        <v>6853</v>
      </c>
      <c r="F295" s="36">
        <f>IFERROR(__xludf.DUMMYFUNCTION("""COMPUTED_VALUE"""),2.0)</f>
        <v>2</v>
      </c>
      <c r="G295" s="59" t="str">
        <f>IFERROR(__xludf.DUMMYFUNCTION("""COMPUTED_VALUE"""),"UNIT")</f>
        <v>UNIT</v>
      </c>
      <c r="H295" s="59">
        <f>IFERROR(__xludf.DUMMYFUNCTION("""COMPUTED_VALUE"""),46146.0)</f>
        <v>46146</v>
      </c>
      <c r="I295" s="27" t="str">
        <f>IFERROR(__xludf.DUMMYFUNCTION("""COMPUTED_VALUE"""),"A")</f>
        <v>A</v>
      </c>
      <c r="K295" s="30" t="str">
        <f>IFERROR(__xludf.DUMMYFUNCTION("""COMPUTED_VALUE"""),"SLIDING DOOR, 2@95 1/2 X 79 1/2")</f>
        <v>SLIDING DOOR, 2@95 1/2 X 79 1/2</v>
      </c>
      <c r="L295" s="30" t="str">
        <f>IFERROR(__xludf.DUMMYFUNCTION("""COMPUTED_VALUE"""),"IN STOCK")</f>
        <v>IN STOCK</v>
      </c>
      <c r="M295" s="27" t="str">
        <f>IFERROR(__xludf.DUMMYFUNCTION("""COMPUTED_VALUE"""),"JOSE C.")</f>
        <v>JOSE C.</v>
      </c>
      <c r="N295" s="27" t="str">
        <f>IFERROR(__xludf.DUMMYFUNCTION("""COMPUTED_VALUE"""),"ELKWOOD")</f>
        <v>ELKWOOD</v>
      </c>
      <c r="O295" s="27" t="str">
        <f>IFERROR(__xludf.DUMMYFUNCTION("""COMPUTED_VALUE"""),"WINDOW|||ELKWOOD ADDITIONAL")</f>
        <v>WINDOW|||ELKWOOD ADDITIONAL</v>
      </c>
      <c r="P295" s="27"/>
      <c r="Q295" s="27" t="str">
        <f>IFERROR(__xludf.DUMMYFUNCTION("""COMPUTED_VALUE"""),"jose@ox-glass.com")</f>
        <v>jose@ox-glass.com</v>
      </c>
      <c r="R295" s="27" t="str">
        <f>IFERROR(__xludf.DUMMYFUNCTION("""COMPUTED_VALUE"""),"A")</f>
        <v>A</v>
      </c>
      <c r="S295" s="27" t="str">
        <f>IFERROR(__xludf.DUMMYFUNCTION("""COMPUTED_VALUE"""),"ENTRY")</f>
        <v>ENTRY</v>
      </c>
    </row>
    <row r="296" ht="21.75" customHeight="1">
      <c r="A296" s="35">
        <f>IFERROR(__xludf.DUMMYFUNCTION("""COMPUTED_VALUE"""),46143.435663530094)</f>
        <v>46143.43566</v>
      </c>
      <c r="B296" s="36" t="str">
        <f>IFERROR(__xludf.DUMMYFUNCTION("""COMPUTED_VALUE"""),"WINDOW")</f>
        <v>WINDOW</v>
      </c>
      <c r="C296" s="58" t="str">
        <f>IFERROR(__xludf.DUMMYFUNCTION("""COMPUTED_VALUE"""),"HIGHLAND A&amp;R")</f>
        <v>HIGHLAND A&amp;R</v>
      </c>
      <c r="D296" s="36" t="str">
        <f>IFERROR(__xludf.DUMMYFUNCTION("""COMPUTED_VALUE"""),"SWE")</f>
        <v>SWE</v>
      </c>
      <c r="E296" s="27"/>
      <c r="F296" s="36">
        <f>IFERROR(__xludf.DUMMYFUNCTION("""COMPUTED_VALUE"""),21.0)</f>
        <v>21</v>
      </c>
      <c r="G296" s="59" t="str">
        <f>IFERROR(__xludf.DUMMYFUNCTION("""COMPUTED_VALUE"""),"UNIT")</f>
        <v>UNIT</v>
      </c>
      <c r="H296" s="59">
        <f>IFERROR(__xludf.DUMMYFUNCTION("""COMPUTED_VALUE"""),46143.0)</f>
        <v>46143</v>
      </c>
      <c r="I296" s="27" t="str">
        <f>IFERROR(__xludf.DUMMYFUNCTION("""COMPUTED_VALUE"""),"A1A")</f>
        <v>A1A</v>
      </c>
      <c r="K296" s="30" t="str">
        <f>IFERROR(__xludf.DUMMYFUNCTION("""COMPUTED_VALUE"""),"WHITE WINDOWS, DIFFERENT SIZES")</f>
        <v>WHITE WINDOWS, DIFFERENT SIZES</v>
      </c>
      <c r="L296" s="30" t="str">
        <f>IFERROR(__xludf.DUMMYFUNCTION("""COMPUTED_VALUE"""),"IN STOCK")</f>
        <v>IN STOCK</v>
      </c>
      <c r="M296" s="27" t="str">
        <f>IFERROR(__xludf.DUMMYFUNCTION("""COMPUTED_VALUE"""),"JOSE C.")</f>
        <v>JOSE C.</v>
      </c>
      <c r="N296" s="27" t="str">
        <f>IFERROR(__xludf.DUMMYFUNCTION("""COMPUTED_VALUE"""),"HIGHLAND A&amp;R")</f>
        <v>HIGHLAND A&amp;R</v>
      </c>
      <c r="O296" s="27" t="str">
        <f>IFERROR(__xludf.DUMMYFUNCTION("""COMPUTED_VALUE"""),"WINDOW|||HIGHLAND A&amp;R")</f>
        <v>WINDOW|||HIGHLAND A&amp;R</v>
      </c>
      <c r="P296" s="27"/>
      <c r="Q296" s="27" t="str">
        <f>IFERROR(__xludf.DUMMYFUNCTION("""COMPUTED_VALUE"""),"jose@ox-glass.com")</f>
        <v>jose@ox-glass.com</v>
      </c>
      <c r="R296" s="27" t="str">
        <f>IFERROR(__xludf.DUMMYFUNCTION("""COMPUTED_VALUE"""),"A1A")</f>
        <v>A1A</v>
      </c>
      <c r="S296" s="27" t="str">
        <f>IFERROR(__xludf.DUMMYFUNCTION("""COMPUTED_VALUE"""),"ENTRY")</f>
        <v>ENTRY</v>
      </c>
    </row>
    <row r="297" ht="21.75" customHeight="1">
      <c r="A297" s="35">
        <f>IFERROR(__xludf.DUMMYFUNCTION("""COMPUTED_VALUE"""),46143.43022083333)</f>
        <v>46143.43022</v>
      </c>
      <c r="B297" s="36" t="str">
        <f>IFERROR(__xludf.DUMMYFUNCTION("""COMPUTED_VALUE"""),"WINDOW")</f>
        <v>WINDOW</v>
      </c>
      <c r="C297" s="58" t="str">
        <f>IFERROR(__xludf.DUMMYFUNCTION("""COMPUTED_VALUE"""),"STUDIO RESIDENCE CLEARFIELD")</f>
        <v>STUDIO RESIDENCE CLEARFIELD</v>
      </c>
      <c r="D297" s="36"/>
      <c r="E297" s="27"/>
      <c r="F297" s="36">
        <f>IFERROR(__xludf.DUMMYFUNCTION("""COMPUTED_VALUE"""),8.0)</f>
        <v>8</v>
      </c>
      <c r="G297" s="59" t="str">
        <f>IFERROR(__xludf.DUMMYFUNCTION("""COMPUTED_VALUE"""),"UNIT")</f>
        <v>UNIT</v>
      </c>
      <c r="H297" s="59">
        <f>IFERROR(__xludf.DUMMYFUNCTION("""COMPUTED_VALUE"""),46143.0)</f>
        <v>46143</v>
      </c>
      <c r="I297" s="27" t="str">
        <f>IFERROR(__xludf.DUMMYFUNCTION("""COMPUTED_VALUE"""),"A1A")</f>
        <v>A1A</v>
      </c>
      <c r="K297" s="30" t="str">
        <f>IFERROR(__xludf.DUMMYFUNCTION("""COMPUTED_VALUE"""),"WHITE/BLACK WINDOWS")</f>
        <v>WHITE/BLACK WINDOWS</v>
      </c>
      <c r="L297" s="30" t="str">
        <f>IFERROR(__xludf.DUMMYFUNCTION("""COMPUTED_VALUE"""),"IN STOCK")</f>
        <v>IN STOCK</v>
      </c>
      <c r="M297" s="27" t="str">
        <f>IFERROR(__xludf.DUMMYFUNCTION("""COMPUTED_VALUE"""),"JOSE C.")</f>
        <v>JOSE C.</v>
      </c>
      <c r="N297" s="27" t="str">
        <f>IFERROR(__xludf.DUMMYFUNCTION("""COMPUTED_VALUE"""),"STUDIO RESIDENCE CLEARFIELD")</f>
        <v>STUDIO RESIDENCE CLEARFIELD</v>
      </c>
      <c r="O297" s="27" t="str">
        <f>IFERROR(__xludf.DUMMYFUNCTION("""COMPUTED_VALUE"""),"WINDOW|||STUDIO RESIDENCE CLEARFIELD")</f>
        <v>WINDOW|||STUDIO RESIDENCE CLEARFIELD</v>
      </c>
      <c r="P297" s="27"/>
      <c r="Q297" s="27" t="str">
        <f>IFERROR(__xludf.DUMMYFUNCTION("""COMPUTED_VALUE"""),"jose@ox-glass.com")</f>
        <v>jose@ox-glass.com</v>
      </c>
      <c r="R297" s="27" t="str">
        <f>IFERROR(__xludf.DUMMYFUNCTION("""COMPUTED_VALUE"""),"A1A")</f>
        <v>A1A</v>
      </c>
      <c r="S297" s="27" t="str">
        <f>IFERROR(__xludf.DUMMYFUNCTION("""COMPUTED_VALUE"""),"ENTRY")</f>
        <v>ENTRY</v>
      </c>
    </row>
    <row r="298">
      <c r="A298" s="35">
        <f>IFERROR(__xludf.DUMMYFUNCTION("""COMPUTED_VALUE"""),46143.41283673611)</f>
        <v>46143.41284</v>
      </c>
      <c r="B298" s="36" t="str">
        <f>IFERROR(__xludf.DUMMYFUNCTION("""COMPUTED_VALUE"""),"WINDOW")</f>
        <v>WINDOW</v>
      </c>
      <c r="C298" s="58" t="str">
        <f>IFERROR(__xludf.DUMMYFUNCTION("""COMPUTED_VALUE"""),"SPRING CANYON 2")</f>
        <v>SPRING CANYON 2</v>
      </c>
      <c r="D298" s="36" t="str">
        <f>IFERROR(__xludf.DUMMYFUNCTION("""COMPUTED_VALUE"""),"SWE")</f>
        <v>SWE</v>
      </c>
      <c r="E298" s="27"/>
      <c r="F298" s="36">
        <f>IFERROR(__xludf.DUMMYFUNCTION("""COMPUTED_VALUE"""),35.0)</f>
        <v>35</v>
      </c>
      <c r="G298" s="59" t="str">
        <f>IFERROR(__xludf.DUMMYFUNCTION("""COMPUTED_VALUE"""),"UNIT")</f>
        <v>UNIT</v>
      </c>
      <c r="H298" s="59">
        <f>IFERROR(__xludf.DUMMYFUNCTION("""COMPUTED_VALUE"""),46143.0)</f>
        <v>46143</v>
      </c>
      <c r="I298" s="27" t="str">
        <f>IFERROR(__xludf.DUMMYFUNCTION("""COMPUTED_VALUE"""),"A2A")</f>
        <v>A2A</v>
      </c>
      <c r="K298" s="30" t="str">
        <f>IFERROR(__xludf.DUMMYFUNCTION("""COMPUTED_VALUE"""),"WHITE WINDOWS, DIFFERENT SIZES")</f>
        <v>WHITE WINDOWS, DIFFERENT SIZES</v>
      </c>
      <c r="L298" s="30" t="str">
        <f>IFERROR(__xludf.DUMMYFUNCTION("""COMPUTED_VALUE"""),"IN STOCK")</f>
        <v>IN STOCK</v>
      </c>
      <c r="M298" s="27" t="str">
        <f>IFERROR(__xludf.DUMMYFUNCTION("""COMPUTED_VALUE"""),"JOSE C.")</f>
        <v>JOSE C.</v>
      </c>
      <c r="N298" s="27" t="str">
        <f>IFERROR(__xludf.DUMMYFUNCTION("""COMPUTED_VALUE"""),"SPRING CANYON 2")</f>
        <v>SPRING CANYON 2</v>
      </c>
      <c r="O298" s="27" t="str">
        <f>IFERROR(__xludf.DUMMYFUNCTION("""COMPUTED_VALUE"""),"WINDOW|||SPRING CANYON 2")</f>
        <v>WINDOW|||SPRING CANYON 2</v>
      </c>
      <c r="P298" s="27"/>
      <c r="Q298" s="27" t="str">
        <f>IFERROR(__xludf.DUMMYFUNCTION("""COMPUTED_VALUE"""),"jose@ox-glass.com")</f>
        <v>jose@ox-glass.com</v>
      </c>
      <c r="R298" s="27" t="str">
        <f>IFERROR(__xludf.DUMMYFUNCTION("""COMPUTED_VALUE"""),"A2A")</f>
        <v>A2A</v>
      </c>
      <c r="S298" s="27" t="str">
        <f>IFERROR(__xludf.DUMMYFUNCTION("""COMPUTED_VALUE"""),"ENTRY")</f>
        <v>ENTRY</v>
      </c>
    </row>
    <row r="299">
      <c r="A299" s="35">
        <f>IFERROR(__xludf.DUMMYFUNCTION("""COMPUTED_VALUE"""),46143.40127311343)</f>
        <v>46143.40127</v>
      </c>
      <c r="B299" s="36" t="str">
        <f>IFERROR(__xludf.DUMMYFUNCTION("""COMPUTED_VALUE"""),"WINDOW")</f>
        <v>WINDOW</v>
      </c>
      <c r="C299" s="58" t="str">
        <f>IFERROR(__xludf.DUMMYFUNCTION("""COMPUTED_VALUE"""),"JACKLING WAY")</f>
        <v>JACKLING WAY</v>
      </c>
      <c r="D299" s="36" t="str">
        <f>IFERROR(__xludf.DUMMYFUNCTION("""COMPUTED_VALUE"""),"FOX")</f>
        <v>FOX</v>
      </c>
      <c r="E299" s="27"/>
      <c r="F299" s="36">
        <f>IFERROR(__xludf.DUMMYFUNCTION("""COMPUTED_VALUE"""),16.0)</f>
        <v>16</v>
      </c>
      <c r="G299" s="59" t="str">
        <f>IFERROR(__xludf.DUMMYFUNCTION("""COMPUTED_VALUE"""),"UNIT")</f>
        <v>UNIT</v>
      </c>
      <c r="H299" s="59">
        <f>IFERROR(__xludf.DUMMYFUNCTION("""COMPUTED_VALUE"""),46143.0)</f>
        <v>46143</v>
      </c>
      <c r="I299" s="27" t="str">
        <f>IFERROR(__xludf.DUMMYFUNCTION("""COMPUTED_VALUE"""),"B - C")</f>
        <v>B - C</v>
      </c>
      <c r="K299" s="30" t="str">
        <f>IFERROR(__xludf.DUMMYFUNCTION("""COMPUTED_VALUE"""),"WHITE WINDOWS")</f>
        <v>WHITE WINDOWS</v>
      </c>
      <c r="L299" s="30" t="str">
        <f>IFERROR(__xludf.DUMMYFUNCTION("""COMPUTED_VALUE"""),"IN STOCK")</f>
        <v>IN STOCK</v>
      </c>
      <c r="M299" s="27" t="str">
        <f>IFERROR(__xludf.DUMMYFUNCTION("""COMPUTED_VALUE"""),"JOSE C.")</f>
        <v>JOSE C.</v>
      </c>
      <c r="N299" s="27" t="str">
        <f>IFERROR(__xludf.DUMMYFUNCTION("""COMPUTED_VALUE"""),"JACKLING WAY")</f>
        <v>JACKLING WAY</v>
      </c>
      <c r="O299" s="27" t="str">
        <f>IFERROR(__xludf.DUMMYFUNCTION("""COMPUTED_VALUE"""),"WINDOW|||JACKLING WAY")</f>
        <v>WINDOW|||JACKLING WAY</v>
      </c>
      <c r="P299" s="27"/>
      <c r="Q299" s="27" t="str">
        <f>IFERROR(__xludf.DUMMYFUNCTION("""COMPUTED_VALUE"""),"jose@ox-glass.com")</f>
        <v>jose@ox-glass.com</v>
      </c>
      <c r="R299" s="27" t="str">
        <f>IFERROR(__xludf.DUMMYFUNCTION("""COMPUTED_VALUE"""),"B - C")</f>
        <v>B - C</v>
      </c>
      <c r="S299" s="27" t="str">
        <f>IFERROR(__xludf.DUMMYFUNCTION("""COMPUTED_VALUE"""),"ENTRY")</f>
        <v>ENTRY</v>
      </c>
    </row>
    <row r="300">
      <c r="A300" s="35">
        <f>IFERROR(__xludf.DUMMYFUNCTION("""COMPUTED_VALUE"""),46142.52729443287)</f>
        <v>46142.52729</v>
      </c>
      <c r="B300" s="36" t="str">
        <f>IFERROR(__xludf.DUMMYFUNCTION("""COMPUTED_VALUE"""),"WINDOW")</f>
        <v>WINDOW</v>
      </c>
      <c r="C300" s="58" t="str">
        <f>IFERROR(__xludf.DUMMYFUNCTION("""COMPUTED_VALUE"""),"JEFF WATSON")</f>
        <v>JEFF WATSON</v>
      </c>
      <c r="D300" s="36"/>
      <c r="E300" s="27" t="str">
        <f>IFERROR(__xludf.DUMMYFUNCTION("""COMPUTED_VALUE"""),"6884")</f>
        <v>6884</v>
      </c>
      <c r="F300" s="36">
        <f>IFERROR(__xludf.DUMMYFUNCTION("""COMPUTED_VALUE"""),11.0)</f>
        <v>11</v>
      </c>
      <c r="G300" s="59" t="str">
        <f>IFERROR(__xludf.DUMMYFUNCTION("""COMPUTED_VALUE"""),"UNIT")</f>
        <v>UNIT</v>
      </c>
      <c r="H300" s="59">
        <f>IFERROR(__xludf.DUMMYFUNCTION("""COMPUTED_VALUE"""),46142.0)</f>
        <v>46142</v>
      </c>
      <c r="I300" s="27" t="str">
        <f>IFERROR(__xludf.DUMMYFUNCTION("""COMPUTED_VALUE"""),"B2A")</f>
        <v>B2A</v>
      </c>
      <c r="K300" s="30" t="str">
        <f>IFERROR(__xludf.DUMMYFUNCTION("""COMPUTED_VALUE"""),"WHITE WINDOWS, DIFFERENT SIZES")</f>
        <v>WHITE WINDOWS, DIFFERENT SIZES</v>
      </c>
      <c r="L300" s="30" t="str">
        <f>IFERROR(__xludf.DUMMYFUNCTION("""COMPUTED_VALUE"""),"IN STOCK")</f>
        <v>IN STOCK</v>
      </c>
      <c r="M300" s="27" t="str">
        <f>IFERROR(__xludf.DUMMYFUNCTION("""COMPUTED_VALUE"""),"TERRY T.")</f>
        <v>TERRY T.</v>
      </c>
      <c r="N300" s="27" t="str">
        <f>IFERROR(__xludf.DUMMYFUNCTION("""COMPUTED_VALUE"""),"JEFF WATSON")</f>
        <v>JEFF WATSON</v>
      </c>
      <c r="O300" s="27" t="str">
        <f>IFERROR(__xludf.DUMMYFUNCTION("""COMPUTED_VALUE"""),"WINDOW|||JEFF WATSON")</f>
        <v>WINDOW|||JEFF WATSON</v>
      </c>
      <c r="P300" s="27"/>
      <c r="Q300" s="27" t="str">
        <f>IFERROR(__xludf.DUMMYFUNCTION("""COMPUTED_VALUE"""),"jose@ox-glass.com")</f>
        <v>jose@ox-glass.com</v>
      </c>
      <c r="R300" s="27"/>
      <c r="S300" s="27" t="str">
        <f>IFERROR(__xludf.DUMMYFUNCTION("""COMPUTED_VALUE"""),"ENTRY")</f>
        <v>ENTRY</v>
      </c>
    </row>
    <row r="301">
      <c r="A301" s="35">
        <f>IFERROR(__xludf.DUMMYFUNCTION("""COMPUTED_VALUE"""),46139.60858609953)</f>
        <v>46139.60859</v>
      </c>
      <c r="B301" s="36" t="str">
        <f>IFERROR(__xludf.DUMMYFUNCTION("""COMPUTED_VALUE"""),"WINDOW")</f>
        <v>WINDOW</v>
      </c>
      <c r="C301" s="58" t="str">
        <f>IFERROR(__xludf.DUMMYFUNCTION("""COMPUTED_VALUE"""),"ANDREW AAGARD")</f>
        <v>ANDREW AAGARD</v>
      </c>
      <c r="D301" s="36"/>
      <c r="E301" s="27"/>
      <c r="F301" s="36">
        <f>IFERROR(__xludf.DUMMYFUNCTION("""COMPUTED_VALUE"""),-1.0)</f>
        <v>-1</v>
      </c>
      <c r="G301" s="59" t="str">
        <f>IFERROR(__xludf.DUMMYFUNCTION("""COMPUTED_VALUE"""),"UNIT")</f>
        <v>UNIT</v>
      </c>
      <c r="H301" s="59">
        <f>IFERROR(__xludf.DUMMYFUNCTION("""COMPUTED_VALUE"""),46139.0)</f>
        <v>46139</v>
      </c>
      <c r="I301" s="27" t="str">
        <f>IFERROR(__xludf.DUMMYFUNCTION("""COMPUTED_VALUE"""),"B6A")</f>
        <v>B6A</v>
      </c>
      <c r="K301" s="30"/>
      <c r="L301" s="30" t="str">
        <f>IFERROR(__xludf.DUMMYFUNCTION("""COMPUTED_VALUE"""),"DISPATCHED")</f>
        <v>DISPATCHED</v>
      </c>
      <c r="M301" s="27" t="str">
        <f>IFERROR(__xludf.DUMMYFUNCTION("""COMPUTED_VALUE"""),"ADAM A.")</f>
        <v>ADAM A.</v>
      </c>
      <c r="N301" s="27" t="str">
        <f>IFERROR(__xludf.DUMMYFUNCTION("""COMPUTED_VALUE"""),"ANDREW AAGARD")</f>
        <v>ANDREW AAGARD</v>
      </c>
      <c r="O301" s="27" t="str">
        <f>IFERROR(__xludf.DUMMYFUNCTION("""COMPUTED_VALUE"""),"WINDOW|||ANDREW AAGARD")</f>
        <v>WINDOW|||ANDREW AAGARD</v>
      </c>
      <c r="P301" s="27"/>
      <c r="Q301" s="27" t="str">
        <f>IFERROR(__xludf.DUMMYFUNCTION("""COMPUTED_VALUE"""),"jose@ox-glass.com")</f>
        <v>jose@ox-glass.com</v>
      </c>
      <c r="R301" s="27" t="str">
        <f>IFERROR(__xludf.DUMMYFUNCTION("""COMPUTED_VALUE"""),"ANDREW AAGARD")</f>
        <v>ANDREW AAGARD</v>
      </c>
      <c r="S301" s="27" t="str">
        <f>IFERROR(__xludf.DUMMYFUNCTION("""COMPUTED_VALUE"""),"EXIT")</f>
        <v>EXIT</v>
      </c>
    </row>
    <row r="302">
      <c r="A302" s="35">
        <f>IFERROR(__xludf.DUMMYFUNCTION("""COMPUTED_VALUE"""),46136.401448229175)</f>
        <v>46136.40145</v>
      </c>
      <c r="B302" s="36" t="str">
        <f>IFERROR(__xludf.DUMMYFUNCTION("""COMPUTED_VALUE"""),"WINDOW")</f>
        <v>WINDOW</v>
      </c>
      <c r="C302" s="58" t="str">
        <f>IFERROR(__xludf.DUMMYFUNCTION("""COMPUTED_VALUE"""),"KENT KAY")</f>
        <v>KENT KAY</v>
      </c>
      <c r="D302" s="36" t="str">
        <f>IFERROR(__xludf.DUMMYFUNCTION("""COMPUTED_VALUE"""),"DEL")</f>
        <v>DEL</v>
      </c>
      <c r="E302" s="27" t="str">
        <f>IFERROR(__xludf.DUMMYFUNCTION("""COMPUTED_VALUE"""),"MISC")</f>
        <v>MISC</v>
      </c>
      <c r="F302" s="36">
        <f>IFERROR(__xludf.DUMMYFUNCTION("""COMPUTED_VALUE"""),13.0)</f>
        <v>13</v>
      </c>
      <c r="G302" s="59" t="str">
        <f>IFERROR(__xludf.DUMMYFUNCTION("""COMPUTED_VALUE"""),"UNIT")</f>
        <v>UNIT</v>
      </c>
      <c r="H302" s="59">
        <f>IFERROR(__xludf.DUMMYFUNCTION("""COMPUTED_VALUE"""),46136.0)</f>
        <v>46136</v>
      </c>
      <c r="I302" s="27" t="str">
        <f>IFERROR(__xludf.DUMMYFUNCTION("""COMPUTED_VALUE"""),"B2A")</f>
        <v>B2A</v>
      </c>
      <c r="K302" s="30" t="str">
        <f>IFERROR(__xludf.DUMMYFUNCTION("""COMPUTED_VALUE"""),"TAUPE COLOR WINDOWS, 1@71 1/2 x 47 1/2,
1@59 1/2 x 71 1/2,
5@47 1/2 x 71 1/2,
1@59 1/2 x 59 1/2,
2@35 1/2 x 35 1/2,
1@47 1/2 x 47 1/2,
2@35 1/2 x 71 1/2")</f>
        <v>TAUPE COLOR WINDOWS, 1@71 1/2 x 47 1/2,
1@59 1/2 x 71 1/2,
5@47 1/2 x 71 1/2,
1@59 1/2 x 59 1/2,
2@35 1/2 x 35 1/2,
1@47 1/2 x 47 1/2,
2@35 1/2 x 71 1/2</v>
      </c>
      <c r="L302" s="30" t="str">
        <f>IFERROR(__xludf.DUMMYFUNCTION("""COMPUTED_VALUE"""),"IN STOCK")</f>
        <v>IN STOCK</v>
      </c>
      <c r="M302" s="27" t="str">
        <f>IFERROR(__xludf.DUMMYFUNCTION("""COMPUTED_VALUE"""),"JOSE C.")</f>
        <v>JOSE C.</v>
      </c>
      <c r="N302" s="27" t="str">
        <f>IFERROR(__xludf.DUMMYFUNCTION("""COMPUTED_VALUE"""),"KENT KAY ")</f>
        <v>KENT KAY </v>
      </c>
      <c r="O302" s="27" t="str">
        <f>IFERROR(__xludf.DUMMYFUNCTION("""COMPUTED_VALUE"""),"WINDOW|||KENT KAY")</f>
        <v>WINDOW|||KENT KAY</v>
      </c>
      <c r="P302" s="27"/>
      <c r="Q302" s="27" t="str">
        <f>IFERROR(__xludf.DUMMYFUNCTION("""COMPUTED_VALUE"""),"jose@ox-glass.com")</f>
        <v>jose@ox-glass.com</v>
      </c>
      <c r="R302" s="27" t="str">
        <f>IFERROR(__xludf.DUMMYFUNCTION("""COMPUTED_VALUE"""),"B2A")</f>
        <v>B2A</v>
      </c>
      <c r="S302" s="27"/>
    </row>
    <row r="303">
      <c r="A303" s="35">
        <f>IFERROR(__xludf.DUMMYFUNCTION("""COMPUTED_VALUE"""),46136.33145378472)</f>
        <v>46136.33145</v>
      </c>
      <c r="B303" s="36" t="str">
        <f>IFERROR(__xludf.DUMMYFUNCTION("""COMPUTED_VALUE"""),"WINDOW")</f>
        <v>WINDOW</v>
      </c>
      <c r="C303" s="58" t="str">
        <f>IFERROR(__xludf.DUMMYFUNCTION("""COMPUTED_VALUE"""),"ANDREW AAGARD")</f>
        <v>ANDREW AAGARD</v>
      </c>
      <c r="D303" s="36"/>
      <c r="E303" s="27"/>
      <c r="F303" s="36">
        <f>IFERROR(__xludf.DUMMYFUNCTION("""COMPUTED_VALUE"""),1.0)</f>
        <v>1</v>
      </c>
      <c r="G303" s="59" t="str">
        <f>IFERROR(__xludf.DUMMYFUNCTION("""COMPUTED_VALUE"""),"UNIT")</f>
        <v>UNIT</v>
      </c>
      <c r="H303" s="59">
        <f>IFERROR(__xludf.DUMMYFUNCTION("""COMPUTED_VALUE"""),46133.0)</f>
        <v>46133</v>
      </c>
      <c r="I303" s="27" t="str">
        <f>IFERROR(__xludf.DUMMYFUNCTION("""COMPUTED_VALUE"""),"B6A")</f>
        <v>B6A</v>
      </c>
      <c r="K303" s="30" t="str">
        <f>IFERROR(__xludf.DUMMYFUNCTION("""COMPUTED_VALUE"""),"WHITE WINDOW, 47 1/2 X 47 1/2")</f>
        <v>WHITE WINDOW, 47 1/2 X 47 1/2</v>
      </c>
      <c r="L303" s="30" t="str">
        <f>IFERROR(__xludf.DUMMYFUNCTION("""COMPUTED_VALUE"""),"IN STOCK")</f>
        <v>IN STOCK</v>
      </c>
      <c r="M303" s="27"/>
      <c r="N303" s="27" t="str">
        <f>IFERROR(__xludf.DUMMYFUNCTION("""COMPUTED_VALUE"""),"ANDREW AAGARD")</f>
        <v>ANDREW AAGARD</v>
      </c>
      <c r="O303" s="27" t="str">
        <f>IFERROR(__xludf.DUMMYFUNCTION("""COMPUTED_VALUE"""),"WINDOW|||ANDREW AAGARD")</f>
        <v>WINDOW|||ANDREW AAGARD</v>
      </c>
      <c r="P303" s="27"/>
      <c r="Q303" s="27" t="str">
        <f>IFERROR(__xludf.DUMMYFUNCTION("""COMPUTED_VALUE"""),"jose@ox-glass.com")</f>
        <v>jose@ox-glass.com</v>
      </c>
      <c r="R303" s="27" t="str">
        <f>IFERROR(__xludf.DUMMYFUNCTION("""COMPUTED_VALUE"""),"B6A")</f>
        <v>B6A</v>
      </c>
      <c r="S303" s="27"/>
    </row>
    <row r="304">
      <c r="A304" s="35">
        <f>IFERROR(__xludf.DUMMYFUNCTION("""COMPUTED_VALUE"""),46135.54830907408)</f>
        <v>46135.54831</v>
      </c>
      <c r="B304" s="36" t="str">
        <f>IFERROR(__xludf.DUMMYFUNCTION("""COMPUTED_VALUE"""),"WINDOW")</f>
        <v>WINDOW</v>
      </c>
      <c r="C304" s="58" t="str">
        <f>IFERROR(__xludf.DUMMYFUNCTION("""COMPUTED_VALUE"""),"DRIVE BY")</f>
        <v>DRIVE BY</v>
      </c>
      <c r="D304" s="36"/>
      <c r="E304" s="27"/>
      <c r="F304" s="36">
        <f>IFERROR(__xludf.DUMMYFUNCTION("""COMPUTED_VALUE"""),1.0)</f>
        <v>1</v>
      </c>
      <c r="G304" s="59" t="str">
        <f>IFERROR(__xludf.DUMMYFUNCTION("""COMPUTED_VALUE"""),"UNIT")</f>
        <v>UNIT</v>
      </c>
      <c r="H304" s="59">
        <f>IFERROR(__xludf.DUMMYFUNCTION("""COMPUTED_VALUE"""),46091.0)</f>
        <v>46091</v>
      </c>
      <c r="I304" s="27" t="str">
        <f>IFERROR(__xludf.DUMMYFUNCTION("""COMPUTED_VALUE"""),"B6A")</f>
        <v>B6A</v>
      </c>
      <c r="K304" s="30" t="str">
        <f>IFERROR(__xludf.DUMMYFUNCTION("""COMPUTED_VALUE"""),"WHITE WINDOW, 48 X 42")</f>
        <v>WHITE WINDOW, 48 X 42</v>
      </c>
      <c r="L304" s="30" t="str">
        <f>IFERROR(__xludf.DUMMYFUNCTION("""COMPUTED_VALUE"""),"IN STOCK")</f>
        <v>IN STOCK</v>
      </c>
      <c r="M304" s="27"/>
      <c r="N304" s="27" t="str">
        <f>IFERROR(__xludf.DUMMYFUNCTION("""COMPUTED_VALUE"""),"DRIVE BY")</f>
        <v>DRIVE BY</v>
      </c>
      <c r="O304" s="27" t="str">
        <f>IFERROR(__xludf.DUMMYFUNCTION("""COMPUTED_VALUE"""),"WINDOW|||DRIVE BY")</f>
        <v>WINDOW|||DRIVE BY</v>
      </c>
      <c r="P304" s="27"/>
      <c r="Q304" s="27" t="str">
        <f>IFERROR(__xludf.DUMMYFUNCTION("""COMPUTED_VALUE"""),"jose@ox-glass.com")</f>
        <v>jose@ox-glass.com</v>
      </c>
      <c r="R304" s="27" t="str">
        <f>IFERROR(__xludf.DUMMYFUNCTION("""COMPUTED_VALUE"""),"B6A")</f>
        <v>B6A</v>
      </c>
      <c r="S304" s="27" t="str">
        <f>IFERROR(__xludf.DUMMYFUNCTION("""COMPUTED_VALUE"""),"ENTRY")</f>
        <v>ENTRY</v>
      </c>
    </row>
    <row r="305">
      <c r="A305" s="35">
        <f>IFERROR(__xludf.DUMMYFUNCTION("""COMPUTED_VALUE"""),46134.51650329861)</f>
        <v>46134.5165</v>
      </c>
      <c r="B305" s="36" t="str">
        <f>IFERROR(__xludf.DUMMYFUNCTION("""COMPUTED_VALUE"""),"WINDOW")</f>
        <v>WINDOW</v>
      </c>
      <c r="C305" s="58" t="str">
        <f>IFERROR(__xludf.DUMMYFUNCTION("""COMPUTED_VALUE"""),"LANE ALLRED HOME")</f>
        <v>LANE ALLRED HOME</v>
      </c>
      <c r="D305" s="36"/>
      <c r="E305" s="27"/>
      <c r="F305" s="36">
        <f>IFERROR(__xludf.DUMMYFUNCTION("""COMPUTED_VALUE"""),-38.0)</f>
        <v>-38</v>
      </c>
      <c r="G305" s="59" t="str">
        <f>IFERROR(__xludf.DUMMYFUNCTION("""COMPUTED_VALUE"""),"UNIT")</f>
        <v>UNIT</v>
      </c>
      <c r="H305" s="59">
        <f>IFERROR(__xludf.DUMMYFUNCTION("""COMPUTED_VALUE"""),46133.0)</f>
        <v>46133</v>
      </c>
      <c r="I305" s="27" t="str">
        <f>IFERROR(__xludf.DUMMYFUNCTION("""COMPUTED_VALUE"""),"A6A ")</f>
        <v>A6A </v>
      </c>
      <c r="K305" s="30"/>
      <c r="L305" s="30" t="str">
        <f>IFERROR(__xludf.DUMMYFUNCTION("""COMPUTED_VALUE"""),"DISPATCHED")</f>
        <v>DISPATCHED</v>
      </c>
      <c r="M305" s="27" t="str">
        <f>IFERROR(__xludf.DUMMYFUNCTION("""COMPUTED_VALUE"""),"JOSE AND SPENCER")</f>
        <v>JOSE AND SPENCER</v>
      </c>
      <c r="N305" s="27" t="str">
        <f>IFERROR(__xludf.DUMMYFUNCTION("""COMPUTED_VALUE"""),"LANE ALLRED HOME")</f>
        <v>LANE ALLRED HOME</v>
      </c>
      <c r="O305" s="27" t="str">
        <f>IFERROR(__xludf.DUMMYFUNCTION("""COMPUTED_VALUE"""),"WINDOW|||LANE ALLRED HOME")</f>
        <v>WINDOW|||LANE ALLRED HOME</v>
      </c>
      <c r="P305" s="27"/>
      <c r="Q305" s="27" t="str">
        <f>IFERROR(__xludf.DUMMYFUNCTION("""COMPUTED_VALUE"""),"jose@ox-glass.com")</f>
        <v>jose@ox-glass.com</v>
      </c>
      <c r="R305" s="27" t="str">
        <f>IFERROR(__xludf.DUMMYFUNCTION("""COMPUTED_VALUE"""),"LANE ALLRED HOME")</f>
        <v>LANE ALLRED HOME</v>
      </c>
      <c r="S305" s="27" t="str">
        <f>IFERROR(__xludf.DUMMYFUNCTION("""COMPUTED_VALUE"""),"EXIT")</f>
        <v>EXIT</v>
      </c>
    </row>
    <row r="306">
      <c r="A306" s="35">
        <f>IFERROR(__xludf.DUMMYFUNCTION("""COMPUTED_VALUE"""),46134.5160549537)</f>
        <v>46134.51605</v>
      </c>
      <c r="B306" s="36" t="str">
        <f>IFERROR(__xludf.DUMMYFUNCTION("""COMPUTED_VALUE"""),"WINDOW")</f>
        <v>WINDOW</v>
      </c>
      <c r="C306" s="58" t="str">
        <f>IFERROR(__xludf.DUMMYFUNCTION("""COMPUTED_VALUE"""),"BYRON ALLRED")</f>
        <v>BYRON ALLRED</v>
      </c>
      <c r="D306" s="36" t="str">
        <f>IFERROR(__xludf.DUMMYFUNCTION("""COMPUTED_VALUE"""),"DEL")</f>
        <v>DEL</v>
      </c>
      <c r="E306" s="27"/>
      <c r="F306" s="36">
        <f>IFERROR(__xludf.DUMMYFUNCTION("""COMPUTED_VALUE"""),-21.0)</f>
        <v>-21</v>
      </c>
      <c r="G306" s="59" t="str">
        <f>IFERROR(__xludf.DUMMYFUNCTION("""COMPUTED_VALUE"""),"UNIT")</f>
        <v>UNIT</v>
      </c>
      <c r="H306" s="59">
        <f>IFERROR(__xludf.DUMMYFUNCTION("""COMPUTED_VALUE"""),46133.0)</f>
        <v>46133</v>
      </c>
      <c r="I306" s="27" t="str">
        <f>IFERROR(__xludf.DUMMYFUNCTION("""COMPUTED_VALUE"""),"A")</f>
        <v>A</v>
      </c>
      <c r="K306" s="30"/>
      <c r="L306" s="30" t="str">
        <f>IFERROR(__xludf.DUMMYFUNCTION("""COMPUTED_VALUE"""),"DISPATCHED")</f>
        <v>DISPATCHED</v>
      </c>
      <c r="M306" s="27" t="str">
        <f>IFERROR(__xludf.DUMMYFUNCTION("""COMPUTED_VALUE"""),"JOSE AND SPENCER")</f>
        <v>JOSE AND SPENCER</v>
      </c>
      <c r="N306" s="27" t="str">
        <f>IFERROR(__xludf.DUMMYFUNCTION("""COMPUTED_VALUE"""),"BYRON ALLRED")</f>
        <v>BYRON ALLRED</v>
      </c>
      <c r="O306" s="27" t="str">
        <f>IFERROR(__xludf.DUMMYFUNCTION("""COMPUTED_VALUE"""),"WINDOW|||BYRON ALLRED")</f>
        <v>WINDOW|||BYRON ALLRED</v>
      </c>
      <c r="P306" s="27"/>
      <c r="Q306" s="27" t="str">
        <f>IFERROR(__xludf.DUMMYFUNCTION("""COMPUTED_VALUE"""),"jose@ox-glass.com")</f>
        <v>jose@ox-glass.com</v>
      </c>
      <c r="R306" s="27" t="str">
        <f>IFERROR(__xludf.DUMMYFUNCTION("""COMPUTED_VALUE"""),"BYRON ALLRED")</f>
        <v>BYRON ALLRED</v>
      </c>
      <c r="S306" s="27" t="str">
        <f>IFERROR(__xludf.DUMMYFUNCTION("""COMPUTED_VALUE"""),"EXIT")</f>
        <v>EXIT</v>
      </c>
    </row>
    <row r="307">
      <c r="A307" s="35">
        <f>IFERROR(__xludf.DUMMYFUNCTION("""COMPUTED_VALUE"""),46134.515634282405)</f>
        <v>46134.51563</v>
      </c>
      <c r="B307" s="36" t="str">
        <f>IFERROR(__xludf.DUMMYFUNCTION("""COMPUTED_VALUE"""),"WINDOW")</f>
        <v>WINDOW</v>
      </c>
      <c r="C307" s="58" t="str">
        <f>IFERROR(__xludf.DUMMYFUNCTION("""COMPUTED_VALUE"""),"SAL BUSHMAN FARMS 2")</f>
        <v>SAL BUSHMAN FARMS 2</v>
      </c>
      <c r="D307" s="36"/>
      <c r="E307" s="27"/>
      <c r="F307" s="36">
        <f>IFERROR(__xludf.DUMMYFUNCTION("""COMPUTED_VALUE"""),-23.0)</f>
        <v>-23</v>
      </c>
      <c r="G307" s="59" t="str">
        <f>IFERROR(__xludf.DUMMYFUNCTION("""COMPUTED_VALUE"""),"UNIT")</f>
        <v>UNIT</v>
      </c>
      <c r="H307" s="59">
        <f>IFERROR(__xludf.DUMMYFUNCTION("""COMPUTED_VALUE"""),46134.0)</f>
        <v>46134</v>
      </c>
      <c r="I307" s="27" t="str">
        <f>IFERROR(__xludf.DUMMYFUNCTION("""COMPUTED_VALUE"""),"A1A")</f>
        <v>A1A</v>
      </c>
      <c r="K307" s="30"/>
      <c r="L307" s="30" t="str">
        <f>IFERROR(__xludf.DUMMYFUNCTION("""COMPUTED_VALUE"""),"DISPATCHED")</f>
        <v>DISPATCHED</v>
      </c>
      <c r="M307" s="27" t="str">
        <f>IFERROR(__xludf.DUMMYFUNCTION("""COMPUTED_VALUE"""),"ELIJAH AND SPENCER")</f>
        <v>ELIJAH AND SPENCER</v>
      </c>
      <c r="N307" s="27" t="str">
        <f>IFERROR(__xludf.DUMMYFUNCTION("""COMPUTED_VALUE"""),"SAL BUSHMAN FARMS 2")</f>
        <v>SAL BUSHMAN FARMS 2</v>
      </c>
      <c r="O307" s="27" t="str">
        <f>IFERROR(__xludf.DUMMYFUNCTION("""COMPUTED_VALUE"""),"WINDOW|||SAL BUSHMAN FARMS 2")</f>
        <v>WINDOW|||SAL BUSHMAN FARMS 2</v>
      </c>
      <c r="P307" s="27"/>
      <c r="Q307" s="27" t="str">
        <f>IFERROR(__xludf.DUMMYFUNCTION("""COMPUTED_VALUE"""),"jose@ox-glass.com")</f>
        <v>jose@ox-glass.com</v>
      </c>
      <c r="R307" s="27" t="str">
        <f>IFERROR(__xludf.DUMMYFUNCTION("""COMPUTED_VALUE"""),"SAL BUSHMAN FARMS 2")</f>
        <v>SAL BUSHMAN FARMS 2</v>
      </c>
      <c r="S307" s="27" t="str">
        <f>IFERROR(__xludf.DUMMYFUNCTION("""COMPUTED_VALUE"""),"EXIT")</f>
        <v>EXIT</v>
      </c>
    </row>
    <row r="308">
      <c r="A308" s="35">
        <f>IFERROR(__xludf.DUMMYFUNCTION("""COMPUTED_VALUE"""),46133.36086635417)</f>
        <v>46133.36087</v>
      </c>
      <c r="B308" s="36" t="str">
        <f>IFERROR(__xludf.DUMMYFUNCTION("""COMPUTED_VALUE"""),"WINDOW")</f>
        <v>WINDOW</v>
      </c>
      <c r="C308" s="58" t="str">
        <f>IFERROR(__xludf.DUMMYFUNCTION("""COMPUTED_VALUE"""),"LANE ALLRED HOME")</f>
        <v>LANE ALLRED HOME</v>
      </c>
      <c r="D308" s="36"/>
      <c r="E308" s="27"/>
      <c r="F308" s="36">
        <f>IFERROR(__xludf.DUMMYFUNCTION("""COMPUTED_VALUE"""),38.0)</f>
        <v>38</v>
      </c>
      <c r="G308" s="59" t="str">
        <f>IFERROR(__xludf.DUMMYFUNCTION("""COMPUTED_VALUE"""),"UNIT")</f>
        <v>UNIT</v>
      </c>
      <c r="H308" s="59">
        <f>IFERROR(__xludf.DUMMYFUNCTION("""COMPUTED_VALUE"""),46091.0)</f>
        <v>46091</v>
      </c>
      <c r="I308" s="27" t="str">
        <f>IFERROR(__xludf.DUMMYFUNCTION("""COMPUTED_VALUE"""),"A6A")</f>
        <v>A6A</v>
      </c>
      <c r="K308" s="30" t="str">
        <f>IFERROR(__xludf.DUMMYFUNCTION("""COMPUTED_VALUE"""),"WHITE WINDOWS, DIFFERENT SIZES")</f>
        <v>WHITE WINDOWS, DIFFERENT SIZES</v>
      </c>
      <c r="L308" s="30" t="str">
        <f>IFERROR(__xludf.DUMMYFUNCTION("""COMPUTED_VALUE"""),"IN STOCK")</f>
        <v>IN STOCK</v>
      </c>
      <c r="M308" s="27" t="str">
        <f>IFERROR(__xludf.DUMMYFUNCTION("""COMPUTED_VALUE"""),"JOSE C.")</f>
        <v>JOSE C.</v>
      </c>
      <c r="N308" s="27" t="str">
        <f>IFERROR(__xludf.DUMMYFUNCTION("""COMPUTED_VALUE"""),"LANE ALLRED HOME")</f>
        <v>LANE ALLRED HOME</v>
      </c>
      <c r="O308" s="27" t="str">
        <f>IFERROR(__xludf.DUMMYFUNCTION("""COMPUTED_VALUE"""),"WINDOW|||LANE ALLRED HOME")</f>
        <v>WINDOW|||LANE ALLRED HOME</v>
      </c>
      <c r="P308" s="27"/>
      <c r="Q308" s="27" t="str">
        <f>IFERROR(__xludf.DUMMYFUNCTION("""COMPUTED_VALUE"""),"jose@ox-glass.com")</f>
        <v>jose@ox-glass.com</v>
      </c>
      <c r="R308" s="27" t="str">
        <f>IFERROR(__xludf.DUMMYFUNCTION("""COMPUTED_VALUE"""),"A6A")</f>
        <v>A6A</v>
      </c>
      <c r="S308" s="27" t="str">
        <f>IFERROR(__xludf.DUMMYFUNCTION("""COMPUTED_VALUE"""),"ENTRY")</f>
        <v>ENTRY</v>
      </c>
    </row>
    <row r="309">
      <c r="A309" s="35">
        <f>IFERROR(__xludf.DUMMYFUNCTION("""COMPUTED_VALUE"""),46132.340921585645)</f>
        <v>46132.34092</v>
      </c>
      <c r="B309" s="36" t="str">
        <f>IFERROR(__xludf.DUMMYFUNCTION("""COMPUTED_VALUE"""),"WINDOW")</f>
        <v>WINDOW</v>
      </c>
      <c r="C309" s="58" t="str">
        <f>IFERROR(__xludf.DUMMYFUNCTION("""COMPUTED_VALUE"""),"HIG CANNON RESIDENCE")</f>
        <v>HIG CANNON RESIDENCE</v>
      </c>
      <c r="D309" s="36" t="str">
        <f>IFERROR(__xludf.DUMMYFUNCTION("""COMPUTED_VALUE"""),"HIG")</f>
        <v>HIG</v>
      </c>
      <c r="E309" s="27"/>
      <c r="F309" s="36">
        <f>IFERROR(__xludf.DUMMYFUNCTION("""COMPUTED_VALUE"""),-27.0)</f>
        <v>-27</v>
      </c>
      <c r="G309" s="59" t="str">
        <f>IFERROR(__xludf.DUMMYFUNCTION("""COMPUTED_VALUE"""),"UNIT")</f>
        <v>UNIT</v>
      </c>
      <c r="H309" s="59">
        <f>IFERROR(__xludf.DUMMYFUNCTION("""COMPUTED_VALUE"""),46132.0)</f>
        <v>46132</v>
      </c>
      <c r="I309" s="27" t="str">
        <f>IFERROR(__xludf.DUMMYFUNCTION("""COMPUTED_VALUE"""),"B1A")</f>
        <v>B1A</v>
      </c>
      <c r="K309" s="30"/>
      <c r="L309" s="30" t="str">
        <f>IFERROR(__xludf.DUMMYFUNCTION("""COMPUTED_VALUE"""),"DISPATCHED")</f>
        <v>DISPATCHED</v>
      </c>
      <c r="M309" s="27" t="str">
        <f>IFERROR(__xludf.DUMMYFUNCTION("""COMPUTED_VALUE"""),"TOMMY AND PRESTON")</f>
        <v>TOMMY AND PRESTON</v>
      </c>
      <c r="N309" s="27" t="str">
        <f>IFERROR(__xludf.DUMMYFUNCTION("""COMPUTED_VALUE"""),"HIG CANNON RESIDENCE")</f>
        <v>HIG CANNON RESIDENCE</v>
      </c>
      <c r="O309" s="27" t="str">
        <f>IFERROR(__xludf.DUMMYFUNCTION("""COMPUTED_VALUE"""),"WINDOW|||HIG CANNON RESIDENCE")</f>
        <v>WINDOW|||HIG CANNON RESIDENCE</v>
      </c>
      <c r="P309" s="27"/>
      <c r="Q309" s="27" t="str">
        <f>IFERROR(__xludf.DUMMYFUNCTION("""COMPUTED_VALUE"""),"jose@ox-glass.com")</f>
        <v>jose@ox-glass.com</v>
      </c>
      <c r="R309" s="27" t="str">
        <f>IFERROR(__xludf.DUMMYFUNCTION("""COMPUTED_VALUE"""),"HIG CANNON RESIDENCE")</f>
        <v>HIG CANNON RESIDENCE</v>
      </c>
      <c r="S309" s="27" t="str">
        <f>IFERROR(__xludf.DUMMYFUNCTION("""COMPUTED_VALUE"""),"EXIT")</f>
        <v>EXIT</v>
      </c>
    </row>
    <row r="310">
      <c r="A310" s="35">
        <f>IFERROR(__xludf.DUMMYFUNCTION("""COMPUTED_VALUE"""),46129.67303657407)</f>
        <v>46129.67304</v>
      </c>
      <c r="B310" s="36" t="str">
        <f>IFERROR(__xludf.DUMMYFUNCTION("""COMPUTED_VALUE"""),"WINDOW")</f>
        <v>WINDOW</v>
      </c>
      <c r="C310" s="58" t="str">
        <f>IFERROR(__xludf.DUMMYFUNCTION("""COMPUTED_VALUE"""),"HIG CANNON RESIDENCE")</f>
        <v>HIG CANNON RESIDENCE</v>
      </c>
      <c r="D310" s="36" t="str">
        <f>IFERROR(__xludf.DUMMYFUNCTION("""COMPUTED_VALUE"""),"HIG")</f>
        <v>HIG</v>
      </c>
      <c r="E310" s="27"/>
      <c r="F310" s="36">
        <f>IFERROR(__xludf.DUMMYFUNCTION("""COMPUTED_VALUE"""),27.0)</f>
        <v>27</v>
      </c>
      <c r="G310" s="59" t="str">
        <f>IFERROR(__xludf.DUMMYFUNCTION("""COMPUTED_VALUE"""),"UNIT")</f>
        <v>UNIT</v>
      </c>
      <c r="H310" s="59">
        <f>IFERROR(__xludf.DUMMYFUNCTION("""COMPUTED_VALUE"""),46129.0)</f>
        <v>46129</v>
      </c>
      <c r="I310" s="27" t="str">
        <f>IFERROR(__xludf.DUMMYFUNCTION("""COMPUTED_VALUE"""),"B1A")</f>
        <v>B1A</v>
      </c>
      <c r="K310" s="30" t="str">
        <f>IFERROR(__xludf.DUMMYFUNCTION("""COMPUTED_VALUE"""),"WHITE WINDOWS, DIFFERENT SIZES")</f>
        <v>WHITE WINDOWS, DIFFERENT SIZES</v>
      </c>
      <c r="L310" s="30" t="str">
        <f>IFERROR(__xludf.DUMMYFUNCTION("""COMPUTED_VALUE"""),"IN STOCK")</f>
        <v>IN STOCK</v>
      </c>
      <c r="M310" s="27" t="str">
        <f>IFERROR(__xludf.DUMMYFUNCTION("""COMPUTED_VALUE"""),"JOSE C.")</f>
        <v>JOSE C.</v>
      </c>
      <c r="N310" s="27" t="str">
        <f>IFERROR(__xludf.DUMMYFUNCTION("""COMPUTED_VALUE"""),"HIG CANNON RESIDENCE")</f>
        <v>HIG CANNON RESIDENCE</v>
      </c>
      <c r="O310" s="27" t="str">
        <f>IFERROR(__xludf.DUMMYFUNCTION("""COMPUTED_VALUE"""),"WINDOW|||HIG CANNON RESIDENCE")</f>
        <v>WINDOW|||HIG CANNON RESIDENCE</v>
      </c>
      <c r="P310" s="27"/>
      <c r="Q310" s="27" t="str">
        <f>IFERROR(__xludf.DUMMYFUNCTION("""COMPUTED_VALUE"""),"jose@ox-glass.com")</f>
        <v>jose@ox-glass.com</v>
      </c>
      <c r="R310" s="27" t="str">
        <f>IFERROR(__xludf.DUMMYFUNCTION("""COMPUTED_VALUE"""),"B1A")</f>
        <v>B1A</v>
      </c>
      <c r="S310" s="27" t="str">
        <f>IFERROR(__xludf.DUMMYFUNCTION("""COMPUTED_VALUE"""),"ENTRY")</f>
        <v>ENTRY</v>
      </c>
    </row>
    <row r="311">
      <c r="A311" s="35">
        <f>IFERROR(__xludf.DUMMYFUNCTION("""COMPUTED_VALUE"""),46129.67088106481)</f>
        <v>46129.67088</v>
      </c>
      <c r="B311" s="36" t="str">
        <f>IFERROR(__xludf.DUMMYFUNCTION("""COMPUTED_VALUE"""),"WINDOW")</f>
        <v>WINDOW</v>
      </c>
      <c r="C311" s="58" t="str">
        <f>IFERROR(__xludf.DUMMYFUNCTION("""COMPUTED_VALUE"""),"SAL BUSHMAN FARMS 2")</f>
        <v>SAL BUSHMAN FARMS 2</v>
      </c>
      <c r="D311" s="36" t="str">
        <f>IFERROR(__xludf.DUMMYFUNCTION("""COMPUTED_VALUE"""),"DEL")</f>
        <v>DEL</v>
      </c>
      <c r="E311" s="27"/>
      <c r="F311" s="36">
        <f>IFERROR(__xludf.DUMMYFUNCTION("""COMPUTED_VALUE"""),23.0)</f>
        <v>23</v>
      </c>
      <c r="G311" s="59" t="str">
        <f>IFERROR(__xludf.DUMMYFUNCTION("""COMPUTED_VALUE"""),"UNIT")</f>
        <v>UNIT</v>
      </c>
      <c r="H311" s="59">
        <f>IFERROR(__xludf.DUMMYFUNCTION("""COMPUTED_VALUE"""),46129.0)</f>
        <v>46129</v>
      </c>
      <c r="I311" s="27" t="str">
        <f>IFERROR(__xludf.DUMMYFUNCTION("""COMPUTED_VALUE"""),"A1A")</f>
        <v>A1A</v>
      </c>
      <c r="K311" s="30" t="str">
        <f>IFERROR(__xludf.DUMMYFUNCTION("""COMPUTED_VALUE"""),"WHITE WINDOWS, DIFFERENT SIZES")</f>
        <v>WHITE WINDOWS, DIFFERENT SIZES</v>
      </c>
      <c r="L311" s="30" t="str">
        <f>IFERROR(__xludf.DUMMYFUNCTION("""COMPUTED_VALUE"""),"IN STOCK")</f>
        <v>IN STOCK</v>
      </c>
      <c r="M311" s="27" t="str">
        <f>IFERROR(__xludf.DUMMYFUNCTION("""COMPUTED_VALUE"""),"JOSE C.")</f>
        <v>JOSE C.</v>
      </c>
      <c r="N311" s="27" t="str">
        <f>IFERROR(__xludf.DUMMYFUNCTION("""COMPUTED_VALUE"""),"SAL BUSHMAN FARMS 2")</f>
        <v>SAL BUSHMAN FARMS 2</v>
      </c>
      <c r="O311" s="27" t="str">
        <f>IFERROR(__xludf.DUMMYFUNCTION("""COMPUTED_VALUE"""),"WINDOW|||SAL BUSHMAN FARMS 2")</f>
        <v>WINDOW|||SAL BUSHMAN FARMS 2</v>
      </c>
      <c r="P311" s="27"/>
      <c r="Q311" s="27" t="str">
        <f>IFERROR(__xludf.DUMMYFUNCTION("""COMPUTED_VALUE"""),"jose@ox-glass.com")</f>
        <v>jose@ox-glass.com</v>
      </c>
      <c r="R311" s="27" t="str">
        <f>IFERROR(__xludf.DUMMYFUNCTION("""COMPUTED_VALUE"""),"A1A")</f>
        <v>A1A</v>
      </c>
      <c r="S311" s="27"/>
    </row>
    <row r="312">
      <c r="A312" s="35">
        <f>IFERROR(__xludf.DUMMYFUNCTION("""COMPUTED_VALUE"""),46129.66934143518)</f>
        <v>46129.66934</v>
      </c>
      <c r="B312" s="36" t="str">
        <f>IFERROR(__xludf.DUMMYFUNCTION("""COMPUTED_VALUE"""),"WINDOW")</f>
        <v>WINDOW</v>
      </c>
      <c r="C312" s="58" t="str">
        <f>IFERROR(__xludf.DUMMYFUNCTION("""COMPUTED_VALUE"""),"BYRON ALLRED")</f>
        <v>BYRON ALLRED</v>
      </c>
      <c r="D312" s="36" t="str">
        <f>IFERROR(__xludf.DUMMYFUNCTION("""COMPUTED_VALUE"""),"DEL")</f>
        <v>DEL</v>
      </c>
      <c r="E312" s="27"/>
      <c r="F312" s="36">
        <f>IFERROR(__xludf.DUMMYFUNCTION("""COMPUTED_VALUE"""),21.0)</f>
        <v>21</v>
      </c>
      <c r="G312" s="59" t="str">
        <f>IFERROR(__xludf.DUMMYFUNCTION("""COMPUTED_VALUE"""),"UNIT")</f>
        <v>UNIT</v>
      </c>
      <c r="H312" s="59">
        <f>IFERROR(__xludf.DUMMYFUNCTION("""COMPUTED_VALUE"""),46129.0)</f>
        <v>46129</v>
      </c>
      <c r="I312" s="27" t="str">
        <f>IFERROR(__xludf.DUMMYFUNCTION("""COMPUTED_VALUE"""),"A")</f>
        <v>A</v>
      </c>
      <c r="K312" s="30" t="str">
        <f>IFERROR(__xludf.DUMMYFUNCTION("""COMPUTED_VALUE"""),"WHITE WINDOWS, DIFFERENT SIZES")</f>
        <v>WHITE WINDOWS, DIFFERENT SIZES</v>
      </c>
      <c r="L312" s="30" t="str">
        <f>IFERROR(__xludf.DUMMYFUNCTION("""COMPUTED_VALUE"""),"IN STOCK")</f>
        <v>IN STOCK</v>
      </c>
      <c r="M312" s="27" t="str">
        <f>IFERROR(__xludf.DUMMYFUNCTION("""COMPUTED_VALUE"""),"JOSE C.")</f>
        <v>JOSE C.</v>
      </c>
      <c r="N312" s="27" t="str">
        <f>IFERROR(__xludf.DUMMYFUNCTION("""COMPUTED_VALUE"""),"BYRON ALLRED")</f>
        <v>BYRON ALLRED</v>
      </c>
      <c r="O312" s="27" t="str">
        <f>IFERROR(__xludf.DUMMYFUNCTION("""COMPUTED_VALUE"""),"WINDOW|||BYRON ALLRED")</f>
        <v>WINDOW|||BYRON ALLRED</v>
      </c>
      <c r="P312" s="27"/>
      <c r="Q312" s="27" t="str">
        <f>IFERROR(__xludf.DUMMYFUNCTION("""COMPUTED_VALUE"""),"jose@ox-glass.com")</f>
        <v>jose@ox-glass.com</v>
      </c>
      <c r="R312" s="27" t="str">
        <f>IFERROR(__xludf.DUMMYFUNCTION("""COMPUTED_VALUE"""),"A")</f>
        <v>A</v>
      </c>
      <c r="S312" s="27" t="str">
        <f>IFERROR(__xludf.DUMMYFUNCTION("""COMPUTED_VALUE"""),"ENTRY")</f>
        <v>ENTRY</v>
      </c>
    </row>
    <row r="313">
      <c r="A313" s="35">
        <f>IFERROR(__xludf.DUMMYFUNCTION("""COMPUTED_VALUE"""),46129.66490390046)</f>
        <v>46129.6649</v>
      </c>
      <c r="B313" s="36" t="str">
        <f>IFERROR(__xludf.DUMMYFUNCTION("""COMPUTED_VALUE"""),"WINDOW")</f>
        <v>WINDOW</v>
      </c>
      <c r="C313" s="58" t="str">
        <f>IFERROR(__xludf.DUMMYFUNCTION("""COMPUTED_VALUE"""),"WHI STRATTON MEADOWS LOT216")</f>
        <v>WHI STRATTON MEADOWS LOT216</v>
      </c>
      <c r="D313" s="36" t="str">
        <f>IFERROR(__xludf.DUMMYFUNCTION("""COMPUTED_VALUE"""),"WHI")</f>
        <v>WHI</v>
      </c>
      <c r="E313" s="27"/>
      <c r="F313" s="36">
        <f>IFERROR(__xludf.DUMMYFUNCTION("""COMPUTED_VALUE"""),16.0)</f>
        <v>16</v>
      </c>
      <c r="G313" s="59" t="str">
        <f>IFERROR(__xludf.DUMMYFUNCTION("""COMPUTED_VALUE"""),"UNIT")</f>
        <v>UNIT</v>
      </c>
      <c r="H313" s="59">
        <f>IFERROR(__xludf.DUMMYFUNCTION("""COMPUTED_VALUE"""),46129.0)</f>
        <v>46129</v>
      </c>
      <c r="I313" s="27" t="str">
        <f>IFERROR(__xludf.DUMMYFUNCTION("""COMPUTED_VALUE"""),"C1A")</f>
        <v>C1A</v>
      </c>
      <c r="K313" s="30" t="str">
        <f>IFERROR(__xludf.DUMMYFUNCTION("""COMPUTED_VALUE"""),"WHITE WINDOWS, DIFFERENT SIZES")</f>
        <v>WHITE WINDOWS, DIFFERENT SIZES</v>
      </c>
      <c r="L313" s="30" t="str">
        <f>IFERROR(__xludf.DUMMYFUNCTION("""COMPUTED_VALUE"""),"IN STOCK")</f>
        <v>IN STOCK</v>
      </c>
      <c r="M313" s="27" t="str">
        <f>IFERROR(__xludf.DUMMYFUNCTION("""COMPUTED_VALUE"""),"JOSE C.")</f>
        <v>JOSE C.</v>
      </c>
      <c r="N313" s="27" t="str">
        <f>IFERROR(__xludf.DUMMYFUNCTION("""COMPUTED_VALUE"""),"WHI STRATTON MEADOWS")</f>
        <v>WHI STRATTON MEADOWS</v>
      </c>
      <c r="O313" s="27" t="str">
        <f>IFERROR(__xludf.DUMMYFUNCTION("""COMPUTED_VALUE"""),"WINDOW|||WHI STRATTON MEADOWS LOT216")</f>
        <v>WINDOW|||WHI STRATTON MEADOWS LOT216</v>
      </c>
      <c r="P313" s="27"/>
      <c r="Q313" s="27" t="str">
        <f>IFERROR(__xludf.DUMMYFUNCTION("""COMPUTED_VALUE"""),"jose@ox-glass.com")</f>
        <v>jose@ox-glass.com</v>
      </c>
      <c r="R313" s="27" t="str">
        <f>IFERROR(__xludf.DUMMYFUNCTION("""COMPUTED_VALUE"""),"C1A")</f>
        <v>C1A</v>
      </c>
      <c r="S313" s="27" t="str">
        <f>IFERROR(__xludf.DUMMYFUNCTION("""COMPUTED_VALUE"""),"ENTRY")</f>
        <v>ENTRY</v>
      </c>
    </row>
    <row r="314">
      <c r="A314" s="35">
        <f>IFERROR(__xludf.DUMMYFUNCTION("""COMPUTED_VALUE"""),46129.66384689815)</f>
        <v>46129.66385</v>
      </c>
      <c r="B314" s="36" t="str">
        <f>IFERROR(__xludf.DUMMYFUNCTION("""COMPUTED_VALUE"""),"WINDOW")</f>
        <v>WINDOW</v>
      </c>
      <c r="C314" s="58" t="str">
        <f>IFERROR(__xludf.DUMMYFUNCTION("""COMPUTED_VALUE"""),"WHI STRATTON MEADOWS LOT214")</f>
        <v>WHI STRATTON MEADOWS LOT214</v>
      </c>
      <c r="D314" s="36" t="str">
        <f>IFERROR(__xludf.DUMMYFUNCTION("""COMPUTED_VALUE"""),"WHI")</f>
        <v>WHI</v>
      </c>
      <c r="E314" s="27"/>
      <c r="F314" s="36">
        <f>IFERROR(__xludf.DUMMYFUNCTION("""COMPUTED_VALUE"""),16.0)</f>
        <v>16</v>
      </c>
      <c r="G314" s="59" t="str">
        <f>IFERROR(__xludf.DUMMYFUNCTION("""COMPUTED_VALUE"""),"UNIT")</f>
        <v>UNIT</v>
      </c>
      <c r="H314" s="59">
        <f>IFERROR(__xludf.DUMMYFUNCTION("""COMPUTED_VALUE"""),46129.0)</f>
        <v>46129</v>
      </c>
      <c r="I314" s="27" t="str">
        <f>IFERROR(__xludf.DUMMYFUNCTION("""COMPUTED_VALUE"""),"C1A")</f>
        <v>C1A</v>
      </c>
      <c r="K314" s="30" t="str">
        <f>IFERROR(__xludf.DUMMYFUNCTION("""COMPUTED_VALUE"""),"WHITE WINDOWS, DIFFERENT SIZES")</f>
        <v>WHITE WINDOWS, DIFFERENT SIZES</v>
      </c>
      <c r="L314" s="30" t="str">
        <f>IFERROR(__xludf.DUMMYFUNCTION("""COMPUTED_VALUE"""),"IN STOCK")</f>
        <v>IN STOCK</v>
      </c>
      <c r="M314" s="27" t="str">
        <f>IFERROR(__xludf.DUMMYFUNCTION("""COMPUTED_VALUE"""),"JOSE C.")</f>
        <v>JOSE C.</v>
      </c>
      <c r="N314" s="27" t="str">
        <f>IFERROR(__xludf.DUMMYFUNCTION("""COMPUTED_VALUE"""),"WHI STRATTON MEADOWS")</f>
        <v>WHI STRATTON MEADOWS</v>
      </c>
      <c r="O314" s="27" t="str">
        <f>IFERROR(__xludf.DUMMYFUNCTION("""COMPUTED_VALUE"""),"WINDOW|||WHI STRATTON MEADOWS LOT214")</f>
        <v>WINDOW|||WHI STRATTON MEADOWS LOT214</v>
      </c>
      <c r="P314" s="27"/>
      <c r="Q314" s="27" t="str">
        <f>IFERROR(__xludf.DUMMYFUNCTION("""COMPUTED_VALUE"""),"jose@ox-glass.com")</f>
        <v>jose@ox-glass.com</v>
      </c>
      <c r="R314" s="27" t="str">
        <f>IFERROR(__xludf.DUMMYFUNCTION("""COMPUTED_VALUE"""),"C1A")</f>
        <v>C1A</v>
      </c>
      <c r="S314" s="27" t="str">
        <f>IFERROR(__xludf.DUMMYFUNCTION("""COMPUTED_VALUE"""),"ENTRY")</f>
        <v>ENTRY</v>
      </c>
    </row>
    <row r="315">
      <c r="A315" s="35">
        <f>IFERROR(__xludf.DUMMYFUNCTION("""COMPUTED_VALUE"""),46128.35044271991)</f>
        <v>46128.35044</v>
      </c>
      <c r="B315" s="36" t="str">
        <f>IFERROR(__xludf.DUMMYFUNCTION("""COMPUTED_VALUE"""),"WINDOW")</f>
        <v>WINDOW</v>
      </c>
      <c r="C315" s="58" t="str">
        <f>IFERROR(__xludf.DUMMYFUNCTION("""COMPUTED_VALUE"""),"LGI DESERT EDGE TOWNHOMES B1")</f>
        <v>LGI DESERT EDGE TOWNHOMES B1</v>
      </c>
      <c r="D315" s="36"/>
      <c r="E315" s="27"/>
      <c r="F315" s="36">
        <f>IFERROR(__xludf.DUMMYFUNCTION("""COMPUTED_VALUE"""),28.0)</f>
        <v>28</v>
      </c>
      <c r="G315" s="59" t="str">
        <f>IFERROR(__xludf.DUMMYFUNCTION("""COMPUTED_VALUE"""),"UNIT")</f>
        <v>UNIT</v>
      </c>
      <c r="H315" s="59">
        <f>IFERROR(__xludf.DUMMYFUNCTION("""COMPUTED_VALUE"""),46128.0)</f>
        <v>46128</v>
      </c>
      <c r="I315" s="27" t="str">
        <f>IFERROR(__xludf.DUMMYFUNCTION("""COMPUTED_VALUE"""),"B5A")</f>
        <v>B5A</v>
      </c>
      <c r="K315" s="30" t="str">
        <f>IFERROR(__xludf.DUMMYFUNCTION("""COMPUTED_VALUE"""),"56 WHITE WINDOWS")</f>
        <v>56 WHITE WINDOWS</v>
      </c>
      <c r="L315" s="30" t="str">
        <f>IFERROR(__xludf.DUMMYFUNCTION("""COMPUTED_VALUE"""),"IN STOCK")</f>
        <v>IN STOCK</v>
      </c>
      <c r="M315" s="27" t="str">
        <f>IFERROR(__xludf.DUMMYFUNCTION("""COMPUTED_VALUE"""),"JOSE C.")</f>
        <v>JOSE C.</v>
      </c>
      <c r="N315" s="27" t="str">
        <f>IFERROR(__xludf.DUMMYFUNCTION("""COMPUTED_VALUE"""),"LGI DESERT EDGE TOWNHOMES")</f>
        <v>LGI DESERT EDGE TOWNHOMES</v>
      </c>
      <c r="O315" s="27" t="str">
        <f>IFERROR(__xludf.DUMMYFUNCTION("""COMPUTED_VALUE"""),"WINDOW|||LGI DESERT EDGE TOWNHOMES B1")</f>
        <v>WINDOW|||LGI DESERT EDGE TOWNHOMES B1</v>
      </c>
      <c r="P315" s="27"/>
      <c r="Q315" s="27" t="str">
        <f>IFERROR(__xludf.DUMMYFUNCTION("""COMPUTED_VALUE"""),"jose@ox-glass.com")</f>
        <v>jose@ox-glass.com</v>
      </c>
      <c r="R315" s="27" t="str">
        <f>IFERROR(__xludf.DUMMYFUNCTION("""COMPUTED_VALUE"""),"B5A")</f>
        <v>B5A</v>
      </c>
      <c r="S315" s="27" t="str">
        <f>IFERROR(__xludf.DUMMYFUNCTION("""COMPUTED_VALUE"""),"ENTRY")</f>
        <v>ENTRY</v>
      </c>
    </row>
    <row r="316">
      <c r="A316" s="35">
        <f>IFERROR(__xludf.DUMMYFUNCTION("""COMPUTED_VALUE"""),46128.35044271991)</f>
        <v>46128.35044</v>
      </c>
      <c r="B316" s="36" t="str">
        <f>IFERROR(__xludf.DUMMYFUNCTION("""COMPUTED_VALUE"""),"WINDOW")</f>
        <v>WINDOW</v>
      </c>
      <c r="C316" s="58" t="str">
        <f>IFERROR(__xludf.DUMMYFUNCTION("""COMPUTED_VALUE"""),"LGI DESERT EDGE TOWNHOMES B1")</f>
        <v>LGI DESERT EDGE TOWNHOMES B1</v>
      </c>
      <c r="D316" s="36"/>
      <c r="E316" s="27"/>
      <c r="F316" s="36">
        <f>IFERROR(__xludf.DUMMYFUNCTION("""COMPUTED_VALUE"""),28.0)</f>
        <v>28</v>
      </c>
      <c r="G316" s="59" t="str">
        <f>IFERROR(__xludf.DUMMYFUNCTION("""COMPUTED_VALUE"""),"UNIT")</f>
        <v>UNIT</v>
      </c>
      <c r="H316" s="59">
        <f>IFERROR(__xludf.DUMMYFUNCTION("""COMPUTED_VALUE"""),46128.0)</f>
        <v>46128</v>
      </c>
      <c r="I316" s="27" t="str">
        <f>IFERROR(__xludf.DUMMYFUNCTION("""COMPUTED_VALUE"""),"C5A")</f>
        <v>C5A</v>
      </c>
      <c r="K316" s="30" t="str">
        <f>IFERROR(__xludf.DUMMYFUNCTION("""COMPUTED_VALUE"""),"56 WHITE WINDOWS")</f>
        <v>56 WHITE WINDOWS</v>
      </c>
      <c r="L316" s="30" t="str">
        <f>IFERROR(__xludf.DUMMYFUNCTION("""COMPUTED_VALUE"""),"IN STOCK")</f>
        <v>IN STOCK</v>
      </c>
      <c r="M316" s="27" t="str">
        <f>IFERROR(__xludf.DUMMYFUNCTION("""COMPUTED_VALUE"""),"JOSE C.")</f>
        <v>JOSE C.</v>
      </c>
      <c r="N316" s="27" t="str">
        <f>IFERROR(__xludf.DUMMYFUNCTION("""COMPUTED_VALUE"""),"LGI DESERT EDGE TOWNHOMES")</f>
        <v>LGI DESERT EDGE TOWNHOMES</v>
      </c>
      <c r="O316" s="27" t="str">
        <f>IFERROR(__xludf.DUMMYFUNCTION("""COMPUTED_VALUE"""),"WINDOW|||LGI DESERT EDGE TOWNHOMES B1")</f>
        <v>WINDOW|||LGI DESERT EDGE TOWNHOMES B1</v>
      </c>
      <c r="P316" s="27"/>
      <c r="Q316" s="27" t="str">
        <f>IFERROR(__xludf.DUMMYFUNCTION("""COMPUTED_VALUE"""),"jose@ox-glass.com")</f>
        <v>jose@ox-glass.com</v>
      </c>
      <c r="R316" s="27" t="str">
        <f>IFERROR(__xludf.DUMMYFUNCTION("""COMPUTED_VALUE"""),"C5A")</f>
        <v>C5A</v>
      </c>
      <c r="S316" s="27" t="str">
        <f>IFERROR(__xludf.DUMMYFUNCTION("""COMPUTED_VALUE"""),"ENTRY")</f>
        <v>ENTRY</v>
      </c>
    </row>
    <row r="317">
      <c r="A317" s="35">
        <f>IFERROR(__xludf.DUMMYFUNCTION("""COMPUTED_VALUE"""),46128.347506261576)</f>
        <v>46128.34751</v>
      </c>
      <c r="B317" s="36" t="str">
        <f>IFERROR(__xludf.DUMMYFUNCTION("""COMPUTED_VALUE"""),"WINDOW")</f>
        <v>WINDOW</v>
      </c>
      <c r="C317" s="58" t="str">
        <f>IFERROR(__xludf.DUMMYFUNCTION("""COMPUTED_VALUE"""),"PV126")</f>
        <v>PV126</v>
      </c>
      <c r="D317" s="36" t="str">
        <f>IFERROR(__xludf.DUMMYFUNCTION("""COMPUTED_VALUE"""),"PAT")</f>
        <v>PAT</v>
      </c>
      <c r="E317" s="27"/>
      <c r="F317" s="36">
        <f>IFERROR(__xludf.DUMMYFUNCTION("""COMPUTED_VALUE"""),-28.0)</f>
        <v>-28</v>
      </c>
      <c r="G317" s="59" t="str">
        <f>IFERROR(__xludf.DUMMYFUNCTION("""COMPUTED_VALUE"""),"UNIT")</f>
        <v>UNIT</v>
      </c>
      <c r="H317" s="59">
        <f>IFERROR(__xludf.DUMMYFUNCTION("""COMPUTED_VALUE"""),46128.0)</f>
        <v>46128</v>
      </c>
      <c r="I317" s="27" t="str">
        <f>IFERROR(__xludf.DUMMYFUNCTION("""COMPUTED_VALUE"""),"C1A")</f>
        <v>C1A</v>
      </c>
      <c r="K317" s="30" t="str">
        <f>IFERROR(__xludf.DUMMYFUNCTION("""COMPUTED_VALUE"""),"ALL WINDOWS WERE TAKEN.")</f>
        <v>ALL WINDOWS WERE TAKEN.</v>
      </c>
      <c r="L317" s="30" t="str">
        <f>IFERROR(__xludf.DUMMYFUNCTION("""COMPUTED_VALUE"""),"DISPATCHED")</f>
        <v>DISPATCHED</v>
      </c>
      <c r="M317" s="27" t="str">
        <f>IFERROR(__xludf.DUMMYFUNCTION("""COMPUTED_VALUE"""),"DANE'S TEAM")</f>
        <v>DANE'S TEAM</v>
      </c>
      <c r="N317" s="27" t="str">
        <f>IFERROR(__xludf.DUMMYFUNCTION("""COMPUTED_VALUE"""),"PATTERNSON HOMES")</f>
        <v>PATTERNSON HOMES</v>
      </c>
      <c r="O317" s="27" t="str">
        <f>IFERROR(__xludf.DUMMYFUNCTION("""COMPUTED_VALUE"""),"WINDOW|||PV126")</f>
        <v>WINDOW|||PV126</v>
      </c>
      <c r="P317" s="27"/>
      <c r="Q317" s="27" t="str">
        <f>IFERROR(__xludf.DUMMYFUNCTION("""COMPUTED_VALUE"""),"jose@ox-glass.com")</f>
        <v>jose@ox-glass.com</v>
      </c>
      <c r="R317" s="27" t="str">
        <f>IFERROR(__xludf.DUMMYFUNCTION("""COMPUTED_VALUE"""),"PV126")</f>
        <v>PV126</v>
      </c>
      <c r="S317" s="27" t="str">
        <f>IFERROR(__xludf.DUMMYFUNCTION("""COMPUTED_VALUE"""),"EXIT")</f>
        <v>EXIT</v>
      </c>
    </row>
    <row r="318">
      <c r="A318" s="35">
        <f>IFERROR(__xludf.DUMMYFUNCTION("""COMPUTED_VALUE"""),46127.66465010417)</f>
        <v>46127.66465</v>
      </c>
      <c r="B318" s="36" t="str">
        <f>IFERROR(__xludf.DUMMYFUNCTION("""COMPUTED_VALUE"""),"WINDOW")</f>
        <v>WINDOW</v>
      </c>
      <c r="C318" s="58" t="str">
        <f>IFERROR(__xludf.DUMMYFUNCTION("""COMPUTED_VALUE"""),"LGILOT1049")</f>
        <v>LGILOT1049</v>
      </c>
      <c r="D318" s="36"/>
      <c r="E318" s="27"/>
      <c r="F318" s="36">
        <f>IFERROR(__xludf.DUMMYFUNCTION("""COMPUTED_VALUE"""),1.0)</f>
        <v>1</v>
      </c>
      <c r="G318" s="59" t="str">
        <f>IFERROR(__xludf.DUMMYFUNCTION("""COMPUTED_VALUE"""),"UNIT")</f>
        <v>UNIT</v>
      </c>
      <c r="H318" s="59">
        <f>IFERROR(__xludf.DUMMYFUNCTION("""COMPUTED_VALUE"""),46127.0)</f>
        <v>46127</v>
      </c>
      <c r="I318" s="27" t="str">
        <f>IFERROR(__xludf.DUMMYFUNCTION("""COMPUTED_VALUE"""),"A1A")</f>
        <v>A1A</v>
      </c>
      <c r="K318" s="30" t="str">
        <f>IFERROR(__xludf.DUMMYFUNCTION("""COMPUTED_VALUE"""),"WHITE, 1@47 1/2 X 47 1/2
Received WITH 3 MORE BOXES")</f>
        <v>WHITE, 1@47 1/2 X 47 1/2
Received WITH 3 MORE BOXES</v>
      </c>
      <c r="L318" s="30" t="str">
        <f>IFERROR(__xludf.DUMMYFUNCTION("""COMPUTED_VALUE"""),"IN STOCK")</f>
        <v>IN STOCK</v>
      </c>
      <c r="M318" s="27" t="str">
        <f>IFERROR(__xludf.DUMMYFUNCTION("""COMPUTED_VALUE"""),"ELIJAH")</f>
        <v>ELIJAH</v>
      </c>
      <c r="N318" s="27" t="str">
        <f>IFERROR(__xludf.DUMMYFUNCTION("""COMPUTED_VALUE"""),"LGILOT10419")</f>
        <v>LGILOT10419</v>
      </c>
      <c r="O318" s="27" t="str">
        <f>IFERROR(__xludf.DUMMYFUNCTION("""COMPUTED_VALUE"""),"WINDOW|||LGILOT1049")</f>
        <v>WINDOW|||LGILOT1049</v>
      </c>
      <c r="P318" s="27"/>
      <c r="Q318" s="27" t="str">
        <f>IFERROR(__xludf.DUMMYFUNCTION("""COMPUTED_VALUE"""),"jose@ox-glass.com")</f>
        <v>jose@ox-glass.com</v>
      </c>
      <c r="R318" s="27" t="str">
        <f>IFERROR(__xludf.DUMMYFUNCTION("""COMPUTED_VALUE"""),"A1A")</f>
        <v>A1A</v>
      </c>
      <c r="S318" s="27" t="str">
        <f>IFERROR(__xludf.DUMMYFUNCTION("""COMPUTED_VALUE"""),"ENTRY")</f>
        <v>ENTRY</v>
      </c>
    </row>
    <row r="319">
      <c r="A319" s="35">
        <f>IFERROR(__xludf.DUMMYFUNCTION("""COMPUTED_VALUE"""),46127.472295983796)</f>
        <v>46127.4723</v>
      </c>
      <c r="B319" s="36" t="str">
        <f>IFERROR(__xludf.DUMMYFUNCTION("""COMPUTED_VALUE"""),"WINDOW")</f>
        <v>WINDOW</v>
      </c>
      <c r="C319" s="58" t="str">
        <f>IFERROR(__xludf.DUMMYFUNCTION("""COMPUTED_VALUE"""),"ACC STUDENT HOUSING")</f>
        <v>ACC STUDENT HOUSING</v>
      </c>
      <c r="D319" s="36"/>
      <c r="E319" s="27"/>
      <c r="F319" s="36">
        <f>IFERROR(__xludf.DUMMYFUNCTION("""COMPUTED_VALUE"""),-1.0)</f>
        <v>-1</v>
      </c>
      <c r="G319" s="59" t="str">
        <f>IFERROR(__xludf.DUMMYFUNCTION("""COMPUTED_VALUE"""),"UNIT")</f>
        <v>UNIT</v>
      </c>
      <c r="H319" s="59">
        <f>IFERROR(__xludf.DUMMYFUNCTION("""COMPUTED_VALUE"""),46127.0)</f>
        <v>46127</v>
      </c>
      <c r="I319" s="27" t="str">
        <f>IFERROR(__xludf.DUMMYFUNCTION("""COMPUTED_VALUE"""),"B6A")</f>
        <v>B6A</v>
      </c>
      <c r="K319" s="30"/>
      <c r="L319" s="30" t="str">
        <f>IFERROR(__xludf.DUMMYFUNCTION("""COMPUTED_VALUE"""),"DISPATCHED")</f>
        <v>DISPATCHED</v>
      </c>
      <c r="M319" s="27" t="str">
        <f>IFERROR(__xludf.DUMMYFUNCTION("""COMPUTED_VALUE"""),"JOE A.")</f>
        <v>JOE A.</v>
      </c>
      <c r="N319" s="27" t="str">
        <f>IFERROR(__xludf.DUMMYFUNCTION("""COMPUTED_VALUE"""),"ACC")</f>
        <v>ACC</v>
      </c>
      <c r="O319" s="27" t="str">
        <f>IFERROR(__xludf.DUMMYFUNCTION("""COMPUTED_VALUE"""),"WINDOW|||ACC STUDENT HOUSING")</f>
        <v>WINDOW|||ACC STUDENT HOUSING</v>
      </c>
      <c r="P319" s="27"/>
      <c r="Q319" s="27" t="str">
        <f>IFERROR(__xludf.DUMMYFUNCTION("""COMPUTED_VALUE"""),"jose@ox-glass.com")</f>
        <v>jose@ox-glass.com</v>
      </c>
      <c r="R319" s="27" t="str">
        <f>IFERROR(__xludf.DUMMYFUNCTION("""COMPUTED_VALUE"""),"ACC STUDENT HOUSING")</f>
        <v>ACC STUDENT HOUSING</v>
      </c>
      <c r="S319" s="27" t="str">
        <f>IFERROR(__xludf.DUMMYFUNCTION("""COMPUTED_VALUE"""),"EXIT")</f>
        <v>EXIT</v>
      </c>
    </row>
    <row r="320">
      <c r="A320" s="35">
        <f>IFERROR(__xludf.DUMMYFUNCTION("""COMPUTED_VALUE"""),46125.53245864584)</f>
        <v>46125.53246</v>
      </c>
      <c r="B320" s="36" t="str">
        <f>IFERROR(__xludf.DUMMYFUNCTION("""COMPUTED_VALUE"""),"WINDOW")</f>
        <v>WINDOW</v>
      </c>
      <c r="C320" s="58" t="str">
        <f>IFERROR(__xludf.DUMMYFUNCTION("""COMPUTED_VALUE"""),"KUNA APTS B")</f>
        <v>KUNA APTS B</v>
      </c>
      <c r="D320" s="36" t="str">
        <f>IFERROR(__xludf.DUMMYFUNCTION("""COMPUTED_VALUE"""),"DEL")</f>
        <v>DEL</v>
      </c>
      <c r="E320" s="27"/>
      <c r="F320" s="36">
        <f>IFERROR(__xludf.DUMMYFUNCTION("""COMPUTED_VALUE"""),-90.0)</f>
        <v>-90</v>
      </c>
      <c r="G320" s="59" t="str">
        <f>IFERROR(__xludf.DUMMYFUNCTION("""COMPUTED_VALUE"""),"UNIT")</f>
        <v>UNIT</v>
      </c>
      <c r="H320" s="59">
        <f>IFERROR(__xludf.DUMMYFUNCTION("""COMPUTED_VALUE"""),46125.0)</f>
        <v>46125</v>
      </c>
      <c r="I320" s="27" t="str">
        <f>IFERROR(__xludf.DUMMYFUNCTION("""COMPUTED_VALUE"""),"B")</f>
        <v>B</v>
      </c>
      <c r="K320" s="30"/>
      <c r="L320" s="30" t="str">
        <f>IFERROR(__xludf.DUMMYFUNCTION("""COMPUTED_VALUE"""),"DISPATCHED")</f>
        <v>DISPATCHED</v>
      </c>
      <c r="M320" s="27" t="str">
        <f>IFERROR(__xludf.DUMMYFUNCTION("""COMPUTED_VALUE"""),"BUDA TEAM")</f>
        <v>BUDA TEAM</v>
      </c>
      <c r="N320" s="27" t="str">
        <f>IFERROR(__xludf.DUMMYFUNCTION("""COMPUTED_VALUE"""),"KUNA APTS B")</f>
        <v>KUNA APTS B</v>
      </c>
      <c r="O320" s="27" t="str">
        <f>IFERROR(__xludf.DUMMYFUNCTION("""COMPUTED_VALUE"""),"WINDOW|||KUNA APTS B")</f>
        <v>WINDOW|||KUNA APTS B</v>
      </c>
      <c r="P320" s="27"/>
      <c r="Q320" s="27" t="str">
        <f>IFERROR(__xludf.DUMMYFUNCTION("""COMPUTED_VALUE"""),"jose@ox-glass.com")</f>
        <v>jose@ox-glass.com</v>
      </c>
      <c r="R320" s="27" t="str">
        <f>IFERROR(__xludf.DUMMYFUNCTION("""COMPUTED_VALUE"""),"KUNA APTS B")</f>
        <v>KUNA APTS B</v>
      </c>
      <c r="S320" s="27" t="str">
        <f>IFERROR(__xludf.DUMMYFUNCTION("""COMPUTED_VALUE"""),"EXIT")</f>
        <v>EXIT</v>
      </c>
    </row>
    <row r="321">
      <c r="A321" s="35">
        <f>IFERROR(__xludf.DUMMYFUNCTION("""COMPUTED_VALUE"""),46125.53245864584)</f>
        <v>46125.53246</v>
      </c>
      <c r="B321" s="36" t="str">
        <f>IFERROR(__xludf.DUMMYFUNCTION("""COMPUTED_VALUE"""),"WINDOW")</f>
        <v>WINDOW</v>
      </c>
      <c r="C321" s="58" t="str">
        <f>IFERROR(__xludf.DUMMYFUNCTION("""COMPUTED_VALUE"""),"KUNA APTS B")</f>
        <v>KUNA APTS B</v>
      </c>
      <c r="D321" s="36" t="str">
        <f>IFERROR(__xludf.DUMMYFUNCTION("""COMPUTED_VALUE"""),"DEL")</f>
        <v>DEL</v>
      </c>
      <c r="E321" s="27"/>
      <c r="F321" s="36">
        <f>IFERROR(__xludf.DUMMYFUNCTION("""COMPUTED_VALUE"""),-90.0)</f>
        <v>-90</v>
      </c>
      <c r="G321" s="59" t="str">
        <f>IFERROR(__xludf.DUMMYFUNCTION("""COMPUTED_VALUE"""),"UNIT")</f>
        <v>UNIT</v>
      </c>
      <c r="H321" s="59">
        <f>IFERROR(__xludf.DUMMYFUNCTION("""COMPUTED_VALUE"""),46125.0)</f>
        <v>46125</v>
      </c>
      <c r="I321" s="27" t="str">
        <f>IFERROR(__xludf.DUMMYFUNCTION("""COMPUTED_VALUE"""),"C")</f>
        <v>C</v>
      </c>
      <c r="K321" s="30"/>
      <c r="L321" s="30" t="str">
        <f>IFERROR(__xludf.DUMMYFUNCTION("""COMPUTED_VALUE"""),"DISPATCHED")</f>
        <v>DISPATCHED</v>
      </c>
      <c r="M321" s="27" t="str">
        <f>IFERROR(__xludf.DUMMYFUNCTION("""COMPUTED_VALUE"""),"BUDA TEAM")</f>
        <v>BUDA TEAM</v>
      </c>
      <c r="N321" s="27" t="str">
        <f>IFERROR(__xludf.DUMMYFUNCTION("""COMPUTED_VALUE"""),"KUNA APTS B")</f>
        <v>KUNA APTS B</v>
      </c>
      <c r="O321" s="27" t="str">
        <f>IFERROR(__xludf.DUMMYFUNCTION("""COMPUTED_VALUE"""),"WINDOW|||KUNA APTS B")</f>
        <v>WINDOW|||KUNA APTS B</v>
      </c>
      <c r="P321" s="27"/>
      <c r="Q321" s="27" t="str">
        <f>IFERROR(__xludf.DUMMYFUNCTION("""COMPUTED_VALUE"""),"jose@ox-glass.com")</f>
        <v>jose@ox-glass.com</v>
      </c>
      <c r="R321" s="27" t="str">
        <f>IFERROR(__xludf.DUMMYFUNCTION("""COMPUTED_VALUE"""),"KUNA APTS B")</f>
        <v>KUNA APTS B</v>
      </c>
      <c r="S321" s="27" t="str">
        <f>IFERROR(__xludf.DUMMYFUNCTION("""COMPUTED_VALUE"""),"EXIT")</f>
        <v>EXIT</v>
      </c>
    </row>
    <row r="322">
      <c r="A322" s="35">
        <f>IFERROR(__xludf.DUMMYFUNCTION("""COMPUTED_VALUE"""),46125.53198737269)</f>
        <v>46125.53199</v>
      </c>
      <c r="B322" s="36" t="str">
        <f>IFERROR(__xludf.DUMMYFUNCTION("""COMPUTED_VALUE"""),"WINDOW")</f>
        <v>WINDOW</v>
      </c>
      <c r="C322" s="58" t="str">
        <f>IFERROR(__xludf.DUMMYFUNCTION("""COMPUTED_VALUE"""),"KUNA APTS A")</f>
        <v>KUNA APTS A</v>
      </c>
      <c r="D322" s="36" t="str">
        <f>IFERROR(__xludf.DUMMYFUNCTION("""COMPUTED_VALUE"""),"DEL")</f>
        <v>DEL</v>
      </c>
      <c r="E322" s="27"/>
      <c r="F322" s="36">
        <f>IFERROR(__xludf.DUMMYFUNCTION("""COMPUTED_VALUE"""),-90.0)</f>
        <v>-90</v>
      </c>
      <c r="G322" s="59" t="str">
        <f>IFERROR(__xludf.DUMMYFUNCTION("""COMPUTED_VALUE"""),"UNIT")</f>
        <v>UNIT</v>
      </c>
      <c r="H322" s="59">
        <f>IFERROR(__xludf.DUMMYFUNCTION("""COMPUTED_VALUE"""),46125.0)</f>
        <v>46125</v>
      </c>
      <c r="I322" s="27" t="str">
        <f>IFERROR(__xludf.DUMMYFUNCTION("""COMPUTED_VALUE"""),"B")</f>
        <v>B</v>
      </c>
      <c r="K322" s="30"/>
      <c r="L322" s="30" t="str">
        <f>IFERROR(__xludf.DUMMYFUNCTION("""COMPUTED_VALUE"""),"DISPATCHED")</f>
        <v>DISPATCHED</v>
      </c>
      <c r="M322" s="27" t="str">
        <f>IFERROR(__xludf.DUMMYFUNCTION("""COMPUTED_VALUE"""),"BUDA TEAM")</f>
        <v>BUDA TEAM</v>
      </c>
      <c r="N322" s="27" t="str">
        <f>IFERROR(__xludf.DUMMYFUNCTION("""COMPUTED_VALUE"""),"KUNA APTS A")</f>
        <v>KUNA APTS A</v>
      </c>
      <c r="O322" s="27" t="str">
        <f>IFERROR(__xludf.DUMMYFUNCTION("""COMPUTED_VALUE"""),"WINDOW|||KUNA APTS A")</f>
        <v>WINDOW|||KUNA APTS A</v>
      </c>
      <c r="P322" s="27"/>
      <c r="Q322" s="27" t="str">
        <f>IFERROR(__xludf.DUMMYFUNCTION("""COMPUTED_VALUE"""),"jose@ox-glass.com")</f>
        <v>jose@ox-glass.com</v>
      </c>
      <c r="R322" s="27" t="str">
        <f>IFERROR(__xludf.DUMMYFUNCTION("""COMPUTED_VALUE"""),"KUNA APTS A")</f>
        <v>KUNA APTS A</v>
      </c>
      <c r="S322" s="27" t="str">
        <f>IFERROR(__xludf.DUMMYFUNCTION("""COMPUTED_VALUE"""),"EXIT")</f>
        <v>EXIT</v>
      </c>
    </row>
    <row r="323">
      <c r="A323" s="35">
        <f>IFERROR(__xludf.DUMMYFUNCTION("""COMPUTED_VALUE"""),46125.53198737269)</f>
        <v>46125.53199</v>
      </c>
      <c r="B323" s="36" t="str">
        <f>IFERROR(__xludf.DUMMYFUNCTION("""COMPUTED_VALUE"""),"WINDOW")</f>
        <v>WINDOW</v>
      </c>
      <c r="C323" s="58" t="str">
        <f>IFERROR(__xludf.DUMMYFUNCTION("""COMPUTED_VALUE"""),"KUNA APTS A")</f>
        <v>KUNA APTS A</v>
      </c>
      <c r="D323" s="36" t="str">
        <f>IFERROR(__xludf.DUMMYFUNCTION("""COMPUTED_VALUE"""),"DEL")</f>
        <v>DEL</v>
      </c>
      <c r="E323" s="27"/>
      <c r="F323" s="36">
        <f>IFERROR(__xludf.DUMMYFUNCTION("""COMPUTED_VALUE"""),-90.0)</f>
        <v>-90</v>
      </c>
      <c r="G323" s="59" t="str">
        <f>IFERROR(__xludf.DUMMYFUNCTION("""COMPUTED_VALUE"""),"UNIT")</f>
        <v>UNIT</v>
      </c>
      <c r="H323" s="59">
        <f>IFERROR(__xludf.DUMMYFUNCTION("""COMPUTED_VALUE"""),46125.0)</f>
        <v>46125</v>
      </c>
      <c r="I323" s="27" t="str">
        <f>IFERROR(__xludf.DUMMYFUNCTION("""COMPUTED_VALUE"""),"C")</f>
        <v>C</v>
      </c>
      <c r="K323" s="30"/>
      <c r="L323" s="30" t="str">
        <f>IFERROR(__xludf.DUMMYFUNCTION("""COMPUTED_VALUE"""),"DISPATCHED")</f>
        <v>DISPATCHED</v>
      </c>
      <c r="M323" s="27" t="str">
        <f>IFERROR(__xludf.DUMMYFUNCTION("""COMPUTED_VALUE"""),"BUDA TEAM")</f>
        <v>BUDA TEAM</v>
      </c>
      <c r="N323" s="27" t="str">
        <f>IFERROR(__xludf.DUMMYFUNCTION("""COMPUTED_VALUE"""),"KUNA APTS A")</f>
        <v>KUNA APTS A</v>
      </c>
      <c r="O323" s="27" t="str">
        <f>IFERROR(__xludf.DUMMYFUNCTION("""COMPUTED_VALUE"""),"WINDOW|||KUNA APTS A")</f>
        <v>WINDOW|||KUNA APTS A</v>
      </c>
      <c r="P323" s="27"/>
      <c r="Q323" s="27" t="str">
        <f>IFERROR(__xludf.DUMMYFUNCTION("""COMPUTED_VALUE"""),"jose@ox-glass.com")</f>
        <v>jose@ox-glass.com</v>
      </c>
      <c r="R323" s="27" t="str">
        <f>IFERROR(__xludf.DUMMYFUNCTION("""COMPUTED_VALUE"""),"KUNA APTS A")</f>
        <v>KUNA APTS A</v>
      </c>
      <c r="S323" s="27" t="str">
        <f>IFERROR(__xludf.DUMMYFUNCTION("""COMPUTED_VALUE"""),"EXIT")</f>
        <v>EXIT</v>
      </c>
    </row>
    <row r="324">
      <c r="A324" s="35">
        <f>IFERROR(__xludf.DUMMYFUNCTION("""COMPUTED_VALUE"""),46125.386915613424)</f>
        <v>46125.38692</v>
      </c>
      <c r="B324" s="36" t="str">
        <f>IFERROR(__xludf.DUMMYFUNCTION("""COMPUTED_VALUE"""),"WINDOW")</f>
        <v>WINDOW</v>
      </c>
      <c r="C324" s="58" t="str">
        <f>IFERROR(__xludf.DUMMYFUNCTION("""COMPUTED_VALUE"""),"OLAYAN RESIDENCE")</f>
        <v>OLAYAN RESIDENCE</v>
      </c>
      <c r="D324" s="36"/>
      <c r="E324" s="27"/>
      <c r="F324" s="36">
        <f>IFERROR(__xludf.DUMMYFUNCTION("""COMPUTED_VALUE"""),-85.0)</f>
        <v>-85</v>
      </c>
      <c r="G324" s="59" t="str">
        <f>IFERROR(__xludf.DUMMYFUNCTION("""COMPUTED_VALUE"""),"UNIT")</f>
        <v>UNIT</v>
      </c>
      <c r="H324" s="59">
        <f>IFERROR(__xludf.DUMMYFUNCTION("""COMPUTED_VALUE"""),46111.0)</f>
        <v>46111</v>
      </c>
      <c r="I324" s="27" t="str">
        <f>IFERROR(__xludf.DUMMYFUNCTION("""COMPUTED_VALUE"""),"A1A - A2A - A3A")</f>
        <v>A1A - A2A - A3A</v>
      </c>
      <c r="K324" s="30"/>
      <c r="L324" s="30" t="str">
        <f>IFERROR(__xludf.DUMMYFUNCTION("""COMPUTED_VALUE"""),"DISPATCHED")</f>
        <v>DISPATCHED</v>
      </c>
      <c r="M324" s="27" t="str">
        <f>IFERROR(__xludf.DUMMYFUNCTION("""COMPUTED_VALUE"""),"BUDA TEAM")</f>
        <v>BUDA TEAM</v>
      </c>
      <c r="N324" s="27" t="str">
        <f>IFERROR(__xludf.DUMMYFUNCTION("""COMPUTED_VALUE"""),"OLAYAN RESIDENCE")</f>
        <v>OLAYAN RESIDENCE</v>
      </c>
      <c r="O324" s="27" t="str">
        <f>IFERROR(__xludf.DUMMYFUNCTION("""COMPUTED_VALUE"""),"WINDOW|||OLAYAN RESIDENCE")</f>
        <v>WINDOW|||OLAYAN RESIDENCE</v>
      </c>
      <c r="P324" s="27"/>
      <c r="Q324" s="27" t="str">
        <f>IFERROR(__xludf.DUMMYFUNCTION("""COMPUTED_VALUE"""),"jose@ox-glass.com")</f>
        <v>jose@ox-glass.com</v>
      </c>
      <c r="R324" s="27" t="str">
        <f>IFERROR(__xludf.DUMMYFUNCTION("""COMPUTED_VALUE"""),"OLAYAN RESIDENCE")</f>
        <v>OLAYAN RESIDENCE</v>
      </c>
      <c r="S324" s="27" t="str">
        <f>IFERROR(__xludf.DUMMYFUNCTION("""COMPUTED_VALUE"""),"EXIT")</f>
        <v>EXIT</v>
      </c>
    </row>
    <row r="325">
      <c r="A325" s="35">
        <f>IFERROR(__xludf.DUMMYFUNCTION("""COMPUTED_VALUE"""),46125.37859821759)</f>
        <v>46125.3786</v>
      </c>
      <c r="B325" s="36" t="str">
        <f>IFERROR(__xludf.DUMMYFUNCTION("""COMPUTED_VALUE"""),"WINDOW")</f>
        <v>WINDOW</v>
      </c>
      <c r="C325" s="58" t="str">
        <f>IFERROR(__xludf.DUMMYFUNCTION("""COMPUTED_VALUE"""),"ACC STUDENT HOUSING")</f>
        <v>ACC STUDENT HOUSING</v>
      </c>
      <c r="D325" s="36"/>
      <c r="E325" s="27"/>
      <c r="F325" s="36">
        <f>IFERROR(__xludf.DUMMYFUNCTION("""COMPUTED_VALUE"""),1.0)</f>
        <v>1</v>
      </c>
      <c r="G325" s="59" t="str">
        <f>IFERROR(__xludf.DUMMYFUNCTION("""COMPUTED_VALUE"""),"UNIT")</f>
        <v>UNIT</v>
      </c>
      <c r="H325" s="59">
        <f>IFERROR(__xludf.DUMMYFUNCTION("""COMPUTED_VALUE"""),46125.0)</f>
        <v>46125</v>
      </c>
      <c r="I325" s="27" t="str">
        <f>IFERROR(__xludf.DUMMYFUNCTION("""COMPUTED_VALUE"""),"B6A")</f>
        <v>B6A</v>
      </c>
      <c r="K325" s="30" t="str">
        <f>IFERROR(__xludf.DUMMYFUNCTION("""COMPUTED_VALUE"""),"WHITE/BLACK SASH 39 1/2 X 79 1/2")</f>
        <v>WHITE/BLACK SASH 39 1/2 X 79 1/2</v>
      </c>
      <c r="L325" s="30" t="str">
        <f>IFERROR(__xludf.DUMMYFUNCTION("""COMPUTED_VALUE"""),"IN STOCK")</f>
        <v>IN STOCK</v>
      </c>
      <c r="M325" s="27" t="str">
        <f>IFERROR(__xludf.DUMMYFUNCTION("""COMPUTED_VALUE"""),"JOSE C.")</f>
        <v>JOSE C.</v>
      </c>
      <c r="N325" s="27" t="str">
        <f>IFERROR(__xludf.DUMMYFUNCTION("""COMPUTED_VALUE"""),"ACC STUDENT HOUSING")</f>
        <v>ACC STUDENT HOUSING</v>
      </c>
      <c r="O325" s="27" t="str">
        <f>IFERROR(__xludf.DUMMYFUNCTION("""COMPUTED_VALUE"""),"WINDOW|||ACC STUDENT HOUSING")</f>
        <v>WINDOW|||ACC STUDENT HOUSING</v>
      </c>
      <c r="P325" s="27"/>
      <c r="Q325" s="27"/>
      <c r="R325" s="27" t="str">
        <f>IFERROR(__xludf.DUMMYFUNCTION("""COMPUTED_VALUE"""),"B6A")</f>
        <v>B6A</v>
      </c>
      <c r="S325" s="27" t="str">
        <f>IFERROR(__xludf.DUMMYFUNCTION("""COMPUTED_VALUE"""),"EXIT")</f>
        <v>EXIT</v>
      </c>
    </row>
    <row r="326">
      <c r="A326" s="35">
        <f>IFERROR(__xludf.DUMMYFUNCTION("""COMPUTED_VALUE"""),46122.400015115745)</f>
        <v>46122.40002</v>
      </c>
      <c r="B326" s="36" t="str">
        <f>IFERROR(__xludf.DUMMYFUNCTION("""COMPUTED_VALUE"""),"WINDOW")</f>
        <v>WINDOW</v>
      </c>
      <c r="C326" s="58" t="str">
        <f>IFERROR(__xludf.DUMMYFUNCTION("""COMPUTED_VALUE"""),"KUNA APTS B")</f>
        <v>KUNA APTS B</v>
      </c>
      <c r="D326" s="36" t="str">
        <f>IFERROR(__xludf.DUMMYFUNCTION("""COMPUTED_VALUE"""),"DEL")</f>
        <v>DEL</v>
      </c>
      <c r="E326" s="27"/>
      <c r="F326" s="36">
        <f>IFERROR(__xludf.DUMMYFUNCTION("""COMPUTED_VALUE"""),90.0)</f>
        <v>90</v>
      </c>
      <c r="G326" s="59" t="str">
        <f>IFERROR(__xludf.DUMMYFUNCTION("""COMPUTED_VALUE"""),"UNIT")</f>
        <v>UNIT</v>
      </c>
      <c r="H326" s="59">
        <f>IFERROR(__xludf.DUMMYFUNCTION("""COMPUTED_VALUE"""),46122.0)</f>
        <v>46122</v>
      </c>
      <c r="I326" s="27" t="str">
        <f>IFERROR(__xludf.DUMMYFUNCTION("""COMPUTED_VALUE"""),"B")</f>
        <v>B</v>
      </c>
      <c r="K326" s="30"/>
      <c r="L326" s="30" t="str">
        <f>IFERROR(__xludf.DUMMYFUNCTION("""COMPUTED_VALUE"""),"IN STOCK")</f>
        <v>IN STOCK</v>
      </c>
      <c r="M326" s="27"/>
      <c r="N326" s="27"/>
      <c r="O326" s="27" t="str">
        <f>IFERROR(__xludf.DUMMYFUNCTION("""COMPUTED_VALUE"""),"WINDOW|||KUNA APTS B")</f>
        <v>WINDOW|||KUNA APTS B</v>
      </c>
      <c r="P326" s="27"/>
      <c r="Q326" s="27" t="str">
        <f>IFERROR(__xludf.DUMMYFUNCTION("""COMPUTED_VALUE"""),"jose@ox-glass.com")</f>
        <v>jose@ox-glass.com</v>
      </c>
      <c r="R326" s="27" t="str">
        <f>IFERROR(__xludf.DUMMYFUNCTION("""COMPUTED_VALUE"""),"B")</f>
        <v>B</v>
      </c>
      <c r="S326" s="27" t="str">
        <f>IFERROR(__xludf.DUMMYFUNCTION("""COMPUTED_VALUE"""),"ENTRY")</f>
        <v>ENTRY</v>
      </c>
    </row>
    <row r="327">
      <c r="A327" s="35">
        <f>IFERROR(__xludf.DUMMYFUNCTION("""COMPUTED_VALUE"""),46122.400015115745)</f>
        <v>46122.40002</v>
      </c>
      <c r="B327" s="36" t="str">
        <f>IFERROR(__xludf.DUMMYFUNCTION("""COMPUTED_VALUE"""),"WINDOW")</f>
        <v>WINDOW</v>
      </c>
      <c r="C327" s="58" t="str">
        <f>IFERROR(__xludf.DUMMYFUNCTION("""COMPUTED_VALUE"""),"KUNA APTS B")</f>
        <v>KUNA APTS B</v>
      </c>
      <c r="D327" s="36" t="str">
        <f>IFERROR(__xludf.DUMMYFUNCTION("""COMPUTED_VALUE"""),"DEL")</f>
        <v>DEL</v>
      </c>
      <c r="E327" s="27"/>
      <c r="F327" s="36">
        <f>IFERROR(__xludf.DUMMYFUNCTION("""COMPUTED_VALUE"""),90.0)</f>
        <v>90</v>
      </c>
      <c r="G327" s="59" t="str">
        <f>IFERROR(__xludf.DUMMYFUNCTION("""COMPUTED_VALUE"""),"UNIT")</f>
        <v>UNIT</v>
      </c>
      <c r="H327" s="59">
        <f>IFERROR(__xludf.DUMMYFUNCTION("""COMPUTED_VALUE"""),46122.0)</f>
        <v>46122</v>
      </c>
      <c r="I327" s="27" t="str">
        <f>IFERROR(__xludf.DUMMYFUNCTION("""COMPUTED_VALUE"""),"C")</f>
        <v>C</v>
      </c>
      <c r="K327" s="30"/>
      <c r="L327" s="30" t="str">
        <f>IFERROR(__xludf.DUMMYFUNCTION("""COMPUTED_VALUE"""),"IN STOCK")</f>
        <v>IN STOCK</v>
      </c>
      <c r="M327" s="27"/>
      <c r="N327" s="27"/>
      <c r="O327" s="27" t="str">
        <f>IFERROR(__xludf.DUMMYFUNCTION("""COMPUTED_VALUE"""),"WINDOW|||KUNA APTS B")</f>
        <v>WINDOW|||KUNA APTS B</v>
      </c>
      <c r="P327" s="27"/>
      <c r="Q327" s="27" t="str">
        <f>IFERROR(__xludf.DUMMYFUNCTION("""COMPUTED_VALUE"""),"jose@ox-glass.com")</f>
        <v>jose@ox-glass.com</v>
      </c>
      <c r="R327" s="27" t="str">
        <f>IFERROR(__xludf.DUMMYFUNCTION("""COMPUTED_VALUE"""),"C")</f>
        <v>C</v>
      </c>
      <c r="S327" s="27" t="str">
        <f>IFERROR(__xludf.DUMMYFUNCTION("""COMPUTED_VALUE"""),"ENTRY")</f>
        <v>ENTRY</v>
      </c>
    </row>
    <row r="328">
      <c r="A328" s="35">
        <f>IFERROR(__xludf.DUMMYFUNCTION("""COMPUTED_VALUE"""),46122.39926377314)</f>
        <v>46122.39926</v>
      </c>
      <c r="B328" s="36" t="str">
        <f>IFERROR(__xludf.DUMMYFUNCTION("""COMPUTED_VALUE"""),"WINDOW")</f>
        <v>WINDOW</v>
      </c>
      <c r="C328" s="58" t="str">
        <f>IFERROR(__xludf.DUMMYFUNCTION("""COMPUTED_VALUE"""),"KUNA APTS A")</f>
        <v>KUNA APTS A</v>
      </c>
      <c r="D328" s="36" t="str">
        <f>IFERROR(__xludf.DUMMYFUNCTION("""COMPUTED_VALUE"""),"DEL")</f>
        <v>DEL</v>
      </c>
      <c r="E328" s="27"/>
      <c r="F328" s="36">
        <f>IFERROR(__xludf.DUMMYFUNCTION("""COMPUTED_VALUE"""),90.0)</f>
        <v>90</v>
      </c>
      <c r="G328" s="59" t="str">
        <f>IFERROR(__xludf.DUMMYFUNCTION("""COMPUTED_VALUE"""),"UNIT")</f>
        <v>UNIT</v>
      </c>
      <c r="H328" s="59">
        <f>IFERROR(__xludf.DUMMYFUNCTION("""COMPUTED_VALUE"""),46122.0)</f>
        <v>46122</v>
      </c>
      <c r="I328" s="27" t="str">
        <f>IFERROR(__xludf.DUMMYFUNCTION("""COMPUTED_VALUE"""),"B")</f>
        <v>B</v>
      </c>
      <c r="K328" s="30"/>
      <c r="L328" s="30" t="str">
        <f>IFERROR(__xludf.DUMMYFUNCTION("""COMPUTED_VALUE"""),"IN STOCK")</f>
        <v>IN STOCK</v>
      </c>
      <c r="M328" s="27"/>
      <c r="N328" s="27"/>
      <c r="O328" s="27" t="str">
        <f>IFERROR(__xludf.DUMMYFUNCTION("""COMPUTED_VALUE"""),"WINDOW|||KUNA APTS A")</f>
        <v>WINDOW|||KUNA APTS A</v>
      </c>
      <c r="P328" s="27"/>
      <c r="Q328" s="27" t="str">
        <f>IFERROR(__xludf.DUMMYFUNCTION("""COMPUTED_VALUE"""),"jose@ox-glass.com")</f>
        <v>jose@ox-glass.com</v>
      </c>
      <c r="R328" s="27" t="str">
        <f>IFERROR(__xludf.DUMMYFUNCTION("""COMPUTED_VALUE"""),"B")</f>
        <v>B</v>
      </c>
      <c r="S328" s="27" t="str">
        <f>IFERROR(__xludf.DUMMYFUNCTION("""COMPUTED_VALUE"""),"ENTRY")</f>
        <v>ENTRY</v>
      </c>
    </row>
    <row r="329">
      <c r="A329" s="35">
        <f>IFERROR(__xludf.DUMMYFUNCTION("""COMPUTED_VALUE"""),46122.39926377314)</f>
        <v>46122.39926</v>
      </c>
      <c r="B329" s="36" t="str">
        <f>IFERROR(__xludf.DUMMYFUNCTION("""COMPUTED_VALUE"""),"WINDOW")</f>
        <v>WINDOW</v>
      </c>
      <c r="C329" s="58" t="str">
        <f>IFERROR(__xludf.DUMMYFUNCTION("""COMPUTED_VALUE"""),"KUNA APTS A")</f>
        <v>KUNA APTS A</v>
      </c>
      <c r="D329" s="36" t="str">
        <f>IFERROR(__xludf.DUMMYFUNCTION("""COMPUTED_VALUE"""),"DEL")</f>
        <v>DEL</v>
      </c>
      <c r="E329" s="27"/>
      <c r="F329" s="36">
        <f>IFERROR(__xludf.DUMMYFUNCTION("""COMPUTED_VALUE"""),90.0)</f>
        <v>90</v>
      </c>
      <c r="G329" s="59" t="str">
        <f>IFERROR(__xludf.DUMMYFUNCTION("""COMPUTED_VALUE"""),"UNIT")</f>
        <v>UNIT</v>
      </c>
      <c r="H329" s="59">
        <f>IFERROR(__xludf.DUMMYFUNCTION("""COMPUTED_VALUE"""),46122.0)</f>
        <v>46122</v>
      </c>
      <c r="I329" s="27" t="str">
        <f>IFERROR(__xludf.DUMMYFUNCTION("""COMPUTED_VALUE"""),"C")</f>
        <v>C</v>
      </c>
      <c r="K329" s="30"/>
      <c r="L329" s="30" t="str">
        <f>IFERROR(__xludf.DUMMYFUNCTION("""COMPUTED_VALUE"""),"IN STOCK")</f>
        <v>IN STOCK</v>
      </c>
      <c r="M329" s="27"/>
      <c r="N329" s="27"/>
      <c r="O329" s="27" t="str">
        <f>IFERROR(__xludf.DUMMYFUNCTION("""COMPUTED_VALUE"""),"WINDOW|||KUNA APTS A")</f>
        <v>WINDOW|||KUNA APTS A</v>
      </c>
      <c r="P329" s="27"/>
      <c r="Q329" s="27" t="str">
        <f>IFERROR(__xludf.DUMMYFUNCTION("""COMPUTED_VALUE"""),"jose@ox-glass.com")</f>
        <v>jose@ox-glass.com</v>
      </c>
      <c r="R329" s="27" t="str">
        <f>IFERROR(__xludf.DUMMYFUNCTION("""COMPUTED_VALUE"""),"C")</f>
        <v>C</v>
      </c>
      <c r="S329" s="27" t="str">
        <f>IFERROR(__xludf.DUMMYFUNCTION("""COMPUTED_VALUE"""),"ENTRY")</f>
        <v>ENTRY</v>
      </c>
    </row>
    <row r="330">
      <c r="A330" s="35">
        <f>IFERROR(__xludf.DUMMYFUNCTION("""COMPUTED_VALUE"""),46115.47254472223)</f>
        <v>46115.47254</v>
      </c>
      <c r="B330" s="36" t="str">
        <f>IFERROR(__xludf.DUMMYFUNCTION("""COMPUTED_VALUE"""),"WINDOW")</f>
        <v>WINDOW</v>
      </c>
      <c r="C330" s="58" t="str">
        <f>IFERROR(__xludf.DUMMYFUNCTION("""COMPUTED_VALUE"""),"WHILOT219")</f>
        <v>WHILOT219</v>
      </c>
      <c r="D330" s="36"/>
      <c r="E330" s="27"/>
      <c r="F330" s="36">
        <f>IFERROR(__xludf.DUMMYFUNCTION("""COMPUTED_VALUE"""),16.0)</f>
        <v>16</v>
      </c>
      <c r="G330" s="59" t="str">
        <f>IFERROR(__xludf.DUMMYFUNCTION("""COMPUTED_VALUE"""),"UNIT")</f>
        <v>UNIT</v>
      </c>
      <c r="H330" s="59">
        <f>IFERROR(__xludf.DUMMYFUNCTION("""COMPUTED_VALUE"""),46115.0)</f>
        <v>46115</v>
      </c>
      <c r="I330" s="27" t="str">
        <f>IFERROR(__xludf.DUMMYFUNCTION("""COMPUTED_VALUE"""),"A2A")</f>
        <v>A2A</v>
      </c>
      <c r="K330" s="30" t="str">
        <f>IFERROR(__xludf.DUMMYFUNCTION("""COMPUTED_VALUE"""),"WHITE WINDOWS")</f>
        <v>WHITE WINDOWS</v>
      </c>
      <c r="L330" s="30" t="str">
        <f>IFERROR(__xludf.DUMMYFUNCTION("""COMPUTED_VALUE"""),"IN STOCK")</f>
        <v>IN STOCK</v>
      </c>
      <c r="M330" s="27"/>
      <c r="N330" s="27" t="str">
        <f>IFERROR(__xludf.DUMMYFUNCTION("""COMPUTED_VALUE"""),"WHITE STAR")</f>
        <v>WHITE STAR</v>
      </c>
      <c r="O330" s="27" t="str">
        <f>IFERROR(__xludf.DUMMYFUNCTION("""COMPUTED_VALUE"""),"WINDOW|||WHILOT219")</f>
        <v>WINDOW|||WHILOT219</v>
      </c>
      <c r="P330" s="27"/>
      <c r="Q330" s="27" t="str">
        <f>IFERROR(__xludf.DUMMYFUNCTION("""COMPUTED_VALUE"""),"jose@ox-glass.com")</f>
        <v>jose@ox-glass.com</v>
      </c>
      <c r="R330" s="27" t="str">
        <f>IFERROR(__xludf.DUMMYFUNCTION("""COMPUTED_VALUE"""),"A2A")</f>
        <v>A2A</v>
      </c>
      <c r="S330" s="27" t="str">
        <f>IFERROR(__xludf.DUMMYFUNCTION("""COMPUTED_VALUE"""),"ENTRY")</f>
        <v>ENTRY</v>
      </c>
    </row>
    <row r="331">
      <c r="A331" s="35">
        <f>IFERROR(__xludf.DUMMYFUNCTION("""COMPUTED_VALUE"""),46115.46879452546)</f>
        <v>46115.46879</v>
      </c>
      <c r="B331" s="36" t="str">
        <f>IFERROR(__xludf.DUMMYFUNCTION("""COMPUTED_VALUE"""),"WINDOW")</f>
        <v>WINDOW</v>
      </c>
      <c r="C331" s="58" t="str">
        <f>IFERROR(__xludf.DUMMYFUNCTION("""COMPUTED_VALUE"""),"WHIASPEN")</f>
        <v>WHIASPEN</v>
      </c>
      <c r="D331" s="36"/>
      <c r="E331" s="27"/>
      <c r="F331" s="36">
        <f>IFERROR(__xludf.DUMMYFUNCTION("""COMPUTED_VALUE"""),16.0)</f>
        <v>16</v>
      </c>
      <c r="G331" s="59" t="str">
        <f>IFERROR(__xludf.DUMMYFUNCTION("""COMPUTED_VALUE"""),"UNIT")</f>
        <v>UNIT</v>
      </c>
      <c r="H331" s="59">
        <f>IFERROR(__xludf.DUMMYFUNCTION("""COMPUTED_VALUE"""),46115.0)</f>
        <v>46115</v>
      </c>
      <c r="I331" s="27" t="str">
        <f>IFERROR(__xludf.DUMMYFUNCTION("""COMPUTED_VALUE"""),"A3A")</f>
        <v>A3A</v>
      </c>
      <c r="K331" s="30" t="str">
        <f>IFERROR(__xludf.DUMMYFUNCTION("""COMPUTED_VALUE"""),"LOT 211")</f>
        <v>LOT 211</v>
      </c>
      <c r="L331" s="30" t="str">
        <f>IFERROR(__xludf.DUMMYFUNCTION("""COMPUTED_VALUE"""),"IN STOCK")</f>
        <v>IN STOCK</v>
      </c>
      <c r="M331" s="27"/>
      <c r="N331" s="27"/>
      <c r="O331" s="27" t="str">
        <f>IFERROR(__xludf.DUMMYFUNCTION("""COMPUTED_VALUE"""),"WINDOW|||WHIASPEN")</f>
        <v>WINDOW|||WHIASPEN</v>
      </c>
      <c r="P331" s="27"/>
      <c r="Q331" s="27"/>
      <c r="R331" s="27"/>
      <c r="S331" s="27"/>
    </row>
    <row r="332">
      <c r="A332" s="35">
        <f>IFERROR(__xludf.DUMMYFUNCTION("""COMPUTED_VALUE"""),46115.465815358795)</f>
        <v>46115.46582</v>
      </c>
      <c r="B332" s="36" t="str">
        <f>IFERROR(__xludf.DUMMYFUNCTION("""COMPUTED_VALUE"""),"WINDOW")</f>
        <v>WINDOW</v>
      </c>
      <c r="C332" s="58" t="str">
        <f>IFERROR(__xludf.DUMMYFUNCTION("""COMPUTED_VALUE"""),"FELT FAMILY DENTAL")</f>
        <v>FELT FAMILY DENTAL</v>
      </c>
      <c r="D332" s="36"/>
      <c r="E332" s="27"/>
      <c r="F332" s="36">
        <f>IFERROR(__xludf.DUMMYFUNCTION("""COMPUTED_VALUE"""),16.0)</f>
        <v>16</v>
      </c>
      <c r="G332" s="59" t="str">
        <f>IFERROR(__xludf.DUMMYFUNCTION("""COMPUTED_VALUE"""),"UNIT")</f>
        <v>UNIT</v>
      </c>
      <c r="H332" s="59">
        <f>IFERROR(__xludf.DUMMYFUNCTION("""COMPUTED_VALUE"""),46115.0)</f>
        <v>46115</v>
      </c>
      <c r="I332" s="27" t="str">
        <f>IFERROR(__xludf.DUMMYFUNCTION("""COMPUTED_VALUE"""),"A2A")</f>
        <v>A2A</v>
      </c>
      <c r="K332" s="30"/>
      <c r="L332" s="30" t="str">
        <f>IFERROR(__xludf.DUMMYFUNCTION("""COMPUTED_VALUE"""),"IN STOCK")</f>
        <v>IN STOCK</v>
      </c>
      <c r="M332" s="27"/>
      <c r="N332" s="27"/>
      <c r="O332" s="27" t="str">
        <f>IFERROR(__xludf.DUMMYFUNCTION("""COMPUTED_VALUE"""),"WINDOW|||FELT FAMILY DENTAL")</f>
        <v>WINDOW|||FELT FAMILY DENTAL</v>
      </c>
      <c r="P332" s="27"/>
      <c r="Q332" s="27"/>
      <c r="R332" s="27"/>
      <c r="S332" s="27"/>
    </row>
    <row r="333">
      <c r="A333" s="35">
        <f>IFERROR(__xludf.DUMMYFUNCTION("""COMPUTED_VALUE"""),46115.46288240741)</f>
        <v>46115.46288</v>
      </c>
      <c r="B333" s="36" t="str">
        <f>IFERROR(__xludf.DUMMYFUNCTION("""COMPUTED_VALUE"""),"WINDOW")</f>
        <v>WINDOW</v>
      </c>
      <c r="C333" s="58" t="str">
        <f>IFERROR(__xludf.DUMMYFUNCTION("""COMPUTED_VALUE"""),"WHILOT224POPPY")</f>
        <v>WHILOT224POPPY</v>
      </c>
      <c r="D333" s="36"/>
      <c r="E333" s="27"/>
      <c r="F333" s="36">
        <f>IFERROR(__xludf.DUMMYFUNCTION("""COMPUTED_VALUE"""),16.0)</f>
        <v>16</v>
      </c>
      <c r="G333" s="59" t="str">
        <f>IFERROR(__xludf.DUMMYFUNCTION("""COMPUTED_VALUE"""),"UNIT")</f>
        <v>UNIT</v>
      </c>
      <c r="H333" s="59">
        <f>IFERROR(__xludf.DUMMYFUNCTION("""COMPUTED_VALUE"""),46115.0)</f>
        <v>46115</v>
      </c>
      <c r="I333" s="27" t="str">
        <f>IFERROR(__xludf.DUMMYFUNCTION("""COMPUTED_VALUE"""),"A3A")</f>
        <v>A3A</v>
      </c>
      <c r="K333" s="30" t="str">
        <f>IFERROR(__xludf.DUMMYFUNCTION("""COMPUTED_VALUE"""),"WHITE WINDOWS")</f>
        <v>WHITE WINDOWS</v>
      </c>
      <c r="L333" s="30" t="str">
        <f>IFERROR(__xludf.DUMMYFUNCTION("""COMPUTED_VALUE"""),"IN STOCK")</f>
        <v>IN STOCK</v>
      </c>
      <c r="M333" s="27"/>
      <c r="N333" s="27" t="str">
        <f>IFERROR(__xludf.DUMMYFUNCTION("""COMPUTED_VALUE"""),"WHITE STAR")</f>
        <v>WHITE STAR</v>
      </c>
      <c r="O333" s="27" t="str">
        <f>IFERROR(__xludf.DUMMYFUNCTION("""COMPUTED_VALUE"""),"WINDOW|||WHILOT224POPPY")</f>
        <v>WINDOW|||WHILOT224POPPY</v>
      </c>
      <c r="P333" s="27"/>
      <c r="Q333" s="27" t="str">
        <f>IFERROR(__xludf.DUMMYFUNCTION("""COMPUTED_VALUE"""),"jose@ox-glass.com")</f>
        <v>jose@ox-glass.com</v>
      </c>
      <c r="R333" s="27" t="str">
        <f>IFERROR(__xludf.DUMMYFUNCTION("""COMPUTED_VALUE"""),"A3A")</f>
        <v>A3A</v>
      </c>
      <c r="S333" s="27" t="str">
        <f>IFERROR(__xludf.DUMMYFUNCTION("""COMPUTED_VALUE"""),"ENTRY")</f>
        <v>ENTRY</v>
      </c>
    </row>
    <row r="334">
      <c r="A334" s="35">
        <f>IFERROR(__xludf.DUMMYFUNCTION("""COMPUTED_VALUE"""),46114.44289349537)</f>
        <v>46114.44289</v>
      </c>
      <c r="B334" s="36" t="str">
        <f>IFERROR(__xludf.DUMMYFUNCTION("""COMPUTED_VALUE"""),"WINDOW")</f>
        <v>WINDOW</v>
      </c>
      <c r="C334" s="58" t="str">
        <f>IFERROR(__xludf.DUMMYFUNCTION("""COMPUTED_VALUE"""),"PV126")</f>
        <v>PV126</v>
      </c>
      <c r="D334" s="36" t="str">
        <f>IFERROR(__xludf.DUMMYFUNCTION("""COMPUTED_VALUE"""),"PAT")</f>
        <v>PAT</v>
      </c>
      <c r="E334" s="27"/>
      <c r="F334" s="36">
        <f>IFERROR(__xludf.DUMMYFUNCTION("""COMPUTED_VALUE"""),28.0)</f>
        <v>28</v>
      </c>
      <c r="G334" s="59" t="str">
        <f>IFERROR(__xludf.DUMMYFUNCTION("""COMPUTED_VALUE"""),"UNIT")</f>
        <v>UNIT</v>
      </c>
      <c r="H334" s="59"/>
      <c r="I334" s="27" t="str">
        <f>IFERROR(__xludf.DUMMYFUNCTION("""COMPUTED_VALUE"""),"C1A")</f>
        <v>C1A</v>
      </c>
      <c r="K334" s="30"/>
      <c r="L334" s="30" t="str">
        <f>IFERROR(__xludf.DUMMYFUNCTION("""COMPUTED_VALUE"""),"IN STOCK")</f>
        <v>IN STOCK</v>
      </c>
      <c r="M334" s="27"/>
      <c r="N334" s="27" t="str">
        <f>IFERROR(__xludf.DUMMYFUNCTION("""COMPUTED_VALUE"""),"PATTERNSON HOMES")</f>
        <v>PATTERNSON HOMES</v>
      </c>
      <c r="O334" s="27" t="str">
        <f>IFERROR(__xludf.DUMMYFUNCTION("""COMPUTED_VALUE"""),"WINDOW|||PV126")</f>
        <v>WINDOW|||PV126</v>
      </c>
      <c r="P334" s="27"/>
      <c r="Q334" s="27" t="str">
        <f>IFERROR(__xludf.DUMMYFUNCTION("""COMPUTED_VALUE"""),"jose@ox-glass.com")</f>
        <v>jose@ox-glass.com</v>
      </c>
      <c r="R334" s="27" t="str">
        <f>IFERROR(__xludf.DUMMYFUNCTION("""COMPUTED_VALUE"""),"C1A")</f>
        <v>C1A</v>
      </c>
      <c r="S334" s="27" t="str">
        <f>IFERROR(__xludf.DUMMYFUNCTION("""COMPUTED_VALUE"""),"ENTRY")</f>
        <v>ENTRY</v>
      </c>
    </row>
    <row r="335">
      <c r="A335" s="35">
        <f>IFERROR(__xludf.DUMMYFUNCTION("""COMPUTED_VALUE"""),46108.329864583335)</f>
        <v>46108.32986</v>
      </c>
      <c r="B335" s="36" t="str">
        <f>IFERROR(__xludf.DUMMYFUNCTION("""COMPUTED_VALUE"""),"WINDOW")</f>
        <v>WINDOW</v>
      </c>
      <c r="C335" s="58" t="str">
        <f>IFERROR(__xludf.DUMMYFUNCTION("""COMPUTED_VALUE"""),"OLAYAN RESIDENCE")</f>
        <v>OLAYAN RESIDENCE</v>
      </c>
      <c r="D335" s="36"/>
      <c r="E335" s="27"/>
      <c r="F335" s="36">
        <f>IFERROR(__xludf.DUMMYFUNCTION("""COMPUTED_VALUE"""),85.0)</f>
        <v>85</v>
      </c>
      <c r="G335" s="59" t="str">
        <f>IFERROR(__xludf.DUMMYFUNCTION("""COMPUTED_VALUE"""),"UNIT")</f>
        <v>UNIT</v>
      </c>
      <c r="H335" s="59">
        <f>IFERROR(__xludf.DUMMYFUNCTION("""COMPUTED_VALUE"""),46087.0)</f>
        <v>46087</v>
      </c>
      <c r="I335" s="27" t="str">
        <f>IFERROR(__xludf.DUMMYFUNCTION("""COMPUTED_VALUE"""),"A1A - A2A - A3A")</f>
        <v>A1A - A2A - A3A</v>
      </c>
      <c r="K335" s="30" t="str">
        <f>IFERROR(__xludf.DUMMYFUNCTION("""COMPUTED_VALUE"""),"AMSCO BLACK/WHITE")</f>
        <v>AMSCO BLACK/WHITE</v>
      </c>
      <c r="L335" s="30" t="str">
        <f>IFERROR(__xludf.DUMMYFUNCTION("""COMPUTED_VALUE"""),"IN STOCK")</f>
        <v>IN STOCK</v>
      </c>
      <c r="M335" s="27"/>
      <c r="N335" s="27"/>
      <c r="O335" s="27" t="str">
        <f>IFERROR(__xludf.DUMMYFUNCTION("""COMPUTED_VALUE"""),"WINDOW|||OLAYAN RESIDENCE")</f>
        <v>WINDOW|||OLAYAN RESIDENCE</v>
      </c>
      <c r="P335" s="27"/>
      <c r="Q335" s="27" t="str">
        <f>IFERROR(__xludf.DUMMYFUNCTION("""COMPUTED_VALUE"""),"jose@ox-glass.com")</f>
        <v>jose@ox-glass.com</v>
      </c>
      <c r="R335" s="27"/>
      <c r="S335" s="27" t="str">
        <f>IFERROR(__xludf.DUMMYFUNCTION("""COMPUTED_VALUE"""),"ENTRY")</f>
        <v>ENTRY</v>
      </c>
    </row>
    <row r="336">
      <c r="A336" s="35">
        <f>IFERROR(__xludf.DUMMYFUNCTION("""COMPUTED_VALUE"""),46107.64744369213)</f>
        <v>46107.64744</v>
      </c>
      <c r="B336" s="36" t="str">
        <f>IFERROR(__xludf.DUMMYFUNCTION("""COMPUTED_VALUE"""),"WINDOW")</f>
        <v>WINDOW</v>
      </c>
      <c r="C336" s="58" t="str">
        <f>IFERROR(__xludf.DUMMYFUNCTION("""COMPUTED_VALUE"""),"PAT AC64 EXTRA")</f>
        <v>PAT AC64 EXTRA</v>
      </c>
      <c r="D336" s="36" t="str">
        <f>IFERROR(__xludf.DUMMYFUNCTION("""COMPUTED_VALUE"""),"PAT")</f>
        <v>PAT</v>
      </c>
      <c r="E336" s="27"/>
      <c r="F336" s="36">
        <f>IFERROR(__xludf.DUMMYFUNCTION("""COMPUTED_VALUE"""),1.0)</f>
        <v>1</v>
      </c>
      <c r="G336" s="59" t="str">
        <f>IFERROR(__xludf.DUMMYFUNCTION("""COMPUTED_VALUE"""),"UNIT")</f>
        <v>UNIT</v>
      </c>
      <c r="H336" s="59">
        <f>IFERROR(__xludf.DUMMYFUNCTION("""COMPUTED_VALUE"""),46082.0)</f>
        <v>46082</v>
      </c>
      <c r="I336" s="27" t="str">
        <f>IFERROR(__xludf.DUMMYFUNCTION("""COMPUTED_VALUE"""),"C4A")</f>
        <v>C4A</v>
      </c>
      <c r="K336" s="30"/>
      <c r="L336" s="30" t="str">
        <f>IFERROR(__xludf.DUMMYFUNCTION("""COMPUTED_VALUE"""),"IN STOCK")</f>
        <v>IN STOCK</v>
      </c>
      <c r="M336" s="27"/>
      <c r="N336" s="27" t="str">
        <f>IFERROR(__xludf.DUMMYFUNCTION("""COMPUTED_VALUE""")," PATTERSON HOMES")</f>
        <v> PATTERSON HOMES</v>
      </c>
      <c r="O336" s="27" t="str">
        <f>IFERROR(__xludf.DUMMYFUNCTION("""COMPUTED_VALUE"""),"WINDOW|||PAT AC64 EXTRA")</f>
        <v>WINDOW|||PAT AC64 EXTRA</v>
      </c>
      <c r="P336" s="27"/>
      <c r="Q336" s="27"/>
      <c r="R336" s="27" t="str">
        <f>IFERROR(__xludf.DUMMYFUNCTION("""COMPUTED_VALUE"""),"C4A")</f>
        <v>C4A</v>
      </c>
      <c r="S336" s="27" t="str">
        <f>IFERROR(__xludf.DUMMYFUNCTION("""COMPUTED_VALUE"""),"ENTRY")</f>
        <v>ENTRY</v>
      </c>
    </row>
    <row r="337">
      <c r="A337" s="35">
        <f>IFERROR(__xludf.DUMMYFUNCTION("""COMPUTED_VALUE"""),46107.64744369213)</f>
        <v>46107.64744</v>
      </c>
      <c r="B337" s="36" t="str">
        <f>IFERROR(__xludf.DUMMYFUNCTION("""COMPUTED_VALUE"""),"WINDOW")</f>
        <v>WINDOW</v>
      </c>
      <c r="C337" s="58" t="str">
        <f>IFERROR(__xludf.DUMMYFUNCTION("""COMPUTED_VALUE"""),"PAT AC64 EXTRA")</f>
        <v>PAT AC64 EXTRA</v>
      </c>
      <c r="D337" s="36" t="str">
        <f>IFERROR(__xludf.DUMMYFUNCTION("""COMPUTED_VALUE"""),"PAT")</f>
        <v>PAT</v>
      </c>
      <c r="E337" s="27"/>
      <c r="F337" s="36">
        <f>IFERROR(__xludf.DUMMYFUNCTION("""COMPUTED_VALUE"""),-1.0)</f>
        <v>-1</v>
      </c>
      <c r="G337" s="59" t="str">
        <f>IFERROR(__xludf.DUMMYFUNCTION("""COMPUTED_VALUE"""),"UNIT")</f>
        <v>UNIT</v>
      </c>
      <c r="H337" s="59">
        <f>IFERROR(__xludf.DUMMYFUNCTION("""COMPUTED_VALUE"""),46082.0)</f>
        <v>46082</v>
      </c>
      <c r="I337" s="27" t="str">
        <f>IFERROR(__xludf.DUMMYFUNCTION("""COMPUTED_VALUE"""),"C4A")</f>
        <v>C4A</v>
      </c>
      <c r="K337" s="30"/>
      <c r="L337" s="30" t="str">
        <f>IFERROR(__xludf.DUMMYFUNCTION("""COMPUTED_VALUE"""),"DISPATCHED")</f>
        <v>DISPATCHED</v>
      </c>
      <c r="M337" s="27"/>
      <c r="N337" s="27" t="str">
        <f>IFERROR(__xludf.DUMMYFUNCTION("""COMPUTED_VALUE""")," PATTERSON HOMES")</f>
        <v> PATTERSON HOMES</v>
      </c>
      <c r="O337" s="27" t="str">
        <f>IFERROR(__xludf.DUMMYFUNCTION("""COMPUTED_VALUE"""),"WINDOW|||PAT AC64 EXTRA")</f>
        <v>WINDOW|||PAT AC64 EXTRA</v>
      </c>
      <c r="P337" s="27"/>
      <c r="Q337" s="27"/>
      <c r="R337" s="27" t="str">
        <f>IFERROR(__xludf.DUMMYFUNCTION("""COMPUTED_VALUE"""),"PAT AC64 EXTRA")</f>
        <v>PAT AC64 EXTRA</v>
      </c>
      <c r="S337" s="27" t="str">
        <f>IFERROR(__xludf.DUMMYFUNCTION("""COMPUTED_VALUE"""),"EXIT")</f>
        <v>EXIT</v>
      </c>
    </row>
    <row r="338">
      <c r="A338" s="35">
        <f>IFERROR(__xludf.DUMMYFUNCTION("""COMPUTED_VALUE"""),46107.64560185185)</f>
        <v>46107.6456</v>
      </c>
      <c r="B338" s="36" t="str">
        <f>IFERROR(__xludf.DUMMYFUNCTION("""COMPUTED_VALUE"""),"WINDOW")</f>
        <v>WINDOW</v>
      </c>
      <c r="C338" s="58" t="str">
        <f>IFERROR(__xludf.DUMMYFUNCTION("""COMPUTED_VALUE"""),"LGI REDROCK DISCOUNT")</f>
        <v>LGI REDROCK DISCOUNT</v>
      </c>
      <c r="D338" s="36" t="str">
        <f>IFERROR(__xludf.DUMMYFUNCTION("""COMPUTED_VALUE"""),"LGI")</f>
        <v>LGI</v>
      </c>
      <c r="E338" s="27"/>
      <c r="F338" s="36">
        <f>IFERROR(__xludf.DUMMYFUNCTION("""COMPUTED_VALUE"""),29.0)</f>
        <v>29</v>
      </c>
      <c r="G338" s="59" t="str">
        <f>IFERROR(__xludf.DUMMYFUNCTION("""COMPUTED_VALUE"""),"UNIT")</f>
        <v>UNIT</v>
      </c>
      <c r="H338" s="59">
        <f>IFERROR(__xludf.DUMMYFUNCTION("""COMPUTED_VALUE"""),46107.0)</f>
        <v>46107</v>
      </c>
      <c r="I338" s="27" t="str">
        <f>IFERROR(__xludf.DUMMYFUNCTION("""COMPUTED_VALUE"""),"C5A")</f>
        <v>C5A</v>
      </c>
      <c r="K338" s="30" t="str">
        <f>IFERROR(__xludf.DUMMYFUNCTION("""COMPUTED_VALUE"""),"unloaded by the window installers, they previously unloaded windows at ---- from the same semi truck")</f>
        <v>unloaded by the window installers, they previously unloaded windows at ---- from the same semi truck</v>
      </c>
      <c r="L338" s="30" t="str">
        <f>IFERROR(__xludf.DUMMYFUNCTION("""COMPUTED_VALUE"""),"IN STOCK")</f>
        <v>IN STOCK</v>
      </c>
      <c r="M338" s="27"/>
      <c r="N338" s="27" t="str">
        <f>IFERROR(__xludf.DUMMYFUNCTION("""COMPUTED_VALUE"""),"LGI REDROCK DISCOUNT")</f>
        <v>LGI REDROCK DISCOUNT</v>
      </c>
      <c r="O338" s="27" t="str">
        <f>IFERROR(__xludf.DUMMYFUNCTION("""COMPUTED_VALUE"""),"WINDOW|||LGI REDROCK DISCOUNT")</f>
        <v>WINDOW|||LGI REDROCK DISCOUNT</v>
      </c>
      <c r="P338" s="27"/>
      <c r="Q338" s="27" t="str">
        <f>IFERROR(__xludf.DUMMYFUNCTION("""COMPUTED_VALUE"""),"jose@ox-glass.com")</f>
        <v>jose@ox-glass.com</v>
      </c>
      <c r="R338" s="27" t="str">
        <f>IFERROR(__xludf.DUMMYFUNCTION("""COMPUTED_VALUE"""),"C5A")</f>
        <v>C5A</v>
      </c>
      <c r="S338" s="27" t="str">
        <f>IFERROR(__xludf.DUMMYFUNCTION("""COMPUTED_VALUE"""),"ENTRY")</f>
        <v>ENTRY</v>
      </c>
    </row>
    <row r="339">
      <c r="A339" s="35">
        <f>IFERROR(__xludf.DUMMYFUNCTION("""COMPUTED_VALUE"""),46107.64553789351)</f>
        <v>46107.64554</v>
      </c>
      <c r="B339" s="36" t="str">
        <f>IFERROR(__xludf.DUMMYFUNCTION("""COMPUTED_VALUE"""),"WINDOW")</f>
        <v>WINDOW</v>
      </c>
      <c r="C339" s="58" t="str">
        <f>IFERROR(__xludf.DUMMYFUNCTION("""COMPUTED_VALUE"""),"LGI REDROCK DISCOUNT")</f>
        <v>LGI REDROCK DISCOUNT</v>
      </c>
      <c r="D339" s="36" t="str">
        <f>IFERROR(__xludf.DUMMYFUNCTION("""COMPUTED_VALUE"""),"LGI")</f>
        <v>LGI</v>
      </c>
      <c r="E339" s="27"/>
      <c r="F339" s="36">
        <f>IFERROR(__xludf.DUMMYFUNCTION("""COMPUTED_VALUE"""),25.0)</f>
        <v>25</v>
      </c>
      <c r="G339" s="59" t="str">
        <f>IFERROR(__xludf.DUMMYFUNCTION("""COMPUTED_VALUE"""),"UNIT")</f>
        <v>UNIT</v>
      </c>
      <c r="H339" s="59">
        <f>IFERROR(__xludf.DUMMYFUNCTION("""COMPUTED_VALUE"""),46107.0)</f>
        <v>46107</v>
      </c>
      <c r="I339" s="27" t="str">
        <f>IFERROR(__xludf.DUMMYFUNCTION("""COMPUTED_VALUE"""),"B5A")</f>
        <v>B5A</v>
      </c>
      <c r="K339" s="30" t="str">
        <f>IFERROR(__xludf.DUMMYFUNCTION("""COMPUTED_VALUE"""),"unloaded by the window installers, they previously unloaded windows at ---- from the same semi truck")</f>
        <v>unloaded by the window installers, they previously unloaded windows at ---- from the same semi truck</v>
      </c>
      <c r="L339" s="30" t="str">
        <f>IFERROR(__xludf.DUMMYFUNCTION("""COMPUTED_VALUE"""),"IN STOCK")</f>
        <v>IN STOCK</v>
      </c>
      <c r="M339" s="27"/>
      <c r="N339" s="27" t="str">
        <f>IFERROR(__xludf.DUMMYFUNCTION("""COMPUTED_VALUE"""),"LGI REDROCK DISCOUNT")</f>
        <v>LGI REDROCK DISCOUNT</v>
      </c>
      <c r="O339" s="27" t="str">
        <f>IFERROR(__xludf.DUMMYFUNCTION("""COMPUTED_VALUE"""),"WINDOW|||LGI REDROCK DISCOUNT")</f>
        <v>WINDOW|||LGI REDROCK DISCOUNT</v>
      </c>
      <c r="P339" s="27"/>
      <c r="Q339" s="27" t="str">
        <f>IFERROR(__xludf.DUMMYFUNCTION("""COMPUTED_VALUE"""),"jose@ox-glass.com")</f>
        <v>jose@ox-glass.com</v>
      </c>
      <c r="R339" s="27" t="str">
        <f>IFERROR(__xludf.DUMMYFUNCTION("""COMPUTED_VALUE"""),"B5A")</f>
        <v>B5A</v>
      </c>
      <c r="S339" s="27" t="str">
        <f>IFERROR(__xludf.DUMMYFUNCTION("""COMPUTED_VALUE"""),"ENTRY")</f>
        <v>ENTRY</v>
      </c>
    </row>
    <row r="340">
      <c r="A340" s="35">
        <f>IFERROR(__xludf.DUMMYFUNCTION("""COMPUTED_VALUE"""),46107.62091636574)</f>
        <v>46107.62092</v>
      </c>
      <c r="B340" s="36" t="str">
        <f>IFERROR(__xludf.DUMMYFUNCTION("""COMPUTED_VALUE"""),"WINDOW")</f>
        <v>WINDOW</v>
      </c>
      <c r="C340" s="58" t="str">
        <f>IFERROR(__xludf.DUMMYFUNCTION("""COMPUTED_VALUE"""),"HFLot154")</f>
        <v>HFLot154</v>
      </c>
      <c r="D340" s="36"/>
      <c r="E340" s="27"/>
      <c r="F340" s="36">
        <f>IFERROR(__xludf.DUMMYFUNCTION("""COMPUTED_VALUE"""),18.0)</f>
        <v>18</v>
      </c>
      <c r="G340" s="59" t="str">
        <f>IFERROR(__xludf.DUMMYFUNCTION("""COMPUTED_VALUE"""),"UNIT")</f>
        <v>UNIT</v>
      </c>
      <c r="H340" s="59">
        <f>IFERROR(__xludf.DUMMYFUNCTION("""COMPUTED_VALUE"""),46079.0)</f>
        <v>46079</v>
      </c>
      <c r="I340" s="27" t="str">
        <f>IFERROR(__xludf.DUMMYFUNCTION("""COMPUTED_VALUE"""),"B1A")</f>
        <v>B1A</v>
      </c>
      <c r="K340" s="30" t="str">
        <f>IFERROR(__xludf.DUMMYFUNCTION("""COMPUTED_VALUE"""),"Allside-white")</f>
        <v>Allside-white</v>
      </c>
      <c r="L340" s="30" t="str">
        <f>IFERROR(__xludf.DUMMYFUNCTION("""COMPUTED_VALUE"""),"IN STOCK")</f>
        <v>IN STOCK</v>
      </c>
      <c r="M340" s="27"/>
      <c r="N340" s="27" t="str">
        <f>IFERROR(__xludf.DUMMYFUNCTION("""COMPUTED_VALUE"""),"HFLot154")</f>
        <v>HFLot154</v>
      </c>
      <c r="O340" s="27" t="str">
        <f>IFERROR(__xludf.DUMMYFUNCTION("""COMPUTED_VALUE"""),"WINDOW|||HFLOT154")</f>
        <v>WINDOW|||HFLOT154</v>
      </c>
      <c r="P340" s="27"/>
      <c r="Q340" s="27" t="str">
        <f>IFERROR(__xludf.DUMMYFUNCTION("""COMPUTED_VALUE"""),"jose@ox-glass.com")</f>
        <v>jose@ox-glass.com</v>
      </c>
      <c r="R340" s="27" t="str">
        <f>IFERROR(__xludf.DUMMYFUNCTION("""COMPUTED_VALUE"""),"B1A")</f>
        <v>B1A</v>
      </c>
      <c r="S340" s="27" t="str">
        <f>IFERROR(__xludf.DUMMYFUNCTION("""COMPUTED_VALUE"""),"ENTRY")</f>
        <v>ENTRY</v>
      </c>
    </row>
    <row r="341">
      <c r="A341" s="35">
        <f>IFERROR(__xludf.DUMMYFUNCTION("""COMPUTED_VALUE"""),46107.618993449076)</f>
        <v>46107.61899</v>
      </c>
      <c r="B341" s="36" t="str">
        <f>IFERROR(__xludf.DUMMYFUNCTION("""COMPUTED_VALUE"""),"WINDOW")</f>
        <v>WINDOW</v>
      </c>
      <c r="C341" s="58" t="str">
        <f>IFERROR(__xludf.DUMMYFUNCTION("""COMPUTED_VALUE"""),"PAT PVS4")</f>
        <v>PAT PVS4</v>
      </c>
      <c r="D341" s="36" t="str">
        <f>IFERROR(__xludf.DUMMYFUNCTION("""COMPUTED_VALUE"""),"PAT")</f>
        <v>PAT</v>
      </c>
      <c r="E341" s="27"/>
      <c r="F341" s="36">
        <f>IFERROR(__xludf.DUMMYFUNCTION("""COMPUTED_VALUE"""),19.0)</f>
        <v>19</v>
      </c>
      <c r="G341" s="59" t="str">
        <f>IFERROR(__xludf.DUMMYFUNCTION("""COMPUTED_VALUE"""),"UNIT")</f>
        <v>UNIT</v>
      </c>
      <c r="H341" s="59">
        <f>IFERROR(__xludf.DUMMYFUNCTION("""COMPUTED_VALUE"""),46069.0)</f>
        <v>46069</v>
      </c>
      <c r="I341" s="27" t="str">
        <f>IFERROR(__xludf.DUMMYFUNCTION("""COMPUTED_VALUE"""),"B2A")</f>
        <v>B2A</v>
      </c>
      <c r="K341" s="30" t="str">
        <f>IFERROR(__xludf.DUMMYFUNCTION("""COMPUTED_VALUE"""),"White WINDOWS")</f>
        <v>White WINDOWS</v>
      </c>
      <c r="L341" s="30" t="str">
        <f>IFERROR(__xludf.DUMMYFUNCTION("""COMPUTED_VALUE"""),"IN STOCK")</f>
        <v>IN STOCK</v>
      </c>
      <c r="M341" s="27"/>
      <c r="N341" s="27" t="str">
        <f>IFERROR(__xludf.DUMMYFUNCTION("""COMPUTED_VALUE""")," PATTERSON HOMES")</f>
        <v> PATTERSON HOMES</v>
      </c>
      <c r="O341" s="27" t="str">
        <f>IFERROR(__xludf.DUMMYFUNCTION("""COMPUTED_VALUE"""),"WINDOW|||PAT PVS4")</f>
        <v>WINDOW|||PAT PVS4</v>
      </c>
      <c r="P341" s="27"/>
      <c r="Q341" s="27" t="str">
        <f>IFERROR(__xludf.DUMMYFUNCTION("""COMPUTED_VALUE"""),"jose@ox-glass.com")</f>
        <v>jose@ox-glass.com</v>
      </c>
      <c r="R341" s="27" t="str">
        <f>IFERROR(__xludf.DUMMYFUNCTION("""COMPUTED_VALUE"""),"B2A")</f>
        <v>B2A</v>
      </c>
      <c r="S341" s="27" t="str">
        <f>IFERROR(__xludf.DUMMYFUNCTION("""COMPUTED_VALUE"""),"ENTRY")</f>
        <v>ENTRY</v>
      </c>
    </row>
    <row r="342">
      <c r="A342" s="35">
        <f>IFERROR(__xludf.DUMMYFUNCTION("""COMPUTED_VALUE"""),46107.57531024305)</f>
        <v>46107.57531</v>
      </c>
      <c r="B342" s="36" t="str">
        <f>IFERROR(__xludf.DUMMYFUNCTION("""COMPUTED_VALUE"""),"WINDOW")</f>
        <v>WINDOW</v>
      </c>
      <c r="C342" s="58" t="str">
        <f>IFERROR(__xludf.DUMMYFUNCTION("""COMPUTED_VALUE"""),"HFLot135")</f>
        <v>HFLot135</v>
      </c>
      <c r="D342" s="36"/>
      <c r="E342" s="27"/>
      <c r="F342" s="36">
        <f>IFERROR(__xludf.DUMMYFUNCTION("""COMPUTED_VALUE"""),19.0)</f>
        <v>19</v>
      </c>
      <c r="G342" s="59" t="str">
        <f>IFERROR(__xludf.DUMMYFUNCTION("""COMPUTED_VALUE"""),"UNIT")</f>
        <v>UNIT</v>
      </c>
      <c r="H342" s="59">
        <f>IFERROR(__xludf.DUMMYFUNCTION("""COMPUTED_VALUE"""),46107.0)</f>
        <v>46107</v>
      </c>
      <c r="I342" s="27" t="str">
        <f>IFERROR(__xludf.DUMMYFUNCTION("""COMPUTED_VALUE"""),"B6A")</f>
        <v>B6A</v>
      </c>
      <c r="K342" s="30" t="str">
        <f>IFERROR(__xludf.DUMMYFUNCTION("""COMPUTED_VALUE"""),"clay")</f>
        <v>clay</v>
      </c>
      <c r="L342" s="30" t="str">
        <f>IFERROR(__xludf.DUMMYFUNCTION("""COMPUTED_VALUE"""),"IN STOCK")</f>
        <v>IN STOCK</v>
      </c>
      <c r="M342" s="27"/>
      <c r="N342" s="27"/>
      <c r="O342" s="27" t="str">
        <f>IFERROR(__xludf.DUMMYFUNCTION("""COMPUTED_VALUE"""),"WINDOW|||HFLOT135")</f>
        <v>WINDOW|||HFLOT135</v>
      </c>
      <c r="P342" s="27"/>
      <c r="Q342" s="27"/>
      <c r="R342" s="27" t="str">
        <f>IFERROR(__xludf.DUMMYFUNCTION("""COMPUTED_VALUE"""),"B6A")</f>
        <v>B6A</v>
      </c>
      <c r="S342" s="27"/>
    </row>
    <row r="343">
      <c r="A343" s="35">
        <f>IFERROR(__xludf.DUMMYFUNCTION("""COMPUTED_VALUE"""),46107.57380443287)</f>
        <v>46107.5738</v>
      </c>
      <c r="B343" s="36" t="str">
        <f>IFERROR(__xludf.DUMMYFUNCTION("""COMPUTED_VALUE"""),"WINDOW")</f>
        <v>WINDOW</v>
      </c>
      <c r="C343" s="58" t="str">
        <f>IFERROR(__xludf.DUMMYFUNCTION("""COMPUTED_VALUE"""),"HFLot153")</f>
        <v>HFLot153</v>
      </c>
      <c r="D343" s="36"/>
      <c r="E343" s="27"/>
      <c r="F343" s="36">
        <f>IFERROR(__xludf.DUMMYFUNCTION("""COMPUTED_VALUE"""),23.0)</f>
        <v>23</v>
      </c>
      <c r="G343" s="59" t="str">
        <f>IFERROR(__xludf.DUMMYFUNCTION("""COMPUTED_VALUE"""),"UNIT")</f>
        <v>UNIT</v>
      </c>
      <c r="H343" s="59">
        <f>IFERROR(__xludf.DUMMYFUNCTION("""COMPUTED_VALUE"""),46107.0)</f>
        <v>46107</v>
      </c>
      <c r="I343" s="27" t="str">
        <f>IFERROR(__xludf.DUMMYFUNCTION("""COMPUTED_VALUE"""),"B6A")</f>
        <v>B6A</v>
      </c>
      <c r="K343" s="30" t="str">
        <f>IFERROR(__xludf.DUMMYFUNCTION("""COMPUTED_VALUE"""),"clay")</f>
        <v>clay</v>
      </c>
      <c r="L343" s="30" t="str">
        <f>IFERROR(__xludf.DUMMYFUNCTION("""COMPUTED_VALUE"""),"IN STOCK")</f>
        <v>IN STOCK</v>
      </c>
      <c r="M343" s="27"/>
      <c r="N343" s="27"/>
      <c r="O343" s="27" t="str">
        <f>IFERROR(__xludf.DUMMYFUNCTION("""COMPUTED_VALUE"""),"WINDOW|||HFLOT153")</f>
        <v>WINDOW|||HFLOT153</v>
      </c>
      <c r="P343" s="27"/>
      <c r="Q343" s="27"/>
      <c r="R343" s="27" t="str">
        <f>IFERROR(__xludf.DUMMYFUNCTION("""COMPUTED_VALUE"""),"B6A")</f>
        <v>B6A</v>
      </c>
      <c r="S343" s="27"/>
    </row>
    <row r="344">
      <c r="A344" s="35">
        <f>IFERROR(__xludf.DUMMYFUNCTION("""COMPUTED_VALUE"""),46107.5727434375)</f>
        <v>46107.57274</v>
      </c>
      <c r="B344" s="36" t="str">
        <f>IFERROR(__xludf.DUMMYFUNCTION("""COMPUTED_VALUE"""),"WINDOW")</f>
        <v>WINDOW</v>
      </c>
      <c r="C344" s="58" t="str">
        <f>IFERROR(__xludf.DUMMYFUNCTION("""COMPUTED_VALUE"""),"GOO - HFLot1441W")</f>
        <v>GOO - HFLot1441W</v>
      </c>
      <c r="D344" s="36" t="str">
        <f>IFERROR(__xludf.DUMMYFUNCTION("""COMPUTED_VALUE"""),"GOO")</f>
        <v>GOO</v>
      </c>
      <c r="E344" s="27"/>
      <c r="F344" s="36">
        <f>IFERROR(__xludf.DUMMYFUNCTION("""COMPUTED_VALUE"""),1.0)</f>
        <v>1</v>
      </c>
      <c r="G344" s="59" t="str">
        <f>IFERROR(__xludf.DUMMYFUNCTION("""COMPUTED_VALUE"""),"UNIT")</f>
        <v>UNIT</v>
      </c>
      <c r="H344" s="59">
        <f>IFERROR(__xludf.DUMMYFUNCTION("""COMPUTED_VALUE"""),46107.0)</f>
        <v>46107</v>
      </c>
      <c r="I344" s="27" t="str">
        <f>IFERROR(__xludf.DUMMYFUNCTION("""COMPUTED_VALUE"""),"C6A")</f>
        <v>C6A</v>
      </c>
      <c r="K344" s="30" t="str">
        <f>IFERROR(__xludf.DUMMYFUNCTION("""COMPUTED_VALUE"""),"white")</f>
        <v>white</v>
      </c>
      <c r="L344" s="30" t="str">
        <f>IFERROR(__xludf.DUMMYFUNCTION("""COMPUTED_VALUE"""),"IN STOCK")</f>
        <v>IN STOCK</v>
      </c>
      <c r="M344" s="27"/>
      <c r="N344" s="27" t="str">
        <f>IFERROR(__xludf.DUMMYFUNCTION("""COMPUTED_VALUE"""),"GOO - HFLot1441W")</f>
        <v>GOO - HFLot1441W</v>
      </c>
      <c r="O344" s="27" t="str">
        <f>IFERROR(__xludf.DUMMYFUNCTION("""COMPUTED_VALUE"""),"WINDOW|||GOO HFLOT1441W")</f>
        <v>WINDOW|||GOO HFLOT1441W</v>
      </c>
      <c r="P344" s="27"/>
      <c r="Q344" s="27" t="str">
        <f>IFERROR(__xludf.DUMMYFUNCTION("""COMPUTED_VALUE"""),"jose@ox-glass.com")</f>
        <v>jose@ox-glass.com</v>
      </c>
      <c r="R344" s="27" t="str">
        <f>IFERROR(__xludf.DUMMYFUNCTION("""COMPUTED_VALUE"""),"C6A")</f>
        <v>C6A</v>
      </c>
      <c r="S344" s="27" t="str">
        <f>IFERROR(__xludf.DUMMYFUNCTION("""COMPUTED_VALUE"""),"ENTRY")</f>
        <v>ENTRY</v>
      </c>
    </row>
    <row r="345">
      <c r="A345" s="36"/>
      <c r="B345" s="36"/>
      <c r="C345" s="58"/>
      <c r="D345" s="36"/>
      <c r="E345" s="27"/>
      <c r="F345" s="36"/>
      <c r="G345" s="59"/>
      <c r="H345" s="36"/>
      <c r="I345" s="27"/>
      <c r="M345" s="27"/>
      <c r="N345" s="27"/>
      <c r="O345" s="27"/>
      <c r="P345" s="27"/>
      <c r="Q345" s="27"/>
      <c r="R345" s="27"/>
      <c r="S345" s="27"/>
    </row>
    <row r="346">
      <c r="A346" s="36"/>
      <c r="B346" s="36"/>
      <c r="C346" s="58"/>
      <c r="D346" s="36"/>
      <c r="E346" s="27"/>
      <c r="F346" s="36"/>
      <c r="G346" s="59"/>
      <c r="H346" s="36"/>
      <c r="I346" s="27"/>
      <c r="M346" s="27"/>
      <c r="N346" s="27"/>
      <c r="O346" s="27"/>
      <c r="P346" s="27"/>
      <c r="Q346" s="27"/>
      <c r="R346" s="27"/>
      <c r="S346" s="27"/>
    </row>
    <row r="347">
      <c r="A347" s="36"/>
      <c r="B347" s="36"/>
      <c r="C347" s="58"/>
      <c r="D347" s="36"/>
      <c r="E347" s="27"/>
      <c r="F347" s="36"/>
      <c r="G347" s="59"/>
      <c r="H347" s="36"/>
      <c r="I347" s="27"/>
      <c r="M347" s="27"/>
      <c r="N347" s="27"/>
      <c r="O347" s="27"/>
      <c r="P347" s="27"/>
      <c r="Q347" s="27"/>
      <c r="R347" s="27"/>
      <c r="S347" s="27"/>
    </row>
    <row r="348">
      <c r="A348" s="36"/>
      <c r="B348" s="36"/>
      <c r="C348" s="58"/>
      <c r="D348" s="36"/>
      <c r="E348" s="27"/>
      <c r="F348" s="36"/>
      <c r="G348" s="59"/>
      <c r="H348" s="36"/>
      <c r="I348" s="27"/>
      <c r="M348" s="27"/>
      <c r="N348" s="27"/>
      <c r="O348" s="27"/>
      <c r="P348" s="27"/>
      <c r="Q348" s="27"/>
      <c r="R348" s="27"/>
      <c r="S348" s="27"/>
    </row>
    <row r="349">
      <c r="A349" s="36"/>
      <c r="B349" s="36"/>
      <c r="C349" s="58"/>
      <c r="D349" s="36"/>
      <c r="E349" s="27"/>
      <c r="F349" s="36"/>
      <c r="G349" s="59"/>
      <c r="H349" s="36"/>
      <c r="I349" s="27"/>
      <c r="M349" s="27"/>
      <c r="N349" s="27"/>
      <c r="O349" s="27"/>
      <c r="P349" s="27"/>
      <c r="Q349" s="27"/>
      <c r="R349" s="27"/>
      <c r="S349" s="27"/>
    </row>
    <row r="350">
      <c r="A350" s="36"/>
      <c r="B350" s="36"/>
      <c r="C350" s="58"/>
      <c r="D350" s="36"/>
      <c r="E350" s="27"/>
      <c r="F350" s="36"/>
      <c r="G350" s="59"/>
      <c r="H350" s="36"/>
      <c r="I350" s="27"/>
      <c r="M350" s="27"/>
      <c r="N350" s="27"/>
      <c r="O350" s="27"/>
      <c r="P350" s="27"/>
      <c r="Q350" s="27"/>
      <c r="R350" s="27"/>
      <c r="S350" s="27"/>
    </row>
    <row r="351">
      <c r="A351" s="36"/>
      <c r="B351" s="36"/>
      <c r="C351" s="58"/>
      <c r="D351" s="36"/>
      <c r="E351" s="27"/>
      <c r="F351" s="36"/>
      <c r="G351" s="59"/>
      <c r="H351" s="36"/>
      <c r="I351" s="27"/>
      <c r="M351" s="27"/>
      <c r="N351" s="27"/>
      <c r="O351" s="27"/>
      <c r="P351" s="27"/>
      <c r="Q351" s="27"/>
      <c r="R351" s="27"/>
      <c r="S351" s="27"/>
    </row>
    <row r="352">
      <c r="A352" s="36"/>
      <c r="B352" s="36"/>
      <c r="C352" s="58"/>
      <c r="D352" s="36"/>
      <c r="E352" s="27"/>
      <c r="F352" s="36"/>
      <c r="G352" s="59"/>
      <c r="H352" s="36"/>
      <c r="I352" s="27"/>
      <c r="M352" s="27"/>
      <c r="N352" s="27"/>
      <c r="O352" s="27"/>
      <c r="P352" s="27"/>
      <c r="Q352" s="27"/>
      <c r="R352" s="27"/>
      <c r="S352" s="27"/>
    </row>
    <row r="353">
      <c r="A353" s="36"/>
      <c r="B353" s="36"/>
      <c r="C353" s="58"/>
      <c r="D353" s="36"/>
      <c r="E353" s="27"/>
      <c r="F353" s="36"/>
      <c r="G353" s="59"/>
      <c r="H353" s="36"/>
      <c r="I353" s="27"/>
      <c r="M353" s="27"/>
      <c r="N353" s="27"/>
      <c r="O353" s="27"/>
      <c r="P353" s="27"/>
      <c r="Q353" s="27"/>
      <c r="R353" s="27"/>
      <c r="S353" s="27"/>
    </row>
    <row r="354">
      <c r="A354" s="36"/>
      <c r="B354" s="36"/>
      <c r="C354" s="58"/>
      <c r="D354" s="36"/>
      <c r="E354" s="27"/>
      <c r="F354" s="36"/>
      <c r="G354" s="59"/>
      <c r="H354" s="36"/>
      <c r="I354" s="27"/>
      <c r="M354" s="27"/>
      <c r="N354" s="27"/>
      <c r="O354" s="27"/>
      <c r="P354" s="27"/>
      <c r="Q354" s="27"/>
      <c r="R354" s="27"/>
      <c r="S354" s="27"/>
    </row>
    <row r="355">
      <c r="A355" s="36"/>
      <c r="B355" s="36"/>
      <c r="C355" s="58"/>
      <c r="D355" s="36"/>
      <c r="E355" s="27"/>
      <c r="F355" s="36"/>
      <c r="G355" s="59"/>
      <c r="H355" s="36"/>
      <c r="I355" s="27"/>
      <c r="M355" s="27"/>
      <c r="N355" s="27"/>
      <c r="O355" s="27"/>
      <c r="P355" s="27"/>
      <c r="Q355" s="27"/>
      <c r="R355" s="27"/>
      <c r="S355" s="27"/>
    </row>
    <row r="356">
      <c r="A356" s="36"/>
      <c r="B356" s="36"/>
      <c r="C356" s="58"/>
      <c r="D356" s="36"/>
      <c r="E356" s="27"/>
      <c r="F356" s="36"/>
      <c r="G356" s="59"/>
      <c r="H356" s="36"/>
      <c r="I356" s="27"/>
      <c r="M356" s="27"/>
      <c r="N356" s="27"/>
      <c r="O356" s="27"/>
      <c r="P356" s="27"/>
      <c r="Q356" s="27"/>
      <c r="R356" s="27"/>
      <c r="S356" s="27"/>
    </row>
    <row r="357">
      <c r="A357" s="36"/>
      <c r="B357" s="36"/>
      <c r="C357" s="58"/>
      <c r="D357" s="36"/>
      <c r="E357" s="27"/>
      <c r="F357" s="36"/>
      <c r="G357" s="59"/>
      <c r="H357" s="36"/>
      <c r="I357" s="27"/>
      <c r="M357" s="27"/>
      <c r="N357" s="27"/>
      <c r="O357" s="27"/>
      <c r="P357" s="27"/>
      <c r="Q357" s="27"/>
      <c r="R357" s="27"/>
      <c r="S357" s="27"/>
    </row>
    <row r="358">
      <c r="A358" s="36"/>
      <c r="B358" s="36"/>
      <c r="C358" s="58"/>
      <c r="D358" s="36"/>
      <c r="E358" s="27"/>
      <c r="F358" s="36"/>
      <c r="G358" s="59"/>
      <c r="H358" s="36"/>
      <c r="I358" s="27"/>
      <c r="M358" s="27"/>
      <c r="N358" s="27"/>
      <c r="O358" s="27"/>
      <c r="P358" s="27"/>
      <c r="Q358" s="27"/>
      <c r="R358" s="27"/>
      <c r="S358" s="27"/>
    </row>
    <row r="359">
      <c r="A359" s="36"/>
      <c r="B359" s="36"/>
      <c r="C359" s="58"/>
      <c r="D359" s="36"/>
      <c r="E359" s="27"/>
      <c r="F359" s="36"/>
      <c r="G359" s="59"/>
      <c r="H359" s="36"/>
      <c r="I359" s="27"/>
      <c r="M359" s="27"/>
      <c r="N359" s="27"/>
      <c r="O359" s="27"/>
      <c r="P359" s="27"/>
      <c r="Q359" s="27"/>
      <c r="R359" s="27"/>
      <c r="S359" s="27"/>
    </row>
    <row r="360">
      <c r="A360" s="36"/>
      <c r="B360" s="36"/>
      <c r="C360" s="58"/>
      <c r="D360" s="36"/>
      <c r="E360" s="27"/>
      <c r="F360" s="36"/>
      <c r="G360" s="59"/>
      <c r="H360" s="36"/>
      <c r="I360" s="27"/>
      <c r="M360" s="27"/>
      <c r="N360" s="27"/>
      <c r="O360" s="27"/>
      <c r="P360" s="27"/>
      <c r="Q360" s="27"/>
      <c r="R360" s="27"/>
      <c r="S360" s="27"/>
    </row>
    <row r="361">
      <c r="A361" s="36"/>
      <c r="B361" s="36"/>
      <c r="C361" s="58"/>
      <c r="D361" s="36"/>
      <c r="E361" s="27"/>
      <c r="F361" s="36"/>
      <c r="G361" s="59"/>
      <c r="H361" s="36"/>
      <c r="I361" s="27"/>
      <c r="M361" s="27"/>
      <c r="N361" s="27"/>
      <c r="O361" s="27"/>
      <c r="P361" s="27"/>
      <c r="Q361" s="27"/>
      <c r="R361" s="27"/>
      <c r="S361" s="27"/>
    </row>
    <row r="362">
      <c r="A362" s="36"/>
      <c r="B362" s="36"/>
      <c r="C362" s="58"/>
      <c r="D362" s="36"/>
      <c r="E362" s="27"/>
      <c r="F362" s="36"/>
      <c r="G362" s="59"/>
      <c r="H362" s="36"/>
      <c r="I362" s="27"/>
      <c r="M362" s="27"/>
      <c r="N362" s="27"/>
      <c r="O362" s="27"/>
      <c r="P362" s="27"/>
      <c r="Q362" s="27"/>
      <c r="R362" s="27"/>
      <c r="S362" s="27"/>
    </row>
    <row r="363">
      <c r="A363" s="36"/>
      <c r="B363" s="36"/>
      <c r="C363" s="58"/>
      <c r="D363" s="36"/>
      <c r="E363" s="27"/>
      <c r="F363" s="36"/>
      <c r="G363" s="59"/>
      <c r="H363" s="36"/>
      <c r="I363" s="27"/>
      <c r="M363" s="27"/>
      <c r="N363" s="27"/>
      <c r="O363" s="27"/>
      <c r="P363" s="27"/>
      <c r="Q363" s="27"/>
      <c r="R363" s="27"/>
      <c r="S363" s="27"/>
    </row>
    <row r="364">
      <c r="A364" s="36"/>
      <c r="B364" s="36"/>
      <c r="C364" s="58"/>
      <c r="D364" s="36"/>
      <c r="E364" s="27"/>
      <c r="F364" s="36"/>
      <c r="G364" s="59"/>
      <c r="H364" s="36"/>
      <c r="I364" s="27"/>
      <c r="M364" s="27"/>
      <c r="N364" s="27"/>
      <c r="O364" s="27"/>
      <c r="P364" s="27"/>
      <c r="Q364" s="27"/>
      <c r="R364" s="27"/>
      <c r="S364" s="27"/>
    </row>
    <row r="365">
      <c r="A365" s="36"/>
      <c r="B365" s="36"/>
      <c r="C365" s="58"/>
      <c r="D365" s="36"/>
      <c r="E365" s="27"/>
      <c r="F365" s="36"/>
      <c r="G365" s="59"/>
      <c r="H365" s="36"/>
      <c r="I365" s="27"/>
      <c r="M365" s="27"/>
      <c r="N365" s="27"/>
      <c r="O365" s="27"/>
      <c r="P365" s="27"/>
      <c r="Q365" s="27"/>
      <c r="R365" s="27"/>
      <c r="S365" s="27"/>
    </row>
    <row r="366">
      <c r="A366" s="36"/>
      <c r="B366" s="36"/>
      <c r="C366" s="58"/>
      <c r="D366" s="36"/>
      <c r="E366" s="27"/>
      <c r="F366" s="36"/>
      <c r="G366" s="59"/>
      <c r="H366" s="36"/>
      <c r="I366" s="27"/>
      <c r="M366" s="27"/>
      <c r="N366" s="27"/>
      <c r="O366" s="27"/>
      <c r="P366" s="27"/>
      <c r="Q366" s="27"/>
      <c r="R366" s="27"/>
      <c r="S366" s="27"/>
    </row>
    <row r="367">
      <c r="A367" s="36"/>
      <c r="B367" s="36"/>
      <c r="C367" s="58"/>
      <c r="D367" s="36"/>
      <c r="E367" s="27"/>
      <c r="F367" s="36"/>
      <c r="G367" s="59"/>
      <c r="H367" s="36"/>
      <c r="I367" s="27"/>
      <c r="M367" s="27"/>
      <c r="N367" s="27"/>
      <c r="O367" s="27"/>
      <c r="P367" s="27"/>
      <c r="Q367" s="27"/>
      <c r="R367" s="27"/>
      <c r="S367" s="27"/>
    </row>
    <row r="368">
      <c r="A368" s="36"/>
      <c r="B368" s="36"/>
      <c r="C368" s="58"/>
      <c r="D368" s="36"/>
      <c r="E368" s="27"/>
      <c r="F368" s="36"/>
      <c r="G368" s="59"/>
      <c r="H368" s="36"/>
      <c r="I368" s="27"/>
      <c r="M368" s="27"/>
      <c r="N368" s="27"/>
      <c r="O368" s="27"/>
      <c r="P368" s="27"/>
      <c r="Q368" s="27"/>
      <c r="R368" s="27"/>
      <c r="S368" s="27"/>
    </row>
    <row r="369">
      <c r="A369" s="36"/>
      <c r="B369" s="36"/>
      <c r="C369" s="58"/>
      <c r="D369" s="36"/>
      <c r="E369" s="27"/>
      <c r="F369" s="36"/>
      <c r="G369" s="59"/>
      <c r="H369" s="36"/>
      <c r="I369" s="27"/>
      <c r="M369" s="27"/>
      <c r="N369" s="27"/>
      <c r="O369" s="27"/>
      <c r="P369" s="27"/>
      <c r="Q369" s="27"/>
      <c r="R369" s="27"/>
      <c r="S369" s="27"/>
    </row>
    <row r="370">
      <c r="A370" s="36"/>
      <c r="B370" s="36"/>
      <c r="C370" s="58"/>
      <c r="D370" s="36"/>
      <c r="E370" s="27"/>
      <c r="F370" s="36"/>
      <c r="G370" s="59"/>
      <c r="H370" s="36"/>
      <c r="I370" s="27"/>
      <c r="M370" s="27"/>
      <c r="N370" s="27"/>
      <c r="O370" s="27"/>
      <c r="P370" s="27"/>
      <c r="Q370" s="27"/>
      <c r="R370" s="27"/>
      <c r="S370" s="27"/>
    </row>
    <row r="371">
      <c r="A371" s="36"/>
      <c r="B371" s="36"/>
      <c r="C371" s="58"/>
      <c r="D371" s="36"/>
      <c r="E371" s="27"/>
      <c r="F371" s="36"/>
      <c r="G371" s="59"/>
      <c r="H371" s="36"/>
      <c r="I371" s="27"/>
      <c r="M371" s="27"/>
      <c r="N371" s="27"/>
      <c r="O371" s="27"/>
      <c r="P371" s="27"/>
      <c r="Q371" s="27"/>
      <c r="R371" s="27"/>
      <c r="S371" s="27"/>
    </row>
    <row r="372">
      <c r="A372" s="36"/>
      <c r="B372" s="36"/>
      <c r="C372" s="58"/>
      <c r="D372" s="36"/>
      <c r="E372" s="27"/>
      <c r="F372" s="36"/>
      <c r="G372" s="59"/>
      <c r="H372" s="36"/>
      <c r="I372" s="27"/>
      <c r="M372" s="27"/>
      <c r="N372" s="27"/>
      <c r="O372" s="27"/>
      <c r="P372" s="27"/>
      <c r="Q372" s="27"/>
      <c r="R372" s="27"/>
      <c r="S372" s="27"/>
    </row>
    <row r="373">
      <c r="A373" s="36"/>
      <c r="B373" s="36"/>
      <c r="C373" s="58"/>
      <c r="D373" s="36"/>
      <c r="E373" s="27"/>
      <c r="F373" s="36"/>
      <c r="G373" s="59"/>
      <c r="H373" s="36"/>
      <c r="I373" s="27"/>
      <c r="M373" s="27"/>
      <c r="N373" s="27"/>
      <c r="O373" s="27"/>
      <c r="P373" s="27"/>
      <c r="Q373" s="27"/>
      <c r="R373" s="27"/>
      <c r="S373" s="27"/>
    </row>
    <row r="374">
      <c r="A374" s="36"/>
      <c r="B374" s="36"/>
      <c r="C374" s="58"/>
      <c r="D374" s="36"/>
      <c r="E374" s="27"/>
      <c r="F374" s="36"/>
      <c r="G374" s="59"/>
      <c r="H374" s="36"/>
      <c r="I374" s="27"/>
      <c r="M374" s="27"/>
      <c r="N374" s="27"/>
      <c r="O374" s="27"/>
      <c r="P374" s="27"/>
      <c r="Q374" s="27"/>
      <c r="R374" s="27"/>
      <c r="S374" s="27"/>
    </row>
    <row r="375">
      <c r="A375" s="36"/>
      <c r="B375" s="36"/>
      <c r="C375" s="58"/>
      <c r="D375" s="36"/>
      <c r="E375" s="27"/>
      <c r="F375" s="36"/>
      <c r="G375" s="59"/>
      <c r="H375" s="36"/>
      <c r="I375" s="27"/>
      <c r="M375" s="27"/>
      <c r="N375" s="27"/>
      <c r="O375" s="27"/>
      <c r="P375" s="27"/>
      <c r="Q375" s="27"/>
      <c r="R375" s="27"/>
      <c r="S375" s="27"/>
    </row>
    <row r="376">
      <c r="A376" s="36"/>
      <c r="B376" s="36"/>
      <c r="C376" s="58"/>
      <c r="D376" s="36"/>
      <c r="E376" s="27"/>
      <c r="F376" s="36"/>
      <c r="G376" s="59"/>
      <c r="H376" s="36"/>
      <c r="I376" s="27"/>
      <c r="J376" s="50"/>
      <c r="M376" s="27"/>
      <c r="N376" s="27"/>
      <c r="O376" s="27"/>
      <c r="P376" s="27"/>
      <c r="Q376" s="27"/>
      <c r="R376" s="27"/>
      <c r="S376" s="27"/>
    </row>
    <row r="377">
      <c r="C377" s="69"/>
      <c r="E377" s="50"/>
      <c r="G377" s="70"/>
      <c r="I377" s="50"/>
      <c r="J377" s="50"/>
      <c r="M377" s="27"/>
      <c r="N377" s="27"/>
      <c r="O377" s="27"/>
      <c r="P377" s="27"/>
      <c r="Q377" s="27"/>
      <c r="R377" s="27"/>
      <c r="S377" s="27"/>
    </row>
    <row r="378">
      <c r="C378" s="69"/>
      <c r="E378" s="50"/>
      <c r="G378" s="70"/>
      <c r="I378" s="50"/>
      <c r="J378" s="50"/>
      <c r="M378" s="27"/>
      <c r="N378" s="27"/>
      <c r="O378" s="27"/>
      <c r="P378" s="27"/>
      <c r="Q378" s="27"/>
      <c r="R378" s="27"/>
      <c r="S378" s="27"/>
    </row>
    <row r="379">
      <c r="C379" s="69"/>
      <c r="E379" s="50"/>
      <c r="G379" s="70"/>
      <c r="I379" s="50"/>
      <c r="J379" s="50"/>
      <c r="M379" s="27"/>
      <c r="N379" s="27"/>
      <c r="O379" s="27"/>
      <c r="P379" s="27"/>
      <c r="Q379" s="27"/>
      <c r="R379" s="27"/>
      <c r="S379" s="27"/>
    </row>
    <row r="380">
      <c r="C380" s="69"/>
      <c r="E380" s="50"/>
      <c r="G380" s="70"/>
      <c r="I380" s="50"/>
      <c r="J380" s="50"/>
      <c r="M380" s="27"/>
      <c r="N380" s="27"/>
      <c r="O380" s="27"/>
      <c r="P380" s="27"/>
      <c r="Q380" s="27"/>
      <c r="R380" s="27"/>
      <c r="S380" s="27"/>
    </row>
    <row r="381">
      <c r="C381" s="69"/>
      <c r="E381" s="50"/>
      <c r="G381" s="70"/>
      <c r="I381" s="50"/>
      <c r="J381" s="50"/>
      <c r="M381" s="27"/>
      <c r="N381" s="27"/>
      <c r="O381" s="27"/>
      <c r="P381" s="27"/>
      <c r="Q381" s="27"/>
      <c r="R381" s="27"/>
      <c r="S381" s="27"/>
    </row>
    <row r="382">
      <c r="C382" s="69"/>
      <c r="E382" s="50"/>
      <c r="G382" s="70"/>
      <c r="I382" s="50"/>
      <c r="J382" s="50"/>
      <c r="M382" s="27"/>
      <c r="N382" s="27"/>
      <c r="O382" s="27"/>
      <c r="P382" s="27"/>
      <c r="Q382" s="27"/>
      <c r="R382" s="27"/>
      <c r="S382" s="27"/>
    </row>
    <row r="383">
      <c r="C383" s="69"/>
      <c r="E383" s="50"/>
      <c r="G383" s="70"/>
      <c r="I383" s="50"/>
      <c r="J383" s="50"/>
      <c r="M383" s="27"/>
      <c r="N383" s="27"/>
      <c r="O383" s="27"/>
      <c r="P383" s="27"/>
      <c r="Q383" s="27"/>
      <c r="R383" s="27"/>
      <c r="S383" s="27"/>
    </row>
    <row r="384">
      <c r="C384" s="69"/>
      <c r="E384" s="50"/>
      <c r="G384" s="70"/>
      <c r="I384" s="50"/>
      <c r="J384" s="50"/>
      <c r="M384" s="27"/>
      <c r="N384" s="27"/>
      <c r="O384" s="27"/>
      <c r="P384" s="27"/>
      <c r="Q384" s="27"/>
      <c r="R384" s="27"/>
      <c r="S384" s="27"/>
    </row>
    <row r="385">
      <c r="C385" s="69"/>
      <c r="E385" s="50"/>
      <c r="G385" s="70"/>
      <c r="I385" s="50"/>
      <c r="J385" s="50"/>
      <c r="M385" s="27"/>
      <c r="N385" s="27"/>
      <c r="O385" s="27"/>
      <c r="P385" s="27"/>
      <c r="Q385" s="27"/>
      <c r="R385" s="27"/>
      <c r="S385" s="27"/>
    </row>
    <row r="386">
      <c r="C386" s="69"/>
      <c r="E386" s="50"/>
      <c r="G386" s="70"/>
      <c r="I386" s="50"/>
      <c r="J386" s="50"/>
      <c r="M386" s="27"/>
      <c r="N386" s="27"/>
      <c r="O386" s="27"/>
      <c r="P386" s="27"/>
      <c r="Q386" s="27"/>
      <c r="R386" s="27"/>
      <c r="S386" s="27"/>
    </row>
    <row r="387">
      <c r="C387" s="69"/>
      <c r="E387" s="50"/>
      <c r="G387" s="70"/>
      <c r="I387" s="50"/>
      <c r="J387" s="50"/>
      <c r="M387" s="27"/>
      <c r="N387" s="27"/>
      <c r="O387" s="27"/>
      <c r="P387" s="27"/>
      <c r="Q387" s="27"/>
      <c r="R387" s="27"/>
      <c r="S387" s="27"/>
    </row>
    <row r="388">
      <c r="C388" s="69"/>
      <c r="E388" s="50"/>
      <c r="G388" s="70"/>
      <c r="I388" s="50"/>
      <c r="J388" s="50"/>
      <c r="M388" s="27"/>
      <c r="N388" s="27"/>
      <c r="O388" s="27"/>
      <c r="P388" s="27"/>
      <c r="Q388" s="27"/>
      <c r="R388" s="27"/>
      <c r="S388" s="27"/>
    </row>
    <row r="389">
      <c r="C389" s="69"/>
      <c r="E389" s="50"/>
      <c r="G389" s="70"/>
      <c r="I389" s="50"/>
      <c r="J389" s="50"/>
      <c r="M389" s="27"/>
      <c r="N389" s="27"/>
      <c r="O389" s="27"/>
      <c r="P389" s="27"/>
      <c r="Q389" s="27"/>
      <c r="R389" s="27"/>
      <c r="S389" s="27"/>
    </row>
    <row r="390">
      <c r="C390" s="69"/>
      <c r="E390" s="50"/>
      <c r="G390" s="70"/>
      <c r="I390" s="50"/>
      <c r="J390" s="50"/>
      <c r="M390" s="27"/>
      <c r="N390" s="27"/>
      <c r="O390" s="27"/>
      <c r="P390" s="27"/>
      <c r="Q390" s="27"/>
      <c r="R390" s="27"/>
      <c r="S390" s="27"/>
    </row>
    <row r="391">
      <c r="C391" s="69"/>
      <c r="E391" s="50"/>
      <c r="G391" s="70"/>
      <c r="I391" s="50"/>
      <c r="J391" s="50"/>
      <c r="M391" s="27"/>
      <c r="N391" s="27"/>
      <c r="O391" s="27"/>
      <c r="P391" s="27"/>
      <c r="Q391" s="27"/>
      <c r="R391" s="27"/>
      <c r="S391" s="27"/>
    </row>
    <row r="392">
      <c r="C392" s="69"/>
      <c r="E392" s="50"/>
      <c r="G392" s="70"/>
      <c r="I392" s="50"/>
      <c r="J392" s="50"/>
      <c r="M392" s="27"/>
      <c r="N392" s="27"/>
      <c r="O392" s="27"/>
      <c r="P392" s="27"/>
      <c r="Q392" s="27"/>
      <c r="R392" s="27"/>
      <c r="S392" s="27"/>
    </row>
    <row r="393">
      <c r="C393" s="69"/>
      <c r="E393" s="50"/>
      <c r="G393" s="70"/>
      <c r="I393" s="50"/>
      <c r="J393" s="50"/>
      <c r="M393" s="27"/>
      <c r="N393" s="27"/>
      <c r="O393" s="27"/>
      <c r="P393" s="27"/>
      <c r="Q393" s="27"/>
      <c r="R393" s="27"/>
      <c r="S393" s="27"/>
    </row>
    <row r="394">
      <c r="C394" s="69"/>
      <c r="E394" s="50"/>
      <c r="G394" s="70"/>
      <c r="I394" s="50"/>
      <c r="J394" s="50"/>
      <c r="M394" s="27"/>
      <c r="N394" s="27"/>
      <c r="O394" s="27"/>
      <c r="P394" s="27"/>
      <c r="Q394" s="27"/>
      <c r="R394" s="27"/>
      <c r="S394" s="27"/>
    </row>
    <row r="395">
      <c r="C395" s="69"/>
      <c r="E395" s="50"/>
      <c r="G395" s="70"/>
      <c r="I395" s="50"/>
      <c r="J395" s="50"/>
      <c r="M395" s="27"/>
      <c r="N395" s="27"/>
      <c r="O395" s="27"/>
      <c r="P395" s="27"/>
      <c r="Q395" s="27"/>
      <c r="R395" s="27"/>
      <c r="S395" s="27"/>
    </row>
    <row r="396">
      <c r="C396" s="69"/>
      <c r="E396" s="50"/>
      <c r="G396" s="70"/>
      <c r="I396" s="50"/>
      <c r="J396" s="50"/>
      <c r="M396" s="27"/>
      <c r="N396" s="27"/>
      <c r="O396" s="27"/>
      <c r="P396" s="27"/>
      <c r="Q396" s="27"/>
      <c r="R396" s="27"/>
      <c r="S396" s="27"/>
    </row>
    <row r="397">
      <c r="C397" s="69"/>
      <c r="E397" s="50"/>
      <c r="G397" s="70"/>
      <c r="I397" s="50"/>
      <c r="J397" s="50"/>
      <c r="M397" s="27"/>
      <c r="N397" s="27"/>
      <c r="O397" s="27"/>
      <c r="P397" s="27"/>
      <c r="Q397" s="27"/>
      <c r="R397" s="27"/>
      <c r="S397" s="27"/>
    </row>
    <row r="398">
      <c r="C398" s="69"/>
      <c r="E398" s="50"/>
      <c r="G398" s="70"/>
      <c r="I398" s="50"/>
      <c r="J398" s="50"/>
      <c r="M398" s="27"/>
      <c r="N398" s="27"/>
      <c r="O398" s="27"/>
      <c r="P398" s="27"/>
      <c r="Q398" s="27"/>
      <c r="R398" s="27"/>
      <c r="S398" s="27"/>
    </row>
    <row r="399">
      <c r="C399" s="69"/>
      <c r="E399" s="50"/>
      <c r="G399" s="70"/>
      <c r="I399" s="50"/>
      <c r="J399" s="50"/>
      <c r="M399" s="27"/>
      <c r="N399" s="27"/>
      <c r="O399" s="27"/>
      <c r="P399" s="27"/>
      <c r="Q399" s="27"/>
      <c r="R399" s="27"/>
      <c r="S399" s="27"/>
    </row>
    <row r="400">
      <c r="C400" s="69"/>
      <c r="E400" s="50"/>
      <c r="G400" s="70"/>
      <c r="I400" s="50"/>
      <c r="J400" s="50"/>
      <c r="M400" s="27"/>
      <c r="N400" s="27"/>
      <c r="O400" s="27"/>
      <c r="P400" s="27"/>
      <c r="Q400" s="27"/>
      <c r="R400" s="27"/>
      <c r="S400" s="27"/>
    </row>
    <row r="401">
      <c r="C401" s="69"/>
      <c r="E401" s="50"/>
      <c r="G401" s="70"/>
      <c r="I401" s="50"/>
      <c r="J401" s="50"/>
      <c r="M401" s="27"/>
      <c r="N401" s="27"/>
      <c r="O401" s="27"/>
      <c r="P401" s="27"/>
      <c r="Q401" s="27"/>
      <c r="R401" s="27"/>
      <c r="S401" s="27"/>
    </row>
    <row r="402">
      <c r="C402" s="69"/>
      <c r="E402" s="50"/>
      <c r="G402" s="70"/>
      <c r="I402" s="50"/>
      <c r="J402" s="50"/>
      <c r="M402" s="27"/>
      <c r="N402" s="27"/>
      <c r="O402" s="27"/>
      <c r="P402" s="27"/>
      <c r="Q402" s="27"/>
      <c r="R402" s="27"/>
      <c r="S402" s="27"/>
    </row>
    <row r="403">
      <c r="C403" s="69"/>
      <c r="E403" s="50"/>
      <c r="G403" s="70"/>
      <c r="I403" s="50"/>
      <c r="J403" s="50"/>
      <c r="M403" s="27"/>
      <c r="N403" s="27"/>
      <c r="O403" s="27"/>
      <c r="P403" s="27"/>
      <c r="Q403" s="27"/>
      <c r="R403" s="27"/>
      <c r="S403" s="27"/>
    </row>
    <row r="404">
      <c r="C404" s="69"/>
      <c r="E404" s="50"/>
      <c r="G404" s="70"/>
      <c r="I404" s="50"/>
      <c r="J404" s="50"/>
      <c r="M404" s="27"/>
      <c r="N404" s="27"/>
      <c r="O404" s="27"/>
      <c r="P404" s="27"/>
      <c r="Q404" s="27"/>
      <c r="R404" s="27"/>
      <c r="S404" s="27"/>
    </row>
    <row r="405">
      <c r="C405" s="69"/>
      <c r="E405" s="50"/>
      <c r="G405" s="70"/>
      <c r="I405" s="50"/>
      <c r="J405" s="50"/>
      <c r="M405" s="27"/>
      <c r="N405" s="27"/>
      <c r="O405" s="27"/>
      <c r="P405" s="27"/>
      <c r="Q405" s="27"/>
      <c r="R405" s="27"/>
      <c r="S405" s="27"/>
    </row>
    <row r="406">
      <c r="C406" s="69"/>
      <c r="E406" s="50"/>
      <c r="G406" s="70"/>
      <c r="I406" s="50"/>
      <c r="J406" s="50"/>
      <c r="M406" s="27"/>
      <c r="N406" s="27"/>
      <c r="O406" s="27"/>
      <c r="P406" s="27"/>
      <c r="Q406" s="27"/>
      <c r="R406" s="27"/>
      <c r="S406" s="27"/>
    </row>
    <row r="407">
      <c r="C407" s="69"/>
      <c r="E407" s="50"/>
      <c r="G407" s="70"/>
      <c r="I407" s="50"/>
      <c r="J407" s="50"/>
      <c r="M407" s="27"/>
      <c r="N407" s="27"/>
      <c r="O407" s="27"/>
      <c r="P407" s="27"/>
      <c r="Q407" s="27"/>
      <c r="R407" s="27"/>
      <c r="S407" s="27"/>
    </row>
    <row r="408">
      <c r="C408" s="69"/>
      <c r="E408" s="50"/>
      <c r="G408" s="70"/>
      <c r="I408" s="50"/>
      <c r="J408" s="50"/>
      <c r="M408" s="27"/>
      <c r="N408" s="27"/>
      <c r="O408" s="27"/>
      <c r="P408" s="27"/>
      <c r="Q408" s="27"/>
      <c r="R408" s="27"/>
      <c r="S408" s="27"/>
    </row>
    <row r="409">
      <c r="C409" s="69"/>
      <c r="E409" s="50"/>
      <c r="G409" s="70"/>
      <c r="I409" s="50"/>
      <c r="J409" s="50"/>
      <c r="M409" s="27"/>
      <c r="N409" s="27"/>
      <c r="O409" s="27"/>
      <c r="P409" s="27"/>
      <c r="Q409" s="27"/>
      <c r="R409" s="27"/>
      <c r="S409" s="27"/>
    </row>
    <row r="410">
      <c r="C410" s="69"/>
      <c r="E410" s="50"/>
      <c r="G410" s="70"/>
      <c r="I410" s="50"/>
      <c r="J410" s="50"/>
      <c r="M410" s="27"/>
      <c r="N410" s="27"/>
      <c r="O410" s="27"/>
      <c r="P410" s="27"/>
      <c r="Q410" s="27"/>
      <c r="R410" s="27"/>
      <c r="S410" s="27"/>
    </row>
    <row r="411">
      <c r="C411" s="69"/>
      <c r="E411" s="50"/>
      <c r="G411" s="70"/>
      <c r="I411" s="50"/>
      <c r="J411" s="50"/>
      <c r="M411" s="27"/>
      <c r="N411" s="27"/>
      <c r="O411" s="27"/>
      <c r="P411" s="27"/>
      <c r="Q411" s="27"/>
      <c r="R411" s="27"/>
      <c r="S411" s="27"/>
    </row>
    <row r="412">
      <c r="C412" s="69"/>
      <c r="E412" s="50"/>
      <c r="G412" s="70"/>
      <c r="I412" s="50"/>
      <c r="J412" s="50"/>
      <c r="M412" s="27"/>
      <c r="N412" s="27"/>
      <c r="O412" s="27"/>
      <c r="P412" s="27"/>
      <c r="Q412" s="27"/>
      <c r="R412" s="27"/>
      <c r="S412" s="27"/>
    </row>
    <row r="413">
      <c r="C413" s="69"/>
      <c r="E413" s="50"/>
      <c r="G413" s="70"/>
      <c r="I413" s="50"/>
      <c r="J413" s="50"/>
      <c r="M413" s="27"/>
      <c r="N413" s="27"/>
      <c r="O413" s="27"/>
      <c r="P413" s="27"/>
      <c r="Q413" s="27"/>
      <c r="R413" s="27"/>
      <c r="S413" s="27"/>
    </row>
    <row r="414">
      <c r="C414" s="69"/>
      <c r="E414" s="50"/>
      <c r="G414" s="70"/>
      <c r="I414" s="50"/>
      <c r="J414" s="50"/>
      <c r="M414" s="27"/>
      <c r="N414" s="27"/>
      <c r="O414" s="27"/>
      <c r="P414" s="27"/>
      <c r="Q414" s="27"/>
      <c r="R414" s="27"/>
      <c r="S414" s="27"/>
    </row>
    <row r="415">
      <c r="C415" s="69"/>
      <c r="E415" s="50"/>
      <c r="G415" s="70"/>
      <c r="I415" s="50"/>
      <c r="J415" s="50"/>
      <c r="M415" s="27"/>
      <c r="N415" s="27"/>
      <c r="O415" s="27"/>
      <c r="P415" s="27"/>
      <c r="Q415" s="27"/>
      <c r="R415" s="27"/>
      <c r="S415" s="27"/>
    </row>
    <row r="416">
      <c r="C416" s="69"/>
      <c r="E416" s="50"/>
      <c r="G416" s="70"/>
      <c r="I416" s="50"/>
      <c r="J416" s="50"/>
      <c r="M416" s="27"/>
      <c r="N416" s="27"/>
      <c r="O416" s="27"/>
      <c r="P416" s="27"/>
      <c r="Q416" s="27"/>
      <c r="R416" s="27"/>
      <c r="S416" s="27"/>
    </row>
    <row r="417">
      <c r="C417" s="69"/>
      <c r="E417" s="50"/>
      <c r="G417" s="70"/>
      <c r="I417" s="50"/>
      <c r="J417" s="50"/>
      <c r="M417" s="27"/>
      <c r="N417" s="27"/>
      <c r="O417" s="27"/>
      <c r="P417" s="27"/>
      <c r="Q417" s="27"/>
      <c r="R417" s="27"/>
      <c r="S417" s="27"/>
    </row>
    <row r="418">
      <c r="C418" s="69"/>
      <c r="E418" s="50"/>
      <c r="G418" s="70"/>
      <c r="I418" s="50"/>
      <c r="J418" s="50"/>
      <c r="M418" s="27"/>
      <c r="N418" s="27"/>
      <c r="O418" s="27"/>
      <c r="P418" s="27"/>
      <c r="Q418" s="27"/>
      <c r="R418" s="27"/>
      <c r="S418" s="27"/>
    </row>
    <row r="419">
      <c r="C419" s="69"/>
      <c r="E419" s="50"/>
      <c r="G419" s="70"/>
      <c r="I419" s="50"/>
      <c r="J419" s="50"/>
      <c r="M419" s="27"/>
      <c r="N419" s="27"/>
      <c r="O419" s="27"/>
      <c r="P419" s="27"/>
      <c r="Q419" s="27"/>
      <c r="R419" s="27"/>
      <c r="S419" s="27"/>
    </row>
    <row r="420">
      <c r="C420" s="69"/>
      <c r="E420" s="50"/>
      <c r="G420" s="70"/>
      <c r="I420" s="50"/>
      <c r="J420" s="50"/>
      <c r="M420" s="27"/>
      <c r="N420" s="27"/>
      <c r="O420" s="27"/>
      <c r="P420" s="27"/>
      <c r="Q420" s="27"/>
      <c r="R420" s="27"/>
      <c r="S420" s="27"/>
    </row>
    <row r="421">
      <c r="C421" s="69"/>
      <c r="E421" s="50"/>
      <c r="G421" s="70"/>
      <c r="I421" s="50"/>
      <c r="J421" s="50"/>
      <c r="M421" s="27"/>
      <c r="N421" s="27"/>
      <c r="O421" s="27"/>
      <c r="P421" s="27"/>
      <c r="Q421" s="27"/>
      <c r="R421" s="27"/>
      <c r="S421" s="27"/>
    </row>
    <row r="422">
      <c r="C422" s="69"/>
      <c r="E422" s="50"/>
      <c r="G422" s="70"/>
      <c r="I422" s="50"/>
      <c r="J422" s="50"/>
      <c r="M422" s="27"/>
      <c r="N422" s="27"/>
      <c r="O422" s="27"/>
      <c r="P422" s="27"/>
      <c r="Q422" s="27"/>
      <c r="R422" s="27"/>
      <c r="S422" s="27"/>
    </row>
    <row r="423">
      <c r="C423" s="69"/>
      <c r="E423" s="50"/>
      <c r="G423" s="70"/>
      <c r="I423" s="50"/>
      <c r="J423" s="50"/>
      <c r="M423" s="27"/>
      <c r="N423" s="27"/>
      <c r="O423" s="27"/>
      <c r="P423" s="27"/>
      <c r="Q423" s="27"/>
      <c r="R423" s="27"/>
      <c r="S423" s="27"/>
    </row>
    <row r="424">
      <c r="C424" s="69"/>
      <c r="E424" s="50"/>
      <c r="G424" s="70"/>
      <c r="I424" s="50"/>
      <c r="J424" s="50"/>
      <c r="M424" s="27"/>
      <c r="N424" s="27"/>
      <c r="O424" s="27"/>
      <c r="P424" s="27"/>
      <c r="Q424" s="27"/>
      <c r="R424" s="27"/>
      <c r="S424" s="27"/>
    </row>
    <row r="425">
      <c r="C425" s="69"/>
      <c r="E425" s="50"/>
      <c r="G425" s="70"/>
      <c r="I425" s="50"/>
      <c r="J425" s="50"/>
      <c r="M425" s="27"/>
      <c r="N425" s="27"/>
      <c r="O425" s="27"/>
      <c r="P425" s="27"/>
      <c r="Q425" s="27"/>
      <c r="R425" s="27"/>
      <c r="S425" s="27"/>
    </row>
    <row r="426">
      <c r="C426" s="69"/>
      <c r="E426" s="50"/>
      <c r="G426" s="70"/>
      <c r="I426" s="50"/>
      <c r="J426" s="50"/>
      <c r="M426" s="27"/>
      <c r="N426" s="27"/>
      <c r="O426" s="27"/>
      <c r="P426" s="27"/>
      <c r="Q426" s="27"/>
      <c r="R426" s="27"/>
      <c r="S426" s="27"/>
    </row>
    <row r="427">
      <c r="C427" s="69"/>
      <c r="E427" s="50"/>
      <c r="G427" s="70"/>
      <c r="I427" s="50"/>
      <c r="J427" s="50"/>
      <c r="M427" s="27"/>
      <c r="N427" s="27"/>
      <c r="O427" s="27"/>
      <c r="P427" s="27"/>
      <c r="Q427" s="27"/>
      <c r="R427" s="27"/>
      <c r="S427" s="27"/>
    </row>
    <row r="428">
      <c r="C428" s="69"/>
      <c r="E428" s="50"/>
      <c r="G428" s="70"/>
      <c r="I428" s="50"/>
      <c r="J428" s="50"/>
      <c r="M428" s="27"/>
      <c r="N428" s="27"/>
      <c r="O428" s="27"/>
      <c r="P428" s="27"/>
      <c r="Q428" s="27"/>
      <c r="R428" s="27"/>
      <c r="S428" s="27"/>
    </row>
    <row r="429">
      <c r="C429" s="69"/>
      <c r="E429" s="50"/>
      <c r="G429" s="70"/>
      <c r="I429" s="50"/>
      <c r="J429" s="50"/>
      <c r="M429" s="27"/>
      <c r="N429" s="27"/>
      <c r="O429" s="27"/>
      <c r="P429" s="27"/>
      <c r="Q429" s="27"/>
      <c r="R429" s="27"/>
      <c r="S429" s="27"/>
    </row>
    <row r="430">
      <c r="C430" s="69"/>
      <c r="E430" s="50"/>
      <c r="G430" s="70"/>
      <c r="I430" s="50"/>
      <c r="J430" s="50"/>
      <c r="M430" s="27"/>
      <c r="N430" s="27"/>
      <c r="O430" s="27"/>
      <c r="P430" s="27"/>
      <c r="Q430" s="27"/>
      <c r="R430" s="27"/>
      <c r="S430" s="27"/>
    </row>
    <row r="431">
      <c r="C431" s="69"/>
      <c r="E431" s="50"/>
      <c r="G431" s="70"/>
      <c r="I431" s="50"/>
      <c r="J431" s="50"/>
      <c r="M431" s="27"/>
      <c r="N431" s="27"/>
      <c r="O431" s="27"/>
      <c r="P431" s="27"/>
      <c r="Q431" s="27"/>
      <c r="R431" s="27"/>
      <c r="S431" s="27"/>
    </row>
    <row r="432">
      <c r="C432" s="69"/>
      <c r="E432" s="50"/>
      <c r="G432" s="70"/>
      <c r="I432" s="50"/>
      <c r="J432" s="50"/>
      <c r="M432" s="27"/>
      <c r="N432" s="27"/>
      <c r="O432" s="27"/>
      <c r="P432" s="27"/>
      <c r="Q432" s="27"/>
      <c r="R432" s="27"/>
      <c r="S432" s="27"/>
    </row>
    <row r="433">
      <c r="C433" s="69"/>
      <c r="E433" s="50"/>
      <c r="G433" s="70"/>
      <c r="I433" s="50"/>
      <c r="J433" s="50"/>
      <c r="M433" s="27"/>
      <c r="N433" s="27"/>
      <c r="O433" s="27"/>
      <c r="P433" s="27"/>
      <c r="Q433" s="27"/>
      <c r="R433" s="27"/>
      <c r="S433" s="27"/>
    </row>
    <row r="434">
      <c r="C434" s="69"/>
      <c r="E434" s="50"/>
      <c r="G434" s="70"/>
      <c r="I434" s="50"/>
      <c r="J434" s="50"/>
      <c r="M434" s="27"/>
      <c r="N434" s="27"/>
      <c r="O434" s="27"/>
      <c r="P434" s="27"/>
      <c r="Q434" s="27"/>
      <c r="R434" s="27"/>
      <c r="S434" s="27"/>
    </row>
    <row r="435">
      <c r="C435" s="69"/>
      <c r="E435" s="50"/>
      <c r="G435" s="70"/>
      <c r="I435" s="50"/>
      <c r="J435" s="50"/>
      <c r="M435" s="27"/>
      <c r="N435" s="27"/>
      <c r="O435" s="27"/>
      <c r="P435" s="27"/>
      <c r="Q435" s="27"/>
      <c r="R435" s="27"/>
      <c r="S435" s="27"/>
    </row>
    <row r="436">
      <c r="C436" s="69"/>
      <c r="E436" s="50"/>
      <c r="G436" s="70"/>
      <c r="I436" s="50"/>
      <c r="J436" s="50"/>
      <c r="M436" s="27"/>
      <c r="N436" s="27"/>
      <c r="O436" s="27"/>
      <c r="P436" s="27"/>
      <c r="Q436" s="27"/>
      <c r="R436" s="27"/>
      <c r="S436" s="27"/>
    </row>
    <row r="437">
      <c r="C437" s="69"/>
      <c r="E437" s="50"/>
      <c r="G437" s="70"/>
      <c r="I437" s="50"/>
      <c r="J437" s="50"/>
      <c r="M437" s="27"/>
      <c r="N437" s="27"/>
      <c r="O437" s="27"/>
      <c r="P437" s="27"/>
      <c r="Q437" s="27"/>
      <c r="R437" s="27"/>
      <c r="S437" s="27"/>
    </row>
    <row r="438">
      <c r="C438" s="69"/>
      <c r="E438" s="50"/>
      <c r="G438" s="70"/>
      <c r="I438" s="50"/>
      <c r="J438" s="50"/>
      <c r="M438" s="27"/>
      <c r="N438" s="27"/>
      <c r="O438" s="27"/>
      <c r="P438" s="27"/>
      <c r="Q438" s="27"/>
      <c r="R438" s="27"/>
      <c r="S438" s="27"/>
    </row>
    <row r="439">
      <c r="C439" s="69"/>
      <c r="E439" s="50"/>
      <c r="G439" s="70"/>
      <c r="I439" s="50"/>
      <c r="J439" s="50"/>
      <c r="M439" s="27"/>
      <c r="N439" s="27"/>
      <c r="O439" s="27"/>
      <c r="P439" s="27"/>
      <c r="Q439" s="27"/>
      <c r="R439" s="27"/>
      <c r="S439" s="27"/>
    </row>
    <row r="440">
      <c r="C440" s="69"/>
      <c r="E440" s="50"/>
      <c r="G440" s="70"/>
      <c r="I440" s="50"/>
      <c r="J440" s="50"/>
      <c r="M440" s="27"/>
      <c r="N440" s="27"/>
      <c r="O440" s="27"/>
      <c r="P440" s="27"/>
      <c r="Q440" s="27"/>
      <c r="R440" s="27"/>
      <c r="S440" s="27"/>
    </row>
    <row r="441">
      <c r="C441" s="69"/>
      <c r="E441" s="50"/>
      <c r="G441" s="70"/>
      <c r="I441" s="50"/>
      <c r="J441" s="50"/>
      <c r="M441" s="27"/>
      <c r="N441" s="27"/>
      <c r="O441" s="27"/>
      <c r="P441" s="27"/>
      <c r="Q441" s="27"/>
      <c r="R441" s="27"/>
      <c r="S441" s="27"/>
    </row>
    <row r="442">
      <c r="C442" s="69"/>
      <c r="E442" s="50"/>
      <c r="G442" s="70"/>
      <c r="I442" s="50"/>
      <c r="J442" s="50"/>
      <c r="M442" s="27"/>
      <c r="N442" s="27"/>
      <c r="O442" s="27"/>
      <c r="P442" s="27"/>
      <c r="Q442" s="27"/>
      <c r="R442" s="27"/>
      <c r="S442" s="27"/>
    </row>
    <row r="443">
      <c r="C443" s="69"/>
      <c r="E443" s="50"/>
      <c r="G443" s="70"/>
      <c r="I443" s="50"/>
      <c r="J443" s="50"/>
      <c r="M443" s="27"/>
      <c r="N443" s="27"/>
      <c r="O443" s="27"/>
      <c r="P443" s="27"/>
      <c r="Q443" s="27"/>
      <c r="R443" s="27"/>
      <c r="S443" s="27"/>
    </row>
    <row r="444">
      <c r="C444" s="69"/>
      <c r="E444" s="50"/>
      <c r="G444" s="70"/>
      <c r="I444" s="50"/>
      <c r="J444" s="50"/>
      <c r="M444" s="27"/>
      <c r="N444" s="27"/>
      <c r="O444" s="27"/>
      <c r="P444" s="27"/>
      <c r="Q444" s="27"/>
      <c r="R444" s="27"/>
      <c r="S444" s="27"/>
    </row>
    <row r="445">
      <c r="C445" s="69"/>
      <c r="E445" s="50"/>
      <c r="G445" s="70"/>
      <c r="I445" s="50"/>
      <c r="J445" s="50"/>
      <c r="M445" s="27"/>
      <c r="N445" s="27"/>
      <c r="O445" s="27"/>
      <c r="P445" s="27"/>
      <c r="Q445" s="27"/>
      <c r="R445" s="27"/>
      <c r="S445" s="27"/>
    </row>
    <row r="446">
      <c r="C446" s="69"/>
      <c r="E446" s="50"/>
      <c r="G446" s="70"/>
      <c r="I446" s="50"/>
      <c r="J446" s="50"/>
      <c r="M446" s="27"/>
      <c r="N446" s="27"/>
      <c r="O446" s="27"/>
      <c r="P446" s="27"/>
      <c r="Q446" s="27"/>
      <c r="R446" s="27"/>
      <c r="S446" s="27"/>
    </row>
    <row r="447">
      <c r="C447" s="69"/>
      <c r="E447" s="50"/>
      <c r="G447" s="70"/>
      <c r="I447" s="50"/>
      <c r="J447" s="50"/>
      <c r="M447" s="27"/>
      <c r="N447" s="27"/>
      <c r="O447" s="27"/>
      <c r="P447" s="27"/>
      <c r="Q447" s="27"/>
      <c r="R447" s="27"/>
      <c r="S447" s="27"/>
    </row>
    <row r="448">
      <c r="C448" s="69"/>
      <c r="E448" s="50"/>
      <c r="G448" s="70"/>
      <c r="I448" s="50"/>
      <c r="J448" s="50"/>
      <c r="M448" s="27"/>
      <c r="N448" s="27"/>
      <c r="O448" s="27"/>
      <c r="P448" s="27"/>
      <c r="Q448" s="27"/>
      <c r="R448" s="27"/>
      <c r="S448" s="27"/>
    </row>
    <row r="449">
      <c r="C449" s="69"/>
      <c r="E449" s="50"/>
      <c r="G449" s="70"/>
      <c r="I449" s="50"/>
      <c r="J449" s="50"/>
      <c r="M449" s="27"/>
      <c r="N449" s="27"/>
      <c r="O449" s="27"/>
      <c r="P449" s="27"/>
      <c r="Q449" s="27"/>
      <c r="R449" s="27"/>
      <c r="S449" s="27"/>
    </row>
    <row r="450">
      <c r="C450" s="69"/>
      <c r="E450" s="50"/>
      <c r="G450" s="70"/>
      <c r="I450" s="50"/>
      <c r="J450" s="50"/>
      <c r="M450" s="27"/>
      <c r="N450" s="27"/>
      <c r="O450" s="27"/>
      <c r="P450" s="27"/>
      <c r="Q450" s="27"/>
      <c r="R450" s="27"/>
      <c r="S450" s="27"/>
    </row>
    <row r="451">
      <c r="C451" s="69"/>
      <c r="E451" s="50"/>
      <c r="G451" s="70"/>
      <c r="I451" s="50"/>
      <c r="J451" s="50"/>
      <c r="M451" s="27"/>
      <c r="N451" s="27"/>
      <c r="O451" s="27"/>
      <c r="P451" s="27"/>
      <c r="Q451" s="27"/>
      <c r="R451" s="27"/>
      <c r="S451" s="27"/>
    </row>
    <row r="452">
      <c r="C452" s="69"/>
      <c r="E452" s="50"/>
      <c r="G452" s="70"/>
      <c r="I452" s="50"/>
      <c r="J452" s="50"/>
      <c r="M452" s="27"/>
      <c r="N452" s="27"/>
      <c r="O452" s="27"/>
      <c r="P452" s="27"/>
      <c r="Q452" s="27"/>
      <c r="R452" s="27"/>
      <c r="S452" s="27"/>
    </row>
    <row r="453">
      <c r="C453" s="69"/>
      <c r="E453" s="50"/>
      <c r="G453" s="70"/>
      <c r="I453" s="50"/>
      <c r="J453" s="50"/>
      <c r="M453" s="27"/>
      <c r="N453" s="27"/>
      <c r="O453" s="27"/>
      <c r="P453" s="27"/>
      <c r="Q453" s="27"/>
      <c r="R453" s="27"/>
      <c r="S453" s="27"/>
    </row>
    <row r="454">
      <c r="C454" s="69"/>
      <c r="E454" s="50"/>
      <c r="G454" s="70"/>
      <c r="I454" s="50"/>
      <c r="J454" s="50"/>
      <c r="M454" s="27"/>
      <c r="N454" s="27"/>
      <c r="O454" s="27"/>
      <c r="P454" s="27"/>
      <c r="Q454" s="27"/>
      <c r="R454" s="27"/>
      <c r="S454" s="27"/>
    </row>
    <row r="455">
      <c r="C455" s="69"/>
      <c r="E455" s="50"/>
      <c r="G455" s="70"/>
      <c r="I455" s="50"/>
      <c r="J455" s="50"/>
      <c r="M455" s="27"/>
      <c r="N455" s="27"/>
      <c r="O455" s="27"/>
      <c r="P455" s="27"/>
      <c r="Q455" s="27"/>
      <c r="R455" s="27"/>
      <c r="S455" s="27"/>
    </row>
    <row r="456">
      <c r="C456" s="69"/>
      <c r="E456" s="50"/>
      <c r="G456" s="70"/>
      <c r="I456" s="50"/>
      <c r="J456" s="50"/>
      <c r="M456" s="27"/>
      <c r="N456" s="27"/>
      <c r="O456" s="27"/>
      <c r="P456" s="27"/>
      <c r="Q456" s="27"/>
      <c r="R456" s="27"/>
      <c r="S456" s="27"/>
    </row>
    <row r="457">
      <c r="C457" s="69"/>
      <c r="E457" s="50"/>
      <c r="G457" s="70"/>
      <c r="I457" s="50"/>
      <c r="J457" s="50"/>
      <c r="M457" s="27"/>
      <c r="N457" s="27"/>
      <c r="O457" s="27"/>
      <c r="P457" s="27"/>
      <c r="Q457" s="27"/>
      <c r="R457" s="27"/>
      <c r="S457" s="27"/>
    </row>
    <row r="458">
      <c r="C458" s="69"/>
      <c r="E458" s="50"/>
      <c r="G458" s="70"/>
      <c r="I458" s="50"/>
      <c r="J458" s="50"/>
      <c r="M458" s="27"/>
      <c r="N458" s="27"/>
      <c r="O458" s="27"/>
      <c r="P458" s="27"/>
      <c r="Q458" s="27"/>
      <c r="R458" s="27"/>
      <c r="S458" s="27"/>
    </row>
    <row r="459">
      <c r="C459" s="69"/>
      <c r="E459" s="50"/>
      <c r="G459" s="70"/>
      <c r="I459" s="50"/>
      <c r="J459" s="50"/>
      <c r="M459" s="27"/>
      <c r="N459" s="27"/>
      <c r="O459" s="27"/>
      <c r="P459" s="27"/>
      <c r="Q459" s="27"/>
      <c r="R459" s="27"/>
      <c r="S459" s="27"/>
    </row>
    <row r="460">
      <c r="C460" s="69"/>
      <c r="E460" s="50"/>
      <c r="G460" s="70"/>
      <c r="I460" s="50"/>
      <c r="J460" s="50"/>
      <c r="M460" s="27"/>
      <c r="N460" s="27"/>
      <c r="O460" s="27"/>
      <c r="P460" s="27"/>
      <c r="Q460" s="27"/>
      <c r="R460" s="27"/>
      <c r="S460" s="27"/>
    </row>
    <row r="461">
      <c r="C461" s="69"/>
      <c r="E461" s="50"/>
      <c r="G461" s="70"/>
      <c r="I461" s="50"/>
      <c r="J461" s="50"/>
      <c r="M461" s="27"/>
      <c r="N461" s="27"/>
      <c r="O461" s="27"/>
      <c r="P461" s="27"/>
      <c r="Q461" s="27"/>
      <c r="R461" s="27"/>
      <c r="S461" s="27"/>
    </row>
    <row r="462">
      <c r="C462" s="69"/>
      <c r="E462" s="50"/>
      <c r="G462" s="70"/>
      <c r="I462" s="50"/>
      <c r="J462" s="50"/>
      <c r="M462" s="27"/>
      <c r="N462" s="27"/>
      <c r="O462" s="27"/>
      <c r="P462" s="27"/>
      <c r="Q462" s="27"/>
      <c r="R462" s="27"/>
      <c r="S462" s="27"/>
    </row>
    <row r="463">
      <c r="C463" s="69"/>
      <c r="E463" s="50"/>
      <c r="G463" s="70"/>
      <c r="I463" s="50"/>
      <c r="J463" s="50"/>
      <c r="M463" s="27"/>
      <c r="N463" s="27"/>
      <c r="O463" s="27"/>
      <c r="P463" s="27"/>
      <c r="Q463" s="27"/>
      <c r="R463" s="27"/>
      <c r="S463" s="27"/>
    </row>
    <row r="464">
      <c r="C464" s="69"/>
      <c r="E464" s="50"/>
      <c r="G464" s="70"/>
      <c r="I464" s="50"/>
      <c r="J464" s="50"/>
      <c r="M464" s="27"/>
      <c r="N464" s="27"/>
      <c r="O464" s="27"/>
      <c r="P464" s="27"/>
      <c r="Q464" s="27"/>
      <c r="R464" s="27"/>
      <c r="S464" s="27"/>
    </row>
    <row r="465">
      <c r="C465" s="69"/>
      <c r="E465" s="50"/>
      <c r="G465" s="70"/>
      <c r="I465" s="50"/>
      <c r="J465" s="50"/>
      <c r="M465" s="27"/>
      <c r="N465" s="27"/>
      <c r="O465" s="27"/>
      <c r="P465" s="27"/>
      <c r="Q465" s="27"/>
      <c r="R465" s="27"/>
      <c r="S465" s="27"/>
    </row>
    <row r="466">
      <c r="C466" s="69"/>
      <c r="E466" s="50"/>
      <c r="G466" s="70"/>
      <c r="I466" s="50"/>
      <c r="J466" s="50"/>
      <c r="M466" s="27"/>
      <c r="N466" s="27"/>
      <c r="O466" s="27"/>
      <c r="P466" s="27"/>
      <c r="Q466" s="27"/>
      <c r="R466" s="27"/>
      <c r="S466" s="27"/>
    </row>
    <row r="467">
      <c r="C467" s="69"/>
      <c r="E467" s="50"/>
      <c r="G467" s="70"/>
      <c r="I467" s="50"/>
      <c r="J467" s="50"/>
      <c r="M467" s="27"/>
      <c r="N467" s="27"/>
      <c r="O467" s="27"/>
      <c r="P467" s="27"/>
      <c r="Q467" s="27"/>
      <c r="R467" s="27"/>
      <c r="S467" s="27"/>
    </row>
    <row r="468">
      <c r="C468" s="69"/>
      <c r="E468" s="50"/>
      <c r="G468" s="70"/>
      <c r="I468" s="50"/>
      <c r="J468" s="50"/>
      <c r="M468" s="27"/>
      <c r="N468" s="27"/>
      <c r="O468" s="27"/>
      <c r="P468" s="27"/>
      <c r="Q468" s="27"/>
      <c r="R468" s="27"/>
      <c r="S468" s="27"/>
    </row>
    <row r="469">
      <c r="C469" s="69"/>
      <c r="E469" s="50"/>
      <c r="G469" s="70"/>
      <c r="I469" s="50"/>
      <c r="J469" s="50"/>
      <c r="M469" s="27"/>
      <c r="N469" s="27"/>
      <c r="O469" s="27"/>
      <c r="P469" s="27"/>
      <c r="Q469" s="27"/>
      <c r="R469" s="27"/>
      <c r="S469" s="27"/>
    </row>
    <row r="470">
      <c r="C470" s="69"/>
      <c r="E470" s="50"/>
      <c r="G470" s="70"/>
      <c r="I470" s="50"/>
      <c r="J470" s="50"/>
      <c r="M470" s="27"/>
      <c r="N470" s="27"/>
      <c r="O470" s="27"/>
      <c r="P470" s="27"/>
      <c r="Q470" s="27"/>
      <c r="R470" s="27"/>
      <c r="S470" s="27"/>
    </row>
    <row r="471">
      <c r="C471" s="69"/>
      <c r="E471" s="50"/>
      <c r="G471" s="70"/>
      <c r="I471" s="50"/>
      <c r="J471" s="50"/>
      <c r="M471" s="27"/>
      <c r="N471" s="27"/>
      <c r="O471" s="27"/>
      <c r="P471" s="27"/>
      <c r="Q471" s="27"/>
      <c r="R471" s="27"/>
      <c r="S471" s="27"/>
    </row>
    <row r="472">
      <c r="C472" s="69"/>
      <c r="E472" s="50"/>
      <c r="G472" s="70"/>
      <c r="I472" s="50"/>
      <c r="J472" s="50"/>
      <c r="M472" s="27"/>
      <c r="N472" s="27"/>
      <c r="O472" s="27"/>
      <c r="P472" s="27"/>
      <c r="Q472" s="27"/>
      <c r="R472" s="27"/>
      <c r="S472" s="27"/>
    </row>
    <row r="473">
      <c r="C473" s="69"/>
      <c r="E473" s="50"/>
      <c r="G473" s="70"/>
      <c r="I473" s="50"/>
      <c r="J473" s="50"/>
      <c r="M473" s="27"/>
      <c r="N473" s="27"/>
      <c r="O473" s="27"/>
      <c r="P473" s="27"/>
      <c r="Q473" s="27"/>
      <c r="R473" s="27"/>
      <c r="S473" s="27"/>
    </row>
    <row r="474">
      <c r="C474" s="69"/>
      <c r="E474" s="50"/>
      <c r="G474" s="70"/>
      <c r="I474" s="50"/>
      <c r="J474" s="50"/>
      <c r="M474" s="27"/>
      <c r="N474" s="27"/>
      <c r="O474" s="27"/>
      <c r="P474" s="27"/>
      <c r="Q474" s="27"/>
      <c r="R474" s="27"/>
      <c r="S474" s="27"/>
    </row>
    <row r="475">
      <c r="C475" s="69"/>
      <c r="E475" s="50"/>
      <c r="G475" s="70"/>
      <c r="I475" s="50"/>
      <c r="J475" s="50"/>
      <c r="M475" s="27"/>
      <c r="N475" s="27"/>
      <c r="O475" s="27"/>
      <c r="P475" s="27"/>
      <c r="Q475" s="27"/>
      <c r="R475" s="27"/>
      <c r="S475" s="27"/>
    </row>
    <row r="476">
      <c r="C476" s="69"/>
      <c r="E476" s="50"/>
      <c r="G476" s="70"/>
      <c r="I476" s="50"/>
      <c r="J476" s="50"/>
      <c r="M476" s="27"/>
      <c r="N476" s="27"/>
      <c r="O476" s="27"/>
      <c r="P476" s="27"/>
      <c r="Q476" s="27"/>
      <c r="R476" s="27"/>
      <c r="S476" s="27"/>
    </row>
    <row r="477">
      <c r="C477" s="69"/>
      <c r="E477" s="50"/>
      <c r="G477" s="70"/>
      <c r="I477" s="50"/>
      <c r="J477" s="50"/>
      <c r="M477" s="27"/>
      <c r="N477" s="27"/>
      <c r="O477" s="27"/>
      <c r="P477" s="27"/>
      <c r="Q477" s="27"/>
      <c r="R477" s="27"/>
      <c r="S477" s="27"/>
    </row>
    <row r="478">
      <c r="C478" s="69"/>
      <c r="E478" s="50"/>
      <c r="G478" s="70"/>
      <c r="I478" s="50"/>
      <c r="J478" s="50"/>
      <c r="M478" s="27"/>
      <c r="N478" s="27"/>
      <c r="O478" s="27"/>
      <c r="P478" s="27"/>
      <c r="Q478" s="27"/>
      <c r="R478" s="27"/>
      <c r="S478" s="27"/>
    </row>
    <row r="479">
      <c r="C479" s="69"/>
      <c r="E479" s="50"/>
      <c r="G479" s="70"/>
      <c r="I479" s="50"/>
      <c r="J479" s="50"/>
      <c r="M479" s="27"/>
      <c r="N479" s="27"/>
      <c r="O479" s="27"/>
      <c r="P479" s="27"/>
      <c r="Q479" s="27"/>
      <c r="R479" s="27"/>
      <c r="S479" s="27"/>
    </row>
    <row r="480">
      <c r="C480" s="69"/>
      <c r="E480" s="50"/>
      <c r="G480" s="70"/>
      <c r="I480" s="50"/>
      <c r="J480" s="50"/>
      <c r="M480" s="27"/>
      <c r="N480" s="27"/>
      <c r="O480" s="27"/>
      <c r="P480" s="27"/>
      <c r="Q480" s="27"/>
      <c r="R480" s="27"/>
      <c r="S480" s="27"/>
    </row>
    <row r="481">
      <c r="C481" s="69"/>
      <c r="E481" s="50"/>
      <c r="G481" s="70"/>
      <c r="I481" s="50"/>
      <c r="J481" s="50"/>
      <c r="M481" s="27"/>
      <c r="N481" s="27"/>
      <c r="O481" s="27"/>
      <c r="P481" s="27"/>
      <c r="Q481" s="27"/>
      <c r="R481" s="27"/>
      <c r="S481" s="27"/>
    </row>
    <row r="482">
      <c r="C482" s="69"/>
      <c r="E482" s="50"/>
      <c r="G482" s="70"/>
      <c r="I482" s="50"/>
      <c r="J482" s="50"/>
      <c r="M482" s="27"/>
      <c r="N482" s="27"/>
      <c r="O482" s="27"/>
      <c r="P482" s="27"/>
      <c r="Q482" s="27"/>
      <c r="R482" s="27"/>
      <c r="S482" s="27"/>
    </row>
    <row r="483">
      <c r="C483" s="69"/>
      <c r="E483" s="50"/>
      <c r="G483" s="70"/>
      <c r="I483" s="50"/>
      <c r="J483" s="50"/>
      <c r="M483" s="27"/>
      <c r="N483" s="27"/>
      <c r="O483" s="27"/>
      <c r="P483" s="27"/>
      <c r="Q483" s="27"/>
      <c r="R483" s="27"/>
      <c r="S483" s="27"/>
    </row>
    <row r="484">
      <c r="C484" s="69"/>
      <c r="E484" s="50"/>
      <c r="G484" s="70"/>
      <c r="I484" s="50"/>
      <c r="J484" s="50"/>
      <c r="M484" s="27"/>
      <c r="N484" s="27"/>
      <c r="O484" s="27"/>
      <c r="P484" s="27"/>
      <c r="Q484" s="27"/>
      <c r="R484" s="27"/>
      <c r="S484" s="27"/>
    </row>
    <row r="485">
      <c r="C485" s="69"/>
      <c r="E485" s="50"/>
      <c r="G485" s="70"/>
      <c r="I485" s="50"/>
      <c r="J485" s="50"/>
      <c r="M485" s="27"/>
      <c r="N485" s="27"/>
      <c r="O485" s="27"/>
      <c r="P485" s="27"/>
      <c r="Q485" s="27"/>
      <c r="R485" s="27"/>
      <c r="S485" s="27"/>
    </row>
    <row r="486">
      <c r="C486" s="69"/>
      <c r="E486" s="50"/>
      <c r="G486" s="70"/>
      <c r="I486" s="50"/>
      <c r="J486" s="50"/>
      <c r="M486" s="27"/>
      <c r="N486" s="27"/>
      <c r="O486" s="27"/>
      <c r="P486" s="27"/>
      <c r="Q486" s="27"/>
      <c r="R486" s="27"/>
      <c r="S486" s="27"/>
    </row>
    <row r="487">
      <c r="C487" s="69"/>
      <c r="E487" s="50"/>
      <c r="G487" s="70"/>
      <c r="I487" s="50"/>
      <c r="J487" s="50"/>
      <c r="M487" s="27"/>
      <c r="N487" s="27"/>
      <c r="O487" s="27"/>
      <c r="P487" s="27"/>
      <c r="Q487" s="27"/>
      <c r="R487" s="27"/>
      <c r="S487" s="27"/>
    </row>
    <row r="488">
      <c r="C488" s="69"/>
      <c r="E488" s="50"/>
      <c r="G488" s="70"/>
      <c r="I488" s="50"/>
      <c r="J488" s="50"/>
      <c r="M488" s="27"/>
      <c r="N488" s="27"/>
      <c r="O488" s="27"/>
      <c r="P488" s="27"/>
      <c r="Q488" s="27"/>
      <c r="R488" s="27"/>
      <c r="S488" s="27"/>
    </row>
    <row r="489">
      <c r="C489" s="69"/>
      <c r="E489" s="50"/>
      <c r="G489" s="70"/>
      <c r="I489" s="50"/>
      <c r="J489" s="50"/>
      <c r="M489" s="27"/>
      <c r="N489" s="27"/>
      <c r="O489" s="27"/>
      <c r="P489" s="27"/>
      <c r="Q489" s="27"/>
      <c r="R489" s="27"/>
      <c r="S489" s="27"/>
    </row>
    <row r="490">
      <c r="C490" s="69"/>
      <c r="E490" s="50"/>
      <c r="G490" s="70"/>
      <c r="I490" s="50"/>
      <c r="J490" s="50"/>
      <c r="M490" s="27"/>
      <c r="N490" s="27"/>
      <c r="O490" s="27"/>
      <c r="P490" s="27"/>
      <c r="Q490" s="27"/>
      <c r="R490" s="27"/>
      <c r="S490" s="27"/>
    </row>
    <row r="491">
      <c r="C491" s="69"/>
      <c r="E491" s="50"/>
      <c r="G491" s="70"/>
      <c r="I491" s="50"/>
      <c r="J491" s="50"/>
      <c r="M491" s="27"/>
      <c r="N491" s="27"/>
      <c r="O491" s="27"/>
      <c r="P491" s="27"/>
      <c r="Q491" s="27"/>
      <c r="R491" s="27"/>
      <c r="S491" s="27"/>
    </row>
    <row r="492">
      <c r="C492" s="69"/>
      <c r="E492" s="50"/>
      <c r="G492" s="70"/>
      <c r="I492" s="50"/>
      <c r="J492" s="50"/>
      <c r="M492" s="27"/>
      <c r="N492" s="27"/>
      <c r="O492" s="27"/>
      <c r="P492" s="27"/>
      <c r="Q492" s="27"/>
      <c r="R492" s="27"/>
      <c r="S492" s="27"/>
    </row>
    <row r="493">
      <c r="C493" s="69"/>
      <c r="E493" s="50"/>
      <c r="G493" s="70"/>
      <c r="I493" s="50"/>
      <c r="J493" s="50"/>
      <c r="M493" s="27"/>
      <c r="N493" s="27"/>
      <c r="O493" s="27"/>
      <c r="P493" s="27"/>
      <c r="Q493" s="27"/>
      <c r="R493" s="27"/>
      <c r="S493" s="27"/>
    </row>
    <row r="494">
      <c r="C494" s="69"/>
      <c r="E494" s="50"/>
      <c r="G494" s="70"/>
      <c r="I494" s="50"/>
      <c r="J494" s="50"/>
      <c r="M494" s="27"/>
      <c r="N494" s="27"/>
      <c r="O494" s="27"/>
      <c r="P494" s="27"/>
      <c r="Q494" s="27"/>
      <c r="R494" s="27"/>
      <c r="S494" s="27"/>
    </row>
    <row r="495">
      <c r="C495" s="69"/>
      <c r="E495" s="50"/>
      <c r="G495" s="70"/>
      <c r="I495" s="50"/>
      <c r="J495" s="50"/>
      <c r="M495" s="27"/>
      <c r="N495" s="27"/>
      <c r="O495" s="27"/>
      <c r="P495" s="27"/>
      <c r="Q495" s="27"/>
      <c r="R495" s="27"/>
      <c r="S495" s="27"/>
    </row>
    <row r="496">
      <c r="C496" s="69"/>
      <c r="E496" s="50"/>
      <c r="G496" s="70"/>
      <c r="I496" s="50"/>
      <c r="J496" s="50"/>
      <c r="M496" s="27"/>
      <c r="N496" s="27"/>
      <c r="O496" s="27"/>
      <c r="P496" s="27"/>
      <c r="Q496" s="27"/>
      <c r="R496" s="27"/>
      <c r="S496" s="27"/>
    </row>
    <row r="497">
      <c r="C497" s="69"/>
      <c r="E497" s="50"/>
      <c r="G497" s="70"/>
      <c r="I497" s="50"/>
      <c r="J497" s="50"/>
      <c r="M497" s="27"/>
      <c r="N497" s="27"/>
      <c r="O497" s="27"/>
      <c r="P497" s="27"/>
      <c r="Q497" s="27"/>
      <c r="R497" s="27"/>
      <c r="S497" s="27"/>
    </row>
    <row r="498">
      <c r="C498" s="69"/>
      <c r="E498" s="50"/>
      <c r="G498" s="70"/>
      <c r="I498" s="50"/>
      <c r="J498" s="50"/>
      <c r="M498" s="27"/>
      <c r="N498" s="27"/>
      <c r="O498" s="27"/>
      <c r="P498" s="27"/>
      <c r="Q498" s="27"/>
      <c r="R498" s="27"/>
      <c r="S498" s="27"/>
    </row>
    <row r="499">
      <c r="C499" s="69"/>
      <c r="E499" s="50"/>
      <c r="G499" s="70"/>
      <c r="I499" s="50"/>
      <c r="J499" s="50"/>
      <c r="M499" s="27"/>
      <c r="N499" s="27"/>
      <c r="O499" s="27"/>
      <c r="P499" s="27"/>
      <c r="Q499" s="27"/>
      <c r="R499" s="27"/>
      <c r="S499" s="27"/>
    </row>
    <row r="500">
      <c r="C500" s="69"/>
      <c r="E500" s="50"/>
      <c r="G500" s="70"/>
      <c r="I500" s="50"/>
      <c r="J500" s="50"/>
      <c r="M500" s="27"/>
      <c r="N500" s="27"/>
      <c r="O500" s="27"/>
      <c r="P500" s="27"/>
      <c r="Q500" s="27"/>
      <c r="R500" s="27"/>
      <c r="S500" s="27"/>
    </row>
    <row r="501">
      <c r="C501" s="69"/>
      <c r="E501" s="50"/>
      <c r="G501" s="70"/>
      <c r="I501" s="50"/>
      <c r="J501" s="50"/>
      <c r="M501" s="27"/>
      <c r="N501" s="27"/>
      <c r="O501" s="27"/>
      <c r="P501" s="27"/>
      <c r="Q501" s="27"/>
      <c r="R501" s="27"/>
      <c r="S501" s="27"/>
    </row>
    <row r="502">
      <c r="C502" s="69"/>
      <c r="E502" s="50"/>
      <c r="G502" s="70"/>
      <c r="I502" s="50"/>
      <c r="J502" s="50"/>
      <c r="M502" s="27"/>
      <c r="N502" s="27"/>
      <c r="O502" s="27"/>
      <c r="P502" s="27"/>
      <c r="Q502" s="27"/>
      <c r="R502" s="27"/>
      <c r="S502" s="27"/>
    </row>
    <row r="503">
      <c r="C503" s="69"/>
      <c r="E503" s="50"/>
      <c r="G503" s="70"/>
      <c r="I503" s="50"/>
      <c r="J503" s="50"/>
      <c r="M503" s="27"/>
      <c r="N503" s="27"/>
      <c r="O503" s="27"/>
      <c r="P503" s="27"/>
      <c r="Q503" s="27"/>
      <c r="R503" s="27"/>
      <c r="S503" s="27"/>
    </row>
    <row r="504">
      <c r="C504" s="69"/>
      <c r="E504" s="50"/>
      <c r="G504" s="70"/>
      <c r="I504" s="50"/>
      <c r="J504" s="50"/>
      <c r="M504" s="27"/>
      <c r="N504" s="27"/>
      <c r="O504" s="27"/>
      <c r="P504" s="27"/>
      <c r="Q504" s="27"/>
      <c r="R504" s="27"/>
      <c r="S504" s="27"/>
    </row>
    <row r="505">
      <c r="C505" s="69"/>
      <c r="E505" s="50"/>
      <c r="G505" s="70"/>
      <c r="I505" s="50"/>
      <c r="J505" s="50"/>
      <c r="M505" s="27"/>
      <c r="N505" s="27"/>
      <c r="O505" s="27"/>
      <c r="P505" s="27"/>
      <c r="Q505" s="27"/>
      <c r="R505" s="27"/>
      <c r="S505" s="27"/>
    </row>
    <row r="506">
      <c r="C506" s="69"/>
      <c r="E506" s="50"/>
      <c r="G506" s="70"/>
      <c r="I506" s="50"/>
      <c r="J506" s="50"/>
      <c r="M506" s="27"/>
      <c r="N506" s="27"/>
      <c r="O506" s="27"/>
      <c r="P506" s="27"/>
      <c r="Q506" s="27"/>
      <c r="R506" s="27"/>
      <c r="S506" s="27"/>
    </row>
    <row r="507">
      <c r="C507" s="69"/>
      <c r="E507" s="50"/>
      <c r="G507" s="70"/>
      <c r="I507" s="50"/>
      <c r="J507" s="50"/>
      <c r="M507" s="27"/>
      <c r="N507" s="27"/>
      <c r="O507" s="27"/>
      <c r="P507" s="27"/>
      <c r="Q507" s="27"/>
      <c r="R507" s="27"/>
      <c r="S507" s="27"/>
    </row>
    <row r="508">
      <c r="C508" s="69"/>
      <c r="E508" s="50"/>
      <c r="G508" s="70"/>
      <c r="I508" s="50"/>
      <c r="J508" s="50"/>
      <c r="M508" s="27"/>
      <c r="N508" s="27"/>
      <c r="O508" s="27"/>
      <c r="P508" s="27"/>
      <c r="Q508" s="27"/>
      <c r="R508" s="27"/>
      <c r="S508" s="27"/>
    </row>
    <row r="509">
      <c r="C509" s="69"/>
      <c r="E509" s="50"/>
      <c r="G509" s="70"/>
      <c r="I509" s="50"/>
      <c r="J509" s="50"/>
      <c r="M509" s="27"/>
      <c r="N509" s="27"/>
      <c r="O509" s="27"/>
      <c r="P509" s="27"/>
      <c r="Q509" s="27"/>
      <c r="R509" s="27"/>
      <c r="S509" s="27"/>
    </row>
    <row r="510">
      <c r="C510" s="69"/>
      <c r="E510" s="50"/>
      <c r="G510" s="70"/>
      <c r="I510" s="50"/>
      <c r="J510" s="50"/>
      <c r="M510" s="27"/>
      <c r="N510" s="27"/>
      <c r="O510" s="27"/>
      <c r="P510" s="27"/>
      <c r="Q510" s="27"/>
      <c r="R510" s="27"/>
      <c r="S510" s="27"/>
    </row>
    <row r="511">
      <c r="C511" s="69"/>
      <c r="E511" s="50"/>
      <c r="G511" s="70"/>
      <c r="I511" s="50"/>
      <c r="J511" s="50"/>
      <c r="M511" s="27"/>
      <c r="N511" s="27"/>
      <c r="O511" s="27"/>
      <c r="P511" s="27"/>
      <c r="Q511" s="27"/>
      <c r="R511" s="27"/>
      <c r="S511" s="27"/>
    </row>
    <row r="512">
      <c r="C512" s="69"/>
      <c r="E512" s="50"/>
      <c r="G512" s="70"/>
      <c r="I512" s="50"/>
      <c r="J512" s="50"/>
      <c r="M512" s="27"/>
      <c r="N512" s="27"/>
      <c r="O512" s="27"/>
      <c r="P512" s="27"/>
      <c r="Q512" s="27"/>
      <c r="R512" s="27"/>
      <c r="S512" s="27"/>
    </row>
    <row r="513">
      <c r="C513" s="69"/>
      <c r="E513" s="50"/>
      <c r="G513" s="70"/>
      <c r="I513" s="50"/>
      <c r="J513" s="50"/>
      <c r="M513" s="27"/>
      <c r="N513" s="27"/>
      <c r="O513" s="27"/>
      <c r="P513" s="27"/>
      <c r="Q513" s="27"/>
      <c r="R513" s="27"/>
      <c r="S513" s="27"/>
    </row>
    <row r="514">
      <c r="C514" s="69"/>
      <c r="E514" s="50"/>
      <c r="G514" s="70"/>
      <c r="I514" s="50"/>
      <c r="J514" s="50"/>
      <c r="M514" s="27"/>
      <c r="N514" s="27"/>
      <c r="O514" s="27"/>
      <c r="P514" s="27"/>
      <c r="Q514" s="27"/>
      <c r="R514" s="27"/>
      <c r="S514" s="27"/>
    </row>
    <row r="515">
      <c r="C515" s="69"/>
      <c r="E515" s="50"/>
      <c r="G515" s="70"/>
      <c r="I515" s="50"/>
      <c r="J515" s="50"/>
      <c r="M515" s="27"/>
      <c r="N515" s="27"/>
      <c r="O515" s="27"/>
      <c r="P515" s="27"/>
      <c r="Q515" s="27"/>
      <c r="R515" s="27"/>
      <c r="S515" s="27"/>
    </row>
    <row r="516">
      <c r="C516" s="69"/>
      <c r="E516" s="50"/>
      <c r="G516" s="70"/>
      <c r="I516" s="50"/>
      <c r="J516" s="50"/>
      <c r="M516" s="27"/>
      <c r="N516" s="27"/>
      <c r="O516" s="27"/>
      <c r="P516" s="27"/>
      <c r="Q516" s="27"/>
      <c r="R516" s="27"/>
      <c r="S516" s="27"/>
    </row>
    <row r="517">
      <c r="C517" s="69"/>
      <c r="E517" s="50"/>
      <c r="G517" s="70"/>
      <c r="I517" s="50"/>
      <c r="J517" s="50"/>
      <c r="M517" s="27"/>
      <c r="N517" s="27"/>
      <c r="O517" s="27"/>
      <c r="P517" s="27"/>
      <c r="Q517" s="27"/>
      <c r="R517" s="27"/>
      <c r="S517" s="27"/>
    </row>
    <row r="518">
      <c r="C518" s="69"/>
      <c r="E518" s="50"/>
      <c r="G518" s="70"/>
      <c r="I518" s="50"/>
      <c r="J518" s="50"/>
      <c r="M518" s="27"/>
      <c r="N518" s="27"/>
      <c r="O518" s="27"/>
      <c r="P518" s="27"/>
      <c r="Q518" s="27"/>
      <c r="R518" s="27"/>
      <c r="S518" s="27"/>
    </row>
    <row r="519">
      <c r="C519" s="69"/>
      <c r="E519" s="50"/>
      <c r="G519" s="70"/>
      <c r="I519" s="50"/>
      <c r="J519" s="50"/>
      <c r="M519" s="27"/>
      <c r="N519" s="27"/>
      <c r="O519" s="27"/>
      <c r="P519" s="27"/>
      <c r="Q519" s="27"/>
      <c r="R519" s="27"/>
      <c r="S519" s="27"/>
    </row>
    <row r="520">
      <c r="C520" s="69"/>
      <c r="E520" s="50"/>
      <c r="G520" s="70"/>
      <c r="I520" s="50"/>
      <c r="J520" s="50"/>
      <c r="M520" s="27"/>
      <c r="N520" s="27"/>
      <c r="O520" s="27"/>
      <c r="P520" s="27"/>
      <c r="Q520" s="27"/>
      <c r="R520" s="27"/>
      <c r="S520" s="27"/>
    </row>
    <row r="521">
      <c r="C521" s="69"/>
      <c r="E521" s="50"/>
      <c r="G521" s="70"/>
      <c r="I521" s="50"/>
      <c r="J521" s="50"/>
      <c r="M521" s="27"/>
      <c r="N521" s="27"/>
      <c r="O521" s="27"/>
      <c r="P521" s="27"/>
      <c r="Q521" s="27"/>
      <c r="R521" s="27"/>
      <c r="S521" s="27"/>
    </row>
    <row r="522">
      <c r="C522" s="69"/>
      <c r="E522" s="50"/>
      <c r="G522" s="70"/>
      <c r="I522" s="50"/>
      <c r="J522" s="50"/>
      <c r="M522" s="27"/>
      <c r="N522" s="27"/>
      <c r="O522" s="27"/>
      <c r="P522" s="27"/>
      <c r="Q522" s="27"/>
      <c r="R522" s="27"/>
      <c r="S522" s="27"/>
    </row>
    <row r="523">
      <c r="C523" s="69"/>
      <c r="E523" s="50"/>
      <c r="G523" s="70"/>
      <c r="I523" s="50"/>
      <c r="J523" s="50"/>
      <c r="M523" s="27"/>
      <c r="N523" s="27"/>
      <c r="O523" s="27"/>
      <c r="P523" s="27"/>
      <c r="Q523" s="27"/>
      <c r="R523" s="27"/>
      <c r="S523" s="27"/>
    </row>
    <row r="524">
      <c r="C524" s="69"/>
      <c r="E524" s="50"/>
      <c r="G524" s="70"/>
      <c r="I524" s="50"/>
      <c r="J524" s="50"/>
      <c r="M524" s="27"/>
      <c r="N524" s="27"/>
      <c r="O524" s="27"/>
      <c r="P524" s="27"/>
      <c r="Q524" s="27"/>
      <c r="R524" s="27"/>
      <c r="S524" s="27"/>
    </row>
    <row r="525">
      <c r="C525" s="69"/>
      <c r="E525" s="50"/>
      <c r="G525" s="70"/>
      <c r="I525" s="50"/>
      <c r="J525" s="50"/>
      <c r="M525" s="27"/>
      <c r="N525" s="27"/>
      <c r="O525" s="27"/>
      <c r="P525" s="27"/>
      <c r="Q525" s="27"/>
      <c r="R525" s="27"/>
      <c r="S525" s="27"/>
    </row>
    <row r="526">
      <c r="C526" s="69"/>
      <c r="E526" s="50"/>
      <c r="G526" s="70"/>
      <c r="I526" s="50"/>
      <c r="J526" s="50"/>
      <c r="M526" s="27"/>
      <c r="N526" s="27"/>
      <c r="O526" s="27"/>
      <c r="P526" s="27"/>
      <c r="Q526" s="27"/>
      <c r="R526" s="27"/>
      <c r="S526" s="27"/>
    </row>
    <row r="527">
      <c r="C527" s="69"/>
      <c r="E527" s="50"/>
      <c r="G527" s="70"/>
      <c r="I527" s="50"/>
      <c r="J527" s="50"/>
      <c r="M527" s="27"/>
      <c r="N527" s="27"/>
      <c r="O527" s="27"/>
      <c r="P527" s="27"/>
      <c r="Q527" s="27"/>
      <c r="R527" s="27"/>
      <c r="S527" s="27"/>
    </row>
    <row r="528">
      <c r="C528" s="69"/>
      <c r="E528" s="50"/>
      <c r="G528" s="70"/>
      <c r="I528" s="50"/>
      <c r="J528" s="50"/>
      <c r="M528" s="27"/>
      <c r="N528" s="27"/>
      <c r="O528" s="27"/>
      <c r="P528" s="27"/>
      <c r="Q528" s="27"/>
      <c r="R528" s="27"/>
      <c r="S528" s="27"/>
    </row>
    <row r="529">
      <c r="C529" s="69"/>
      <c r="E529" s="50"/>
      <c r="G529" s="70"/>
      <c r="I529" s="50"/>
      <c r="J529" s="50"/>
      <c r="M529" s="27"/>
      <c r="N529" s="27"/>
      <c r="O529" s="27"/>
      <c r="P529" s="27"/>
      <c r="Q529" s="27"/>
      <c r="R529" s="27"/>
      <c r="S529" s="27"/>
    </row>
    <row r="530">
      <c r="C530" s="69"/>
      <c r="E530" s="50"/>
      <c r="G530" s="70"/>
      <c r="I530" s="50"/>
      <c r="J530" s="50"/>
      <c r="M530" s="27"/>
      <c r="N530" s="27"/>
      <c r="O530" s="27"/>
      <c r="P530" s="27"/>
      <c r="Q530" s="27"/>
      <c r="R530" s="27"/>
      <c r="S530" s="27"/>
    </row>
    <row r="531">
      <c r="C531" s="69"/>
      <c r="E531" s="50"/>
      <c r="G531" s="70"/>
      <c r="I531" s="50"/>
      <c r="J531" s="50"/>
      <c r="M531" s="27"/>
      <c r="N531" s="27"/>
      <c r="O531" s="27"/>
      <c r="P531" s="27"/>
      <c r="Q531" s="27"/>
      <c r="R531" s="27"/>
      <c r="S531" s="27"/>
    </row>
    <row r="532">
      <c r="C532" s="69"/>
      <c r="E532" s="50"/>
      <c r="G532" s="70"/>
      <c r="I532" s="50"/>
      <c r="J532" s="50"/>
      <c r="M532" s="27"/>
      <c r="N532" s="27"/>
      <c r="O532" s="27"/>
      <c r="P532" s="27"/>
      <c r="Q532" s="27"/>
      <c r="R532" s="27"/>
      <c r="S532" s="27"/>
    </row>
    <row r="533">
      <c r="C533" s="69"/>
      <c r="E533" s="50"/>
      <c r="G533" s="70"/>
      <c r="I533" s="50"/>
      <c r="J533" s="50"/>
      <c r="M533" s="27"/>
      <c r="N533" s="27"/>
      <c r="O533" s="27"/>
      <c r="P533" s="27"/>
      <c r="Q533" s="27"/>
      <c r="R533" s="27"/>
      <c r="S533" s="27"/>
    </row>
    <row r="534">
      <c r="C534" s="69"/>
      <c r="E534" s="50"/>
      <c r="G534" s="70"/>
      <c r="I534" s="50"/>
      <c r="J534" s="50"/>
      <c r="M534" s="27"/>
      <c r="N534" s="27"/>
      <c r="O534" s="27"/>
      <c r="P534" s="27"/>
      <c r="Q534" s="27"/>
      <c r="R534" s="27"/>
      <c r="S534" s="27"/>
    </row>
    <row r="535">
      <c r="C535" s="69"/>
      <c r="E535" s="50"/>
      <c r="G535" s="70"/>
      <c r="I535" s="50"/>
      <c r="J535" s="50"/>
      <c r="M535" s="27"/>
      <c r="N535" s="27"/>
      <c r="O535" s="27"/>
      <c r="P535" s="27"/>
      <c r="Q535" s="27"/>
      <c r="R535" s="27"/>
      <c r="S535" s="27"/>
    </row>
    <row r="536">
      <c r="C536" s="69"/>
      <c r="E536" s="50"/>
      <c r="G536" s="70"/>
      <c r="I536" s="50"/>
      <c r="J536" s="50"/>
      <c r="M536" s="27"/>
      <c r="N536" s="27"/>
      <c r="O536" s="27"/>
      <c r="P536" s="27"/>
      <c r="Q536" s="27"/>
      <c r="R536" s="27"/>
      <c r="S536" s="27"/>
    </row>
    <row r="537">
      <c r="C537" s="69"/>
      <c r="E537" s="50"/>
      <c r="G537" s="70"/>
      <c r="I537" s="50"/>
      <c r="J537" s="50"/>
      <c r="M537" s="27"/>
      <c r="N537" s="27"/>
      <c r="O537" s="27"/>
      <c r="P537" s="27"/>
      <c r="Q537" s="27"/>
      <c r="R537" s="27"/>
      <c r="S537" s="27"/>
    </row>
    <row r="538">
      <c r="C538" s="69"/>
      <c r="E538" s="50"/>
      <c r="G538" s="70"/>
      <c r="I538" s="50"/>
      <c r="J538" s="50"/>
      <c r="M538" s="27"/>
      <c r="N538" s="27"/>
      <c r="O538" s="27"/>
      <c r="P538" s="27"/>
      <c r="Q538" s="27"/>
      <c r="R538" s="27"/>
      <c r="S538" s="27"/>
    </row>
    <row r="539">
      <c r="C539" s="69"/>
      <c r="E539" s="50"/>
      <c r="G539" s="70"/>
      <c r="I539" s="50"/>
      <c r="J539" s="50"/>
      <c r="M539" s="27"/>
      <c r="N539" s="27"/>
      <c r="O539" s="27"/>
      <c r="P539" s="27"/>
      <c r="Q539" s="27"/>
      <c r="R539" s="27"/>
      <c r="S539" s="27"/>
    </row>
    <row r="540">
      <c r="C540" s="69"/>
      <c r="E540" s="50"/>
      <c r="G540" s="70"/>
      <c r="I540" s="50"/>
      <c r="J540" s="50"/>
      <c r="M540" s="27"/>
      <c r="N540" s="27"/>
      <c r="O540" s="27"/>
      <c r="P540" s="27"/>
      <c r="Q540" s="27"/>
      <c r="R540" s="27"/>
      <c r="S540" s="27"/>
    </row>
    <row r="541">
      <c r="C541" s="69"/>
      <c r="E541" s="50"/>
      <c r="G541" s="70"/>
      <c r="I541" s="50"/>
      <c r="J541" s="50"/>
      <c r="M541" s="27"/>
      <c r="N541" s="27"/>
      <c r="O541" s="27"/>
      <c r="P541" s="27"/>
      <c r="Q541" s="27"/>
      <c r="R541" s="27"/>
      <c r="S541" s="27"/>
    </row>
    <row r="542">
      <c r="C542" s="69"/>
      <c r="E542" s="50"/>
      <c r="G542" s="70"/>
      <c r="I542" s="50"/>
      <c r="J542" s="50"/>
      <c r="M542" s="27"/>
      <c r="N542" s="27"/>
      <c r="O542" s="27"/>
      <c r="P542" s="27"/>
      <c r="Q542" s="27"/>
      <c r="R542" s="27"/>
      <c r="S542" s="27"/>
    </row>
    <row r="543">
      <c r="C543" s="69"/>
      <c r="E543" s="50"/>
      <c r="G543" s="70"/>
      <c r="I543" s="50"/>
      <c r="J543" s="50"/>
      <c r="M543" s="27"/>
      <c r="N543" s="27"/>
      <c r="O543" s="27"/>
      <c r="P543" s="27"/>
      <c r="Q543" s="27"/>
      <c r="R543" s="27"/>
      <c r="S543" s="27"/>
    </row>
    <row r="544">
      <c r="C544" s="69"/>
      <c r="E544" s="50"/>
      <c r="G544" s="70"/>
      <c r="I544" s="50"/>
      <c r="J544" s="50"/>
      <c r="M544" s="27"/>
      <c r="N544" s="27"/>
      <c r="O544" s="27"/>
      <c r="P544" s="27"/>
      <c r="Q544" s="27"/>
      <c r="R544" s="27"/>
      <c r="S544" s="27"/>
    </row>
    <row r="545">
      <c r="C545" s="69"/>
      <c r="E545" s="50"/>
      <c r="G545" s="70"/>
      <c r="I545" s="50"/>
      <c r="J545" s="50"/>
      <c r="M545" s="27"/>
      <c r="N545" s="27"/>
      <c r="O545" s="27"/>
      <c r="P545" s="27"/>
      <c r="Q545" s="27"/>
      <c r="R545" s="27"/>
      <c r="S545" s="27"/>
    </row>
    <row r="546">
      <c r="C546" s="69"/>
      <c r="E546" s="50"/>
      <c r="G546" s="70"/>
      <c r="I546" s="50"/>
      <c r="J546" s="50"/>
      <c r="M546" s="27"/>
      <c r="N546" s="27"/>
      <c r="O546" s="27"/>
      <c r="P546" s="27"/>
      <c r="Q546" s="27"/>
      <c r="R546" s="27"/>
      <c r="S546" s="27"/>
    </row>
    <row r="547">
      <c r="C547" s="69"/>
      <c r="E547" s="50"/>
      <c r="G547" s="70"/>
      <c r="I547" s="50"/>
      <c r="J547" s="50"/>
      <c r="M547" s="27"/>
      <c r="N547" s="27"/>
      <c r="O547" s="27"/>
      <c r="P547" s="27"/>
      <c r="Q547" s="27"/>
      <c r="R547" s="27"/>
      <c r="S547" s="27"/>
    </row>
    <row r="548">
      <c r="C548" s="69"/>
      <c r="E548" s="50"/>
      <c r="G548" s="70"/>
      <c r="I548" s="50"/>
      <c r="J548" s="50"/>
      <c r="M548" s="27"/>
      <c r="N548" s="27"/>
      <c r="O548" s="27"/>
      <c r="P548" s="27"/>
      <c r="Q548" s="27"/>
      <c r="R548" s="27"/>
      <c r="S548" s="27"/>
    </row>
    <row r="549">
      <c r="C549" s="69"/>
      <c r="E549" s="50"/>
      <c r="G549" s="70"/>
      <c r="I549" s="50"/>
      <c r="J549" s="50"/>
      <c r="M549" s="27"/>
      <c r="N549" s="27"/>
      <c r="O549" s="27"/>
      <c r="P549" s="27"/>
      <c r="Q549" s="27"/>
      <c r="R549" s="27"/>
      <c r="S549" s="27"/>
    </row>
    <row r="550">
      <c r="C550" s="69"/>
      <c r="E550" s="50"/>
      <c r="G550" s="70"/>
      <c r="I550" s="50"/>
      <c r="J550" s="50"/>
      <c r="M550" s="27"/>
      <c r="N550" s="27"/>
      <c r="O550" s="27"/>
      <c r="P550" s="27"/>
      <c r="Q550" s="27"/>
      <c r="R550" s="27"/>
      <c r="S550" s="27"/>
    </row>
    <row r="551">
      <c r="C551" s="69"/>
      <c r="E551" s="50"/>
      <c r="G551" s="70"/>
      <c r="I551" s="50"/>
      <c r="J551" s="50"/>
      <c r="M551" s="27"/>
      <c r="N551" s="27"/>
      <c r="O551" s="27"/>
      <c r="P551" s="27"/>
      <c r="Q551" s="27"/>
      <c r="R551" s="27"/>
      <c r="S551" s="27"/>
    </row>
    <row r="552">
      <c r="C552" s="69"/>
      <c r="E552" s="50"/>
      <c r="G552" s="70"/>
      <c r="I552" s="50"/>
      <c r="J552" s="50"/>
      <c r="M552" s="27"/>
      <c r="N552" s="27"/>
      <c r="O552" s="27"/>
      <c r="P552" s="27"/>
      <c r="Q552" s="27"/>
      <c r="R552" s="27"/>
      <c r="S552" s="27"/>
    </row>
    <row r="553">
      <c r="C553" s="69"/>
      <c r="E553" s="50"/>
      <c r="G553" s="70"/>
      <c r="I553" s="50"/>
      <c r="J553" s="50"/>
      <c r="M553" s="27"/>
      <c r="N553" s="27"/>
      <c r="O553" s="27"/>
      <c r="P553" s="27"/>
      <c r="Q553" s="27"/>
      <c r="R553" s="27"/>
      <c r="S553" s="27"/>
    </row>
    <row r="554">
      <c r="C554" s="69"/>
      <c r="E554" s="50"/>
      <c r="G554" s="70"/>
      <c r="I554" s="50"/>
      <c r="J554" s="50"/>
      <c r="M554" s="27"/>
      <c r="N554" s="27"/>
      <c r="O554" s="27"/>
      <c r="P554" s="27"/>
      <c r="Q554" s="27"/>
      <c r="R554" s="27"/>
      <c r="S554" s="27"/>
    </row>
    <row r="555">
      <c r="C555" s="69"/>
      <c r="E555" s="50"/>
      <c r="G555" s="70"/>
      <c r="I555" s="50"/>
      <c r="J555" s="50"/>
      <c r="M555" s="27"/>
      <c r="N555" s="27"/>
      <c r="O555" s="27"/>
      <c r="P555" s="27"/>
      <c r="Q555" s="27"/>
      <c r="R555" s="27"/>
      <c r="S555" s="27"/>
    </row>
    <row r="556">
      <c r="C556" s="69"/>
      <c r="E556" s="50"/>
      <c r="G556" s="70"/>
      <c r="I556" s="50"/>
      <c r="J556" s="50"/>
      <c r="M556" s="27"/>
      <c r="N556" s="27"/>
      <c r="O556" s="27"/>
      <c r="P556" s="27"/>
      <c r="Q556" s="27"/>
      <c r="R556" s="27"/>
      <c r="S556" s="27"/>
    </row>
    <row r="557">
      <c r="C557" s="69"/>
      <c r="E557" s="50"/>
      <c r="G557" s="70"/>
      <c r="I557" s="50"/>
      <c r="J557" s="50"/>
      <c r="M557" s="27"/>
      <c r="N557" s="27"/>
      <c r="O557" s="27"/>
      <c r="P557" s="27"/>
      <c r="Q557" s="27"/>
      <c r="R557" s="27"/>
      <c r="S557" s="27"/>
    </row>
    <row r="558">
      <c r="C558" s="69"/>
      <c r="E558" s="50"/>
      <c r="G558" s="70"/>
      <c r="I558" s="50"/>
      <c r="J558" s="50"/>
      <c r="M558" s="27"/>
      <c r="N558" s="27"/>
      <c r="O558" s="27"/>
      <c r="P558" s="27"/>
      <c r="Q558" s="27"/>
      <c r="R558" s="27"/>
      <c r="S558" s="27"/>
    </row>
    <row r="559">
      <c r="C559" s="69"/>
      <c r="E559" s="50"/>
      <c r="G559" s="70"/>
      <c r="I559" s="50"/>
      <c r="J559" s="50"/>
      <c r="M559" s="27"/>
      <c r="N559" s="27"/>
      <c r="O559" s="27"/>
      <c r="P559" s="27"/>
      <c r="Q559" s="27"/>
      <c r="R559" s="27"/>
      <c r="S559" s="27"/>
    </row>
    <row r="560">
      <c r="C560" s="69"/>
      <c r="E560" s="50"/>
      <c r="G560" s="70"/>
      <c r="I560" s="50"/>
      <c r="J560" s="50"/>
      <c r="M560" s="27"/>
      <c r="N560" s="27"/>
      <c r="O560" s="27"/>
      <c r="P560" s="27"/>
      <c r="Q560" s="27"/>
      <c r="R560" s="27"/>
      <c r="S560" s="27"/>
    </row>
    <row r="561">
      <c r="C561" s="69"/>
      <c r="E561" s="50"/>
      <c r="G561" s="70"/>
      <c r="I561" s="50"/>
      <c r="J561" s="50"/>
      <c r="M561" s="27"/>
      <c r="N561" s="27"/>
      <c r="O561" s="27"/>
      <c r="P561" s="27"/>
      <c r="Q561" s="27"/>
      <c r="R561" s="27"/>
      <c r="S561" s="27"/>
    </row>
    <row r="562">
      <c r="C562" s="69"/>
      <c r="E562" s="50"/>
      <c r="G562" s="70"/>
      <c r="I562" s="50"/>
      <c r="J562" s="50"/>
      <c r="M562" s="27"/>
      <c r="N562" s="27"/>
      <c r="O562" s="27"/>
      <c r="P562" s="27"/>
      <c r="Q562" s="27"/>
      <c r="R562" s="27"/>
      <c r="S562" s="27"/>
    </row>
    <row r="563">
      <c r="C563" s="69"/>
      <c r="E563" s="50"/>
      <c r="G563" s="70"/>
      <c r="I563" s="50"/>
      <c r="J563" s="50"/>
      <c r="M563" s="27"/>
      <c r="N563" s="27"/>
      <c r="O563" s="27"/>
      <c r="P563" s="27"/>
      <c r="Q563" s="27"/>
      <c r="R563" s="27"/>
      <c r="S563" s="27"/>
    </row>
    <row r="564">
      <c r="C564" s="69"/>
      <c r="E564" s="50"/>
      <c r="G564" s="70"/>
      <c r="I564" s="50"/>
      <c r="J564" s="50"/>
      <c r="M564" s="27"/>
      <c r="N564" s="27"/>
      <c r="O564" s="27"/>
      <c r="P564" s="27"/>
      <c r="Q564" s="27"/>
      <c r="R564" s="27"/>
      <c r="S564" s="27"/>
    </row>
    <row r="565">
      <c r="C565" s="69"/>
      <c r="E565" s="50"/>
      <c r="G565" s="70"/>
      <c r="I565" s="50"/>
      <c r="J565" s="50"/>
      <c r="M565" s="27"/>
      <c r="N565" s="27"/>
      <c r="O565" s="27"/>
      <c r="P565" s="27"/>
      <c r="Q565" s="27"/>
      <c r="R565" s="27"/>
      <c r="S565" s="27"/>
    </row>
    <row r="566">
      <c r="C566" s="69"/>
      <c r="E566" s="50"/>
      <c r="G566" s="70"/>
      <c r="I566" s="50"/>
      <c r="J566" s="50"/>
      <c r="M566" s="27"/>
      <c r="N566" s="27"/>
      <c r="O566" s="27"/>
      <c r="P566" s="27"/>
      <c r="Q566" s="27"/>
      <c r="R566" s="27"/>
      <c r="S566" s="27"/>
    </row>
    <row r="567">
      <c r="C567" s="69"/>
      <c r="E567" s="50"/>
      <c r="G567" s="70"/>
      <c r="I567" s="50"/>
      <c r="J567" s="50"/>
      <c r="M567" s="27"/>
      <c r="N567" s="27"/>
      <c r="O567" s="27"/>
      <c r="P567" s="27"/>
      <c r="Q567" s="27"/>
      <c r="R567" s="27"/>
      <c r="S567" s="27"/>
    </row>
    <row r="568">
      <c r="C568" s="69"/>
      <c r="E568" s="50"/>
      <c r="G568" s="70"/>
      <c r="I568" s="50"/>
      <c r="J568" s="50"/>
      <c r="M568" s="27"/>
      <c r="N568" s="27"/>
      <c r="O568" s="27"/>
      <c r="P568" s="27"/>
      <c r="Q568" s="27"/>
      <c r="R568" s="27"/>
      <c r="S568" s="27"/>
    </row>
    <row r="569">
      <c r="C569" s="69"/>
      <c r="E569" s="50"/>
      <c r="G569" s="70"/>
      <c r="I569" s="50"/>
      <c r="J569" s="50"/>
      <c r="M569" s="27"/>
      <c r="N569" s="27"/>
      <c r="O569" s="27"/>
      <c r="P569" s="27"/>
      <c r="Q569" s="27"/>
      <c r="R569" s="27"/>
      <c r="S569" s="27"/>
    </row>
    <row r="570">
      <c r="C570" s="69"/>
      <c r="E570" s="50"/>
      <c r="G570" s="70"/>
      <c r="I570" s="50"/>
      <c r="J570" s="50"/>
      <c r="M570" s="27"/>
      <c r="N570" s="27"/>
      <c r="O570" s="27"/>
      <c r="P570" s="27"/>
      <c r="Q570" s="27"/>
      <c r="R570" s="27"/>
      <c r="S570" s="27"/>
    </row>
    <row r="571">
      <c r="C571" s="69"/>
      <c r="E571" s="50"/>
      <c r="G571" s="70"/>
      <c r="I571" s="50"/>
      <c r="J571" s="50"/>
      <c r="M571" s="27"/>
      <c r="N571" s="27"/>
      <c r="O571" s="27"/>
      <c r="P571" s="27"/>
      <c r="Q571" s="27"/>
      <c r="R571" s="27"/>
      <c r="S571" s="27"/>
    </row>
    <row r="572">
      <c r="C572" s="69"/>
      <c r="E572" s="50"/>
      <c r="G572" s="70"/>
      <c r="I572" s="50"/>
      <c r="J572" s="50"/>
      <c r="M572" s="27"/>
      <c r="N572" s="27"/>
      <c r="O572" s="27"/>
      <c r="P572" s="27"/>
      <c r="Q572" s="27"/>
      <c r="R572" s="27"/>
      <c r="S572" s="27"/>
    </row>
    <row r="573">
      <c r="C573" s="69"/>
      <c r="E573" s="50"/>
      <c r="G573" s="70"/>
      <c r="I573" s="50"/>
      <c r="J573" s="50"/>
      <c r="M573" s="27"/>
      <c r="N573" s="27"/>
      <c r="O573" s="27"/>
      <c r="P573" s="27"/>
      <c r="Q573" s="27"/>
      <c r="R573" s="27"/>
      <c r="S573" s="27"/>
    </row>
    <row r="574">
      <c r="C574" s="69"/>
      <c r="E574" s="50"/>
      <c r="G574" s="70"/>
      <c r="I574" s="50"/>
      <c r="J574" s="50"/>
      <c r="M574" s="27"/>
      <c r="N574" s="27"/>
      <c r="O574" s="27"/>
      <c r="P574" s="27"/>
      <c r="Q574" s="27"/>
      <c r="R574" s="27"/>
      <c r="S574" s="27"/>
    </row>
    <row r="575">
      <c r="C575" s="69"/>
      <c r="E575" s="50"/>
      <c r="G575" s="70"/>
      <c r="I575" s="50"/>
      <c r="J575" s="50"/>
      <c r="M575" s="27"/>
      <c r="N575" s="27"/>
      <c r="O575" s="27"/>
      <c r="P575" s="27"/>
      <c r="Q575" s="27"/>
      <c r="R575" s="27"/>
      <c r="S575" s="27"/>
    </row>
    <row r="576">
      <c r="C576" s="69"/>
      <c r="E576" s="50"/>
      <c r="G576" s="70"/>
      <c r="I576" s="50"/>
      <c r="J576" s="50"/>
      <c r="M576" s="27"/>
      <c r="N576" s="27"/>
      <c r="O576" s="27"/>
      <c r="P576" s="27"/>
      <c r="Q576" s="27"/>
      <c r="R576" s="27"/>
      <c r="S576" s="27"/>
    </row>
    <row r="577">
      <c r="C577" s="69"/>
      <c r="E577" s="50"/>
      <c r="G577" s="70"/>
      <c r="I577" s="50"/>
      <c r="J577" s="50"/>
      <c r="M577" s="27"/>
      <c r="N577" s="27"/>
      <c r="O577" s="27"/>
      <c r="P577" s="27"/>
      <c r="Q577" s="27"/>
      <c r="R577" s="27"/>
      <c r="S577" s="27"/>
    </row>
    <row r="578">
      <c r="C578" s="69"/>
      <c r="E578" s="50"/>
      <c r="G578" s="70"/>
      <c r="I578" s="50"/>
      <c r="J578" s="50"/>
      <c r="M578" s="27"/>
      <c r="N578" s="27"/>
      <c r="O578" s="27"/>
      <c r="P578" s="27"/>
      <c r="Q578" s="27"/>
      <c r="R578" s="27"/>
      <c r="S578" s="27"/>
    </row>
    <row r="579">
      <c r="C579" s="69"/>
      <c r="E579" s="50"/>
      <c r="G579" s="70"/>
      <c r="I579" s="50"/>
      <c r="J579" s="50"/>
      <c r="M579" s="27"/>
      <c r="N579" s="27"/>
      <c r="O579" s="27"/>
      <c r="P579" s="27"/>
      <c r="Q579" s="27"/>
      <c r="R579" s="27"/>
      <c r="S579" s="27"/>
    </row>
    <row r="580">
      <c r="C580" s="69"/>
      <c r="E580" s="50"/>
      <c r="G580" s="70"/>
      <c r="I580" s="50"/>
      <c r="J580" s="50"/>
      <c r="M580" s="27"/>
      <c r="N580" s="27"/>
      <c r="O580" s="27"/>
      <c r="P580" s="27"/>
      <c r="Q580" s="27"/>
      <c r="R580" s="27"/>
      <c r="S580" s="27"/>
    </row>
    <row r="581">
      <c r="C581" s="69"/>
      <c r="E581" s="50"/>
      <c r="G581" s="70"/>
      <c r="I581" s="50"/>
      <c r="J581" s="50"/>
      <c r="M581" s="27"/>
      <c r="N581" s="27"/>
      <c r="O581" s="27"/>
      <c r="P581" s="27"/>
      <c r="Q581" s="27"/>
      <c r="R581" s="27"/>
      <c r="S581" s="27"/>
    </row>
    <row r="582">
      <c r="C582" s="69"/>
      <c r="E582" s="50"/>
      <c r="G582" s="70"/>
      <c r="I582" s="50"/>
      <c r="J582" s="50"/>
      <c r="M582" s="27"/>
      <c r="N582" s="27"/>
      <c r="O582" s="27"/>
      <c r="P582" s="27"/>
      <c r="Q582" s="27"/>
      <c r="R582" s="27"/>
      <c r="S582" s="27"/>
    </row>
    <row r="583">
      <c r="C583" s="69"/>
      <c r="E583" s="50"/>
      <c r="G583" s="70"/>
      <c r="I583" s="50"/>
      <c r="J583" s="50"/>
      <c r="M583" s="27"/>
      <c r="N583" s="27"/>
      <c r="O583" s="27"/>
      <c r="P583" s="27"/>
      <c r="Q583" s="27"/>
      <c r="R583" s="27"/>
      <c r="S583" s="27"/>
    </row>
    <row r="584">
      <c r="C584" s="69"/>
      <c r="E584" s="50"/>
      <c r="G584" s="70"/>
      <c r="I584" s="50"/>
      <c r="J584" s="50"/>
      <c r="M584" s="27"/>
      <c r="N584" s="27"/>
      <c r="O584" s="27"/>
      <c r="P584" s="27"/>
      <c r="Q584" s="27"/>
      <c r="R584" s="27"/>
      <c r="S584" s="27"/>
    </row>
    <row r="585">
      <c r="C585" s="69"/>
      <c r="E585" s="50"/>
      <c r="G585" s="70"/>
      <c r="I585" s="50"/>
      <c r="J585" s="50"/>
      <c r="M585" s="27"/>
      <c r="N585" s="27"/>
      <c r="O585" s="27"/>
      <c r="P585" s="27"/>
      <c r="Q585" s="27"/>
      <c r="R585" s="27"/>
      <c r="S585" s="27"/>
    </row>
    <row r="586">
      <c r="C586" s="69"/>
      <c r="E586" s="50"/>
      <c r="G586" s="70"/>
      <c r="I586" s="50"/>
      <c r="J586" s="50"/>
      <c r="M586" s="27"/>
      <c r="N586" s="27"/>
      <c r="O586" s="27"/>
      <c r="P586" s="27"/>
      <c r="Q586" s="27"/>
      <c r="R586" s="27"/>
      <c r="S586" s="27"/>
    </row>
    <row r="587">
      <c r="C587" s="69"/>
      <c r="E587" s="50"/>
      <c r="G587" s="70"/>
      <c r="I587" s="50"/>
      <c r="J587" s="50"/>
      <c r="M587" s="27"/>
      <c r="N587" s="27"/>
      <c r="O587" s="27"/>
      <c r="P587" s="27"/>
      <c r="Q587" s="27"/>
      <c r="R587" s="27"/>
      <c r="S587" s="27"/>
    </row>
    <row r="588">
      <c r="C588" s="69"/>
      <c r="E588" s="50"/>
      <c r="G588" s="70"/>
      <c r="I588" s="50"/>
      <c r="J588" s="50"/>
      <c r="M588" s="27"/>
      <c r="N588" s="27"/>
      <c r="O588" s="27"/>
      <c r="P588" s="27"/>
      <c r="Q588" s="27"/>
      <c r="R588" s="27"/>
      <c r="S588" s="27"/>
    </row>
    <row r="589">
      <c r="C589" s="69"/>
      <c r="E589" s="50"/>
      <c r="G589" s="70"/>
      <c r="I589" s="50"/>
      <c r="J589" s="50"/>
      <c r="M589" s="27"/>
      <c r="N589" s="27"/>
      <c r="O589" s="27"/>
      <c r="P589" s="27"/>
      <c r="Q589" s="27"/>
      <c r="R589" s="27"/>
      <c r="S589" s="27"/>
    </row>
    <row r="590">
      <c r="C590" s="69"/>
      <c r="E590" s="50"/>
      <c r="G590" s="70"/>
      <c r="I590" s="50"/>
      <c r="J590" s="50"/>
      <c r="M590" s="27"/>
      <c r="N590" s="27"/>
      <c r="O590" s="27"/>
      <c r="P590" s="27"/>
      <c r="Q590" s="27"/>
      <c r="R590" s="27"/>
      <c r="S590" s="27"/>
    </row>
    <row r="591">
      <c r="C591" s="69"/>
      <c r="E591" s="50"/>
      <c r="G591" s="70"/>
      <c r="I591" s="50"/>
      <c r="J591" s="50"/>
      <c r="M591" s="27"/>
      <c r="N591" s="27"/>
      <c r="O591" s="27"/>
      <c r="P591" s="27"/>
      <c r="Q591" s="27"/>
      <c r="R591" s="27"/>
      <c r="S591" s="27"/>
    </row>
    <row r="592">
      <c r="C592" s="69"/>
      <c r="E592" s="50"/>
      <c r="G592" s="70"/>
      <c r="I592" s="50"/>
      <c r="J592" s="50"/>
      <c r="M592" s="27"/>
      <c r="N592" s="27"/>
      <c r="O592" s="27"/>
      <c r="P592" s="27"/>
      <c r="Q592" s="27"/>
      <c r="R592" s="27"/>
      <c r="S592" s="27"/>
    </row>
    <row r="593">
      <c r="C593" s="69"/>
      <c r="E593" s="50"/>
      <c r="G593" s="70"/>
      <c r="I593" s="50"/>
      <c r="J593" s="50"/>
      <c r="M593" s="27"/>
      <c r="N593" s="27"/>
      <c r="O593" s="27"/>
      <c r="P593" s="27"/>
      <c r="Q593" s="27"/>
      <c r="R593" s="27"/>
      <c r="S593" s="27"/>
    </row>
    <row r="594">
      <c r="C594" s="69"/>
      <c r="E594" s="50"/>
      <c r="G594" s="70"/>
      <c r="I594" s="50"/>
      <c r="J594" s="50"/>
      <c r="M594" s="27"/>
      <c r="N594" s="27"/>
      <c r="O594" s="27"/>
      <c r="P594" s="27"/>
      <c r="Q594" s="27"/>
      <c r="R594" s="27"/>
      <c r="S594" s="27"/>
    </row>
    <row r="595">
      <c r="C595" s="69"/>
      <c r="E595" s="50"/>
      <c r="G595" s="70"/>
      <c r="I595" s="50"/>
      <c r="J595" s="50"/>
      <c r="M595" s="27"/>
      <c r="N595" s="27"/>
      <c r="O595" s="27"/>
      <c r="P595" s="27"/>
      <c r="Q595" s="27"/>
      <c r="R595" s="27"/>
      <c r="S595" s="27"/>
    </row>
    <row r="596">
      <c r="C596" s="69"/>
      <c r="E596" s="50"/>
      <c r="G596" s="70"/>
      <c r="I596" s="50"/>
      <c r="J596" s="50"/>
      <c r="M596" s="27"/>
      <c r="N596" s="27"/>
      <c r="O596" s="27"/>
      <c r="P596" s="27"/>
      <c r="Q596" s="27"/>
      <c r="R596" s="27"/>
      <c r="S596" s="27"/>
    </row>
    <row r="597">
      <c r="C597" s="69"/>
      <c r="E597" s="50"/>
      <c r="G597" s="70"/>
      <c r="I597" s="50"/>
      <c r="J597" s="50"/>
      <c r="M597" s="27"/>
      <c r="N597" s="27"/>
      <c r="O597" s="27"/>
      <c r="P597" s="27"/>
      <c r="Q597" s="27"/>
      <c r="R597" s="27"/>
      <c r="S597" s="27"/>
    </row>
    <row r="598">
      <c r="C598" s="69"/>
      <c r="E598" s="50"/>
      <c r="G598" s="70"/>
      <c r="I598" s="50"/>
      <c r="J598" s="50"/>
      <c r="M598" s="27"/>
      <c r="N598" s="27"/>
      <c r="O598" s="27"/>
      <c r="P598" s="27"/>
      <c r="Q598" s="27"/>
      <c r="R598" s="27"/>
      <c r="S598" s="27"/>
    </row>
    <row r="599">
      <c r="C599" s="69"/>
      <c r="E599" s="50"/>
      <c r="G599" s="70"/>
      <c r="I599" s="50"/>
      <c r="J599" s="50"/>
      <c r="M599" s="27"/>
      <c r="N599" s="27"/>
      <c r="O599" s="27"/>
      <c r="P599" s="27"/>
      <c r="Q599" s="27"/>
      <c r="R599" s="27"/>
      <c r="S599" s="27"/>
    </row>
    <row r="600">
      <c r="C600" s="69"/>
      <c r="E600" s="50"/>
      <c r="G600" s="70"/>
      <c r="I600" s="50"/>
      <c r="J600" s="50"/>
      <c r="M600" s="27"/>
      <c r="N600" s="27"/>
      <c r="O600" s="27"/>
      <c r="P600" s="27"/>
      <c r="Q600" s="27"/>
      <c r="R600" s="27"/>
      <c r="S600" s="27"/>
    </row>
    <row r="601">
      <c r="C601" s="69"/>
      <c r="E601" s="50"/>
      <c r="G601" s="70"/>
      <c r="I601" s="50"/>
      <c r="J601" s="50"/>
      <c r="M601" s="27"/>
      <c r="N601" s="27"/>
      <c r="O601" s="27"/>
      <c r="P601" s="27"/>
      <c r="Q601" s="27"/>
      <c r="R601" s="27"/>
      <c r="S601" s="27"/>
    </row>
    <row r="602">
      <c r="C602" s="69"/>
      <c r="E602" s="50"/>
      <c r="G602" s="70"/>
      <c r="I602" s="50"/>
      <c r="J602" s="50"/>
      <c r="M602" s="27"/>
      <c r="N602" s="27"/>
      <c r="O602" s="27"/>
      <c r="P602" s="27"/>
      <c r="Q602" s="27"/>
      <c r="R602" s="27"/>
      <c r="S602" s="27"/>
    </row>
    <row r="603">
      <c r="C603" s="69"/>
      <c r="E603" s="50"/>
      <c r="G603" s="70"/>
      <c r="I603" s="50"/>
      <c r="J603" s="50"/>
      <c r="M603" s="27"/>
      <c r="N603" s="27"/>
      <c r="O603" s="27"/>
      <c r="P603" s="27"/>
      <c r="Q603" s="27"/>
      <c r="R603" s="27"/>
      <c r="S603" s="27"/>
    </row>
    <row r="604">
      <c r="C604" s="69"/>
      <c r="E604" s="50"/>
      <c r="G604" s="70"/>
      <c r="I604" s="50"/>
      <c r="J604" s="50"/>
      <c r="M604" s="27"/>
      <c r="N604" s="27"/>
      <c r="O604" s="27"/>
      <c r="P604" s="27"/>
      <c r="Q604" s="27"/>
      <c r="R604" s="27"/>
      <c r="S604" s="27"/>
    </row>
    <row r="605">
      <c r="C605" s="69"/>
      <c r="E605" s="50"/>
      <c r="G605" s="70"/>
      <c r="I605" s="50"/>
      <c r="J605" s="50"/>
      <c r="M605" s="27"/>
      <c r="N605" s="27"/>
      <c r="O605" s="27"/>
      <c r="P605" s="27"/>
      <c r="Q605" s="27"/>
      <c r="R605" s="27"/>
      <c r="S605" s="27"/>
    </row>
    <row r="606">
      <c r="C606" s="69"/>
      <c r="E606" s="50"/>
      <c r="G606" s="70"/>
      <c r="I606" s="50"/>
      <c r="J606" s="50"/>
      <c r="M606" s="27"/>
      <c r="N606" s="27"/>
      <c r="O606" s="27"/>
      <c r="P606" s="27"/>
      <c r="Q606" s="27"/>
      <c r="R606" s="27"/>
      <c r="S606" s="27"/>
    </row>
    <row r="607">
      <c r="C607" s="69"/>
      <c r="E607" s="50"/>
      <c r="G607" s="70"/>
      <c r="I607" s="50"/>
      <c r="J607" s="50"/>
      <c r="M607" s="27"/>
      <c r="N607" s="27"/>
      <c r="O607" s="27"/>
      <c r="P607" s="27"/>
      <c r="Q607" s="27"/>
      <c r="R607" s="27"/>
      <c r="S607" s="27"/>
    </row>
    <row r="608">
      <c r="C608" s="69"/>
      <c r="E608" s="50"/>
      <c r="G608" s="70"/>
      <c r="I608" s="50"/>
      <c r="J608" s="50"/>
      <c r="M608" s="27"/>
      <c r="N608" s="27"/>
      <c r="O608" s="27"/>
      <c r="P608" s="27"/>
      <c r="Q608" s="27"/>
      <c r="R608" s="27"/>
      <c r="S608" s="27"/>
    </row>
    <row r="609">
      <c r="C609" s="69"/>
      <c r="E609" s="50"/>
      <c r="G609" s="70"/>
      <c r="I609" s="50"/>
      <c r="J609" s="50"/>
      <c r="M609" s="27"/>
      <c r="N609" s="27"/>
      <c r="O609" s="27"/>
      <c r="P609" s="27"/>
      <c r="Q609" s="27"/>
      <c r="R609" s="27"/>
      <c r="S609" s="27"/>
    </row>
    <row r="610">
      <c r="C610" s="69"/>
      <c r="E610" s="50"/>
      <c r="G610" s="70"/>
      <c r="I610" s="50"/>
      <c r="J610" s="50"/>
      <c r="M610" s="27"/>
      <c r="N610" s="27"/>
      <c r="O610" s="27"/>
      <c r="P610" s="27"/>
      <c r="Q610" s="27"/>
      <c r="R610" s="27"/>
      <c r="S610" s="27"/>
    </row>
    <row r="611">
      <c r="C611" s="69"/>
      <c r="E611" s="50"/>
      <c r="G611" s="70"/>
      <c r="I611" s="50"/>
      <c r="J611" s="50"/>
      <c r="M611" s="27"/>
      <c r="N611" s="27"/>
      <c r="O611" s="27"/>
      <c r="P611" s="27"/>
      <c r="Q611" s="27"/>
      <c r="R611" s="27"/>
      <c r="S611" s="27"/>
    </row>
    <row r="612">
      <c r="C612" s="69"/>
      <c r="E612" s="50"/>
      <c r="G612" s="70"/>
      <c r="I612" s="50"/>
      <c r="J612" s="50"/>
      <c r="M612" s="27"/>
      <c r="N612" s="27"/>
      <c r="O612" s="27"/>
      <c r="P612" s="27"/>
      <c r="Q612" s="27"/>
      <c r="R612" s="27"/>
      <c r="S612" s="27"/>
    </row>
    <row r="613">
      <c r="C613" s="69"/>
      <c r="E613" s="50"/>
      <c r="G613" s="70"/>
      <c r="I613" s="50"/>
      <c r="J613" s="50"/>
      <c r="M613" s="27"/>
      <c r="N613" s="27"/>
      <c r="O613" s="27"/>
      <c r="P613" s="27"/>
      <c r="Q613" s="27"/>
      <c r="R613" s="27"/>
      <c r="S613" s="27"/>
    </row>
    <row r="614">
      <c r="C614" s="69"/>
      <c r="E614" s="50"/>
      <c r="G614" s="70"/>
      <c r="I614" s="50"/>
      <c r="J614" s="50"/>
      <c r="M614" s="27"/>
      <c r="N614" s="27"/>
      <c r="O614" s="27"/>
      <c r="P614" s="27"/>
      <c r="Q614" s="27"/>
      <c r="R614" s="27"/>
      <c r="S614" s="27"/>
    </row>
    <row r="615">
      <c r="C615" s="69"/>
      <c r="E615" s="50"/>
      <c r="G615" s="70"/>
      <c r="I615" s="50"/>
      <c r="J615" s="50"/>
      <c r="M615" s="27"/>
      <c r="N615" s="27"/>
      <c r="O615" s="27"/>
      <c r="P615" s="27"/>
      <c r="Q615" s="27"/>
      <c r="R615" s="27"/>
      <c r="S615" s="27"/>
    </row>
    <row r="616">
      <c r="C616" s="69"/>
      <c r="E616" s="50"/>
      <c r="G616" s="70"/>
      <c r="I616" s="50"/>
      <c r="J616" s="50"/>
      <c r="M616" s="27"/>
      <c r="N616" s="27"/>
      <c r="O616" s="27"/>
      <c r="P616" s="27"/>
      <c r="Q616" s="27"/>
      <c r="R616" s="27"/>
      <c r="S616" s="27"/>
    </row>
    <row r="617">
      <c r="C617" s="69"/>
      <c r="E617" s="50"/>
      <c r="G617" s="70"/>
      <c r="I617" s="50"/>
      <c r="J617" s="50"/>
      <c r="M617" s="27"/>
      <c r="N617" s="27"/>
      <c r="O617" s="27"/>
      <c r="P617" s="27"/>
      <c r="Q617" s="27"/>
      <c r="R617" s="27"/>
      <c r="S617" s="27"/>
    </row>
    <row r="618">
      <c r="C618" s="69"/>
      <c r="E618" s="50"/>
      <c r="G618" s="70"/>
      <c r="I618" s="50"/>
      <c r="J618" s="50"/>
      <c r="M618" s="27"/>
      <c r="N618" s="27"/>
      <c r="O618" s="27"/>
      <c r="P618" s="27"/>
      <c r="Q618" s="27"/>
      <c r="R618" s="27"/>
      <c r="S618" s="27"/>
    </row>
    <row r="619">
      <c r="C619" s="69"/>
      <c r="E619" s="50"/>
      <c r="G619" s="70"/>
      <c r="I619" s="50"/>
      <c r="J619" s="50"/>
      <c r="M619" s="27"/>
      <c r="N619" s="27"/>
      <c r="O619" s="27"/>
      <c r="P619" s="27"/>
      <c r="Q619" s="27"/>
      <c r="R619" s="27"/>
      <c r="S619" s="27"/>
    </row>
    <row r="620">
      <c r="C620" s="69"/>
      <c r="E620" s="50"/>
      <c r="G620" s="70"/>
      <c r="I620" s="50"/>
      <c r="J620" s="50"/>
      <c r="M620" s="27"/>
      <c r="N620" s="27"/>
      <c r="O620" s="27"/>
      <c r="P620" s="27"/>
      <c r="Q620" s="27"/>
      <c r="R620" s="27"/>
      <c r="S620" s="27"/>
    </row>
    <row r="621">
      <c r="C621" s="69"/>
      <c r="E621" s="50"/>
      <c r="G621" s="70"/>
      <c r="I621" s="50"/>
      <c r="J621" s="50"/>
      <c r="M621" s="27"/>
      <c r="N621" s="27"/>
      <c r="O621" s="27"/>
      <c r="P621" s="27"/>
      <c r="Q621" s="27"/>
      <c r="R621" s="27"/>
      <c r="S621" s="27"/>
    </row>
    <row r="622">
      <c r="C622" s="69"/>
      <c r="E622" s="50"/>
      <c r="G622" s="70"/>
      <c r="I622" s="50"/>
      <c r="J622" s="50"/>
      <c r="M622" s="27"/>
      <c r="N622" s="27"/>
      <c r="O622" s="27"/>
      <c r="P622" s="27"/>
      <c r="Q622" s="27"/>
      <c r="R622" s="27"/>
      <c r="S622" s="27"/>
    </row>
    <row r="623">
      <c r="C623" s="69"/>
      <c r="E623" s="50"/>
      <c r="G623" s="70"/>
      <c r="I623" s="50"/>
      <c r="J623" s="50"/>
      <c r="M623" s="27"/>
      <c r="N623" s="27"/>
      <c r="O623" s="27"/>
      <c r="P623" s="27"/>
      <c r="Q623" s="27"/>
      <c r="R623" s="27"/>
      <c r="S623" s="27"/>
    </row>
    <row r="624">
      <c r="C624" s="69"/>
      <c r="E624" s="50"/>
      <c r="G624" s="70"/>
      <c r="I624" s="50"/>
      <c r="J624" s="50"/>
      <c r="M624" s="27"/>
      <c r="N624" s="27"/>
      <c r="O624" s="27"/>
      <c r="P624" s="27"/>
      <c r="Q624" s="27"/>
      <c r="R624" s="27"/>
      <c r="S624" s="27"/>
    </row>
    <row r="625">
      <c r="C625" s="69"/>
      <c r="E625" s="50"/>
      <c r="G625" s="70"/>
      <c r="I625" s="50"/>
      <c r="J625" s="50"/>
      <c r="M625" s="27"/>
      <c r="N625" s="27"/>
      <c r="O625" s="27"/>
      <c r="P625" s="27"/>
      <c r="Q625" s="27"/>
      <c r="R625" s="27"/>
      <c r="S625" s="27"/>
    </row>
    <row r="626">
      <c r="C626" s="69"/>
      <c r="E626" s="50"/>
      <c r="G626" s="70"/>
      <c r="I626" s="50"/>
      <c r="J626" s="50"/>
      <c r="M626" s="27"/>
      <c r="N626" s="27"/>
      <c r="O626" s="27"/>
      <c r="P626" s="27"/>
      <c r="Q626" s="27"/>
      <c r="R626" s="27"/>
      <c r="S626" s="27"/>
    </row>
    <row r="627">
      <c r="C627" s="69"/>
      <c r="E627" s="50"/>
      <c r="G627" s="70"/>
      <c r="I627" s="50"/>
      <c r="J627" s="50"/>
      <c r="M627" s="27"/>
      <c r="N627" s="27"/>
      <c r="O627" s="27"/>
      <c r="P627" s="27"/>
      <c r="Q627" s="27"/>
      <c r="R627" s="27"/>
      <c r="S627" s="27"/>
    </row>
    <row r="628">
      <c r="C628" s="69"/>
      <c r="E628" s="50"/>
      <c r="G628" s="70"/>
      <c r="I628" s="50"/>
      <c r="J628" s="50"/>
      <c r="M628" s="27"/>
      <c r="N628" s="27"/>
      <c r="O628" s="27"/>
      <c r="P628" s="27"/>
      <c r="Q628" s="27"/>
      <c r="R628" s="27"/>
      <c r="S628" s="27"/>
    </row>
    <row r="629">
      <c r="C629" s="69"/>
      <c r="E629" s="50"/>
      <c r="G629" s="70"/>
      <c r="I629" s="50"/>
      <c r="J629" s="50"/>
      <c r="M629" s="27"/>
      <c r="N629" s="27"/>
      <c r="O629" s="27"/>
      <c r="P629" s="27"/>
      <c r="Q629" s="27"/>
      <c r="R629" s="27"/>
      <c r="S629" s="27"/>
    </row>
    <row r="630">
      <c r="C630" s="69"/>
      <c r="E630" s="50"/>
      <c r="G630" s="70"/>
      <c r="I630" s="50"/>
      <c r="J630" s="50"/>
      <c r="M630" s="27"/>
      <c r="N630" s="27"/>
      <c r="O630" s="27"/>
      <c r="P630" s="27"/>
      <c r="Q630" s="27"/>
      <c r="R630" s="27"/>
      <c r="S630" s="27"/>
    </row>
    <row r="631">
      <c r="C631" s="69"/>
      <c r="E631" s="50"/>
      <c r="G631" s="70"/>
      <c r="I631" s="50"/>
      <c r="J631" s="50"/>
      <c r="M631" s="27"/>
      <c r="N631" s="27"/>
      <c r="O631" s="27"/>
      <c r="P631" s="27"/>
      <c r="Q631" s="27"/>
      <c r="R631" s="27"/>
      <c r="S631" s="27"/>
    </row>
    <row r="632">
      <c r="C632" s="69"/>
      <c r="E632" s="50"/>
      <c r="G632" s="70"/>
      <c r="I632" s="50"/>
      <c r="J632" s="50"/>
      <c r="M632" s="27"/>
      <c r="N632" s="27"/>
      <c r="O632" s="27"/>
      <c r="P632" s="27"/>
      <c r="Q632" s="27"/>
      <c r="R632" s="27"/>
      <c r="S632" s="27"/>
    </row>
    <row r="633">
      <c r="C633" s="69"/>
      <c r="E633" s="50"/>
      <c r="G633" s="70"/>
      <c r="I633" s="50"/>
      <c r="J633" s="50"/>
      <c r="M633" s="27"/>
      <c r="N633" s="27"/>
      <c r="O633" s="27"/>
      <c r="P633" s="27"/>
      <c r="Q633" s="27"/>
      <c r="R633" s="27"/>
      <c r="S633" s="27"/>
    </row>
    <row r="634">
      <c r="C634" s="69"/>
      <c r="E634" s="50"/>
      <c r="G634" s="70"/>
      <c r="I634" s="50"/>
      <c r="J634" s="50"/>
      <c r="M634" s="27"/>
      <c r="N634" s="27"/>
      <c r="O634" s="27"/>
      <c r="P634" s="27"/>
      <c r="Q634" s="27"/>
      <c r="R634" s="27"/>
      <c r="S634" s="27"/>
    </row>
    <row r="635">
      <c r="C635" s="69"/>
      <c r="E635" s="50"/>
      <c r="G635" s="70"/>
      <c r="I635" s="50"/>
      <c r="J635" s="50"/>
      <c r="M635" s="27"/>
      <c r="N635" s="27"/>
      <c r="O635" s="27"/>
      <c r="P635" s="27"/>
      <c r="Q635" s="27"/>
      <c r="R635" s="27"/>
      <c r="S635" s="27"/>
    </row>
    <row r="636">
      <c r="C636" s="69"/>
      <c r="E636" s="50"/>
      <c r="G636" s="70"/>
      <c r="I636" s="50"/>
      <c r="J636" s="50"/>
      <c r="M636" s="27"/>
      <c r="N636" s="27"/>
      <c r="O636" s="27"/>
      <c r="P636" s="27"/>
      <c r="Q636" s="27"/>
      <c r="R636" s="27"/>
      <c r="S636" s="27"/>
    </row>
    <row r="637">
      <c r="C637" s="69"/>
      <c r="E637" s="50"/>
      <c r="G637" s="70"/>
      <c r="I637" s="50"/>
      <c r="J637" s="50"/>
      <c r="M637" s="27"/>
      <c r="N637" s="27"/>
      <c r="O637" s="27"/>
      <c r="P637" s="27"/>
      <c r="Q637" s="27"/>
      <c r="R637" s="27"/>
      <c r="S637" s="27"/>
    </row>
    <row r="638">
      <c r="C638" s="69"/>
      <c r="E638" s="50"/>
      <c r="G638" s="70"/>
      <c r="I638" s="50"/>
      <c r="J638" s="50"/>
      <c r="M638" s="27"/>
      <c r="N638" s="27"/>
      <c r="O638" s="27"/>
      <c r="P638" s="27"/>
      <c r="Q638" s="27"/>
      <c r="R638" s="27"/>
      <c r="S638" s="27"/>
    </row>
    <row r="639">
      <c r="C639" s="69"/>
      <c r="E639" s="50"/>
      <c r="G639" s="70"/>
      <c r="I639" s="50"/>
      <c r="J639" s="50"/>
      <c r="M639" s="27"/>
      <c r="N639" s="27"/>
      <c r="O639" s="27"/>
      <c r="P639" s="27"/>
      <c r="Q639" s="27"/>
      <c r="R639" s="27"/>
      <c r="S639" s="27"/>
    </row>
    <row r="640">
      <c r="C640" s="69"/>
      <c r="E640" s="50"/>
      <c r="G640" s="70"/>
      <c r="I640" s="50"/>
      <c r="J640" s="50"/>
      <c r="M640" s="27"/>
      <c r="N640" s="27"/>
      <c r="O640" s="27"/>
      <c r="P640" s="27"/>
      <c r="Q640" s="27"/>
      <c r="R640" s="27"/>
      <c r="S640" s="27"/>
    </row>
    <row r="641">
      <c r="C641" s="69"/>
      <c r="E641" s="50"/>
      <c r="G641" s="70"/>
      <c r="I641" s="50"/>
      <c r="J641" s="50"/>
      <c r="M641" s="27"/>
      <c r="N641" s="27"/>
      <c r="O641" s="27"/>
      <c r="P641" s="27"/>
      <c r="Q641" s="27"/>
      <c r="R641" s="27"/>
      <c r="S641" s="27"/>
    </row>
    <row r="642">
      <c r="C642" s="69"/>
      <c r="E642" s="50"/>
      <c r="G642" s="70"/>
      <c r="I642" s="50"/>
      <c r="J642" s="50"/>
      <c r="M642" s="27"/>
      <c r="N642" s="27"/>
      <c r="O642" s="27"/>
      <c r="P642" s="27"/>
      <c r="Q642" s="27"/>
      <c r="R642" s="27"/>
      <c r="S642" s="27"/>
    </row>
    <row r="643">
      <c r="C643" s="69"/>
      <c r="E643" s="50"/>
      <c r="G643" s="70"/>
      <c r="I643" s="50"/>
      <c r="J643" s="50"/>
      <c r="M643" s="27"/>
      <c r="N643" s="27"/>
      <c r="O643" s="27"/>
      <c r="P643" s="27"/>
      <c r="Q643" s="27"/>
      <c r="R643" s="27"/>
      <c r="S643" s="27"/>
    </row>
    <row r="644">
      <c r="C644" s="69"/>
      <c r="E644" s="50"/>
      <c r="G644" s="70"/>
      <c r="I644" s="50"/>
      <c r="J644" s="50"/>
      <c r="M644" s="27"/>
      <c r="N644" s="27"/>
      <c r="O644" s="27"/>
      <c r="P644" s="27"/>
      <c r="Q644" s="27"/>
      <c r="R644" s="27"/>
      <c r="S644" s="27"/>
    </row>
    <row r="645">
      <c r="C645" s="69"/>
      <c r="E645" s="50"/>
      <c r="G645" s="70"/>
      <c r="I645" s="50"/>
      <c r="J645" s="50"/>
      <c r="M645" s="27"/>
      <c r="N645" s="27"/>
      <c r="O645" s="27"/>
      <c r="P645" s="27"/>
      <c r="Q645" s="27"/>
      <c r="R645" s="27"/>
      <c r="S645" s="27"/>
    </row>
    <row r="646">
      <c r="C646" s="69"/>
      <c r="E646" s="50"/>
      <c r="G646" s="70"/>
      <c r="I646" s="50"/>
      <c r="J646" s="50"/>
      <c r="M646" s="27"/>
      <c r="N646" s="27"/>
      <c r="O646" s="27"/>
      <c r="P646" s="27"/>
      <c r="Q646" s="27"/>
      <c r="R646" s="27"/>
      <c r="S646" s="27"/>
    </row>
    <row r="647">
      <c r="C647" s="69"/>
      <c r="E647" s="50"/>
      <c r="G647" s="70"/>
      <c r="I647" s="50"/>
      <c r="J647" s="50"/>
      <c r="M647" s="27"/>
      <c r="N647" s="27"/>
      <c r="O647" s="27"/>
      <c r="P647" s="27"/>
      <c r="Q647" s="27"/>
      <c r="R647" s="27"/>
      <c r="S647" s="27"/>
    </row>
    <row r="648">
      <c r="C648" s="69"/>
      <c r="E648" s="50"/>
      <c r="G648" s="70"/>
      <c r="I648" s="50"/>
      <c r="J648" s="50"/>
      <c r="M648" s="27"/>
      <c r="N648" s="27"/>
      <c r="O648" s="27"/>
      <c r="P648" s="27"/>
      <c r="Q648" s="27"/>
      <c r="R648" s="27"/>
      <c r="S648" s="27"/>
    </row>
    <row r="649">
      <c r="C649" s="69"/>
      <c r="E649" s="50"/>
      <c r="G649" s="70"/>
      <c r="I649" s="50"/>
      <c r="J649" s="50"/>
      <c r="M649" s="27"/>
      <c r="N649" s="27"/>
      <c r="O649" s="27"/>
      <c r="P649" s="27"/>
      <c r="Q649" s="27"/>
      <c r="R649" s="27"/>
      <c r="S649" s="27"/>
    </row>
    <row r="650">
      <c r="C650" s="69"/>
      <c r="E650" s="50"/>
      <c r="G650" s="70"/>
      <c r="I650" s="50"/>
      <c r="J650" s="50"/>
      <c r="M650" s="27"/>
      <c r="N650" s="27"/>
      <c r="O650" s="27"/>
      <c r="P650" s="27"/>
      <c r="Q650" s="27"/>
      <c r="R650" s="27"/>
      <c r="S650" s="27"/>
    </row>
    <row r="651">
      <c r="C651" s="69"/>
      <c r="E651" s="50"/>
      <c r="G651" s="70"/>
      <c r="I651" s="50"/>
      <c r="J651" s="50"/>
      <c r="M651" s="27"/>
      <c r="N651" s="27"/>
      <c r="O651" s="27"/>
      <c r="P651" s="27"/>
      <c r="Q651" s="27"/>
      <c r="R651" s="27"/>
      <c r="S651" s="27"/>
    </row>
    <row r="652">
      <c r="C652" s="69"/>
      <c r="E652" s="50"/>
      <c r="G652" s="70"/>
      <c r="I652" s="50"/>
      <c r="J652" s="50"/>
      <c r="M652" s="27"/>
      <c r="N652" s="27"/>
      <c r="O652" s="27"/>
      <c r="P652" s="27"/>
      <c r="Q652" s="27"/>
      <c r="R652" s="27"/>
      <c r="S652" s="27"/>
    </row>
    <row r="653">
      <c r="C653" s="69"/>
      <c r="E653" s="50"/>
      <c r="G653" s="70"/>
      <c r="I653" s="50"/>
      <c r="J653" s="50"/>
      <c r="M653" s="27"/>
      <c r="N653" s="27"/>
      <c r="O653" s="27"/>
      <c r="P653" s="27"/>
      <c r="Q653" s="27"/>
      <c r="R653" s="27"/>
      <c r="S653" s="27"/>
    </row>
    <row r="654">
      <c r="C654" s="69"/>
      <c r="E654" s="50"/>
      <c r="G654" s="70"/>
      <c r="I654" s="50"/>
      <c r="J654" s="50"/>
      <c r="M654" s="27"/>
      <c r="N654" s="27"/>
      <c r="O654" s="27"/>
      <c r="P654" s="27"/>
      <c r="Q654" s="27"/>
      <c r="R654" s="27"/>
      <c r="S654" s="27"/>
    </row>
    <row r="655">
      <c r="C655" s="69"/>
      <c r="E655" s="50"/>
      <c r="G655" s="70"/>
      <c r="I655" s="50"/>
      <c r="J655" s="50"/>
      <c r="M655" s="27"/>
      <c r="N655" s="27"/>
      <c r="O655" s="27"/>
      <c r="P655" s="27"/>
      <c r="Q655" s="27"/>
      <c r="R655" s="27"/>
      <c r="S655" s="27"/>
    </row>
    <row r="656">
      <c r="C656" s="69"/>
      <c r="E656" s="50"/>
      <c r="G656" s="70"/>
      <c r="I656" s="50"/>
      <c r="J656" s="50"/>
      <c r="M656" s="27"/>
      <c r="N656" s="27"/>
      <c r="O656" s="27"/>
      <c r="P656" s="27"/>
      <c r="Q656" s="27"/>
      <c r="R656" s="27"/>
      <c r="S656" s="27"/>
    </row>
    <row r="657">
      <c r="C657" s="69"/>
      <c r="E657" s="50"/>
      <c r="G657" s="70"/>
      <c r="I657" s="50"/>
      <c r="J657" s="50"/>
      <c r="M657" s="27"/>
      <c r="N657" s="27"/>
      <c r="O657" s="27"/>
      <c r="P657" s="27"/>
      <c r="Q657" s="27"/>
      <c r="R657" s="27"/>
      <c r="S657" s="27"/>
    </row>
    <row r="658">
      <c r="C658" s="69"/>
      <c r="E658" s="50"/>
      <c r="G658" s="70"/>
      <c r="I658" s="50"/>
      <c r="J658" s="50"/>
      <c r="M658" s="27"/>
      <c r="N658" s="27"/>
      <c r="O658" s="27"/>
      <c r="P658" s="27"/>
      <c r="Q658" s="27"/>
      <c r="R658" s="27"/>
      <c r="S658" s="27"/>
    </row>
    <row r="659">
      <c r="C659" s="69"/>
      <c r="E659" s="50"/>
      <c r="G659" s="70"/>
      <c r="I659" s="50"/>
      <c r="J659" s="50"/>
      <c r="M659" s="27"/>
      <c r="N659" s="27"/>
      <c r="O659" s="27"/>
      <c r="P659" s="27"/>
      <c r="Q659" s="27"/>
      <c r="R659" s="27"/>
      <c r="S659" s="27"/>
    </row>
    <row r="660">
      <c r="C660" s="69"/>
      <c r="E660" s="50"/>
      <c r="G660" s="70"/>
      <c r="I660" s="50"/>
      <c r="J660" s="50"/>
      <c r="M660" s="27"/>
      <c r="N660" s="27"/>
      <c r="O660" s="27"/>
      <c r="P660" s="27"/>
      <c r="Q660" s="27"/>
      <c r="R660" s="27"/>
      <c r="S660" s="27"/>
    </row>
    <row r="661">
      <c r="C661" s="69"/>
      <c r="E661" s="50"/>
      <c r="G661" s="70"/>
      <c r="I661" s="50"/>
      <c r="J661" s="50"/>
      <c r="M661" s="27"/>
      <c r="N661" s="27"/>
      <c r="O661" s="27"/>
      <c r="P661" s="27"/>
      <c r="Q661" s="27"/>
      <c r="R661" s="27"/>
      <c r="S661" s="27"/>
    </row>
    <row r="662">
      <c r="C662" s="69"/>
      <c r="E662" s="50"/>
      <c r="G662" s="70"/>
      <c r="I662" s="50"/>
      <c r="J662" s="50"/>
      <c r="M662" s="27"/>
      <c r="N662" s="27"/>
      <c r="O662" s="27"/>
      <c r="P662" s="27"/>
      <c r="Q662" s="27"/>
      <c r="R662" s="27"/>
      <c r="S662" s="27"/>
    </row>
    <row r="663">
      <c r="C663" s="69"/>
      <c r="E663" s="50"/>
      <c r="G663" s="70"/>
      <c r="I663" s="50"/>
      <c r="J663" s="50"/>
      <c r="M663" s="27"/>
      <c r="N663" s="27"/>
      <c r="O663" s="27"/>
      <c r="P663" s="27"/>
      <c r="Q663" s="27"/>
      <c r="R663" s="27"/>
      <c r="S663" s="27"/>
    </row>
    <row r="664">
      <c r="C664" s="69"/>
      <c r="E664" s="50"/>
      <c r="G664" s="70"/>
      <c r="I664" s="50"/>
      <c r="J664" s="50"/>
      <c r="M664" s="27"/>
      <c r="N664" s="27"/>
      <c r="O664" s="27"/>
      <c r="P664" s="27"/>
      <c r="Q664" s="27"/>
      <c r="R664" s="27"/>
      <c r="S664" s="27"/>
    </row>
    <row r="665">
      <c r="C665" s="69"/>
      <c r="E665" s="50"/>
      <c r="G665" s="70"/>
      <c r="I665" s="50"/>
      <c r="J665" s="50"/>
      <c r="M665" s="27"/>
      <c r="N665" s="27"/>
      <c r="O665" s="27"/>
      <c r="P665" s="27"/>
      <c r="Q665" s="27"/>
      <c r="R665" s="27"/>
      <c r="S665" s="27"/>
    </row>
    <row r="666">
      <c r="C666" s="69"/>
      <c r="E666" s="50"/>
      <c r="G666" s="70"/>
      <c r="I666" s="50"/>
      <c r="J666" s="50"/>
      <c r="M666" s="27"/>
      <c r="N666" s="27"/>
      <c r="O666" s="27"/>
      <c r="P666" s="27"/>
      <c r="Q666" s="27"/>
      <c r="R666" s="27"/>
      <c r="S666" s="27"/>
    </row>
    <row r="667">
      <c r="C667" s="69"/>
      <c r="E667" s="50"/>
      <c r="G667" s="70"/>
      <c r="I667" s="50"/>
      <c r="J667" s="50"/>
      <c r="M667" s="27"/>
      <c r="N667" s="27"/>
      <c r="O667" s="27"/>
      <c r="P667" s="27"/>
      <c r="Q667" s="27"/>
      <c r="R667" s="27"/>
      <c r="S667" s="27"/>
    </row>
    <row r="668">
      <c r="C668" s="69"/>
      <c r="E668" s="50"/>
      <c r="G668" s="70"/>
      <c r="I668" s="50"/>
      <c r="J668" s="50"/>
      <c r="M668" s="27"/>
      <c r="N668" s="27"/>
      <c r="O668" s="27"/>
      <c r="P668" s="27"/>
      <c r="Q668" s="27"/>
      <c r="R668" s="27"/>
      <c r="S668" s="27"/>
    </row>
    <row r="669">
      <c r="C669" s="69"/>
      <c r="E669" s="50"/>
      <c r="G669" s="70"/>
      <c r="I669" s="50"/>
      <c r="J669" s="50"/>
      <c r="M669" s="27"/>
      <c r="N669" s="27"/>
      <c r="O669" s="27"/>
      <c r="P669" s="27"/>
      <c r="Q669" s="27"/>
      <c r="R669" s="27"/>
      <c r="S669" s="27"/>
    </row>
    <row r="670">
      <c r="C670" s="69"/>
      <c r="E670" s="50"/>
      <c r="G670" s="70"/>
      <c r="I670" s="50"/>
      <c r="J670" s="50"/>
      <c r="M670" s="27"/>
      <c r="N670" s="27"/>
      <c r="O670" s="27"/>
      <c r="P670" s="27"/>
      <c r="Q670" s="27"/>
      <c r="R670" s="27"/>
      <c r="S670" s="27"/>
    </row>
    <row r="671">
      <c r="C671" s="69"/>
      <c r="E671" s="50"/>
      <c r="G671" s="70"/>
      <c r="I671" s="50"/>
      <c r="J671" s="50"/>
      <c r="M671" s="27"/>
      <c r="N671" s="27"/>
      <c r="O671" s="27"/>
      <c r="P671" s="27"/>
      <c r="Q671" s="27"/>
      <c r="R671" s="27"/>
      <c r="S671" s="27"/>
    </row>
    <row r="672">
      <c r="C672" s="69"/>
      <c r="E672" s="50"/>
      <c r="G672" s="70"/>
      <c r="I672" s="50"/>
      <c r="J672" s="50"/>
      <c r="M672" s="27"/>
      <c r="N672" s="27"/>
      <c r="O672" s="27"/>
      <c r="P672" s="27"/>
      <c r="Q672" s="27"/>
      <c r="R672" s="27"/>
      <c r="S672" s="27"/>
    </row>
    <row r="673">
      <c r="C673" s="69"/>
      <c r="E673" s="50"/>
      <c r="G673" s="70"/>
      <c r="I673" s="50"/>
      <c r="J673" s="50"/>
      <c r="M673" s="27"/>
      <c r="N673" s="27"/>
      <c r="O673" s="27"/>
      <c r="P673" s="27"/>
      <c r="Q673" s="27"/>
      <c r="R673" s="27"/>
      <c r="S673" s="27"/>
    </row>
    <row r="674">
      <c r="C674" s="69"/>
      <c r="E674" s="50"/>
      <c r="G674" s="70"/>
      <c r="I674" s="50"/>
      <c r="J674" s="50"/>
      <c r="M674" s="27"/>
      <c r="N674" s="27"/>
      <c r="O674" s="27"/>
      <c r="P674" s="27"/>
      <c r="Q674" s="27"/>
      <c r="R674" s="27"/>
      <c r="S674" s="27"/>
    </row>
    <row r="675">
      <c r="C675" s="69"/>
      <c r="E675" s="50"/>
      <c r="G675" s="70"/>
      <c r="I675" s="50"/>
      <c r="J675" s="50"/>
      <c r="M675" s="27"/>
      <c r="N675" s="27"/>
      <c r="O675" s="27"/>
      <c r="P675" s="27"/>
      <c r="Q675" s="27"/>
      <c r="R675" s="27"/>
      <c r="S675" s="27"/>
    </row>
    <row r="676">
      <c r="C676" s="69"/>
      <c r="E676" s="50"/>
      <c r="G676" s="70"/>
      <c r="I676" s="50"/>
      <c r="J676" s="50"/>
      <c r="M676" s="27"/>
      <c r="N676" s="27"/>
      <c r="O676" s="27"/>
      <c r="P676" s="27"/>
      <c r="Q676" s="27"/>
      <c r="R676" s="27"/>
      <c r="S676" s="27"/>
    </row>
    <row r="677">
      <c r="C677" s="69"/>
      <c r="E677" s="50"/>
      <c r="G677" s="70"/>
      <c r="I677" s="50"/>
      <c r="J677" s="50"/>
      <c r="M677" s="27"/>
      <c r="N677" s="27"/>
      <c r="O677" s="27"/>
      <c r="P677" s="27"/>
      <c r="Q677" s="27"/>
      <c r="R677" s="27"/>
      <c r="S677" s="27"/>
    </row>
    <row r="678">
      <c r="C678" s="69"/>
      <c r="E678" s="50"/>
      <c r="G678" s="70"/>
      <c r="I678" s="50"/>
      <c r="J678" s="50"/>
      <c r="M678" s="27"/>
      <c r="N678" s="27"/>
      <c r="O678" s="27"/>
      <c r="P678" s="27"/>
      <c r="Q678" s="27"/>
      <c r="R678" s="27"/>
      <c r="S678" s="27"/>
    </row>
    <row r="679">
      <c r="C679" s="69"/>
      <c r="E679" s="50"/>
      <c r="G679" s="70"/>
      <c r="I679" s="50"/>
      <c r="J679" s="50"/>
      <c r="M679" s="27"/>
      <c r="N679" s="27"/>
      <c r="O679" s="27"/>
      <c r="P679" s="27"/>
      <c r="Q679" s="27"/>
      <c r="R679" s="27"/>
      <c r="S679" s="27"/>
    </row>
    <row r="680">
      <c r="C680" s="69"/>
      <c r="E680" s="50"/>
      <c r="G680" s="70"/>
      <c r="I680" s="50"/>
      <c r="J680" s="50"/>
      <c r="M680" s="27"/>
      <c r="N680" s="27"/>
      <c r="O680" s="27"/>
      <c r="P680" s="27"/>
      <c r="Q680" s="27"/>
      <c r="R680" s="27"/>
      <c r="S680" s="27"/>
    </row>
    <row r="681">
      <c r="C681" s="69"/>
      <c r="E681" s="50"/>
      <c r="G681" s="70"/>
      <c r="I681" s="50"/>
      <c r="J681" s="50"/>
      <c r="M681" s="27"/>
      <c r="N681" s="27"/>
      <c r="O681" s="27"/>
      <c r="P681" s="27"/>
      <c r="Q681" s="27"/>
      <c r="R681" s="27"/>
      <c r="S681" s="27"/>
    </row>
    <row r="682">
      <c r="C682" s="69"/>
      <c r="E682" s="50"/>
      <c r="G682" s="70"/>
      <c r="I682" s="50"/>
      <c r="J682" s="50"/>
      <c r="M682" s="27"/>
      <c r="N682" s="27"/>
      <c r="O682" s="27"/>
      <c r="P682" s="27"/>
      <c r="Q682" s="27"/>
      <c r="R682" s="27"/>
      <c r="S682" s="27"/>
    </row>
    <row r="683">
      <c r="C683" s="69"/>
      <c r="E683" s="50"/>
      <c r="G683" s="70"/>
      <c r="I683" s="50"/>
      <c r="J683" s="50"/>
      <c r="M683" s="27"/>
      <c r="N683" s="27"/>
      <c r="O683" s="27"/>
      <c r="P683" s="27"/>
      <c r="Q683" s="27"/>
      <c r="R683" s="27"/>
      <c r="S683" s="27"/>
    </row>
    <row r="684">
      <c r="C684" s="69"/>
      <c r="E684" s="50"/>
      <c r="G684" s="70"/>
      <c r="I684" s="50"/>
      <c r="J684" s="50"/>
      <c r="M684" s="27"/>
      <c r="N684" s="27"/>
      <c r="O684" s="27"/>
      <c r="P684" s="27"/>
      <c r="Q684" s="27"/>
      <c r="R684" s="27"/>
      <c r="S684" s="27"/>
    </row>
    <row r="685">
      <c r="C685" s="69"/>
      <c r="E685" s="50"/>
      <c r="G685" s="70"/>
      <c r="I685" s="50"/>
      <c r="J685" s="50"/>
      <c r="M685" s="27"/>
      <c r="N685" s="27"/>
      <c r="O685" s="27"/>
      <c r="P685" s="27"/>
      <c r="Q685" s="27"/>
      <c r="R685" s="27"/>
      <c r="S685" s="27"/>
    </row>
    <row r="686">
      <c r="C686" s="69"/>
      <c r="E686" s="50"/>
      <c r="G686" s="70"/>
      <c r="I686" s="50"/>
      <c r="J686" s="50"/>
      <c r="M686" s="27"/>
      <c r="N686" s="27"/>
      <c r="O686" s="27"/>
      <c r="P686" s="27"/>
      <c r="Q686" s="27"/>
      <c r="R686" s="27"/>
      <c r="S686" s="27"/>
    </row>
    <row r="687">
      <c r="C687" s="69"/>
      <c r="E687" s="50"/>
      <c r="G687" s="70"/>
      <c r="I687" s="50"/>
      <c r="J687" s="50"/>
      <c r="M687" s="27"/>
      <c r="N687" s="27"/>
      <c r="O687" s="27"/>
      <c r="P687" s="27"/>
      <c r="Q687" s="27"/>
      <c r="R687" s="27"/>
      <c r="S687" s="27"/>
    </row>
    <row r="688">
      <c r="C688" s="69"/>
      <c r="E688" s="50"/>
      <c r="G688" s="70"/>
      <c r="I688" s="50"/>
      <c r="J688" s="50"/>
      <c r="M688" s="27"/>
      <c r="N688" s="27"/>
      <c r="O688" s="27"/>
      <c r="P688" s="27"/>
      <c r="Q688" s="27"/>
      <c r="R688" s="27"/>
      <c r="S688" s="27"/>
    </row>
    <row r="689">
      <c r="C689" s="69"/>
      <c r="E689" s="50"/>
      <c r="G689" s="70"/>
      <c r="I689" s="50"/>
      <c r="J689" s="50"/>
      <c r="M689" s="27"/>
      <c r="N689" s="27"/>
      <c r="O689" s="27"/>
      <c r="P689" s="27"/>
      <c r="Q689" s="27"/>
      <c r="R689" s="27"/>
      <c r="S689" s="27"/>
    </row>
    <row r="690">
      <c r="C690" s="69"/>
      <c r="E690" s="50"/>
      <c r="G690" s="70"/>
      <c r="I690" s="50"/>
      <c r="J690" s="50"/>
      <c r="M690" s="27"/>
      <c r="N690" s="27"/>
      <c r="O690" s="27"/>
      <c r="P690" s="27"/>
      <c r="Q690" s="27"/>
      <c r="R690" s="27"/>
      <c r="S690" s="27"/>
    </row>
    <row r="691">
      <c r="C691" s="69"/>
      <c r="E691" s="50"/>
      <c r="G691" s="70"/>
      <c r="I691" s="50"/>
      <c r="J691" s="50"/>
      <c r="M691" s="27"/>
      <c r="N691" s="27"/>
      <c r="O691" s="27"/>
      <c r="P691" s="27"/>
      <c r="Q691" s="27"/>
      <c r="R691" s="27"/>
      <c r="S691" s="27"/>
    </row>
    <row r="692">
      <c r="C692" s="69"/>
      <c r="E692" s="50"/>
      <c r="G692" s="70"/>
      <c r="I692" s="50"/>
      <c r="J692" s="50"/>
      <c r="M692" s="27"/>
      <c r="N692" s="27"/>
      <c r="O692" s="27"/>
      <c r="P692" s="27"/>
      <c r="Q692" s="27"/>
      <c r="R692" s="27"/>
      <c r="S692" s="27"/>
    </row>
    <row r="693">
      <c r="C693" s="69"/>
      <c r="E693" s="50"/>
      <c r="G693" s="70"/>
      <c r="I693" s="50"/>
      <c r="J693" s="50"/>
      <c r="M693" s="27"/>
      <c r="N693" s="27"/>
      <c r="O693" s="27"/>
      <c r="P693" s="27"/>
      <c r="Q693" s="27"/>
      <c r="R693" s="27"/>
      <c r="S693" s="27"/>
    </row>
    <row r="694">
      <c r="C694" s="69"/>
      <c r="E694" s="50"/>
      <c r="G694" s="70"/>
      <c r="I694" s="50"/>
      <c r="J694" s="50"/>
      <c r="M694" s="27"/>
      <c r="N694" s="27"/>
      <c r="O694" s="27"/>
      <c r="P694" s="27"/>
      <c r="Q694" s="27"/>
      <c r="R694" s="27"/>
      <c r="S694" s="27"/>
    </row>
    <row r="695">
      <c r="C695" s="69"/>
      <c r="E695" s="50"/>
      <c r="G695" s="70"/>
      <c r="I695" s="50"/>
      <c r="J695" s="50"/>
      <c r="M695" s="27"/>
      <c r="N695" s="27"/>
      <c r="O695" s="27"/>
      <c r="P695" s="27"/>
      <c r="Q695" s="27"/>
      <c r="R695" s="27"/>
      <c r="S695" s="27"/>
    </row>
    <row r="696">
      <c r="C696" s="69"/>
      <c r="E696" s="50"/>
      <c r="G696" s="70"/>
      <c r="I696" s="50"/>
      <c r="J696" s="50"/>
      <c r="M696" s="27"/>
      <c r="N696" s="27"/>
      <c r="O696" s="27"/>
      <c r="P696" s="27"/>
      <c r="Q696" s="27"/>
      <c r="R696" s="27"/>
      <c r="S696" s="27"/>
    </row>
    <row r="697">
      <c r="C697" s="69"/>
      <c r="E697" s="50"/>
      <c r="G697" s="70"/>
      <c r="I697" s="50"/>
      <c r="J697" s="50"/>
      <c r="M697" s="27"/>
      <c r="N697" s="27"/>
      <c r="O697" s="27"/>
      <c r="P697" s="27"/>
      <c r="Q697" s="27"/>
      <c r="R697" s="27"/>
      <c r="S697" s="27"/>
    </row>
    <row r="698">
      <c r="C698" s="69"/>
      <c r="E698" s="50"/>
      <c r="G698" s="70"/>
      <c r="I698" s="50"/>
      <c r="J698" s="50"/>
      <c r="M698" s="27"/>
      <c r="N698" s="27"/>
      <c r="O698" s="27"/>
      <c r="P698" s="27"/>
      <c r="Q698" s="27"/>
      <c r="R698" s="27"/>
      <c r="S698" s="27"/>
    </row>
    <row r="699">
      <c r="C699" s="69"/>
      <c r="E699" s="50"/>
      <c r="G699" s="70"/>
      <c r="I699" s="50"/>
      <c r="J699" s="50"/>
      <c r="M699" s="27"/>
      <c r="N699" s="27"/>
      <c r="O699" s="27"/>
      <c r="P699" s="27"/>
      <c r="Q699" s="27"/>
      <c r="R699" s="27"/>
      <c r="S699" s="27"/>
    </row>
    <row r="700">
      <c r="C700" s="69"/>
      <c r="E700" s="50"/>
      <c r="G700" s="70"/>
      <c r="I700" s="50"/>
      <c r="J700" s="50"/>
      <c r="M700" s="27"/>
      <c r="N700" s="27"/>
      <c r="O700" s="27"/>
      <c r="P700" s="27"/>
      <c r="Q700" s="27"/>
      <c r="R700" s="27"/>
      <c r="S700" s="27"/>
    </row>
    <row r="701">
      <c r="C701" s="69"/>
      <c r="E701" s="50"/>
      <c r="G701" s="70"/>
      <c r="I701" s="50"/>
      <c r="J701" s="50"/>
      <c r="M701" s="27"/>
      <c r="N701" s="27"/>
      <c r="O701" s="27"/>
      <c r="P701" s="27"/>
      <c r="Q701" s="27"/>
      <c r="R701" s="27"/>
      <c r="S701" s="27"/>
    </row>
    <row r="702">
      <c r="C702" s="69"/>
      <c r="E702" s="50"/>
      <c r="G702" s="70"/>
      <c r="I702" s="50"/>
      <c r="J702" s="50"/>
      <c r="M702" s="27"/>
      <c r="N702" s="27"/>
      <c r="O702" s="27"/>
      <c r="P702" s="27"/>
      <c r="Q702" s="27"/>
      <c r="R702" s="27"/>
      <c r="S702" s="27"/>
    </row>
    <row r="703">
      <c r="C703" s="69"/>
      <c r="E703" s="50"/>
      <c r="G703" s="70"/>
      <c r="I703" s="50"/>
      <c r="J703" s="50"/>
      <c r="M703" s="27"/>
      <c r="N703" s="27"/>
      <c r="O703" s="27"/>
      <c r="P703" s="27"/>
      <c r="Q703" s="27"/>
      <c r="R703" s="27"/>
      <c r="S703" s="27"/>
    </row>
    <row r="704">
      <c r="C704" s="69"/>
      <c r="E704" s="50"/>
      <c r="G704" s="70"/>
      <c r="I704" s="50"/>
      <c r="J704" s="50"/>
      <c r="M704" s="27"/>
      <c r="N704" s="27"/>
      <c r="O704" s="27"/>
      <c r="P704" s="27"/>
      <c r="Q704" s="27"/>
      <c r="R704" s="27"/>
      <c r="S704" s="27"/>
    </row>
    <row r="705">
      <c r="C705" s="69"/>
      <c r="E705" s="50"/>
      <c r="G705" s="70"/>
      <c r="I705" s="50"/>
      <c r="J705" s="50"/>
      <c r="M705" s="27"/>
      <c r="N705" s="27"/>
      <c r="O705" s="27"/>
      <c r="P705" s="27"/>
      <c r="Q705" s="27"/>
      <c r="R705" s="27"/>
      <c r="S705" s="27"/>
    </row>
    <row r="706">
      <c r="C706" s="69"/>
      <c r="E706" s="50"/>
      <c r="G706" s="70"/>
      <c r="I706" s="50"/>
      <c r="J706" s="50"/>
      <c r="M706" s="27"/>
      <c r="N706" s="27"/>
      <c r="O706" s="27"/>
      <c r="P706" s="27"/>
      <c r="Q706" s="27"/>
      <c r="R706" s="27"/>
      <c r="S706" s="27"/>
    </row>
    <row r="707">
      <c r="C707" s="69"/>
      <c r="E707" s="50"/>
      <c r="G707" s="70"/>
      <c r="I707" s="50"/>
      <c r="J707" s="50"/>
      <c r="M707" s="27"/>
      <c r="N707" s="27"/>
      <c r="O707" s="27"/>
      <c r="P707" s="27"/>
      <c r="Q707" s="27"/>
      <c r="R707" s="27"/>
      <c r="S707" s="27"/>
    </row>
    <row r="708">
      <c r="C708" s="69"/>
      <c r="E708" s="50"/>
      <c r="G708" s="70"/>
      <c r="I708" s="50"/>
      <c r="J708" s="50"/>
      <c r="M708" s="27"/>
      <c r="N708" s="27"/>
      <c r="O708" s="27"/>
      <c r="P708" s="27"/>
      <c r="Q708" s="27"/>
      <c r="R708" s="27"/>
      <c r="S708" s="27"/>
    </row>
    <row r="709">
      <c r="C709" s="69"/>
      <c r="E709" s="50"/>
      <c r="G709" s="70"/>
      <c r="I709" s="50"/>
      <c r="J709" s="50"/>
      <c r="M709" s="27"/>
      <c r="N709" s="27"/>
      <c r="O709" s="27"/>
      <c r="P709" s="27"/>
      <c r="Q709" s="27"/>
      <c r="R709" s="27"/>
      <c r="S709" s="27"/>
    </row>
    <row r="710">
      <c r="C710" s="69"/>
      <c r="E710" s="50"/>
      <c r="G710" s="70"/>
      <c r="I710" s="50"/>
      <c r="J710" s="50"/>
      <c r="M710" s="27"/>
      <c r="N710" s="27"/>
      <c r="O710" s="27"/>
      <c r="P710" s="27"/>
      <c r="Q710" s="27"/>
      <c r="R710" s="27"/>
      <c r="S710" s="27"/>
    </row>
    <row r="711">
      <c r="C711" s="69"/>
      <c r="E711" s="50"/>
      <c r="G711" s="70"/>
      <c r="I711" s="50"/>
      <c r="J711" s="50"/>
      <c r="M711" s="27"/>
      <c r="N711" s="27"/>
      <c r="O711" s="27"/>
      <c r="P711" s="27"/>
      <c r="Q711" s="27"/>
      <c r="R711" s="27"/>
      <c r="S711" s="27"/>
    </row>
    <row r="712">
      <c r="C712" s="69"/>
      <c r="E712" s="50"/>
      <c r="G712" s="70"/>
      <c r="I712" s="50"/>
      <c r="J712" s="50"/>
      <c r="M712" s="27"/>
      <c r="N712" s="27"/>
      <c r="O712" s="27"/>
      <c r="P712" s="27"/>
      <c r="Q712" s="27"/>
      <c r="R712" s="27"/>
      <c r="S712" s="27"/>
    </row>
    <row r="713">
      <c r="C713" s="69"/>
      <c r="E713" s="50"/>
      <c r="G713" s="70"/>
      <c r="I713" s="50"/>
      <c r="J713" s="50"/>
      <c r="M713" s="27"/>
      <c r="N713" s="27"/>
      <c r="O713" s="27"/>
      <c r="P713" s="27"/>
      <c r="Q713" s="27"/>
      <c r="R713" s="27"/>
      <c r="S713" s="27"/>
    </row>
    <row r="714">
      <c r="C714" s="69"/>
      <c r="E714" s="50"/>
      <c r="G714" s="70"/>
      <c r="I714" s="50"/>
      <c r="J714" s="50"/>
      <c r="M714" s="27"/>
      <c r="N714" s="27"/>
      <c r="O714" s="27"/>
      <c r="P714" s="27"/>
      <c r="Q714" s="27"/>
      <c r="R714" s="27"/>
      <c r="S714" s="27"/>
    </row>
    <row r="715">
      <c r="C715" s="69"/>
      <c r="E715" s="50"/>
      <c r="G715" s="70"/>
      <c r="I715" s="50"/>
      <c r="J715" s="50"/>
      <c r="M715" s="27"/>
      <c r="N715" s="27"/>
      <c r="O715" s="27"/>
      <c r="P715" s="27"/>
      <c r="Q715" s="27"/>
      <c r="R715" s="27"/>
      <c r="S715" s="27"/>
    </row>
    <row r="716">
      <c r="C716" s="69"/>
      <c r="E716" s="50"/>
      <c r="G716" s="70"/>
      <c r="I716" s="50"/>
      <c r="J716" s="50"/>
      <c r="M716" s="27"/>
      <c r="N716" s="27"/>
      <c r="O716" s="27"/>
      <c r="P716" s="27"/>
      <c r="Q716" s="27"/>
      <c r="R716" s="27"/>
      <c r="S716" s="27"/>
    </row>
    <row r="717">
      <c r="C717" s="69"/>
      <c r="E717" s="50"/>
      <c r="G717" s="70"/>
      <c r="I717" s="50"/>
      <c r="J717" s="50"/>
      <c r="M717" s="27"/>
      <c r="N717" s="27"/>
      <c r="O717" s="27"/>
      <c r="P717" s="27"/>
      <c r="Q717" s="27"/>
      <c r="R717" s="27"/>
      <c r="S717" s="27"/>
    </row>
    <row r="718">
      <c r="C718" s="69"/>
      <c r="E718" s="50"/>
      <c r="G718" s="70"/>
      <c r="I718" s="50"/>
      <c r="J718" s="50"/>
      <c r="M718" s="27"/>
      <c r="N718" s="27"/>
      <c r="O718" s="27"/>
      <c r="P718" s="27"/>
      <c r="Q718" s="27"/>
      <c r="R718" s="27"/>
      <c r="S718" s="27"/>
    </row>
    <row r="719">
      <c r="C719" s="69"/>
      <c r="E719" s="50"/>
      <c r="G719" s="70"/>
      <c r="I719" s="50"/>
      <c r="J719" s="50"/>
      <c r="M719" s="27"/>
      <c r="N719" s="27"/>
      <c r="O719" s="27"/>
      <c r="P719" s="27"/>
      <c r="Q719" s="27"/>
      <c r="R719" s="27"/>
      <c r="S719" s="27"/>
    </row>
    <row r="720">
      <c r="C720" s="69"/>
      <c r="E720" s="50"/>
      <c r="G720" s="70"/>
      <c r="I720" s="50"/>
      <c r="J720" s="50"/>
      <c r="M720" s="27"/>
      <c r="N720" s="27"/>
      <c r="O720" s="27"/>
      <c r="P720" s="27"/>
      <c r="Q720" s="27"/>
      <c r="R720" s="27"/>
      <c r="S720" s="27"/>
    </row>
    <row r="721">
      <c r="C721" s="69"/>
      <c r="E721" s="50"/>
      <c r="G721" s="70"/>
      <c r="I721" s="50"/>
      <c r="J721" s="50"/>
      <c r="M721" s="27"/>
      <c r="N721" s="27"/>
      <c r="O721" s="27"/>
      <c r="P721" s="27"/>
      <c r="Q721" s="27"/>
      <c r="R721" s="27"/>
      <c r="S721" s="27"/>
    </row>
    <row r="722">
      <c r="C722" s="69"/>
      <c r="E722" s="50"/>
      <c r="G722" s="70"/>
      <c r="I722" s="50"/>
      <c r="J722" s="50"/>
      <c r="M722" s="27"/>
      <c r="N722" s="27"/>
      <c r="O722" s="27"/>
      <c r="P722" s="27"/>
      <c r="Q722" s="27"/>
      <c r="R722" s="27"/>
      <c r="S722" s="27"/>
    </row>
    <row r="723">
      <c r="C723" s="69"/>
      <c r="E723" s="50"/>
      <c r="G723" s="70"/>
      <c r="I723" s="50"/>
      <c r="J723" s="50"/>
      <c r="M723" s="27"/>
      <c r="N723" s="27"/>
      <c r="O723" s="27"/>
      <c r="P723" s="27"/>
      <c r="Q723" s="27"/>
      <c r="R723" s="27"/>
      <c r="S723" s="27"/>
    </row>
    <row r="724">
      <c r="C724" s="69"/>
      <c r="E724" s="50"/>
      <c r="G724" s="70"/>
      <c r="I724" s="50"/>
      <c r="J724" s="50"/>
      <c r="M724" s="27"/>
      <c r="N724" s="27"/>
      <c r="O724" s="27"/>
      <c r="P724" s="27"/>
      <c r="Q724" s="27"/>
      <c r="R724" s="27"/>
      <c r="S724" s="27"/>
    </row>
    <row r="725">
      <c r="C725" s="69"/>
      <c r="E725" s="50"/>
      <c r="G725" s="70"/>
      <c r="I725" s="50"/>
      <c r="J725" s="50"/>
      <c r="M725" s="27"/>
      <c r="N725" s="27"/>
      <c r="O725" s="27"/>
      <c r="P725" s="27"/>
      <c r="Q725" s="27"/>
      <c r="R725" s="27"/>
      <c r="S725" s="27"/>
    </row>
    <row r="726">
      <c r="C726" s="69"/>
      <c r="E726" s="50"/>
      <c r="G726" s="70"/>
      <c r="I726" s="50"/>
      <c r="J726" s="50"/>
      <c r="M726" s="27"/>
      <c r="N726" s="27"/>
      <c r="O726" s="27"/>
      <c r="P726" s="27"/>
      <c r="Q726" s="27"/>
      <c r="R726" s="27"/>
      <c r="S726" s="27"/>
    </row>
    <row r="727">
      <c r="C727" s="69"/>
      <c r="E727" s="50"/>
      <c r="G727" s="70"/>
      <c r="I727" s="50"/>
      <c r="J727" s="50"/>
      <c r="M727" s="27"/>
      <c r="N727" s="27"/>
      <c r="O727" s="27"/>
      <c r="P727" s="27"/>
      <c r="Q727" s="27"/>
      <c r="R727" s="27"/>
      <c r="S727" s="27"/>
    </row>
    <row r="728">
      <c r="C728" s="69"/>
      <c r="E728" s="50"/>
      <c r="G728" s="70"/>
      <c r="I728" s="50"/>
      <c r="J728" s="50"/>
      <c r="M728" s="27"/>
      <c r="N728" s="27"/>
      <c r="O728" s="27"/>
      <c r="P728" s="27"/>
      <c r="Q728" s="27"/>
      <c r="R728" s="27"/>
      <c r="S728" s="27"/>
    </row>
    <row r="729">
      <c r="C729" s="69"/>
      <c r="E729" s="50"/>
      <c r="G729" s="70"/>
      <c r="I729" s="50"/>
      <c r="J729" s="50"/>
      <c r="M729" s="27"/>
      <c r="N729" s="27"/>
      <c r="O729" s="27"/>
      <c r="P729" s="27"/>
      <c r="Q729" s="27"/>
      <c r="R729" s="27"/>
      <c r="S729" s="27"/>
    </row>
    <row r="730">
      <c r="C730" s="69"/>
      <c r="E730" s="50"/>
      <c r="G730" s="70"/>
      <c r="I730" s="50"/>
      <c r="J730" s="50"/>
      <c r="M730" s="27"/>
      <c r="N730" s="27"/>
      <c r="O730" s="27"/>
      <c r="P730" s="27"/>
      <c r="Q730" s="27"/>
      <c r="R730" s="27"/>
      <c r="S730" s="27"/>
    </row>
    <row r="731">
      <c r="C731" s="69"/>
      <c r="E731" s="50"/>
      <c r="G731" s="70"/>
      <c r="I731" s="50"/>
      <c r="J731" s="50"/>
      <c r="M731" s="27"/>
      <c r="N731" s="27"/>
      <c r="O731" s="27"/>
      <c r="P731" s="27"/>
      <c r="Q731" s="27"/>
      <c r="R731" s="27"/>
      <c r="S731" s="27"/>
    </row>
    <row r="732">
      <c r="C732" s="69"/>
      <c r="E732" s="50"/>
      <c r="G732" s="70"/>
      <c r="I732" s="50"/>
      <c r="J732" s="50"/>
      <c r="M732" s="27"/>
      <c r="N732" s="27"/>
      <c r="O732" s="27"/>
      <c r="P732" s="27"/>
      <c r="Q732" s="27"/>
      <c r="R732" s="27"/>
      <c r="S732" s="27"/>
    </row>
    <row r="733">
      <c r="C733" s="69"/>
      <c r="E733" s="50"/>
      <c r="G733" s="70"/>
      <c r="I733" s="50"/>
      <c r="J733" s="50"/>
      <c r="M733" s="27"/>
      <c r="N733" s="27"/>
      <c r="O733" s="27"/>
      <c r="P733" s="27"/>
      <c r="Q733" s="27"/>
      <c r="R733" s="27"/>
      <c r="S733" s="27"/>
    </row>
    <row r="734">
      <c r="C734" s="69"/>
      <c r="E734" s="50"/>
      <c r="G734" s="70"/>
      <c r="I734" s="50"/>
      <c r="J734" s="50"/>
      <c r="M734" s="27"/>
      <c r="N734" s="27"/>
      <c r="O734" s="27"/>
      <c r="P734" s="27"/>
      <c r="Q734" s="27"/>
      <c r="R734" s="27"/>
      <c r="S734" s="27"/>
    </row>
    <row r="735">
      <c r="C735" s="69"/>
      <c r="E735" s="50"/>
      <c r="G735" s="70"/>
      <c r="I735" s="50"/>
      <c r="J735" s="50"/>
      <c r="M735" s="27"/>
      <c r="N735" s="27"/>
      <c r="O735" s="27"/>
      <c r="P735" s="27"/>
      <c r="Q735" s="27"/>
      <c r="R735" s="27"/>
      <c r="S735" s="27"/>
    </row>
    <row r="736">
      <c r="C736" s="69"/>
      <c r="E736" s="50"/>
      <c r="G736" s="70"/>
      <c r="I736" s="50"/>
      <c r="J736" s="50"/>
      <c r="M736" s="27"/>
      <c r="N736" s="27"/>
      <c r="O736" s="27"/>
      <c r="P736" s="27"/>
      <c r="Q736" s="27"/>
      <c r="R736" s="27"/>
      <c r="S736" s="27"/>
    </row>
    <row r="737">
      <c r="C737" s="69"/>
      <c r="E737" s="50"/>
      <c r="G737" s="70"/>
      <c r="I737" s="50"/>
      <c r="J737" s="50"/>
      <c r="M737" s="27"/>
      <c r="N737" s="27"/>
      <c r="O737" s="27"/>
      <c r="P737" s="27"/>
      <c r="Q737" s="27"/>
      <c r="R737" s="27"/>
      <c r="S737" s="27"/>
    </row>
    <row r="738">
      <c r="C738" s="69"/>
      <c r="E738" s="50"/>
      <c r="G738" s="70"/>
      <c r="I738" s="50"/>
      <c r="J738" s="50"/>
      <c r="M738" s="27"/>
      <c r="N738" s="27"/>
      <c r="O738" s="27"/>
      <c r="P738" s="27"/>
      <c r="Q738" s="27"/>
      <c r="R738" s="27"/>
      <c r="S738" s="27"/>
    </row>
    <row r="739">
      <c r="C739" s="69"/>
      <c r="E739" s="50"/>
      <c r="G739" s="70"/>
      <c r="I739" s="50"/>
      <c r="J739" s="50"/>
      <c r="M739" s="27"/>
      <c r="N739" s="27"/>
      <c r="O739" s="27"/>
      <c r="P739" s="27"/>
      <c r="Q739" s="27"/>
      <c r="R739" s="27"/>
      <c r="S739" s="27"/>
    </row>
    <row r="740">
      <c r="C740" s="69"/>
      <c r="E740" s="50"/>
      <c r="G740" s="70"/>
      <c r="I740" s="50"/>
      <c r="J740" s="50"/>
      <c r="M740" s="27"/>
      <c r="N740" s="27"/>
      <c r="O740" s="27"/>
      <c r="P740" s="27"/>
      <c r="Q740" s="27"/>
      <c r="R740" s="27"/>
      <c r="S740" s="27"/>
    </row>
    <row r="741">
      <c r="C741" s="69"/>
      <c r="E741" s="50"/>
      <c r="G741" s="70"/>
      <c r="I741" s="50"/>
      <c r="J741" s="50"/>
      <c r="M741" s="27"/>
      <c r="N741" s="27"/>
      <c r="O741" s="27"/>
      <c r="P741" s="27"/>
      <c r="Q741" s="27"/>
      <c r="R741" s="27"/>
      <c r="S741" s="27"/>
    </row>
    <row r="742">
      <c r="C742" s="69"/>
      <c r="E742" s="50"/>
      <c r="G742" s="70"/>
      <c r="I742" s="50"/>
      <c r="J742" s="50"/>
      <c r="M742" s="27"/>
      <c r="N742" s="27"/>
      <c r="O742" s="27"/>
      <c r="P742" s="27"/>
      <c r="Q742" s="27"/>
      <c r="R742" s="27"/>
      <c r="S742" s="27"/>
    </row>
    <row r="743">
      <c r="C743" s="69"/>
      <c r="E743" s="50"/>
      <c r="G743" s="70"/>
      <c r="I743" s="50"/>
      <c r="J743" s="50"/>
      <c r="M743" s="27"/>
      <c r="N743" s="27"/>
      <c r="O743" s="27"/>
      <c r="P743" s="27"/>
      <c r="Q743" s="27"/>
      <c r="R743" s="27"/>
      <c r="S743" s="27"/>
    </row>
    <row r="744">
      <c r="C744" s="69"/>
      <c r="E744" s="50"/>
      <c r="G744" s="70"/>
      <c r="I744" s="50"/>
      <c r="J744" s="50"/>
      <c r="M744" s="27"/>
      <c r="N744" s="27"/>
      <c r="O744" s="27"/>
      <c r="P744" s="27"/>
      <c r="Q744" s="27"/>
      <c r="R744" s="27"/>
      <c r="S744" s="27"/>
    </row>
    <row r="745">
      <c r="C745" s="69"/>
      <c r="E745" s="50"/>
      <c r="G745" s="70"/>
      <c r="I745" s="50"/>
      <c r="J745" s="50"/>
      <c r="M745" s="27"/>
      <c r="N745" s="27"/>
      <c r="O745" s="27"/>
      <c r="P745" s="27"/>
      <c r="Q745" s="27"/>
      <c r="R745" s="27"/>
      <c r="S745" s="27"/>
    </row>
    <row r="746">
      <c r="C746" s="69"/>
      <c r="E746" s="50"/>
      <c r="G746" s="70"/>
      <c r="I746" s="50"/>
      <c r="J746" s="50"/>
      <c r="M746" s="27"/>
      <c r="N746" s="27"/>
      <c r="O746" s="27"/>
      <c r="P746" s="27"/>
      <c r="Q746" s="27"/>
      <c r="R746" s="27"/>
      <c r="S746" s="27"/>
    </row>
    <row r="747">
      <c r="C747" s="69"/>
      <c r="E747" s="50"/>
      <c r="G747" s="70"/>
      <c r="I747" s="50"/>
      <c r="J747" s="50"/>
      <c r="M747" s="27"/>
      <c r="N747" s="27"/>
      <c r="O747" s="27"/>
      <c r="P747" s="27"/>
      <c r="Q747" s="27"/>
      <c r="R747" s="27"/>
      <c r="S747" s="27"/>
    </row>
    <row r="748">
      <c r="C748" s="69"/>
      <c r="E748" s="50"/>
      <c r="G748" s="70"/>
      <c r="I748" s="50"/>
      <c r="J748" s="50"/>
      <c r="M748" s="27"/>
      <c r="N748" s="27"/>
      <c r="O748" s="27"/>
      <c r="P748" s="27"/>
      <c r="Q748" s="27"/>
      <c r="R748" s="27"/>
      <c r="S748" s="27"/>
    </row>
    <row r="749">
      <c r="C749" s="69"/>
      <c r="E749" s="50"/>
      <c r="G749" s="70"/>
      <c r="I749" s="50"/>
      <c r="J749" s="50"/>
      <c r="M749" s="27"/>
      <c r="N749" s="27"/>
      <c r="O749" s="27"/>
      <c r="P749" s="27"/>
      <c r="Q749" s="27"/>
      <c r="R749" s="27"/>
      <c r="S749" s="27"/>
    </row>
    <row r="750">
      <c r="C750" s="69"/>
      <c r="E750" s="50"/>
      <c r="G750" s="70"/>
      <c r="I750" s="50"/>
      <c r="J750" s="50"/>
      <c r="M750" s="27"/>
      <c r="N750" s="27"/>
      <c r="O750" s="27"/>
      <c r="P750" s="27"/>
      <c r="Q750" s="27"/>
      <c r="R750" s="27"/>
      <c r="S750" s="27"/>
    </row>
    <row r="751">
      <c r="C751" s="69"/>
      <c r="E751" s="50"/>
      <c r="G751" s="70"/>
      <c r="I751" s="50"/>
      <c r="J751" s="50"/>
      <c r="M751" s="27"/>
      <c r="N751" s="27"/>
      <c r="O751" s="27"/>
      <c r="P751" s="27"/>
      <c r="Q751" s="27"/>
      <c r="R751" s="27"/>
      <c r="S751" s="27"/>
    </row>
    <row r="752">
      <c r="C752" s="69"/>
      <c r="E752" s="50"/>
      <c r="G752" s="70"/>
      <c r="I752" s="50"/>
      <c r="J752" s="50"/>
      <c r="M752" s="27"/>
      <c r="N752" s="27"/>
      <c r="O752" s="27"/>
      <c r="P752" s="27"/>
      <c r="Q752" s="27"/>
      <c r="R752" s="27"/>
      <c r="S752" s="27"/>
    </row>
    <row r="753">
      <c r="C753" s="69"/>
      <c r="E753" s="50"/>
      <c r="G753" s="70"/>
      <c r="I753" s="50"/>
      <c r="J753" s="50"/>
      <c r="M753" s="27"/>
      <c r="N753" s="27"/>
      <c r="O753" s="27"/>
      <c r="P753" s="27"/>
      <c r="Q753" s="27"/>
      <c r="R753" s="27"/>
      <c r="S753" s="27"/>
    </row>
    <row r="754">
      <c r="C754" s="69"/>
      <c r="E754" s="50"/>
      <c r="G754" s="70"/>
      <c r="I754" s="50"/>
      <c r="J754" s="50"/>
      <c r="M754" s="27"/>
      <c r="N754" s="27"/>
      <c r="O754" s="27"/>
      <c r="P754" s="27"/>
      <c r="Q754" s="27"/>
      <c r="R754" s="27"/>
      <c r="S754" s="27"/>
    </row>
    <row r="755">
      <c r="C755" s="69"/>
      <c r="E755" s="50"/>
      <c r="G755" s="70"/>
      <c r="I755" s="50"/>
      <c r="J755" s="50"/>
      <c r="M755" s="27"/>
      <c r="N755" s="27"/>
      <c r="O755" s="27"/>
      <c r="P755" s="27"/>
      <c r="Q755" s="27"/>
      <c r="R755" s="27"/>
      <c r="S755" s="27"/>
    </row>
    <row r="756">
      <c r="C756" s="69"/>
      <c r="E756" s="50"/>
      <c r="G756" s="70"/>
      <c r="I756" s="50"/>
      <c r="J756" s="50"/>
      <c r="M756" s="27"/>
      <c r="N756" s="27"/>
      <c r="O756" s="27"/>
      <c r="P756" s="27"/>
      <c r="Q756" s="27"/>
      <c r="R756" s="27"/>
      <c r="S756" s="27"/>
    </row>
    <row r="757">
      <c r="C757" s="69"/>
      <c r="E757" s="50"/>
      <c r="G757" s="70"/>
      <c r="I757" s="50"/>
      <c r="J757" s="50"/>
      <c r="M757" s="27"/>
      <c r="N757" s="27"/>
      <c r="O757" s="27"/>
      <c r="P757" s="27"/>
      <c r="Q757" s="27"/>
      <c r="R757" s="27"/>
      <c r="S757" s="27"/>
    </row>
    <row r="758">
      <c r="C758" s="69"/>
      <c r="E758" s="50"/>
      <c r="G758" s="70"/>
      <c r="I758" s="50"/>
      <c r="J758" s="50"/>
      <c r="M758" s="27"/>
      <c r="N758" s="27"/>
      <c r="O758" s="27"/>
      <c r="P758" s="27"/>
      <c r="Q758" s="27"/>
      <c r="R758" s="27"/>
      <c r="S758" s="27"/>
    </row>
    <row r="759">
      <c r="C759" s="69"/>
      <c r="E759" s="50"/>
      <c r="G759" s="70"/>
      <c r="I759" s="50"/>
      <c r="J759" s="50"/>
      <c r="M759" s="27"/>
      <c r="N759" s="27"/>
      <c r="O759" s="27"/>
      <c r="P759" s="27"/>
      <c r="Q759" s="27"/>
      <c r="R759" s="27"/>
      <c r="S759" s="27"/>
    </row>
    <row r="760">
      <c r="C760" s="69"/>
      <c r="E760" s="50"/>
      <c r="G760" s="70"/>
      <c r="I760" s="50"/>
      <c r="J760" s="50"/>
      <c r="M760" s="27"/>
      <c r="N760" s="27"/>
      <c r="O760" s="27"/>
      <c r="P760" s="27"/>
      <c r="Q760" s="27"/>
      <c r="R760" s="27"/>
      <c r="S760" s="27"/>
    </row>
    <row r="761">
      <c r="C761" s="69"/>
      <c r="E761" s="50"/>
      <c r="G761" s="70"/>
      <c r="I761" s="50"/>
      <c r="J761" s="50"/>
      <c r="M761" s="27"/>
      <c r="N761" s="27"/>
      <c r="O761" s="27"/>
      <c r="P761" s="27"/>
      <c r="Q761" s="27"/>
      <c r="R761" s="27"/>
      <c r="S761" s="27"/>
    </row>
    <row r="762">
      <c r="C762" s="69"/>
      <c r="E762" s="50"/>
      <c r="G762" s="70"/>
      <c r="I762" s="50"/>
      <c r="J762" s="50"/>
      <c r="M762" s="27"/>
      <c r="N762" s="27"/>
      <c r="O762" s="27"/>
      <c r="P762" s="27"/>
      <c r="Q762" s="27"/>
      <c r="R762" s="27"/>
      <c r="S762" s="27"/>
    </row>
    <row r="763">
      <c r="C763" s="69"/>
      <c r="E763" s="50"/>
      <c r="G763" s="70"/>
      <c r="I763" s="50"/>
      <c r="J763" s="50"/>
      <c r="M763" s="27"/>
      <c r="N763" s="27"/>
      <c r="O763" s="27"/>
      <c r="P763" s="27"/>
      <c r="Q763" s="27"/>
      <c r="R763" s="27"/>
      <c r="S763" s="27"/>
    </row>
    <row r="764">
      <c r="C764" s="69"/>
      <c r="E764" s="50"/>
      <c r="G764" s="70"/>
      <c r="I764" s="50"/>
      <c r="J764" s="50"/>
      <c r="M764" s="27"/>
      <c r="N764" s="27"/>
      <c r="O764" s="27"/>
      <c r="P764" s="27"/>
      <c r="Q764" s="27"/>
      <c r="R764" s="27"/>
      <c r="S764" s="27"/>
    </row>
    <row r="765">
      <c r="C765" s="69"/>
      <c r="E765" s="50"/>
      <c r="G765" s="70"/>
      <c r="I765" s="50"/>
      <c r="J765" s="50"/>
      <c r="M765" s="27"/>
      <c r="N765" s="27"/>
      <c r="O765" s="27"/>
      <c r="P765" s="27"/>
      <c r="Q765" s="27"/>
      <c r="R765" s="27"/>
      <c r="S765" s="27"/>
    </row>
    <row r="766">
      <c r="C766" s="69"/>
      <c r="E766" s="50"/>
      <c r="G766" s="70"/>
      <c r="I766" s="50"/>
      <c r="J766" s="50"/>
      <c r="M766" s="27"/>
      <c r="N766" s="27"/>
      <c r="O766" s="27"/>
      <c r="P766" s="27"/>
      <c r="Q766" s="27"/>
      <c r="R766" s="27"/>
      <c r="S766" s="27"/>
    </row>
    <row r="767">
      <c r="C767" s="69"/>
      <c r="E767" s="50"/>
      <c r="G767" s="70"/>
      <c r="I767" s="50"/>
      <c r="J767" s="50"/>
      <c r="M767" s="27"/>
      <c r="N767" s="27"/>
      <c r="O767" s="27"/>
      <c r="P767" s="27"/>
      <c r="Q767" s="27"/>
      <c r="R767" s="27"/>
      <c r="S767" s="27"/>
    </row>
    <row r="768">
      <c r="C768" s="69"/>
      <c r="E768" s="50"/>
      <c r="G768" s="70"/>
      <c r="I768" s="50"/>
      <c r="J768" s="50"/>
      <c r="M768" s="27"/>
      <c r="N768" s="27"/>
      <c r="O768" s="27"/>
      <c r="P768" s="27"/>
      <c r="Q768" s="27"/>
      <c r="R768" s="27"/>
      <c r="S768" s="27"/>
    </row>
    <row r="769">
      <c r="C769" s="69"/>
      <c r="E769" s="50"/>
      <c r="G769" s="70"/>
      <c r="I769" s="50"/>
      <c r="J769" s="50"/>
      <c r="M769" s="27"/>
      <c r="N769" s="27"/>
      <c r="O769" s="27"/>
      <c r="P769" s="27"/>
      <c r="Q769" s="27"/>
      <c r="R769" s="27"/>
      <c r="S769" s="27"/>
    </row>
    <row r="770">
      <c r="C770" s="69"/>
      <c r="E770" s="50"/>
      <c r="G770" s="70"/>
      <c r="I770" s="50"/>
      <c r="J770" s="50"/>
      <c r="M770" s="27"/>
      <c r="N770" s="27"/>
      <c r="O770" s="27"/>
      <c r="P770" s="27"/>
      <c r="Q770" s="27"/>
      <c r="R770" s="27"/>
      <c r="S770" s="27"/>
    </row>
    <row r="771">
      <c r="C771" s="69"/>
      <c r="E771" s="50"/>
      <c r="G771" s="70"/>
      <c r="I771" s="50"/>
      <c r="J771" s="50"/>
      <c r="M771" s="27"/>
      <c r="N771" s="27"/>
      <c r="O771" s="27"/>
      <c r="P771" s="27"/>
      <c r="Q771" s="27"/>
      <c r="R771" s="27"/>
      <c r="S771" s="27"/>
    </row>
    <row r="772">
      <c r="C772" s="69"/>
      <c r="E772" s="50"/>
      <c r="G772" s="70"/>
      <c r="I772" s="50"/>
      <c r="J772" s="50"/>
      <c r="M772" s="27"/>
      <c r="N772" s="27"/>
      <c r="O772" s="27"/>
      <c r="P772" s="27"/>
      <c r="Q772" s="27"/>
      <c r="R772" s="27"/>
      <c r="S772" s="27"/>
    </row>
    <row r="773">
      <c r="C773" s="69"/>
      <c r="E773" s="50"/>
      <c r="G773" s="70"/>
      <c r="I773" s="50"/>
      <c r="J773" s="50"/>
      <c r="M773" s="27"/>
      <c r="N773" s="27"/>
      <c r="O773" s="27"/>
      <c r="P773" s="27"/>
      <c r="Q773" s="27"/>
      <c r="R773" s="27"/>
      <c r="S773" s="27"/>
    </row>
    <row r="774">
      <c r="C774" s="69"/>
      <c r="E774" s="50"/>
      <c r="G774" s="70"/>
      <c r="I774" s="50"/>
      <c r="J774" s="50"/>
      <c r="M774" s="27"/>
      <c r="N774" s="27"/>
      <c r="O774" s="27"/>
      <c r="P774" s="27"/>
      <c r="Q774" s="27"/>
      <c r="R774" s="27"/>
      <c r="S774" s="27"/>
    </row>
    <row r="775">
      <c r="C775" s="69"/>
      <c r="E775" s="50"/>
      <c r="G775" s="70"/>
      <c r="I775" s="50"/>
      <c r="J775" s="50"/>
      <c r="M775" s="27"/>
      <c r="N775" s="27"/>
      <c r="O775" s="27"/>
      <c r="P775" s="27"/>
      <c r="Q775" s="27"/>
      <c r="R775" s="27"/>
      <c r="S775" s="27"/>
    </row>
    <row r="776">
      <c r="C776" s="69"/>
      <c r="E776" s="50"/>
      <c r="G776" s="70"/>
      <c r="I776" s="50"/>
      <c r="J776" s="50"/>
      <c r="M776" s="27"/>
      <c r="N776" s="27"/>
      <c r="O776" s="27"/>
      <c r="P776" s="27"/>
      <c r="Q776" s="27"/>
      <c r="R776" s="27"/>
      <c r="S776" s="27"/>
    </row>
    <row r="777">
      <c r="C777" s="69"/>
      <c r="E777" s="50"/>
      <c r="G777" s="70"/>
      <c r="I777" s="50"/>
      <c r="J777" s="50"/>
      <c r="M777" s="27"/>
      <c r="N777" s="27"/>
      <c r="O777" s="27"/>
      <c r="P777" s="27"/>
      <c r="Q777" s="27"/>
      <c r="R777" s="27"/>
      <c r="S777" s="27"/>
    </row>
    <row r="778">
      <c r="C778" s="69"/>
      <c r="E778" s="50"/>
      <c r="G778" s="70"/>
      <c r="I778" s="50"/>
      <c r="J778" s="50"/>
      <c r="M778" s="27"/>
      <c r="N778" s="27"/>
      <c r="O778" s="27"/>
      <c r="P778" s="27"/>
      <c r="Q778" s="27"/>
      <c r="R778" s="27"/>
      <c r="S778" s="27"/>
    </row>
    <row r="779">
      <c r="C779" s="69"/>
      <c r="E779" s="50"/>
      <c r="G779" s="70"/>
      <c r="I779" s="50"/>
      <c r="J779" s="50"/>
      <c r="M779" s="27"/>
      <c r="N779" s="27"/>
      <c r="O779" s="27"/>
      <c r="P779" s="27"/>
      <c r="Q779" s="27"/>
      <c r="R779" s="27"/>
      <c r="S779" s="27"/>
    </row>
    <row r="780">
      <c r="C780" s="69"/>
      <c r="E780" s="50"/>
      <c r="G780" s="70"/>
      <c r="I780" s="50"/>
      <c r="J780" s="50"/>
      <c r="M780" s="27"/>
      <c r="N780" s="27"/>
      <c r="O780" s="27"/>
      <c r="P780" s="27"/>
      <c r="Q780" s="27"/>
      <c r="R780" s="27"/>
      <c r="S780" s="27"/>
    </row>
    <row r="781">
      <c r="C781" s="69"/>
      <c r="E781" s="50"/>
      <c r="G781" s="70"/>
      <c r="I781" s="50"/>
      <c r="J781" s="50"/>
      <c r="M781" s="27"/>
      <c r="N781" s="27"/>
      <c r="O781" s="27"/>
      <c r="P781" s="27"/>
      <c r="Q781" s="27"/>
      <c r="R781" s="27"/>
      <c r="S781" s="27"/>
    </row>
    <row r="782">
      <c r="C782" s="69"/>
      <c r="E782" s="50"/>
      <c r="G782" s="70"/>
      <c r="I782" s="50"/>
      <c r="J782" s="50"/>
      <c r="M782" s="27"/>
      <c r="N782" s="27"/>
      <c r="O782" s="27"/>
      <c r="P782" s="27"/>
      <c r="Q782" s="27"/>
      <c r="R782" s="27"/>
      <c r="S782" s="27"/>
    </row>
    <row r="783">
      <c r="C783" s="69"/>
      <c r="E783" s="50"/>
      <c r="G783" s="70"/>
      <c r="I783" s="50"/>
      <c r="J783" s="50"/>
      <c r="M783" s="27"/>
      <c r="N783" s="27"/>
      <c r="O783" s="27"/>
      <c r="P783" s="27"/>
      <c r="Q783" s="27"/>
      <c r="R783" s="27"/>
      <c r="S783" s="27"/>
    </row>
    <row r="784">
      <c r="C784" s="69"/>
      <c r="E784" s="50"/>
      <c r="G784" s="70"/>
      <c r="I784" s="50"/>
      <c r="J784" s="50"/>
      <c r="M784" s="27"/>
      <c r="N784" s="27"/>
      <c r="O784" s="27"/>
      <c r="P784" s="27"/>
      <c r="Q784" s="27"/>
      <c r="R784" s="27"/>
      <c r="S784" s="27"/>
    </row>
    <row r="785">
      <c r="C785" s="69"/>
      <c r="E785" s="50"/>
      <c r="G785" s="70"/>
      <c r="I785" s="50"/>
      <c r="J785" s="50"/>
      <c r="M785" s="27"/>
      <c r="N785" s="27"/>
      <c r="O785" s="27"/>
      <c r="P785" s="27"/>
      <c r="Q785" s="27"/>
      <c r="R785" s="27"/>
      <c r="S785" s="27"/>
    </row>
    <row r="786">
      <c r="C786" s="69"/>
      <c r="E786" s="50"/>
      <c r="G786" s="70"/>
      <c r="I786" s="50"/>
      <c r="J786" s="50"/>
      <c r="M786" s="27"/>
      <c r="N786" s="27"/>
      <c r="O786" s="27"/>
      <c r="P786" s="27"/>
      <c r="Q786" s="27"/>
      <c r="R786" s="27"/>
      <c r="S786" s="27"/>
    </row>
    <row r="787">
      <c r="C787" s="69"/>
      <c r="E787" s="50"/>
      <c r="G787" s="70"/>
      <c r="I787" s="50"/>
      <c r="J787" s="50"/>
      <c r="M787" s="27"/>
      <c r="N787" s="27"/>
      <c r="O787" s="27"/>
      <c r="P787" s="27"/>
      <c r="Q787" s="27"/>
      <c r="R787" s="27"/>
      <c r="S787" s="27"/>
    </row>
    <row r="788">
      <c r="C788" s="69"/>
      <c r="E788" s="50"/>
      <c r="G788" s="70"/>
      <c r="I788" s="50"/>
      <c r="J788" s="50"/>
      <c r="M788" s="27"/>
      <c r="N788" s="27"/>
      <c r="O788" s="27"/>
      <c r="P788" s="27"/>
      <c r="Q788" s="27"/>
      <c r="R788" s="27"/>
      <c r="S788" s="27"/>
    </row>
    <row r="789">
      <c r="C789" s="69"/>
      <c r="E789" s="50"/>
      <c r="G789" s="70"/>
      <c r="I789" s="50"/>
      <c r="J789" s="50"/>
      <c r="M789" s="27"/>
      <c r="N789" s="27"/>
      <c r="O789" s="27"/>
      <c r="P789" s="27"/>
      <c r="Q789" s="27"/>
      <c r="R789" s="27"/>
      <c r="S789" s="27"/>
    </row>
    <row r="790">
      <c r="C790" s="69"/>
      <c r="E790" s="50"/>
      <c r="G790" s="70"/>
      <c r="I790" s="50"/>
      <c r="J790" s="50"/>
      <c r="M790" s="27"/>
      <c r="N790" s="27"/>
      <c r="O790" s="27"/>
      <c r="P790" s="27"/>
      <c r="Q790" s="27"/>
      <c r="R790" s="27"/>
      <c r="S790" s="27"/>
    </row>
    <row r="791">
      <c r="C791" s="69"/>
      <c r="E791" s="50"/>
      <c r="G791" s="70"/>
      <c r="I791" s="50"/>
      <c r="J791" s="50"/>
      <c r="M791" s="27"/>
      <c r="N791" s="27"/>
      <c r="O791" s="27"/>
      <c r="P791" s="27"/>
      <c r="Q791" s="27"/>
      <c r="R791" s="27"/>
      <c r="S791" s="27"/>
    </row>
    <row r="792">
      <c r="C792" s="69"/>
      <c r="E792" s="50"/>
      <c r="G792" s="70"/>
      <c r="I792" s="50"/>
      <c r="J792" s="50"/>
      <c r="M792" s="27"/>
      <c r="N792" s="27"/>
      <c r="O792" s="27"/>
      <c r="P792" s="27"/>
      <c r="Q792" s="27"/>
      <c r="R792" s="27"/>
      <c r="S792" s="27"/>
    </row>
    <row r="793">
      <c r="C793" s="69"/>
      <c r="E793" s="50"/>
      <c r="G793" s="70"/>
      <c r="I793" s="50"/>
      <c r="J793" s="50"/>
      <c r="M793" s="27"/>
      <c r="N793" s="27"/>
      <c r="O793" s="27"/>
      <c r="P793" s="27"/>
      <c r="Q793" s="27"/>
      <c r="R793" s="27"/>
      <c r="S793" s="27"/>
    </row>
    <row r="794">
      <c r="C794" s="69"/>
      <c r="E794" s="50"/>
      <c r="G794" s="70"/>
      <c r="I794" s="50"/>
      <c r="J794" s="50"/>
      <c r="M794" s="27"/>
      <c r="N794" s="27"/>
      <c r="O794" s="27"/>
      <c r="P794" s="27"/>
      <c r="Q794" s="27"/>
      <c r="R794" s="27"/>
      <c r="S794" s="27"/>
    </row>
    <row r="795">
      <c r="C795" s="69"/>
      <c r="E795" s="50"/>
      <c r="G795" s="70"/>
      <c r="I795" s="50"/>
      <c r="J795" s="50"/>
      <c r="M795" s="27"/>
      <c r="N795" s="27"/>
      <c r="O795" s="27"/>
      <c r="P795" s="27"/>
      <c r="Q795" s="27"/>
      <c r="R795" s="27"/>
      <c r="S795" s="27"/>
    </row>
    <row r="796">
      <c r="C796" s="69"/>
      <c r="E796" s="50"/>
      <c r="G796" s="70"/>
      <c r="I796" s="50"/>
      <c r="J796" s="50"/>
      <c r="M796" s="27"/>
      <c r="N796" s="27"/>
      <c r="O796" s="27"/>
      <c r="P796" s="27"/>
      <c r="Q796" s="27"/>
      <c r="R796" s="27"/>
      <c r="S796" s="27"/>
    </row>
    <row r="797">
      <c r="C797" s="69"/>
      <c r="E797" s="50"/>
      <c r="G797" s="70"/>
      <c r="I797" s="50"/>
      <c r="J797" s="50"/>
      <c r="M797" s="27"/>
      <c r="N797" s="27"/>
      <c r="O797" s="27"/>
      <c r="P797" s="27"/>
      <c r="Q797" s="27"/>
      <c r="R797" s="27"/>
      <c r="S797" s="27"/>
    </row>
    <row r="798">
      <c r="C798" s="69"/>
      <c r="E798" s="50"/>
      <c r="G798" s="70"/>
      <c r="I798" s="50"/>
      <c r="J798" s="50"/>
      <c r="M798" s="27"/>
      <c r="N798" s="27"/>
      <c r="O798" s="27"/>
      <c r="P798" s="27"/>
      <c r="Q798" s="27"/>
      <c r="R798" s="27"/>
      <c r="S798" s="27"/>
    </row>
    <row r="799">
      <c r="C799" s="69"/>
      <c r="E799" s="50"/>
      <c r="G799" s="70"/>
      <c r="I799" s="50"/>
      <c r="J799" s="50"/>
      <c r="M799" s="27"/>
      <c r="N799" s="27"/>
      <c r="O799" s="27"/>
      <c r="P799" s="27"/>
      <c r="Q799" s="27"/>
      <c r="R799" s="27"/>
      <c r="S799" s="27"/>
    </row>
    <row r="800">
      <c r="C800" s="69"/>
      <c r="E800" s="50"/>
      <c r="G800" s="70"/>
      <c r="I800" s="50"/>
      <c r="J800" s="50"/>
      <c r="M800" s="27"/>
      <c r="N800" s="27"/>
      <c r="O800" s="27"/>
      <c r="P800" s="27"/>
      <c r="Q800" s="27"/>
      <c r="R800" s="27"/>
      <c r="S800" s="27"/>
    </row>
    <row r="801">
      <c r="C801" s="69"/>
      <c r="E801" s="50"/>
      <c r="G801" s="70"/>
      <c r="I801" s="50"/>
      <c r="J801" s="50"/>
      <c r="M801" s="27"/>
      <c r="N801" s="27"/>
      <c r="O801" s="27"/>
      <c r="P801" s="27"/>
      <c r="Q801" s="27"/>
      <c r="R801" s="27"/>
      <c r="S801" s="27"/>
    </row>
    <row r="802">
      <c r="C802" s="69"/>
      <c r="E802" s="50"/>
      <c r="G802" s="70"/>
      <c r="I802" s="50"/>
      <c r="J802" s="50"/>
      <c r="M802" s="27"/>
      <c r="N802" s="27"/>
      <c r="O802" s="27"/>
      <c r="P802" s="27"/>
      <c r="Q802" s="27"/>
      <c r="R802" s="27"/>
      <c r="S802" s="27"/>
    </row>
    <row r="803">
      <c r="C803" s="69"/>
      <c r="E803" s="50"/>
      <c r="G803" s="70"/>
      <c r="I803" s="50"/>
      <c r="J803" s="50"/>
      <c r="M803" s="27"/>
      <c r="N803" s="27"/>
      <c r="O803" s="27"/>
      <c r="P803" s="27"/>
      <c r="Q803" s="27"/>
      <c r="R803" s="27"/>
      <c r="S803" s="27"/>
    </row>
    <row r="804">
      <c r="C804" s="69"/>
      <c r="E804" s="50"/>
      <c r="G804" s="70"/>
      <c r="I804" s="50"/>
      <c r="J804" s="50"/>
      <c r="M804" s="27"/>
      <c r="N804" s="27"/>
      <c r="O804" s="27"/>
      <c r="P804" s="27"/>
      <c r="Q804" s="27"/>
      <c r="R804" s="27"/>
      <c r="S804" s="27"/>
    </row>
    <row r="805">
      <c r="C805" s="69"/>
      <c r="E805" s="50"/>
      <c r="G805" s="70"/>
      <c r="I805" s="50"/>
      <c r="J805" s="50"/>
      <c r="M805" s="27"/>
      <c r="N805" s="27"/>
      <c r="O805" s="27"/>
      <c r="P805" s="27"/>
      <c r="Q805" s="27"/>
      <c r="R805" s="27"/>
      <c r="S805" s="27"/>
    </row>
    <row r="806">
      <c r="C806" s="69"/>
      <c r="E806" s="50"/>
      <c r="G806" s="70"/>
      <c r="I806" s="50"/>
      <c r="J806" s="50"/>
      <c r="M806" s="27"/>
      <c r="N806" s="27"/>
      <c r="O806" s="27"/>
      <c r="P806" s="27"/>
      <c r="Q806" s="27"/>
      <c r="R806" s="27"/>
      <c r="S806" s="27"/>
    </row>
    <row r="807">
      <c r="C807" s="69"/>
      <c r="E807" s="50"/>
      <c r="G807" s="70"/>
      <c r="I807" s="50"/>
      <c r="J807" s="50"/>
      <c r="M807" s="27"/>
      <c r="N807" s="27"/>
      <c r="O807" s="27"/>
      <c r="P807" s="27"/>
      <c r="Q807" s="27"/>
      <c r="R807" s="27"/>
      <c r="S807" s="27"/>
    </row>
    <row r="808">
      <c r="C808" s="69"/>
      <c r="E808" s="50"/>
      <c r="G808" s="70"/>
      <c r="I808" s="50"/>
      <c r="J808" s="50"/>
      <c r="M808" s="27"/>
      <c r="N808" s="27"/>
      <c r="O808" s="27"/>
      <c r="P808" s="27"/>
      <c r="Q808" s="27"/>
      <c r="R808" s="27"/>
      <c r="S808" s="27"/>
    </row>
    <row r="809">
      <c r="C809" s="69"/>
      <c r="E809" s="50"/>
      <c r="G809" s="70"/>
      <c r="I809" s="50"/>
      <c r="J809" s="50"/>
      <c r="M809" s="27"/>
      <c r="N809" s="27"/>
      <c r="O809" s="27"/>
      <c r="P809" s="27"/>
      <c r="Q809" s="27"/>
      <c r="R809" s="27"/>
      <c r="S809" s="27"/>
    </row>
    <row r="810">
      <c r="C810" s="69"/>
      <c r="E810" s="50"/>
      <c r="G810" s="70"/>
      <c r="I810" s="50"/>
      <c r="J810" s="50"/>
      <c r="M810" s="27"/>
      <c r="N810" s="27"/>
      <c r="O810" s="27"/>
      <c r="P810" s="27"/>
      <c r="Q810" s="27"/>
      <c r="R810" s="27"/>
      <c r="S810" s="27"/>
    </row>
    <row r="811">
      <c r="C811" s="69"/>
      <c r="E811" s="50"/>
      <c r="G811" s="70"/>
      <c r="I811" s="50"/>
      <c r="J811" s="50"/>
      <c r="M811" s="27"/>
      <c r="N811" s="27"/>
      <c r="O811" s="27"/>
      <c r="P811" s="27"/>
      <c r="Q811" s="27"/>
      <c r="R811" s="27"/>
      <c r="S811" s="27"/>
    </row>
    <row r="812">
      <c r="C812" s="69"/>
      <c r="E812" s="50"/>
      <c r="G812" s="70"/>
      <c r="I812" s="50"/>
      <c r="J812" s="50"/>
      <c r="M812" s="27"/>
      <c r="N812" s="27"/>
      <c r="O812" s="27"/>
      <c r="P812" s="27"/>
      <c r="Q812" s="27"/>
      <c r="R812" s="27"/>
      <c r="S812" s="27"/>
    </row>
    <row r="813">
      <c r="C813" s="69"/>
      <c r="E813" s="50"/>
      <c r="G813" s="70"/>
      <c r="I813" s="50"/>
      <c r="J813" s="50"/>
      <c r="M813" s="27"/>
      <c r="N813" s="27"/>
      <c r="O813" s="27"/>
      <c r="P813" s="27"/>
      <c r="Q813" s="27"/>
      <c r="R813" s="27"/>
      <c r="S813" s="27"/>
    </row>
    <row r="814">
      <c r="C814" s="69"/>
      <c r="E814" s="50"/>
      <c r="G814" s="70"/>
      <c r="I814" s="50"/>
      <c r="J814" s="50"/>
      <c r="M814" s="27"/>
      <c r="N814" s="27"/>
      <c r="O814" s="27"/>
      <c r="P814" s="27"/>
      <c r="Q814" s="27"/>
      <c r="R814" s="27"/>
      <c r="S814" s="27"/>
    </row>
    <row r="815">
      <c r="C815" s="69"/>
      <c r="E815" s="50"/>
      <c r="G815" s="70"/>
      <c r="I815" s="50"/>
      <c r="J815" s="50"/>
      <c r="M815" s="27"/>
      <c r="N815" s="27"/>
      <c r="O815" s="27"/>
      <c r="P815" s="27"/>
      <c r="Q815" s="27"/>
      <c r="R815" s="27"/>
      <c r="S815" s="27"/>
    </row>
    <row r="816">
      <c r="C816" s="69"/>
      <c r="E816" s="50"/>
      <c r="G816" s="70"/>
      <c r="I816" s="50"/>
      <c r="J816" s="50"/>
      <c r="M816" s="27"/>
      <c r="N816" s="27"/>
      <c r="O816" s="27"/>
      <c r="P816" s="27"/>
      <c r="Q816" s="27"/>
      <c r="R816" s="27"/>
      <c r="S816" s="27"/>
    </row>
    <row r="817">
      <c r="C817" s="69"/>
      <c r="E817" s="50"/>
      <c r="G817" s="70"/>
      <c r="I817" s="50"/>
      <c r="J817" s="50"/>
      <c r="M817" s="27"/>
      <c r="N817" s="27"/>
      <c r="O817" s="27"/>
      <c r="P817" s="27"/>
      <c r="Q817" s="27"/>
      <c r="R817" s="27"/>
      <c r="S817" s="27"/>
    </row>
    <row r="818">
      <c r="C818" s="69"/>
      <c r="E818" s="50"/>
      <c r="G818" s="70"/>
      <c r="I818" s="50"/>
      <c r="J818" s="50"/>
      <c r="M818" s="27"/>
      <c r="N818" s="27"/>
      <c r="O818" s="27"/>
      <c r="P818" s="27"/>
      <c r="Q818" s="27"/>
      <c r="R818" s="27"/>
      <c r="S818" s="27"/>
    </row>
    <row r="819">
      <c r="C819" s="69"/>
      <c r="E819" s="50"/>
      <c r="G819" s="70"/>
      <c r="I819" s="50"/>
      <c r="J819" s="50"/>
      <c r="M819" s="27"/>
      <c r="N819" s="27"/>
      <c r="O819" s="27"/>
      <c r="P819" s="27"/>
      <c r="Q819" s="27"/>
      <c r="R819" s="27"/>
      <c r="S819" s="27"/>
    </row>
    <row r="820">
      <c r="C820" s="69"/>
      <c r="E820" s="50"/>
      <c r="G820" s="70"/>
      <c r="I820" s="50"/>
      <c r="J820" s="50"/>
      <c r="M820" s="27"/>
      <c r="N820" s="27"/>
      <c r="O820" s="27"/>
      <c r="P820" s="27"/>
      <c r="Q820" s="27"/>
      <c r="R820" s="27"/>
      <c r="S820" s="27"/>
    </row>
    <row r="821">
      <c r="C821" s="69"/>
      <c r="E821" s="50"/>
      <c r="G821" s="70"/>
      <c r="I821" s="50"/>
      <c r="J821" s="50"/>
      <c r="M821" s="27"/>
      <c r="N821" s="27"/>
      <c r="O821" s="27"/>
      <c r="P821" s="27"/>
      <c r="Q821" s="27"/>
      <c r="R821" s="27"/>
      <c r="S821" s="27"/>
    </row>
    <row r="822">
      <c r="C822" s="69"/>
      <c r="E822" s="50"/>
      <c r="G822" s="70"/>
      <c r="I822" s="50"/>
      <c r="J822" s="50"/>
      <c r="M822" s="27"/>
      <c r="N822" s="27"/>
      <c r="O822" s="27"/>
      <c r="P822" s="27"/>
      <c r="Q822" s="27"/>
      <c r="R822" s="27"/>
      <c r="S822" s="27"/>
    </row>
    <row r="823">
      <c r="C823" s="69"/>
      <c r="E823" s="50"/>
      <c r="G823" s="70"/>
      <c r="I823" s="50"/>
      <c r="J823" s="50"/>
      <c r="M823" s="27"/>
      <c r="N823" s="27"/>
      <c r="O823" s="27"/>
      <c r="P823" s="27"/>
      <c r="Q823" s="27"/>
      <c r="R823" s="27"/>
      <c r="S823" s="27"/>
    </row>
    <row r="824">
      <c r="C824" s="69"/>
      <c r="E824" s="50"/>
      <c r="G824" s="70"/>
      <c r="I824" s="50"/>
      <c r="J824" s="50"/>
      <c r="M824" s="27"/>
      <c r="N824" s="27"/>
      <c r="O824" s="27"/>
      <c r="P824" s="27"/>
      <c r="Q824" s="27"/>
      <c r="R824" s="27"/>
      <c r="S824" s="27"/>
    </row>
    <row r="825">
      <c r="C825" s="69"/>
      <c r="E825" s="50"/>
      <c r="G825" s="70"/>
      <c r="I825" s="50"/>
      <c r="J825" s="50"/>
      <c r="M825" s="27"/>
      <c r="N825" s="27"/>
      <c r="O825" s="27"/>
      <c r="P825" s="27"/>
      <c r="Q825" s="27"/>
      <c r="R825" s="27"/>
      <c r="S825" s="27"/>
    </row>
    <row r="826">
      <c r="C826" s="69"/>
      <c r="E826" s="50"/>
      <c r="G826" s="70"/>
      <c r="I826" s="50"/>
      <c r="J826" s="50"/>
      <c r="M826" s="27"/>
      <c r="N826" s="27"/>
      <c r="O826" s="27"/>
      <c r="P826" s="27"/>
      <c r="Q826" s="27"/>
      <c r="R826" s="27"/>
      <c r="S826" s="27"/>
    </row>
    <row r="827">
      <c r="C827" s="69"/>
      <c r="E827" s="50"/>
      <c r="G827" s="70"/>
      <c r="I827" s="50"/>
      <c r="J827" s="50"/>
      <c r="M827" s="27"/>
      <c r="N827" s="27"/>
      <c r="O827" s="27"/>
      <c r="P827" s="27"/>
      <c r="Q827" s="27"/>
      <c r="R827" s="27"/>
      <c r="S827" s="27"/>
    </row>
    <row r="828">
      <c r="C828" s="69"/>
      <c r="E828" s="50"/>
      <c r="G828" s="70"/>
      <c r="I828" s="50"/>
      <c r="J828" s="50"/>
      <c r="M828" s="27"/>
      <c r="N828" s="27"/>
      <c r="O828" s="27"/>
      <c r="P828" s="27"/>
      <c r="Q828" s="27"/>
      <c r="R828" s="27"/>
      <c r="S828" s="27"/>
    </row>
    <row r="829">
      <c r="C829" s="69"/>
      <c r="E829" s="50"/>
      <c r="G829" s="70"/>
      <c r="I829" s="50"/>
      <c r="J829" s="50"/>
      <c r="M829" s="27"/>
      <c r="N829" s="27"/>
      <c r="O829" s="27"/>
      <c r="P829" s="27"/>
      <c r="Q829" s="27"/>
      <c r="R829" s="27"/>
      <c r="S829" s="27"/>
    </row>
    <row r="830">
      <c r="C830" s="69"/>
      <c r="E830" s="50"/>
      <c r="G830" s="70"/>
      <c r="I830" s="50"/>
      <c r="J830" s="50"/>
      <c r="M830" s="27"/>
      <c r="N830" s="27"/>
      <c r="O830" s="27"/>
      <c r="P830" s="27"/>
      <c r="Q830" s="27"/>
      <c r="R830" s="27"/>
      <c r="S830" s="27"/>
    </row>
    <row r="831">
      <c r="C831" s="69"/>
      <c r="E831" s="50"/>
      <c r="G831" s="70"/>
      <c r="I831" s="50"/>
      <c r="J831" s="50"/>
      <c r="M831" s="27"/>
      <c r="N831" s="27"/>
      <c r="O831" s="27"/>
      <c r="P831" s="27"/>
      <c r="Q831" s="27"/>
      <c r="R831" s="27"/>
      <c r="S831" s="27"/>
    </row>
    <row r="832">
      <c r="C832" s="69"/>
      <c r="E832" s="50"/>
      <c r="G832" s="70"/>
      <c r="I832" s="50"/>
      <c r="J832" s="50"/>
      <c r="M832" s="27"/>
      <c r="N832" s="27"/>
      <c r="O832" s="27"/>
      <c r="P832" s="27"/>
      <c r="Q832" s="27"/>
      <c r="R832" s="27"/>
      <c r="S832" s="27"/>
    </row>
    <row r="833">
      <c r="C833" s="69"/>
      <c r="E833" s="50"/>
      <c r="G833" s="70"/>
      <c r="I833" s="50"/>
      <c r="J833" s="50"/>
      <c r="M833" s="27"/>
      <c r="N833" s="27"/>
      <c r="O833" s="27"/>
      <c r="P833" s="27"/>
      <c r="Q833" s="27"/>
      <c r="R833" s="27"/>
      <c r="S833" s="27"/>
    </row>
    <row r="834">
      <c r="C834" s="69"/>
      <c r="E834" s="50"/>
      <c r="G834" s="70"/>
      <c r="I834" s="50"/>
      <c r="J834" s="50"/>
      <c r="M834" s="27"/>
      <c r="N834" s="27"/>
      <c r="O834" s="27"/>
      <c r="P834" s="27"/>
      <c r="Q834" s="27"/>
      <c r="R834" s="27"/>
      <c r="S834" s="27"/>
    </row>
    <row r="835">
      <c r="C835" s="69"/>
      <c r="E835" s="50"/>
      <c r="G835" s="70"/>
      <c r="I835" s="50"/>
      <c r="J835" s="50"/>
      <c r="M835" s="27"/>
      <c r="N835" s="27"/>
      <c r="O835" s="27"/>
      <c r="P835" s="27"/>
      <c r="Q835" s="27"/>
      <c r="R835" s="27"/>
      <c r="S835" s="27"/>
    </row>
    <row r="836">
      <c r="C836" s="69"/>
      <c r="E836" s="50"/>
      <c r="G836" s="70"/>
      <c r="I836" s="50"/>
      <c r="J836" s="50"/>
      <c r="M836" s="27"/>
      <c r="N836" s="27"/>
      <c r="O836" s="27"/>
      <c r="P836" s="27"/>
      <c r="Q836" s="27"/>
      <c r="R836" s="27"/>
      <c r="S836" s="27"/>
    </row>
    <row r="837">
      <c r="C837" s="69"/>
      <c r="E837" s="50"/>
      <c r="G837" s="70"/>
      <c r="I837" s="50"/>
      <c r="J837" s="50"/>
      <c r="M837" s="27"/>
      <c r="N837" s="27"/>
      <c r="O837" s="27"/>
      <c r="P837" s="27"/>
      <c r="Q837" s="27"/>
      <c r="R837" s="27"/>
      <c r="S837" s="27"/>
    </row>
    <row r="838">
      <c r="C838" s="69"/>
      <c r="E838" s="50"/>
      <c r="G838" s="70"/>
      <c r="I838" s="50"/>
      <c r="J838" s="50"/>
      <c r="M838" s="27"/>
      <c r="N838" s="27"/>
      <c r="O838" s="27"/>
      <c r="P838" s="27"/>
      <c r="Q838" s="27"/>
      <c r="R838" s="27"/>
      <c r="S838" s="27"/>
    </row>
    <row r="839">
      <c r="C839" s="69"/>
      <c r="E839" s="50"/>
      <c r="G839" s="70"/>
      <c r="I839" s="50"/>
      <c r="J839" s="50"/>
      <c r="M839" s="27"/>
      <c r="N839" s="27"/>
      <c r="O839" s="27"/>
      <c r="P839" s="27"/>
      <c r="Q839" s="27"/>
      <c r="R839" s="27"/>
      <c r="S839" s="27"/>
    </row>
    <row r="840">
      <c r="C840" s="69"/>
      <c r="E840" s="50"/>
      <c r="G840" s="70"/>
      <c r="I840" s="50"/>
      <c r="J840" s="50"/>
      <c r="M840" s="27"/>
      <c r="N840" s="27"/>
      <c r="O840" s="27"/>
      <c r="P840" s="27"/>
      <c r="Q840" s="27"/>
      <c r="R840" s="27"/>
      <c r="S840" s="27"/>
    </row>
    <row r="841">
      <c r="C841" s="69"/>
      <c r="E841" s="50"/>
      <c r="G841" s="70"/>
      <c r="I841" s="50"/>
      <c r="J841" s="50"/>
      <c r="M841" s="27"/>
      <c r="N841" s="27"/>
      <c r="O841" s="27"/>
      <c r="P841" s="27"/>
      <c r="Q841" s="27"/>
      <c r="R841" s="27"/>
      <c r="S841" s="27"/>
    </row>
    <row r="842">
      <c r="C842" s="69"/>
      <c r="E842" s="50"/>
      <c r="G842" s="70"/>
      <c r="I842" s="50"/>
      <c r="J842" s="50"/>
      <c r="M842" s="27"/>
      <c r="N842" s="27"/>
      <c r="O842" s="27"/>
      <c r="P842" s="27"/>
      <c r="Q842" s="27"/>
      <c r="R842" s="27"/>
      <c r="S842" s="27"/>
    </row>
    <row r="843">
      <c r="C843" s="69"/>
      <c r="E843" s="50"/>
      <c r="G843" s="70"/>
      <c r="I843" s="50"/>
      <c r="J843" s="50"/>
      <c r="M843" s="27"/>
      <c r="N843" s="27"/>
      <c r="O843" s="27"/>
      <c r="P843" s="27"/>
      <c r="Q843" s="27"/>
      <c r="R843" s="27"/>
      <c r="S843" s="27"/>
    </row>
    <row r="844">
      <c r="C844" s="69"/>
      <c r="E844" s="50"/>
      <c r="G844" s="70"/>
      <c r="I844" s="50"/>
      <c r="J844" s="50"/>
      <c r="M844" s="27"/>
      <c r="N844" s="27"/>
      <c r="O844" s="27"/>
      <c r="P844" s="27"/>
      <c r="Q844" s="27"/>
      <c r="R844" s="27"/>
      <c r="S844" s="27"/>
    </row>
    <row r="845">
      <c r="C845" s="69"/>
      <c r="E845" s="50"/>
      <c r="G845" s="70"/>
      <c r="I845" s="50"/>
      <c r="J845" s="50"/>
      <c r="M845" s="27"/>
      <c r="N845" s="27"/>
      <c r="O845" s="27"/>
      <c r="P845" s="27"/>
      <c r="Q845" s="27"/>
      <c r="R845" s="27"/>
      <c r="S845" s="27"/>
    </row>
    <row r="846">
      <c r="C846" s="69"/>
      <c r="E846" s="50"/>
      <c r="G846" s="70"/>
      <c r="I846" s="50"/>
      <c r="J846" s="50"/>
      <c r="M846" s="27"/>
      <c r="N846" s="27"/>
      <c r="O846" s="27"/>
      <c r="P846" s="27"/>
      <c r="Q846" s="27"/>
      <c r="R846" s="27"/>
      <c r="S846" s="27"/>
    </row>
    <row r="847">
      <c r="C847" s="69"/>
      <c r="E847" s="50"/>
      <c r="G847" s="70"/>
      <c r="I847" s="50"/>
      <c r="J847" s="50"/>
      <c r="M847" s="27"/>
      <c r="N847" s="27"/>
      <c r="O847" s="27"/>
      <c r="P847" s="27"/>
      <c r="Q847" s="27"/>
      <c r="R847" s="27"/>
      <c r="S847" s="27"/>
    </row>
    <row r="848">
      <c r="C848" s="69"/>
      <c r="E848" s="50"/>
      <c r="G848" s="70"/>
      <c r="I848" s="50"/>
      <c r="J848" s="50"/>
      <c r="M848" s="27"/>
      <c r="N848" s="27"/>
      <c r="O848" s="27"/>
      <c r="P848" s="27"/>
      <c r="Q848" s="27"/>
      <c r="R848" s="27"/>
      <c r="S848" s="27"/>
    </row>
    <row r="849">
      <c r="C849" s="69"/>
      <c r="E849" s="50"/>
      <c r="G849" s="70"/>
      <c r="I849" s="50"/>
      <c r="J849" s="50"/>
      <c r="M849" s="27"/>
      <c r="N849" s="27"/>
      <c r="O849" s="27"/>
      <c r="P849" s="27"/>
      <c r="Q849" s="27"/>
      <c r="R849" s="27"/>
      <c r="S849" s="27"/>
    </row>
    <row r="850">
      <c r="C850" s="69"/>
      <c r="E850" s="50"/>
      <c r="G850" s="70"/>
      <c r="I850" s="50"/>
      <c r="J850" s="50"/>
      <c r="M850" s="27"/>
      <c r="N850" s="27"/>
      <c r="O850" s="27"/>
      <c r="P850" s="27"/>
      <c r="Q850" s="27"/>
      <c r="R850" s="27"/>
      <c r="S850" s="27"/>
    </row>
    <row r="851">
      <c r="C851" s="69"/>
      <c r="E851" s="50"/>
      <c r="G851" s="70"/>
      <c r="I851" s="50"/>
      <c r="J851" s="50"/>
      <c r="M851" s="27"/>
      <c r="N851" s="27"/>
      <c r="O851" s="27"/>
      <c r="P851" s="27"/>
      <c r="Q851" s="27"/>
      <c r="R851" s="27"/>
      <c r="S851" s="27"/>
    </row>
    <row r="852">
      <c r="C852" s="69"/>
      <c r="E852" s="50"/>
      <c r="G852" s="70"/>
      <c r="I852" s="50"/>
      <c r="J852" s="50"/>
      <c r="M852" s="27"/>
      <c r="N852" s="27"/>
      <c r="O852" s="27"/>
      <c r="P852" s="27"/>
      <c r="Q852" s="27"/>
      <c r="R852" s="27"/>
      <c r="S852" s="27"/>
    </row>
    <row r="853">
      <c r="C853" s="69"/>
      <c r="E853" s="50"/>
      <c r="G853" s="70"/>
      <c r="I853" s="50"/>
      <c r="J853" s="50"/>
      <c r="M853" s="27"/>
      <c r="N853" s="27"/>
      <c r="O853" s="27"/>
      <c r="P853" s="27"/>
      <c r="Q853" s="27"/>
      <c r="R853" s="27"/>
      <c r="S853" s="27"/>
    </row>
    <row r="854">
      <c r="C854" s="69"/>
      <c r="E854" s="50"/>
      <c r="G854" s="70"/>
      <c r="I854" s="50"/>
      <c r="J854" s="50"/>
      <c r="M854" s="27"/>
      <c r="N854" s="27"/>
      <c r="O854" s="27"/>
      <c r="P854" s="27"/>
      <c r="Q854" s="27"/>
      <c r="R854" s="27"/>
      <c r="S854" s="27"/>
    </row>
    <row r="855">
      <c r="C855" s="69"/>
      <c r="E855" s="50"/>
      <c r="G855" s="70"/>
      <c r="I855" s="50"/>
      <c r="J855" s="50"/>
      <c r="M855" s="27"/>
      <c r="N855" s="27"/>
      <c r="O855" s="27"/>
      <c r="P855" s="27"/>
      <c r="Q855" s="27"/>
      <c r="R855" s="27"/>
      <c r="S855" s="27"/>
    </row>
    <row r="856">
      <c r="C856" s="69"/>
      <c r="E856" s="50"/>
      <c r="G856" s="70"/>
      <c r="I856" s="50"/>
      <c r="J856" s="50"/>
      <c r="M856" s="27"/>
      <c r="N856" s="27"/>
      <c r="O856" s="27"/>
      <c r="P856" s="27"/>
      <c r="Q856" s="27"/>
      <c r="R856" s="27"/>
      <c r="S856" s="27"/>
    </row>
    <row r="857">
      <c r="C857" s="69"/>
      <c r="E857" s="50"/>
      <c r="G857" s="70"/>
      <c r="I857" s="50"/>
      <c r="J857" s="50"/>
      <c r="M857" s="27"/>
      <c r="N857" s="27"/>
      <c r="O857" s="27"/>
      <c r="P857" s="27"/>
      <c r="Q857" s="27"/>
      <c r="R857" s="27"/>
      <c r="S857" s="27"/>
    </row>
    <row r="858">
      <c r="C858" s="69"/>
      <c r="E858" s="50"/>
      <c r="G858" s="70"/>
      <c r="I858" s="50"/>
      <c r="J858" s="50"/>
      <c r="M858" s="27"/>
      <c r="N858" s="27"/>
      <c r="O858" s="27"/>
      <c r="P858" s="27"/>
      <c r="Q858" s="27"/>
      <c r="R858" s="27"/>
      <c r="S858" s="27"/>
    </row>
    <row r="859">
      <c r="C859" s="69"/>
      <c r="E859" s="50"/>
      <c r="G859" s="70"/>
      <c r="I859" s="50"/>
      <c r="J859" s="50"/>
      <c r="M859" s="27"/>
      <c r="N859" s="27"/>
      <c r="O859" s="27"/>
      <c r="P859" s="27"/>
      <c r="Q859" s="27"/>
      <c r="R859" s="27"/>
      <c r="S859" s="27"/>
    </row>
    <row r="860">
      <c r="C860" s="69"/>
      <c r="E860" s="50"/>
      <c r="G860" s="70"/>
      <c r="I860" s="50"/>
      <c r="J860" s="50"/>
      <c r="M860" s="27"/>
      <c r="N860" s="27"/>
      <c r="O860" s="27"/>
      <c r="P860" s="27"/>
      <c r="Q860" s="27"/>
      <c r="R860" s="27"/>
      <c r="S860" s="27"/>
    </row>
    <row r="861">
      <c r="C861" s="69"/>
      <c r="E861" s="50"/>
      <c r="G861" s="70"/>
      <c r="I861" s="50"/>
      <c r="J861" s="50"/>
      <c r="M861" s="27"/>
      <c r="N861" s="27"/>
      <c r="O861" s="27"/>
      <c r="P861" s="27"/>
      <c r="Q861" s="27"/>
      <c r="R861" s="27"/>
      <c r="S861" s="27"/>
    </row>
    <row r="862">
      <c r="C862" s="69"/>
      <c r="E862" s="50"/>
      <c r="G862" s="70"/>
      <c r="I862" s="50"/>
      <c r="J862" s="50"/>
      <c r="M862" s="27"/>
      <c r="N862" s="27"/>
      <c r="O862" s="27"/>
      <c r="P862" s="27"/>
      <c r="Q862" s="27"/>
      <c r="R862" s="27"/>
      <c r="S862" s="27"/>
    </row>
    <row r="863">
      <c r="C863" s="69"/>
      <c r="E863" s="50"/>
      <c r="G863" s="70"/>
      <c r="I863" s="50"/>
      <c r="J863" s="50"/>
      <c r="M863" s="27"/>
      <c r="N863" s="27"/>
      <c r="O863" s="27"/>
      <c r="P863" s="27"/>
      <c r="Q863" s="27"/>
      <c r="R863" s="27"/>
      <c r="S863" s="27"/>
    </row>
    <row r="864">
      <c r="C864" s="69"/>
      <c r="E864" s="50"/>
      <c r="G864" s="70"/>
      <c r="I864" s="50"/>
      <c r="J864" s="50"/>
      <c r="M864" s="27"/>
      <c r="N864" s="27"/>
      <c r="O864" s="27"/>
      <c r="P864" s="27"/>
      <c r="Q864" s="27"/>
      <c r="R864" s="27"/>
      <c r="S864" s="27"/>
    </row>
    <row r="865">
      <c r="C865" s="69"/>
      <c r="E865" s="50"/>
      <c r="G865" s="70"/>
      <c r="I865" s="50"/>
      <c r="J865" s="50"/>
      <c r="M865" s="27"/>
      <c r="N865" s="27"/>
      <c r="O865" s="27"/>
      <c r="P865" s="27"/>
      <c r="Q865" s="27"/>
      <c r="R865" s="27"/>
      <c r="S865" s="27"/>
    </row>
    <row r="866">
      <c r="C866" s="69"/>
      <c r="E866" s="50"/>
      <c r="G866" s="70"/>
      <c r="I866" s="50"/>
      <c r="J866" s="50"/>
      <c r="M866" s="27"/>
      <c r="N866" s="27"/>
      <c r="O866" s="27"/>
      <c r="P866" s="27"/>
      <c r="Q866" s="27"/>
      <c r="R866" s="27"/>
      <c r="S866" s="27"/>
    </row>
    <row r="867">
      <c r="C867" s="69"/>
      <c r="E867" s="50"/>
      <c r="G867" s="70"/>
      <c r="I867" s="50"/>
      <c r="J867" s="50"/>
      <c r="M867" s="27"/>
      <c r="N867" s="27"/>
      <c r="O867" s="27"/>
      <c r="P867" s="27"/>
      <c r="Q867" s="27"/>
      <c r="R867" s="27"/>
      <c r="S867" s="27"/>
    </row>
    <row r="868">
      <c r="C868" s="69"/>
      <c r="E868" s="50"/>
      <c r="G868" s="70"/>
      <c r="I868" s="50"/>
      <c r="J868" s="50"/>
      <c r="M868" s="27"/>
      <c r="N868" s="27"/>
      <c r="O868" s="27"/>
      <c r="P868" s="27"/>
      <c r="Q868" s="27"/>
      <c r="R868" s="27"/>
      <c r="S868" s="27"/>
    </row>
    <row r="869">
      <c r="C869" s="69"/>
      <c r="E869" s="50"/>
      <c r="G869" s="70"/>
      <c r="I869" s="50"/>
      <c r="J869" s="50"/>
      <c r="M869" s="27"/>
      <c r="N869" s="27"/>
      <c r="O869" s="27"/>
      <c r="P869" s="27"/>
      <c r="Q869" s="27"/>
      <c r="R869" s="27"/>
      <c r="S869" s="27"/>
    </row>
    <row r="870">
      <c r="C870" s="69"/>
      <c r="E870" s="50"/>
      <c r="G870" s="70"/>
      <c r="I870" s="50"/>
      <c r="J870" s="50"/>
      <c r="M870" s="27"/>
      <c r="N870" s="27"/>
      <c r="O870" s="27"/>
      <c r="P870" s="27"/>
      <c r="Q870" s="27"/>
      <c r="R870" s="27"/>
      <c r="S870" s="27"/>
    </row>
    <row r="871">
      <c r="C871" s="69"/>
      <c r="E871" s="50"/>
      <c r="G871" s="70"/>
      <c r="I871" s="50"/>
      <c r="J871" s="50"/>
      <c r="M871" s="27"/>
      <c r="N871" s="27"/>
      <c r="O871" s="27"/>
      <c r="P871" s="27"/>
      <c r="Q871" s="27"/>
      <c r="R871" s="27"/>
      <c r="S871" s="27"/>
    </row>
    <row r="872">
      <c r="C872" s="69"/>
      <c r="E872" s="50"/>
      <c r="G872" s="70"/>
      <c r="I872" s="50"/>
      <c r="J872" s="50"/>
      <c r="M872" s="27"/>
      <c r="N872" s="27"/>
      <c r="O872" s="27"/>
      <c r="P872" s="27"/>
      <c r="Q872" s="27"/>
      <c r="R872" s="27"/>
      <c r="S872" s="27"/>
    </row>
    <row r="873">
      <c r="C873" s="69"/>
      <c r="E873" s="50"/>
      <c r="G873" s="70"/>
      <c r="I873" s="50"/>
      <c r="J873" s="50"/>
      <c r="M873" s="27"/>
      <c r="N873" s="27"/>
      <c r="O873" s="27"/>
      <c r="P873" s="27"/>
      <c r="Q873" s="27"/>
      <c r="R873" s="27"/>
      <c r="S873" s="27"/>
    </row>
    <row r="874">
      <c r="C874" s="69"/>
      <c r="E874" s="50"/>
      <c r="G874" s="70"/>
      <c r="I874" s="50"/>
      <c r="J874" s="50"/>
      <c r="M874" s="27"/>
      <c r="N874" s="27"/>
      <c r="O874" s="27"/>
      <c r="P874" s="27"/>
      <c r="Q874" s="27"/>
      <c r="R874" s="27"/>
      <c r="S874" s="27"/>
    </row>
    <row r="875">
      <c r="C875" s="69"/>
      <c r="E875" s="50"/>
      <c r="G875" s="70"/>
      <c r="I875" s="50"/>
      <c r="J875" s="50"/>
      <c r="M875" s="27"/>
      <c r="N875" s="27"/>
      <c r="O875" s="27"/>
      <c r="P875" s="27"/>
      <c r="Q875" s="27"/>
      <c r="R875" s="27"/>
      <c r="S875" s="27"/>
    </row>
    <row r="876">
      <c r="C876" s="69"/>
      <c r="E876" s="50"/>
      <c r="G876" s="70"/>
      <c r="I876" s="50"/>
      <c r="J876" s="50"/>
      <c r="M876" s="27"/>
      <c r="N876" s="27"/>
      <c r="O876" s="27"/>
      <c r="P876" s="27"/>
      <c r="Q876" s="27"/>
      <c r="R876" s="27"/>
      <c r="S876" s="27"/>
    </row>
    <row r="877">
      <c r="C877" s="69"/>
      <c r="E877" s="50"/>
      <c r="G877" s="70"/>
      <c r="I877" s="50"/>
      <c r="J877" s="50"/>
      <c r="M877" s="27"/>
      <c r="N877" s="27"/>
      <c r="O877" s="27"/>
      <c r="P877" s="27"/>
      <c r="Q877" s="27"/>
      <c r="R877" s="27"/>
      <c r="S877" s="27"/>
    </row>
    <row r="878">
      <c r="C878" s="69"/>
      <c r="E878" s="50"/>
      <c r="G878" s="70"/>
      <c r="I878" s="50"/>
      <c r="J878" s="50"/>
      <c r="M878" s="27"/>
      <c r="N878" s="27"/>
      <c r="O878" s="27"/>
      <c r="P878" s="27"/>
      <c r="Q878" s="27"/>
      <c r="R878" s="27"/>
      <c r="S878" s="27"/>
    </row>
    <row r="879">
      <c r="C879" s="69"/>
      <c r="E879" s="50"/>
      <c r="G879" s="70"/>
      <c r="I879" s="50"/>
      <c r="J879" s="50"/>
      <c r="M879" s="27"/>
      <c r="N879" s="27"/>
      <c r="O879" s="27"/>
      <c r="P879" s="27"/>
      <c r="Q879" s="27"/>
      <c r="R879" s="27"/>
      <c r="S879" s="27"/>
    </row>
    <row r="880">
      <c r="C880" s="69"/>
      <c r="E880" s="50"/>
      <c r="G880" s="70"/>
      <c r="I880" s="50"/>
      <c r="J880" s="50"/>
      <c r="M880" s="27"/>
      <c r="N880" s="27"/>
      <c r="O880" s="27"/>
      <c r="P880" s="27"/>
      <c r="Q880" s="27"/>
      <c r="R880" s="27"/>
      <c r="S880" s="27"/>
    </row>
    <row r="881">
      <c r="C881" s="69"/>
      <c r="E881" s="50"/>
      <c r="G881" s="70"/>
      <c r="I881" s="50"/>
      <c r="J881" s="50"/>
      <c r="M881" s="27"/>
      <c r="N881" s="27"/>
      <c r="O881" s="27"/>
      <c r="P881" s="27"/>
      <c r="Q881" s="27"/>
      <c r="R881" s="27"/>
      <c r="S881" s="27"/>
    </row>
    <row r="882">
      <c r="C882" s="69"/>
      <c r="E882" s="50"/>
      <c r="G882" s="70"/>
      <c r="I882" s="50"/>
      <c r="J882" s="50"/>
      <c r="M882" s="27"/>
      <c r="N882" s="27"/>
      <c r="O882" s="27"/>
      <c r="P882" s="27"/>
      <c r="Q882" s="27"/>
      <c r="R882" s="27"/>
      <c r="S882" s="27"/>
    </row>
    <row r="883">
      <c r="C883" s="69"/>
      <c r="E883" s="50"/>
      <c r="G883" s="70"/>
      <c r="I883" s="50"/>
      <c r="J883" s="50"/>
      <c r="M883" s="27"/>
      <c r="N883" s="27"/>
      <c r="O883" s="27"/>
      <c r="P883" s="27"/>
      <c r="Q883" s="27"/>
      <c r="R883" s="27"/>
      <c r="S883" s="27"/>
    </row>
    <row r="884">
      <c r="C884" s="69"/>
      <c r="E884" s="50"/>
      <c r="G884" s="70"/>
      <c r="I884" s="50"/>
      <c r="J884" s="50"/>
      <c r="M884" s="27"/>
      <c r="N884" s="27"/>
      <c r="O884" s="27"/>
      <c r="P884" s="27"/>
      <c r="Q884" s="27"/>
      <c r="R884" s="27"/>
      <c r="S884" s="27"/>
    </row>
    <row r="885">
      <c r="C885" s="69"/>
      <c r="E885" s="50"/>
      <c r="G885" s="70"/>
      <c r="I885" s="50"/>
      <c r="J885" s="50"/>
      <c r="M885" s="27"/>
      <c r="N885" s="27"/>
      <c r="O885" s="27"/>
      <c r="P885" s="27"/>
      <c r="Q885" s="27"/>
      <c r="R885" s="27"/>
      <c r="S885" s="27"/>
    </row>
    <row r="886">
      <c r="C886" s="69"/>
      <c r="E886" s="50"/>
      <c r="G886" s="70"/>
      <c r="I886" s="50"/>
      <c r="J886" s="50"/>
      <c r="M886" s="27"/>
      <c r="N886" s="27"/>
      <c r="O886" s="27"/>
      <c r="P886" s="27"/>
      <c r="Q886" s="27"/>
      <c r="R886" s="27"/>
      <c r="S886" s="27"/>
    </row>
    <row r="887">
      <c r="C887" s="69"/>
      <c r="E887" s="50"/>
      <c r="G887" s="70"/>
      <c r="I887" s="50"/>
      <c r="J887" s="50"/>
      <c r="M887" s="27"/>
      <c r="N887" s="27"/>
      <c r="O887" s="27"/>
      <c r="P887" s="27"/>
      <c r="Q887" s="27"/>
      <c r="R887" s="27"/>
      <c r="S887" s="27"/>
    </row>
    <row r="888">
      <c r="C888" s="69"/>
      <c r="E888" s="50"/>
      <c r="G888" s="70"/>
      <c r="I888" s="50"/>
      <c r="J888" s="50"/>
      <c r="M888" s="27"/>
      <c r="N888" s="27"/>
      <c r="O888" s="27"/>
      <c r="P888" s="27"/>
      <c r="Q888" s="27"/>
      <c r="R888" s="27"/>
      <c r="S888" s="27"/>
    </row>
    <row r="889">
      <c r="C889" s="69"/>
      <c r="E889" s="50"/>
      <c r="G889" s="70"/>
      <c r="I889" s="50"/>
      <c r="J889" s="50"/>
      <c r="M889" s="27"/>
      <c r="N889" s="27"/>
      <c r="O889" s="27"/>
      <c r="P889" s="27"/>
      <c r="Q889" s="27"/>
      <c r="R889" s="27"/>
      <c r="S889" s="27"/>
    </row>
    <row r="890">
      <c r="C890" s="69"/>
      <c r="E890" s="50"/>
      <c r="G890" s="70"/>
      <c r="I890" s="50"/>
      <c r="J890" s="50"/>
      <c r="M890" s="27"/>
      <c r="N890" s="27"/>
      <c r="O890" s="27"/>
      <c r="P890" s="27"/>
      <c r="Q890" s="27"/>
      <c r="R890" s="27"/>
      <c r="S890" s="27"/>
    </row>
    <row r="891">
      <c r="C891" s="69"/>
      <c r="E891" s="50"/>
      <c r="G891" s="70"/>
      <c r="I891" s="50"/>
      <c r="J891" s="50"/>
      <c r="M891" s="27"/>
      <c r="N891" s="27"/>
      <c r="O891" s="27"/>
      <c r="P891" s="27"/>
      <c r="Q891" s="27"/>
      <c r="R891" s="27"/>
      <c r="S891" s="27"/>
    </row>
    <row r="892">
      <c r="C892" s="69"/>
      <c r="E892" s="50"/>
      <c r="G892" s="70"/>
      <c r="I892" s="50"/>
      <c r="J892" s="50"/>
      <c r="M892" s="27"/>
      <c r="N892" s="27"/>
      <c r="O892" s="27"/>
      <c r="P892" s="27"/>
      <c r="Q892" s="27"/>
      <c r="R892" s="27"/>
      <c r="S892" s="27"/>
    </row>
    <row r="893">
      <c r="C893" s="69"/>
      <c r="E893" s="50"/>
      <c r="G893" s="70"/>
      <c r="I893" s="50"/>
      <c r="J893" s="50"/>
      <c r="M893" s="27"/>
      <c r="N893" s="27"/>
      <c r="O893" s="27"/>
      <c r="P893" s="27"/>
      <c r="Q893" s="27"/>
      <c r="R893" s="27"/>
      <c r="S893" s="27"/>
    </row>
    <row r="894">
      <c r="C894" s="69"/>
      <c r="E894" s="50"/>
      <c r="G894" s="70"/>
      <c r="I894" s="50"/>
      <c r="J894" s="50"/>
      <c r="M894" s="27"/>
      <c r="N894" s="27"/>
      <c r="O894" s="27"/>
      <c r="P894" s="27"/>
      <c r="Q894" s="27"/>
      <c r="R894" s="27"/>
      <c r="S894" s="27"/>
    </row>
    <row r="895">
      <c r="C895" s="69"/>
      <c r="E895" s="50"/>
      <c r="G895" s="70"/>
      <c r="I895" s="50"/>
      <c r="J895" s="50"/>
      <c r="M895" s="27"/>
      <c r="N895" s="27"/>
      <c r="O895" s="27"/>
      <c r="P895" s="27"/>
      <c r="Q895" s="27"/>
      <c r="R895" s="27"/>
      <c r="S895" s="27"/>
    </row>
    <row r="896">
      <c r="C896" s="69"/>
      <c r="E896" s="50"/>
      <c r="G896" s="70"/>
      <c r="I896" s="50"/>
      <c r="J896" s="50"/>
      <c r="M896" s="27"/>
      <c r="N896" s="27"/>
      <c r="O896" s="27"/>
      <c r="P896" s="27"/>
      <c r="Q896" s="27"/>
      <c r="R896" s="27"/>
      <c r="S896" s="27"/>
    </row>
    <row r="897">
      <c r="C897" s="69"/>
      <c r="E897" s="50"/>
      <c r="G897" s="70"/>
      <c r="I897" s="50"/>
      <c r="J897" s="50"/>
      <c r="M897" s="27"/>
      <c r="N897" s="27"/>
      <c r="O897" s="27"/>
      <c r="P897" s="27"/>
      <c r="Q897" s="27"/>
      <c r="R897" s="27"/>
      <c r="S897" s="27"/>
    </row>
    <row r="898">
      <c r="C898" s="69"/>
      <c r="E898" s="50"/>
      <c r="G898" s="70"/>
      <c r="I898" s="50"/>
      <c r="J898" s="50"/>
      <c r="M898" s="27"/>
      <c r="N898" s="27"/>
      <c r="O898" s="27"/>
      <c r="P898" s="27"/>
      <c r="Q898" s="27"/>
      <c r="R898" s="27"/>
      <c r="S898" s="27"/>
    </row>
    <row r="899">
      <c r="C899" s="69"/>
      <c r="E899" s="50"/>
      <c r="G899" s="70"/>
      <c r="I899" s="50"/>
      <c r="J899" s="50"/>
      <c r="M899" s="27"/>
      <c r="N899" s="27"/>
      <c r="O899" s="27"/>
      <c r="P899" s="27"/>
      <c r="Q899" s="27"/>
      <c r="R899" s="27"/>
      <c r="S899" s="27"/>
    </row>
    <row r="900">
      <c r="C900" s="69"/>
      <c r="E900" s="50"/>
      <c r="G900" s="70"/>
      <c r="I900" s="50"/>
      <c r="J900" s="50"/>
      <c r="M900" s="27"/>
      <c r="N900" s="27"/>
      <c r="O900" s="27"/>
      <c r="P900" s="27"/>
      <c r="Q900" s="27"/>
      <c r="R900" s="27"/>
      <c r="S900" s="27"/>
    </row>
    <row r="901">
      <c r="C901" s="69"/>
      <c r="E901" s="50"/>
      <c r="G901" s="70"/>
      <c r="I901" s="50"/>
      <c r="J901" s="50"/>
      <c r="M901" s="27"/>
      <c r="N901" s="27"/>
      <c r="O901" s="27"/>
      <c r="P901" s="27"/>
      <c r="Q901" s="27"/>
      <c r="R901" s="27"/>
      <c r="S901" s="27"/>
    </row>
    <row r="902">
      <c r="C902" s="69"/>
      <c r="E902" s="50"/>
      <c r="G902" s="70"/>
      <c r="I902" s="50"/>
      <c r="J902" s="50"/>
      <c r="M902" s="27"/>
      <c r="N902" s="27"/>
      <c r="O902" s="27"/>
      <c r="P902" s="27"/>
      <c r="Q902" s="27"/>
      <c r="R902" s="27"/>
      <c r="S902" s="27"/>
    </row>
    <row r="903">
      <c r="C903" s="69"/>
      <c r="E903" s="50"/>
      <c r="G903" s="70"/>
      <c r="I903" s="50"/>
      <c r="J903" s="50"/>
      <c r="M903" s="27"/>
      <c r="N903" s="27"/>
      <c r="O903" s="27"/>
      <c r="P903" s="27"/>
      <c r="Q903" s="27"/>
      <c r="R903" s="27"/>
      <c r="S903" s="27"/>
    </row>
    <row r="904">
      <c r="C904" s="69"/>
      <c r="E904" s="50"/>
      <c r="G904" s="70"/>
      <c r="I904" s="50"/>
      <c r="J904" s="50"/>
      <c r="M904" s="27"/>
      <c r="N904" s="27"/>
      <c r="O904" s="27"/>
      <c r="P904" s="27"/>
      <c r="Q904" s="27"/>
      <c r="R904" s="27"/>
      <c r="S904" s="27"/>
    </row>
    <row r="905">
      <c r="C905" s="69"/>
      <c r="E905" s="50"/>
      <c r="G905" s="70"/>
      <c r="I905" s="50"/>
      <c r="J905" s="50"/>
      <c r="M905" s="27"/>
      <c r="N905" s="27"/>
      <c r="O905" s="27"/>
      <c r="P905" s="27"/>
      <c r="Q905" s="27"/>
      <c r="R905" s="27"/>
      <c r="S905" s="27"/>
    </row>
    <row r="906">
      <c r="C906" s="69"/>
      <c r="E906" s="50"/>
      <c r="G906" s="70"/>
      <c r="I906" s="50"/>
      <c r="J906" s="50"/>
      <c r="M906" s="27"/>
      <c r="N906" s="27"/>
      <c r="O906" s="27"/>
      <c r="P906" s="27"/>
      <c r="Q906" s="27"/>
      <c r="R906" s="27"/>
      <c r="S906" s="27"/>
    </row>
    <row r="907">
      <c r="C907" s="69"/>
      <c r="E907" s="50"/>
      <c r="G907" s="70"/>
      <c r="I907" s="50"/>
      <c r="J907" s="50"/>
      <c r="M907" s="27"/>
      <c r="N907" s="27"/>
      <c r="O907" s="27"/>
      <c r="P907" s="27"/>
      <c r="Q907" s="27"/>
      <c r="R907" s="27"/>
      <c r="S907" s="27"/>
    </row>
    <row r="908">
      <c r="C908" s="69"/>
      <c r="E908" s="50"/>
      <c r="G908" s="70"/>
      <c r="I908" s="50"/>
      <c r="J908" s="50"/>
      <c r="M908" s="27"/>
      <c r="N908" s="27"/>
      <c r="O908" s="27"/>
      <c r="P908" s="27"/>
      <c r="Q908" s="27"/>
      <c r="R908" s="27"/>
      <c r="S908" s="27"/>
    </row>
    <row r="909">
      <c r="C909" s="69"/>
      <c r="E909" s="50"/>
      <c r="G909" s="70"/>
      <c r="I909" s="50"/>
      <c r="J909" s="50"/>
      <c r="M909" s="27"/>
      <c r="N909" s="27"/>
      <c r="O909" s="27"/>
      <c r="P909" s="27"/>
      <c r="Q909" s="27"/>
      <c r="R909" s="27"/>
      <c r="S909" s="27"/>
    </row>
    <row r="910">
      <c r="C910" s="69"/>
      <c r="E910" s="50"/>
      <c r="G910" s="70"/>
      <c r="I910" s="50"/>
      <c r="J910" s="50"/>
      <c r="M910" s="27"/>
      <c r="N910" s="27"/>
      <c r="O910" s="27"/>
      <c r="P910" s="27"/>
      <c r="Q910" s="27"/>
      <c r="R910" s="27"/>
      <c r="S910" s="27"/>
    </row>
    <row r="911">
      <c r="C911" s="69"/>
      <c r="E911" s="50"/>
      <c r="G911" s="70"/>
      <c r="I911" s="50"/>
      <c r="J911" s="50"/>
      <c r="M911" s="27"/>
      <c r="N911" s="27"/>
      <c r="O911" s="27"/>
      <c r="P911" s="27"/>
      <c r="Q911" s="27"/>
      <c r="R911" s="27"/>
      <c r="S911" s="27"/>
    </row>
    <row r="912">
      <c r="C912" s="69"/>
      <c r="E912" s="50"/>
      <c r="G912" s="70"/>
      <c r="I912" s="50"/>
      <c r="J912" s="50"/>
      <c r="M912" s="27"/>
      <c r="N912" s="27"/>
      <c r="O912" s="27"/>
      <c r="P912" s="27"/>
      <c r="Q912" s="27"/>
      <c r="R912" s="27"/>
      <c r="S912" s="27"/>
    </row>
    <row r="913">
      <c r="C913" s="69"/>
      <c r="E913" s="50"/>
      <c r="G913" s="70"/>
      <c r="I913" s="50"/>
      <c r="J913" s="50"/>
      <c r="M913" s="27"/>
      <c r="N913" s="27"/>
      <c r="O913" s="27"/>
      <c r="P913" s="27"/>
      <c r="Q913" s="27"/>
      <c r="R913" s="27"/>
      <c r="S913" s="27"/>
    </row>
    <row r="914">
      <c r="C914" s="69"/>
      <c r="E914" s="50"/>
      <c r="G914" s="70"/>
      <c r="I914" s="50"/>
      <c r="J914" s="50"/>
      <c r="M914" s="27"/>
      <c r="N914" s="27"/>
      <c r="O914" s="27"/>
      <c r="P914" s="27"/>
      <c r="Q914" s="27"/>
      <c r="R914" s="27"/>
      <c r="S914" s="27"/>
    </row>
    <row r="915">
      <c r="C915" s="69"/>
      <c r="E915" s="50"/>
      <c r="G915" s="70"/>
      <c r="I915" s="50"/>
      <c r="J915" s="50"/>
      <c r="M915" s="27"/>
      <c r="N915" s="27"/>
      <c r="O915" s="27"/>
      <c r="P915" s="27"/>
      <c r="Q915" s="27"/>
      <c r="R915" s="27"/>
      <c r="S915" s="27"/>
    </row>
    <row r="916">
      <c r="C916" s="69"/>
      <c r="E916" s="50"/>
      <c r="G916" s="70"/>
      <c r="I916" s="50"/>
      <c r="J916" s="50"/>
      <c r="M916" s="27"/>
      <c r="N916" s="27"/>
      <c r="O916" s="27"/>
      <c r="P916" s="27"/>
      <c r="Q916" s="27"/>
      <c r="R916" s="27"/>
      <c r="S916" s="27"/>
    </row>
    <row r="917">
      <c r="C917" s="69"/>
      <c r="E917" s="50"/>
      <c r="G917" s="70"/>
      <c r="I917" s="50"/>
      <c r="J917" s="50"/>
      <c r="M917" s="27"/>
      <c r="N917" s="27"/>
      <c r="O917" s="27"/>
      <c r="P917" s="27"/>
      <c r="Q917" s="27"/>
      <c r="R917" s="27"/>
      <c r="S917" s="27"/>
    </row>
    <row r="918">
      <c r="C918" s="69"/>
      <c r="E918" s="50"/>
      <c r="G918" s="70"/>
      <c r="I918" s="50"/>
      <c r="J918" s="50"/>
      <c r="M918" s="27"/>
      <c r="N918" s="27"/>
      <c r="O918" s="27"/>
      <c r="P918" s="27"/>
      <c r="Q918" s="27"/>
      <c r="R918" s="27"/>
      <c r="S918" s="27"/>
    </row>
    <row r="919">
      <c r="C919" s="69"/>
      <c r="E919" s="50"/>
      <c r="G919" s="70"/>
      <c r="I919" s="50"/>
      <c r="J919" s="50"/>
      <c r="M919" s="27"/>
      <c r="N919" s="27"/>
      <c r="O919" s="27"/>
      <c r="P919" s="27"/>
      <c r="Q919" s="27"/>
      <c r="R919" s="27"/>
      <c r="S919" s="27"/>
    </row>
    <row r="920">
      <c r="C920" s="69"/>
      <c r="E920" s="50"/>
      <c r="G920" s="70"/>
      <c r="I920" s="50"/>
      <c r="J920" s="50"/>
      <c r="M920" s="27"/>
      <c r="N920" s="27"/>
      <c r="O920" s="27"/>
      <c r="P920" s="27"/>
      <c r="Q920" s="27"/>
      <c r="R920" s="27"/>
      <c r="S920" s="27"/>
    </row>
    <row r="921">
      <c r="C921" s="69"/>
      <c r="E921" s="50"/>
      <c r="G921" s="70"/>
      <c r="I921" s="50"/>
      <c r="J921" s="50"/>
      <c r="M921" s="27"/>
      <c r="N921" s="27"/>
      <c r="O921" s="27"/>
      <c r="P921" s="27"/>
      <c r="Q921" s="27"/>
      <c r="R921" s="27"/>
      <c r="S921" s="27"/>
    </row>
    <row r="922">
      <c r="C922" s="69"/>
      <c r="E922" s="50"/>
      <c r="G922" s="70"/>
      <c r="I922" s="50"/>
      <c r="J922" s="50"/>
      <c r="M922" s="27"/>
      <c r="N922" s="27"/>
      <c r="O922" s="27"/>
      <c r="P922" s="27"/>
      <c r="Q922" s="27"/>
      <c r="R922" s="27"/>
      <c r="S922" s="27"/>
    </row>
    <row r="923">
      <c r="C923" s="69"/>
      <c r="E923" s="50"/>
      <c r="G923" s="70"/>
      <c r="I923" s="50"/>
      <c r="J923" s="50"/>
      <c r="M923" s="27"/>
      <c r="N923" s="27"/>
      <c r="O923" s="27"/>
      <c r="P923" s="27"/>
      <c r="Q923" s="27"/>
      <c r="R923" s="27"/>
      <c r="S923" s="27"/>
    </row>
    <row r="924">
      <c r="C924" s="69"/>
      <c r="E924" s="50"/>
      <c r="G924" s="70"/>
      <c r="I924" s="50"/>
      <c r="J924" s="50"/>
      <c r="M924" s="27"/>
      <c r="N924" s="27"/>
      <c r="O924" s="27"/>
      <c r="P924" s="27"/>
      <c r="Q924" s="27"/>
      <c r="R924" s="27"/>
      <c r="S924" s="27"/>
    </row>
    <row r="925">
      <c r="C925" s="69"/>
      <c r="E925" s="50"/>
      <c r="G925" s="70"/>
      <c r="I925" s="50"/>
      <c r="J925" s="50"/>
      <c r="M925" s="27"/>
      <c r="N925" s="27"/>
      <c r="O925" s="27"/>
      <c r="P925" s="27"/>
      <c r="Q925" s="27"/>
      <c r="R925" s="27"/>
      <c r="S925" s="27"/>
    </row>
    <row r="926">
      <c r="C926" s="69"/>
      <c r="E926" s="50"/>
      <c r="G926" s="70"/>
      <c r="I926" s="50"/>
      <c r="J926" s="50"/>
      <c r="M926" s="27"/>
      <c r="N926" s="27"/>
      <c r="O926" s="27"/>
      <c r="P926" s="27"/>
      <c r="Q926" s="27"/>
      <c r="R926" s="27"/>
      <c r="S926" s="27"/>
    </row>
    <row r="927">
      <c r="C927" s="69"/>
      <c r="E927" s="50"/>
      <c r="G927" s="70"/>
      <c r="I927" s="50"/>
      <c r="J927" s="50"/>
      <c r="M927" s="27"/>
      <c r="N927" s="27"/>
      <c r="O927" s="27"/>
      <c r="P927" s="27"/>
      <c r="Q927" s="27"/>
      <c r="R927" s="27"/>
      <c r="S927" s="27"/>
    </row>
    <row r="928">
      <c r="C928" s="69"/>
      <c r="E928" s="50"/>
      <c r="G928" s="70"/>
      <c r="I928" s="50"/>
      <c r="J928" s="50"/>
      <c r="M928" s="27"/>
      <c r="N928" s="27"/>
      <c r="O928" s="27"/>
      <c r="P928" s="27"/>
      <c r="Q928" s="27"/>
      <c r="R928" s="27"/>
      <c r="S928" s="27"/>
    </row>
    <row r="929">
      <c r="C929" s="69"/>
      <c r="E929" s="50"/>
      <c r="G929" s="70"/>
      <c r="I929" s="50"/>
      <c r="J929" s="50"/>
      <c r="M929" s="27"/>
      <c r="N929" s="27"/>
      <c r="O929" s="27"/>
      <c r="P929" s="27"/>
      <c r="Q929" s="27"/>
      <c r="R929" s="27"/>
      <c r="S929" s="27"/>
    </row>
    <row r="930">
      <c r="C930" s="69"/>
      <c r="E930" s="50"/>
      <c r="G930" s="70"/>
      <c r="I930" s="50"/>
      <c r="J930" s="50"/>
      <c r="M930" s="27"/>
      <c r="N930" s="27"/>
      <c r="O930" s="27"/>
      <c r="P930" s="27"/>
      <c r="Q930" s="27"/>
      <c r="R930" s="27"/>
      <c r="S930" s="27"/>
    </row>
    <row r="931">
      <c r="C931" s="69"/>
      <c r="E931" s="50"/>
      <c r="G931" s="70"/>
      <c r="I931" s="50"/>
      <c r="J931" s="50"/>
      <c r="M931" s="27"/>
      <c r="N931" s="27"/>
      <c r="O931" s="27"/>
      <c r="P931" s="27"/>
      <c r="Q931" s="27"/>
      <c r="R931" s="27"/>
      <c r="S931" s="27"/>
    </row>
    <row r="932">
      <c r="C932" s="69"/>
      <c r="E932" s="50"/>
      <c r="G932" s="70"/>
      <c r="I932" s="50"/>
      <c r="J932" s="50"/>
      <c r="M932" s="27"/>
      <c r="N932" s="27"/>
      <c r="O932" s="27"/>
      <c r="P932" s="27"/>
      <c r="Q932" s="27"/>
      <c r="R932" s="27"/>
      <c r="S932" s="27"/>
    </row>
    <row r="933">
      <c r="C933" s="69"/>
      <c r="E933" s="50"/>
      <c r="G933" s="70"/>
      <c r="I933" s="50"/>
      <c r="J933" s="50"/>
      <c r="M933" s="27"/>
      <c r="N933" s="27"/>
      <c r="O933" s="27"/>
      <c r="P933" s="27"/>
      <c r="Q933" s="27"/>
      <c r="R933" s="27"/>
      <c r="S933" s="27"/>
    </row>
    <row r="934">
      <c r="C934" s="69"/>
      <c r="E934" s="50"/>
      <c r="G934" s="70"/>
      <c r="I934" s="50"/>
      <c r="J934" s="50"/>
      <c r="M934" s="27"/>
      <c r="N934" s="27"/>
      <c r="O934" s="27"/>
      <c r="P934" s="27"/>
      <c r="Q934" s="27"/>
      <c r="R934" s="27"/>
      <c r="S934" s="27"/>
    </row>
    <row r="935">
      <c r="C935" s="69"/>
      <c r="E935" s="50"/>
      <c r="G935" s="70"/>
      <c r="I935" s="50"/>
      <c r="J935" s="50"/>
      <c r="M935" s="27"/>
      <c r="N935" s="27"/>
      <c r="O935" s="27"/>
      <c r="P935" s="27"/>
      <c r="Q935" s="27"/>
      <c r="R935" s="27"/>
      <c r="S935" s="27"/>
    </row>
    <row r="936">
      <c r="C936" s="69"/>
      <c r="E936" s="50"/>
      <c r="G936" s="70"/>
      <c r="I936" s="50"/>
      <c r="J936" s="50"/>
      <c r="M936" s="27"/>
      <c r="N936" s="27"/>
      <c r="O936" s="27"/>
      <c r="P936" s="27"/>
      <c r="Q936" s="27"/>
      <c r="R936" s="27"/>
      <c r="S936" s="27"/>
    </row>
    <row r="937">
      <c r="C937" s="69"/>
      <c r="E937" s="50"/>
      <c r="G937" s="70"/>
      <c r="I937" s="50"/>
      <c r="J937" s="50"/>
      <c r="M937" s="27"/>
      <c r="N937" s="27"/>
      <c r="O937" s="27"/>
      <c r="P937" s="27"/>
      <c r="Q937" s="27"/>
      <c r="R937" s="27"/>
      <c r="S937" s="27"/>
    </row>
    <row r="938">
      <c r="C938" s="69"/>
      <c r="E938" s="50"/>
      <c r="G938" s="70"/>
      <c r="I938" s="50"/>
      <c r="J938" s="50"/>
      <c r="M938" s="27"/>
      <c r="N938" s="27"/>
      <c r="O938" s="27"/>
      <c r="P938" s="27"/>
      <c r="Q938" s="27"/>
      <c r="R938" s="27"/>
      <c r="S938" s="27"/>
    </row>
    <row r="939">
      <c r="C939" s="69"/>
      <c r="E939" s="50"/>
      <c r="G939" s="70"/>
      <c r="I939" s="50"/>
      <c r="J939" s="50"/>
      <c r="M939" s="27"/>
      <c r="N939" s="27"/>
      <c r="O939" s="27"/>
      <c r="P939" s="27"/>
      <c r="Q939" s="27"/>
      <c r="R939" s="27"/>
      <c r="S939" s="27"/>
    </row>
    <row r="940">
      <c r="C940" s="69"/>
      <c r="E940" s="50"/>
      <c r="G940" s="70"/>
      <c r="I940" s="50"/>
      <c r="J940" s="50"/>
      <c r="M940" s="27"/>
      <c r="N940" s="27"/>
      <c r="O940" s="27"/>
      <c r="P940" s="27"/>
      <c r="Q940" s="27"/>
      <c r="R940" s="27"/>
      <c r="S940" s="27"/>
    </row>
    <row r="941">
      <c r="C941" s="69"/>
      <c r="E941" s="50"/>
      <c r="G941" s="70"/>
      <c r="I941" s="50"/>
      <c r="J941" s="50"/>
      <c r="M941" s="27"/>
      <c r="N941" s="27"/>
      <c r="O941" s="27"/>
      <c r="P941" s="27"/>
      <c r="Q941" s="27"/>
      <c r="R941" s="27"/>
      <c r="S941" s="27"/>
    </row>
    <row r="942">
      <c r="C942" s="69"/>
      <c r="E942" s="50"/>
      <c r="G942" s="70"/>
      <c r="I942" s="50"/>
      <c r="J942" s="50"/>
      <c r="M942" s="27"/>
      <c r="N942" s="27"/>
      <c r="O942" s="27"/>
      <c r="P942" s="27"/>
      <c r="Q942" s="27"/>
      <c r="R942" s="27"/>
      <c r="S942" s="27"/>
    </row>
    <row r="943">
      <c r="C943" s="69"/>
      <c r="E943" s="50"/>
      <c r="G943" s="70"/>
      <c r="I943" s="50"/>
      <c r="J943" s="50"/>
      <c r="M943" s="27"/>
      <c r="N943" s="27"/>
      <c r="O943" s="27"/>
      <c r="P943" s="27"/>
      <c r="Q943" s="27"/>
      <c r="R943" s="27"/>
      <c r="S943" s="27"/>
    </row>
    <row r="944">
      <c r="C944" s="69"/>
      <c r="E944" s="50"/>
      <c r="G944" s="70"/>
      <c r="I944" s="50"/>
      <c r="J944" s="50"/>
      <c r="M944" s="27"/>
      <c r="N944" s="27"/>
      <c r="O944" s="27"/>
      <c r="P944" s="27"/>
      <c r="Q944" s="27"/>
      <c r="R944" s="27"/>
      <c r="S944" s="27"/>
    </row>
    <row r="945">
      <c r="C945" s="69"/>
      <c r="E945" s="50"/>
      <c r="G945" s="70"/>
      <c r="I945" s="50"/>
      <c r="J945" s="50"/>
      <c r="M945" s="27"/>
      <c r="N945" s="27"/>
      <c r="O945" s="27"/>
      <c r="P945" s="27"/>
      <c r="Q945" s="27"/>
      <c r="R945" s="27"/>
      <c r="S945" s="27"/>
    </row>
    <row r="946">
      <c r="C946" s="69"/>
      <c r="E946" s="50"/>
      <c r="G946" s="70"/>
      <c r="I946" s="50"/>
      <c r="J946" s="50"/>
      <c r="M946" s="27"/>
      <c r="N946" s="27"/>
      <c r="O946" s="27"/>
      <c r="P946" s="27"/>
      <c r="Q946" s="27"/>
      <c r="R946" s="27"/>
      <c r="S946" s="27"/>
    </row>
    <row r="947">
      <c r="C947" s="69"/>
      <c r="E947" s="50"/>
      <c r="G947" s="70"/>
      <c r="I947" s="50"/>
      <c r="J947" s="50"/>
      <c r="M947" s="27"/>
      <c r="N947" s="27"/>
      <c r="O947" s="27"/>
      <c r="P947" s="27"/>
      <c r="Q947" s="27"/>
      <c r="R947" s="27"/>
      <c r="S947" s="27"/>
    </row>
    <row r="948">
      <c r="C948" s="69"/>
      <c r="E948" s="50"/>
      <c r="G948" s="70"/>
      <c r="I948" s="50"/>
      <c r="J948" s="50"/>
      <c r="M948" s="27"/>
      <c r="N948" s="27"/>
      <c r="O948" s="27"/>
      <c r="P948" s="27"/>
      <c r="Q948" s="27"/>
      <c r="R948" s="27"/>
      <c r="S948" s="27"/>
    </row>
    <row r="949">
      <c r="C949" s="69"/>
      <c r="E949" s="50"/>
      <c r="G949" s="70"/>
      <c r="I949" s="50"/>
      <c r="J949" s="50"/>
      <c r="M949" s="27"/>
      <c r="N949" s="27"/>
      <c r="O949" s="27"/>
      <c r="P949" s="27"/>
      <c r="Q949" s="27"/>
      <c r="R949" s="27"/>
      <c r="S949" s="27"/>
    </row>
    <row r="950">
      <c r="C950" s="69"/>
      <c r="E950" s="50"/>
      <c r="G950" s="70"/>
      <c r="I950" s="50"/>
      <c r="J950" s="50"/>
      <c r="M950" s="27"/>
      <c r="N950" s="27"/>
      <c r="O950" s="27"/>
      <c r="P950" s="27"/>
      <c r="Q950" s="27"/>
      <c r="R950" s="27"/>
      <c r="S950" s="27"/>
    </row>
    <row r="951">
      <c r="C951" s="69"/>
      <c r="E951" s="50"/>
      <c r="G951" s="70"/>
      <c r="I951" s="50"/>
      <c r="J951" s="50"/>
      <c r="M951" s="27"/>
      <c r="N951" s="27"/>
      <c r="O951" s="27"/>
      <c r="P951" s="27"/>
      <c r="Q951" s="27"/>
      <c r="R951" s="27"/>
      <c r="S951" s="27"/>
    </row>
    <row r="952">
      <c r="C952" s="69"/>
      <c r="E952" s="50"/>
      <c r="G952" s="70"/>
      <c r="I952" s="50"/>
      <c r="J952" s="50"/>
      <c r="M952" s="27"/>
      <c r="N952" s="27"/>
      <c r="O952" s="27"/>
      <c r="P952" s="27"/>
      <c r="Q952" s="27"/>
      <c r="R952" s="27"/>
      <c r="S952" s="27"/>
    </row>
    <row r="953">
      <c r="C953" s="69"/>
      <c r="E953" s="50"/>
      <c r="G953" s="70"/>
      <c r="I953" s="50"/>
      <c r="J953" s="50"/>
      <c r="M953" s="27"/>
      <c r="N953" s="27"/>
      <c r="O953" s="27"/>
      <c r="P953" s="27"/>
      <c r="Q953" s="27"/>
      <c r="R953" s="27"/>
      <c r="S953" s="27"/>
    </row>
    <row r="954">
      <c r="C954" s="69"/>
      <c r="E954" s="50"/>
      <c r="G954" s="70"/>
      <c r="I954" s="50"/>
      <c r="J954" s="50"/>
      <c r="M954" s="27"/>
      <c r="N954" s="27"/>
      <c r="O954" s="27"/>
      <c r="P954" s="27"/>
      <c r="Q954" s="27"/>
      <c r="R954" s="27"/>
      <c r="S954" s="27"/>
    </row>
    <row r="955">
      <c r="C955" s="69"/>
      <c r="E955" s="50"/>
      <c r="G955" s="70"/>
      <c r="I955" s="50"/>
      <c r="J955" s="50"/>
      <c r="M955" s="27"/>
      <c r="N955" s="27"/>
      <c r="O955" s="27"/>
      <c r="P955" s="27"/>
      <c r="Q955" s="27"/>
      <c r="R955" s="27"/>
      <c r="S955" s="27"/>
    </row>
    <row r="956">
      <c r="C956" s="69"/>
      <c r="E956" s="50"/>
      <c r="G956" s="70"/>
      <c r="I956" s="50"/>
      <c r="J956" s="50"/>
      <c r="M956" s="27"/>
      <c r="N956" s="27"/>
      <c r="O956" s="27"/>
      <c r="P956" s="27"/>
      <c r="Q956" s="27"/>
      <c r="R956" s="27"/>
      <c r="S956" s="27"/>
    </row>
    <row r="957">
      <c r="C957" s="69"/>
      <c r="E957" s="50"/>
      <c r="G957" s="70"/>
      <c r="I957" s="50"/>
      <c r="J957" s="50"/>
      <c r="M957" s="27"/>
      <c r="N957" s="27"/>
      <c r="O957" s="27"/>
      <c r="P957" s="27"/>
      <c r="Q957" s="27"/>
      <c r="R957" s="27"/>
      <c r="S957" s="27"/>
    </row>
    <row r="958">
      <c r="C958" s="69"/>
      <c r="E958" s="50"/>
      <c r="G958" s="70"/>
      <c r="I958" s="50"/>
      <c r="J958" s="50"/>
      <c r="M958" s="27"/>
      <c r="N958" s="27"/>
      <c r="O958" s="27"/>
      <c r="P958" s="27"/>
      <c r="Q958" s="27"/>
      <c r="R958" s="27"/>
      <c r="S958" s="27"/>
    </row>
    <row r="959">
      <c r="C959" s="69"/>
      <c r="E959" s="50"/>
      <c r="G959" s="70"/>
      <c r="I959" s="50"/>
      <c r="J959" s="50"/>
      <c r="M959" s="27"/>
      <c r="N959" s="27"/>
      <c r="O959" s="27"/>
      <c r="P959" s="27"/>
      <c r="Q959" s="27"/>
      <c r="R959" s="27"/>
      <c r="S959" s="27"/>
    </row>
    <row r="960">
      <c r="C960" s="69"/>
      <c r="E960" s="50"/>
      <c r="G960" s="70"/>
      <c r="I960" s="50"/>
      <c r="J960" s="50"/>
      <c r="M960" s="27"/>
      <c r="N960" s="27"/>
      <c r="O960" s="27"/>
      <c r="P960" s="27"/>
      <c r="Q960" s="27"/>
      <c r="R960" s="27"/>
      <c r="S960" s="27"/>
    </row>
    <row r="961">
      <c r="C961" s="69"/>
      <c r="E961" s="50"/>
      <c r="G961" s="70"/>
      <c r="I961" s="50"/>
      <c r="J961" s="50"/>
      <c r="M961" s="27"/>
      <c r="N961" s="27"/>
      <c r="O961" s="27"/>
      <c r="P961" s="27"/>
      <c r="Q961" s="27"/>
      <c r="R961" s="27"/>
      <c r="S961" s="27"/>
    </row>
    <row r="962">
      <c r="C962" s="69"/>
      <c r="E962" s="50"/>
      <c r="G962" s="70"/>
      <c r="I962" s="50"/>
      <c r="J962" s="50"/>
      <c r="M962" s="27"/>
      <c r="N962" s="27"/>
      <c r="O962" s="27"/>
      <c r="P962" s="27"/>
      <c r="Q962" s="27"/>
      <c r="R962" s="27"/>
      <c r="S962" s="27"/>
    </row>
    <row r="963">
      <c r="C963" s="69"/>
      <c r="E963" s="50"/>
      <c r="G963" s="70"/>
      <c r="I963" s="50"/>
      <c r="J963" s="50"/>
      <c r="M963" s="27"/>
      <c r="N963" s="27"/>
      <c r="O963" s="27"/>
      <c r="P963" s="27"/>
      <c r="Q963" s="27"/>
      <c r="R963" s="27"/>
      <c r="S963" s="27"/>
    </row>
    <row r="964">
      <c r="C964" s="69"/>
      <c r="E964" s="50"/>
      <c r="G964" s="70"/>
      <c r="I964" s="50"/>
      <c r="J964" s="50"/>
      <c r="M964" s="27"/>
      <c r="N964" s="27"/>
      <c r="O964" s="27"/>
      <c r="P964" s="27"/>
      <c r="Q964" s="27"/>
      <c r="R964" s="27"/>
      <c r="S964" s="27"/>
    </row>
    <row r="965">
      <c r="C965" s="69"/>
      <c r="E965" s="50"/>
      <c r="G965" s="70"/>
      <c r="I965" s="50"/>
      <c r="J965" s="50"/>
      <c r="M965" s="27"/>
      <c r="N965" s="27"/>
      <c r="O965" s="27"/>
      <c r="P965" s="27"/>
      <c r="Q965" s="27"/>
      <c r="R965" s="27"/>
      <c r="S965" s="27"/>
    </row>
    <row r="966">
      <c r="C966" s="69"/>
      <c r="E966" s="50"/>
      <c r="G966" s="70"/>
      <c r="I966" s="50"/>
      <c r="J966" s="50"/>
      <c r="M966" s="27"/>
      <c r="N966" s="27"/>
      <c r="O966" s="27"/>
      <c r="P966" s="27"/>
      <c r="Q966" s="27"/>
      <c r="R966" s="27"/>
      <c r="S966" s="27"/>
    </row>
    <row r="967">
      <c r="C967" s="69"/>
      <c r="E967" s="50"/>
      <c r="G967" s="70"/>
      <c r="I967" s="50"/>
      <c r="J967" s="50"/>
      <c r="M967" s="27"/>
      <c r="N967" s="27"/>
      <c r="O967" s="27"/>
      <c r="P967" s="27"/>
      <c r="Q967" s="27"/>
      <c r="R967" s="27"/>
      <c r="S967" s="27"/>
    </row>
    <row r="968">
      <c r="C968" s="69"/>
      <c r="E968" s="50"/>
      <c r="G968" s="70"/>
      <c r="I968" s="50"/>
      <c r="J968" s="50"/>
      <c r="M968" s="27"/>
      <c r="N968" s="27"/>
      <c r="O968" s="27"/>
      <c r="P968" s="27"/>
      <c r="Q968" s="27"/>
      <c r="R968" s="27"/>
      <c r="S968" s="27"/>
    </row>
    <row r="969">
      <c r="C969" s="69"/>
      <c r="E969" s="50"/>
      <c r="G969" s="70"/>
      <c r="I969" s="50"/>
      <c r="J969" s="50"/>
      <c r="M969" s="27"/>
      <c r="N969" s="27"/>
      <c r="O969" s="27"/>
      <c r="P969" s="27"/>
      <c r="Q969" s="27"/>
      <c r="R969" s="27"/>
      <c r="S969" s="27"/>
    </row>
    <row r="970">
      <c r="C970" s="69"/>
      <c r="E970" s="50"/>
      <c r="G970" s="70"/>
      <c r="I970" s="50"/>
      <c r="J970" s="50"/>
      <c r="M970" s="27"/>
      <c r="N970" s="27"/>
      <c r="O970" s="27"/>
      <c r="P970" s="27"/>
      <c r="Q970" s="27"/>
      <c r="R970" s="27"/>
      <c r="S970" s="27"/>
    </row>
    <row r="971">
      <c r="C971" s="69"/>
      <c r="E971" s="50"/>
      <c r="G971" s="70"/>
      <c r="I971" s="50"/>
      <c r="J971" s="50"/>
      <c r="M971" s="27"/>
      <c r="N971" s="27"/>
      <c r="O971" s="27"/>
      <c r="P971" s="27"/>
      <c r="Q971" s="27"/>
      <c r="R971" s="27"/>
      <c r="S971" s="27"/>
    </row>
    <row r="972">
      <c r="C972" s="69"/>
      <c r="E972" s="50"/>
      <c r="G972" s="70"/>
      <c r="I972" s="50"/>
      <c r="J972" s="50"/>
      <c r="M972" s="27"/>
      <c r="N972" s="27"/>
      <c r="O972" s="27"/>
      <c r="P972" s="27"/>
      <c r="Q972" s="27"/>
      <c r="R972" s="27"/>
      <c r="S972" s="27"/>
    </row>
    <row r="973">
      <c r="C973" s="69"/>
      <c r="E973" s="50"/>
      <c r="G973" s="70"/>
      <c r="I973" s="50"/>
      <c r="J973" s="50"/>
      <c r="M973" s="27"/>
      <c r="N973" s="27"/>
      <c r="O973" s="27"/>
      <c r="P973" s="27"/>
      <c r="Q973" s="27"/>
      <c r="R973" s="27"/>
      <c r="S973" s="27"/>
    </row>
    <row r="974">
      <c r="C974" s="69"/>
      <c r="E974" s="50"/>
      <c r="G974" s="70"/>
      <c r="I974" s="50"/>
      <c r="J974" s="50"/>
      <c r="M974" s="27"/>
      <c r="N974" s="27"/>
      <c r="O974" s="27"/>
      <c r="P974" s="27"/>
      <c r="Q974" s="27"/>
      <c r="R974" s="27"/>
      <c r="S974" s="27"/>
    </row>
    <row r="975">
      <c r="C975" s="69"/>
      <c r="E975" s="50"/>
      <c r="G975" s="70"/>
      <c r="I975" s="50"/>
      <c r="J975" s="50"/>
      <c r="M975" s="27"/>
      <c r="N975" s="27"/>
      <c r="O975" s="27"/>
      <c r="P975" s="27"/>
      <c r="Q975" s="27"/>
      <c r="R975" s="27"/>
      <c r="S975" s="27"/>
    </row>
    <row r="976">
      <c r="C976" s="69"/>
      <c r="E976" s="50"/>
      <c r="G976" s="70"/>
      <c r="I976" s="50"/>
      <c r="J976" s="50"/>
      <c r="M976" s="27"/>
      <c r="N976" s="27"/>
      <c r="O976" s="27"/>
      <c r="P976" s="27"/>
      <c r="Q976" s="27"/>
      <c r="R976" s="27"/>
      <c r="S976" s="27"/>
    </row>
    <row r="977">
      <c r="C977" s="69"/>
      <c r="E977" s="50"/>
      <c r="G977" s="70"/>
      <c r="I977" s="50"/>
      <c r="J977" s="50"/>
      <c r="M977" s="27"/>
      <c r="N977" s="27"/>
      <c r="O977" s="27"/>
      <c r="P977" s="27"/>
      <c r="Q977" s="27"/>
      <c r="R977" s="27"/>
      <c r="S977" s="27"/>
    </row>
    <row r="978">
      <c r="C978" s="69"/>
      <c r="E978" s="50"/>
      <c r="G978" s="70"/>
      <c r="I978" s="50"/>
      <c r="J978" s="50"/>
      <c r="M978" s="27"/>
      <c r="N978" s="27"/>
      <c r="O978" s="27"/>
      <c r="P978" s="27"/>
      <c r="Q978" s="27"/>
      <c r="R978" s="27"/>
      <c r="S978" s="27"/>
    </row>
  </sheetData>
  <autoFilter ref="$A$1:$S$171"/>
  <mergeCells count="120"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54:J354"/>
    <mergeCell ref="I355:J355"/>
    <mergeCell ref="I356:J356"/>
    <mergeCell ref="I357:J357"/>
    <mergeCell ref="I358:J358"/>
    <mergeCell ref="I359:J359"/>
    <mergeCell ref="I360:J360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61:J361"/>
    <mergeCell ref="I362:J362"/>
    <mergeCell ref="I363:J363"/>
    <mergeCell ref="I364:J364"/>
    <mergeCell ref="I365:J365"/>
    <mergeCell ref="I366:J366"/>
    <mergeCell ref="I367:J367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8.0"/>
    <col customWidth="1" min="3" max="3" width="22.5"/>
    <col customWidth="1" min="4" max="4" width="15.63"/>
    <col customWidth="1" min="5" max="5" width="22.5"/>
    <col customWidth="1" min="6" max="6" width="14.5"/>
    <col customWidth="1" min="7" max="7" width="9.5"/>
    <col customWidth="1" min="11" max="11" width="23.88"/>
  </cols>
  <sheetData>
    <row r="1" ht="22.5" customHeight="1">
      <c r="A1" s="32" t="str">
        <f>IFERROR(__xludf.DUMMYFUNCTION("QUERY(MASTER_ARCHIVE_V3!A:S, ""SELECT * WHERE B = 'SCREEN' ORDER BY A DESC"", 1)"),"System Date")</f>
        <v>System Date</v>
      </c>
      <c r="B1" s="32" t="str">
        <f>IFERROR(__xludf.DUMMYFUNCTION("""COMPUTED_VALUE"""),"Type")</f>
        <v>Type</v>
      </c>
      <c r="C1" s="32" t="str">
        <f>IFERROR(__xludf.DUMMYFUNCTION("""COMPUTED_VALUE"""),"Name")</f>
        <v>Name</v>
      </c>
      <c r="D1" s="32" t="str">
        <f>IFERROR(__xludf.DUMMYFUNCTION("""COMPUTED_VALUE"""),"GC")</f>
        <v>GC</v>
      </c>
      <c r="E1" s="32" t="str">
        <f>IFERROR(__xludf.DUMMYFUNCTION("""COMPUTED_VALUE"""),"Po#")</f>
        <v>Po#</v>
      </c>
      <c r="F1" s="32" t="str">
        <f>IFERROR(__xludf.DUMMYFUNCTION("""COMPUTED_VALUE"""),"Qty")</f>
        <v>Qty</v>
      </c>
      <c r="G1" s="32" t="str">
        <f>IFERROR(__xludf.DUMMYFUNCTION("""COMPUTED_VALUE"""),"Unit")</f>
        <v>Unit</v>
      </c>
      <c r="H1" s="32" t="str">
        <f>IFERROR(__xludf.DUMMYFUNCTION("""COMPUTED_VALUE"""),"Date Received")</f>
        <v>Date Received</v>
      </c>
      <c r="I1" s="32" t="str">
        <f>IFERROR(__xludf.DUMMYFUNCTION("""COMPUTED_VALUE"""),"Loc")</f>
        <v>Loc</v>
      </c>
      <c r="J1" s="32" t="str">
        <f>IFERROR(__xludf.DUMMYFUNCTION("""COMPUTED_VALUE"""),"Supplier")</f>
        <v>Supplier</v>
      </c>
      <c r="K1" s="32" t="str">
        <f>IFERROR(__xludf.DUMMYFUNCTION("""COMPUTED_VALUE"""),"Comments")</f>
        <v>Comments</v>
      </c>
      <c r="L1" s="32" t="str">
        <f>IFERROR(__xludf.DUMMYFUNCTION("""COMPUTED_VALUE"""),"In Stock")</f>
        <v>In Stock</v>
      </c>
      <c r="M1" s="33" t="str">
        <f>IFERROR(__xludf.DUMMYFUNCTION("""COMPUTED_VALUE"""),"Responsible")</f>
        <v>Responsible</v>
      </c>
      <c r="N1" s="33" t="str">
        <f>IFERROR(__xludf.DUMMYFUNCTION("""COMPUTED_VALUE"""),"Project")</f>
        <v>Project</v>
      </c>
      <c r="O1" s="33" t="str">
        <f>IFERROR(__xludf.DUMMYFUNCTION("""COMPUTED_VALUE"""),"Mat ID")</f>
        <v>Mat ID</v>
      </c>
      <c r="P1" s="33" t="str">
        <f>IFERROR(__xludf.DUMMYFUNCTION("""COMPUTED_VALUE"""),"Document link")</f>
        <v>Document link</v>
      </c>
      <c r="Q1" s="32" t="str">
        <f>IFERROR(__xludf.DUMMYFUNCTION("""COMPUTED_VALUE"""),"User")</f>
        <v>User</v>
      </c>
      <c r="R1" s="32" t="str">
        <f>IFERROR(__xludf.DUMMYFUNCTION("""COMPUTED_VALUE"""),"Destination")</f>
        <v>Destination</v>
      </c>
      <c r="S1" s="32" t="str">
        <f>IFERROR(__xludf.DUMMYFUNCTION("""COMPUTED_VALUE"""),"MoveType")</f>
        <v>MoveType</v>
      </c>
    </row>
    <row r="2" ht="22.5" customHeight="1">
      <c r="A2" s="35">
        <f>IFERROR(__xludf.DUMMYFUNCTION("""COMPUTED_VALUE"""),46237.40057459491)</f>
        <v>46237.40057</v>
      </c>
      <c r="B2" s="36" t="str">
        <f>IFERROR(__xludf.DUMMYFUNCTION("""COMPUTED_VALUE"""),"SCREEN")</f>
        <v>SCREEN</v>
      </c>
      <c r="C2" s="26" t="str">
        <f>IFERROR(__xludf.DUMMYFUNCTION("""COMPUTED_VALUE"""),"HIGHLAND A&amp;R")</f>
        <v>HIGHLAND A&amp;R</v>
      </c>
      <c r="D2" s="27"/>
      <c r="E2" s="27"/>
      <c r="F2" s="36">
        <f>IFERROR(__xludf.DUMMYFUNCTION("""COMPUTED_VALUE"""),10.0)</f>
        <v>10</v>
      </c>
      <c r="G2" s="27" t="str">
        <f>IFERROR(__xludf.DUMMYFUNCTION("""COMPUTED_VALUE"""),"UNIT")</f>
        <v>UNIT</v>
      </c>
      <c r="H2" s="37">
        <f>IFERROR(__xludf.DUMMYFUNCTION("""COMPUTED_VALUE"""),46237.0)</f>
        <v>46237</v>
      </c>
      <c r="I2" s="36" t="str">
        <f>IFERROR(__xludf.DUMMYFUNCTION("""COMPUTED_VALUE"""),"B2B")</f>
        <v>B2B</v>
      </c>
      <c r="J2" s="30"/>
      <c r="K2" s="26"/>
      <c r="L2" s="30" t="str">
        <f>IFERROR(__xludf.DUMMYFUNCTION("""COMPUTED_VALUE"""),"Dispatched")</f>
        <v>Dispatched</v>
      </c>
      <c r="M2" s="26" t="str">
        <f>IFERROR(__xludf.DUMMYFUNCTION("""COMPUTED_VALUE"""),"jose@ox-glass.com")</f>
        <v>jose@ox-glass.com</v>
      </c>
      <c r="N2" s="26"/>
      <c r="O2" s="26" t="str">
        <f>IFERROR(__xludf.DUMMYFUNCTION("""COMPUTED_VALUE"""),"SCREEN|||HIGHLAND A&amp;R")</f>
        <v>SCREEN|||HIGHLAND A&amp;R</v>
      </c>
      <c r="P2" s="26"/>
      <c r="Q2" s="26" t="str">
        <f>IFERROR(__xludf.DUMMYFUNCTION("""COMPUTED_VALUE"""),"jose@ox-glass.com")</f>
        <v>jose@ox-glass.com</v>
      </c>
      <c r="R2" s="26" t="str">
        <f>IFERROR(__xludf.DUMMYFUNCTION("""COMPUTED_VALUE"""),"HIGHLAND A&amp;R")</f>
        <v>HIGHLAND A&amp;R</v>
      </c>
      <c r="S2" s="26" t="str">
        <f>IFERROR(__xludf.DUMMYFUNCTION("""COMPUTED_VALUE"""),"EXIT")</f>
        <v>EXIT</v>
      </c>
    </row>
    <row r="3" ht="22.5" customHeight="1">
      <c r="A3" s="35">
        <f>IFERROR(__xludf.DUMMYFUNCTION("""COMPUTED_VALUE"""),46237.39991195602)</f>
        <v>46237.39991</v>
      </c>
      <c r="B3" s="36" t="str">
        <f>IFERROR(__xludf.DUMMYFUNCTION("""COMPUTED_VALUE"""),"SCREEN")</f>
        <v>SCREEN</v>
      </c>
      <c r="C3" s="26" t="str">
        <f>IFERROR(__xludf.DUMMYFUNCTION("""COMPUTED_VALUE"""),"JACKLING WAY")</f>
        <v>JACKLING WAY</v>
      </c>
      <c r="D3" s="27"/>
      <c r="E3" s="27"/>
      <c r="F3" s="36">
        <f>IFERROR(__xludf.DUMMYFUNCTION("""COMPUTED_VALUE"""),12.0)</f>
        <v>12</v>
      </c>
      <c r="G3" s="27" t="str">
        <f>IFERROR(__xludf.DUMMYFUNCTION("""COMPUTED_VALUE"""),"UNIT")</f>
        <v>UNIT</v>
      </c>
      <c r="H3" s="37">
        <f>IFERROR(__xludf.DUMMYFUNCTION("""COMPUTED_VALUE"""),46237.0)</f>
        <v>46237</v>
      </c>
      <c r="I3" s="36" t="str">
        <f>IFERROR(__xludf.DUMMYFUNCTION("""COMPUTED_VALUE"""),"B2B")</f>
        <v>B2B</v>
      </c>
      <c r="J3" s="30"/>
      <c r="K3" s="26"/>
      <c r="L3" s="30" t="str">
        <f>IFERROR(__xludf.DUMMYFUNCTION("""COMPUTED_VALUE"""),"Dispatched")</f>
        <v>Dispatched</v>
      </c>
      <c r="M3" s="26" t="str">
        <f>IFERROR(__xludf.DUMMYFUNCTION("""COMPUTED_VALUE"""),"jose@ox-glass.com")</f>
        <v>jose@ox-glass.com</v>
      </c>
      <c r="N3" s="26"/>
      <c r="O3" s="26" t="str">
        <f>IFERROR(__xludf.DUMMYFUNCTION("""COMPUTED_VALUE"""),"SCREEN|||JACKLING WAY")</f>
        <v>SCREEN|||JACKLING WAY</v>
      </c>
      <c r="P3" s="26"/>
      <c r="Q3" s="26" t="str">
        <f>IFERROR(__xludf.DUMMYFUNCTION("""COMPUTED_VALUE"""),"jose@ox-glass.com")</f>
        <v>jose@ox-glass.com</v>
      </c>
      <c r="R3" s="26" t="str">
        <f>IFERROR(__xludf.DUMMYFUNCTION("""COMPUTED_VALUE"""),"JACKLING WAY")</f>
        <v>JACKLING WAY</v>
      </c>
      <c r="S3" s="26" t="str">
        <f>IFERROR(__xludf.DUMMYFUNCTION("""COMPUTED_VALUE"""),"EXIT")</f>
        <v>EXIT</v>
      </c>
    </row>
    <row r="4" ht="22.5" customHeight="1">
      <c r="A4" s="35">
        <f>IFERROR(__xludf.DUMMYFUNCTION("""COMPUTED_VALUE"""),46237.39241451388)</f>
        <v>46237.39241</v>
      </c>
      <c r="B4" s="36" t="str">
        <f>IFERROR(__xludf.DUMMYFUNCTION("""COMPUTED_VALUE"""),"SCREEN")</f>
        <v>SCREEN</v>
      </c>
      <c r="C4" s="26" t="str">
        <f>IFERROR(__xludf.DUMMYFUNCTION("""COMPUTED_VALUE"""),"SWE SC2REORDERSLIDER")</f>
        <v>SWE SC2REORDERSLIDER</v>
      </c>
      <c r="D4" s="27"/>
      <c r="E4" s="27"/>
      <c r="F4" s="36">
        <f>IFERROR(__xludf.DUMMYFUNCTION("""COMPUTED_VALUE"""),1.0)</f>
        <v>1</v>
      </c>
      <c r="G4" s="27" t="str">
        <f>IFERROR(__xludf.DUMMYFUNCTION("""COMPUTED_VALUE"""),"UNIT")</f>
        <v>UNIT</v>
      </c>
      <c r="H4" s="37">
        <f>IFERROR(__xludf.DUMMYFUNCTION("""COMPUTED_VALUE"""),46237.0)</f>
        <v>46237</v>
      </c>
      <c r="I4" s="36" t="str">
        <f>IFERROR(__xludf.DUMMYFUNCTION("""COMPUTED_VALUE"""),"C1B")</f>
        <v>C1B</v>
      </c>
      <c r="J4" s="30"/>
      <c r="K4" s="26"/>
      <c r="L4" s="30" t="str">
        <f>IFERROR(__xludf.DUMMYFUNCTION("""COMPUTED_VALUE"""),"Dispatched")</f>
        <v>Dispatched</v>
      </c>
      <c r="M4" s="26" t="str">
        <f>IFERROR(__xludf.DUMMYFUNCTION("""COMPUTED_VALUE"""),"jose@ox-glass.com")</f>
        <v>jose@ox-glass.com</v>
      </c>
      <c r="N4" s="26"/>
      <c r="O4" s="26" t="str">
        <f>IFERROR(__xludf.DUMMYFUNCTION("""COMPUTED_VALUE"""),"SCREEN|||SWE SC2REORDERSLIDER")</f>
        <v>SCREEN|||SWE SC2REORDERSLIDER</v>
      </c>
      <c r="P4" s="26"/>
      <c r="Q4" s="26" t="str">
        <f>IFERROR(__xludf.DUMMYFUNCTION("""COMPUTED_VALUE"""),"jose@ox-glass.com")</f>
        <v>jose@ox-glass.com</v>
      </c>
      <c r="R4" s="26" t="str">
        <f>IFERROR(__xludf.DUMMYFUNCTION("""COMPUTED_VALUE"""),"SWE SC2")</f>
        <v>SWE SC2</v>
      </c>
      <c r="S4" s="26" t="str">
        <f>IFERROR(__xludf.DUMMYFUNCTION("""COMPUTED_VALUE"""),"EXIT")</f>
        <v>EXIT</v>
      </c>
    </row>
    <row r="5" ht="22.5" customHeight="1">
      <c r="A5" s="35">
        <f>IFERROR(__xludf.DUMMYFUNCTION("""COMPUTED_VALUE"""),46237.389632175924)</f>
        <v>46237.38963</v>
      </c>
      <c r="B5" s="36" t="str">
        <f>IFERROR(__xludf.DUMMYFUNCTION("""COMPUTED_VALUE"""),"SCREEN")</f>
        <v>SCREEN</v>
      </c>
      <c r="C5" s="26" t="str">
        <f>IFERROR(__xludf.DUMMYFUNCTION("""COMPUTED_VALUE"""),"TRENT B JAMES ANDERSON")</f>
        <v>TRENT B JAMES ANDERSON</v>
      </c>
      <c r="D5" s="27"/>
      <c r="E5" s="27"/>
      <c r="F5" s="36">
        <f>IFERROR(__xludf.DUMMYFUNCTION("""COMPUTED_VALUE"""),4.0)</f>
        <v>4</v>
      </c>
      <c r="G5" s="27" t="str">
        <f>IFERROR(__xludf.DUMMYFUNCTION("""COMPUTED_VALUE"""),"UNIT")</f>
        <v>UNIT</v>
      </c>
      <c r="H5" s="37">
        <f>IFERROR(__xludf.DUMMYFUNCTION("""COMPUTED_VALUE"""),46237.0)</f>
        <v>46237</v>
      </c>
      <c r="I5" s="36" t="str">
        <f>IFERROR(__xludf.DUMMYFUNCTION("""COMPUTED_VALUE"""),"C2B")</f>
        <v>C2B</v>
      </c>
      <c r="J5" s="30"/>
      <c r="K5" s="26"/>
      <c r="L5" s="30" t="str">
        <f>IFERROR(__xludf.DUMMYFUNCTION("""COMPUTED_VALUE"""),"Dispatched")</f>
        <v>Dispatched</v>
      </c>
      <c r="M5" s="26" t="str">
        <f>IFERROR(__xludf.DUMMYFUNCTION("""COMPUTED_VALUE"""),"jose@ox-glass.com")</f>
        <v>jose@ox-glass.com</v>
      </c>
      <c r="N5" s="26"/>
      <c r="O5" s="26" t="str">
        <f>IFERROR(__xludf.DUMMYFUNCTION("""COMPUTED_VALUE"""),"SCREEN|||TRENT B JAMES ANDERSON")</f>
        <v>SCREEN|||TRENT B JAMES ANDERSON</v>
      </c>
      <c r="P5" s="26"/>
      <c r="Q5" s="26" t="str">
        <f>IFERROR(__xludf.DUMMYFUNCTION("""COMPUTED_VALUE"""),"jose@ox-glass.com")</f>
        <v>jose@ox-glass.com</v>
      </c>
      <c r="R5" s="26" t="str">
        <f>IFERROR(__xludf.DUMMYFUNCTION("""COMPUTED_VALUE"""),"TRENT B JAMES ANDERSON")</f>
        <v>TRENT B JAMES ANDERSON</v>
      </c>
      <c r="S5" s="26" t="str">
        <f>IFERROR(__xludf.DUMMYFUNCTION("""COMPUTED_VALUE"""),"EXIT")</f>
        <v>EXIT</v>
      </c>
    </row>
    <row r="6" ht="22.5" customHeight="1">
      <c r="A6" s="35">
        <f>IFERROR(__xludf.DUMMYFUNCTION("""COMPUTED_VALUE"""),46231.33027711805)</f>
        <v>46231.33028</v>
      </c>
      <c r="B6" s="36" t="str">
        <f>IFERROR(__xludf.DUMMYFUNCTION("""COMPUTED_VALUE"""),"SCREEN")</f>
        <v>SCREEN</v>
      </c>
      <c r="C6" s="26" t="str">
        <f>IFERROR(__xludf.DUMMYFUNCTION("""COMPUTED_VALUE"""),"LGI OQU175")</f>
        <v>LGI OQU175</v>
      </c>
      <c r="D6" s="27" t="str">
        <f>IFERROR(__xludf.DUMMYFUNCTION("""COMPUTED_VALUE"""),"LGI")</f>
        <v>LGI</v>
      </c>
      <c r="E6" s="27"/>
      <c r="F6" s="36">
        <f>IFERROR(__xludf.DUMMYFUNCTION("""COMPUTED_VALUE"""),4.0)</f>
        <v>4</v>
      </c>
      <c r="G6" s="27" t="str">
        <f>IFERROR(__xludf.DUMMYFUNCTION("""COMPUTED_VALUE"""),"UNIT")</f>
        <v>UNIT</v>
      </c>
      <c r="H6" s="37">
        <f>IFERROR(__xludf.DUMMYFUNCTION("""COMPUTED_VALUE"""),46230.0)</f>
        <v>46230</v>
      </c>
      <c r="I6" s="36" t="str">
        <f>IFERROR(__xludf.DUMMYFUNCTION("""COMPUTED_VALUE"""),"A2B")</f>
        <v>A2B</v>
      </c>
      <c r="J6" s="30"/>
      <c r="K6" s="26"/>
      <c r="L6" s="30" t="str">
        <f>IFERROR(__xludf.DUMMYFUNCTION("""COMPUTED_VALUE"""),"Dispatched")</f>
        <v>Dispatched</v>
      </c>
      <c r="M6" s="26" t="str">
        <f>IFERROR(__xludf.DUMMYFUNCTION("""COMPUTED_VALUE"""),"JOE L.")</f>
        <v>JOE L.</v>
      </c>
      <c r="N6" s="26"/>
      <c r="O6" s="26" t="str">
        <f>IFERROR(__xludf.DUMMYFUNCTION("""COMPUTED_VALUE"""),"SCREEN|||LGI OQU175")</f>
        <v>SCREEN|||LGI OQU175</v>
      </c>
      <c r="P6" s="26"/>
      <c r="Q6" s="26" t="str">
        <f>IFERROR(__xludf.DUMMYFUNCTION("""COMPUTED_VALUE"""),"jose@ox-glass.com")</f>
        <v>jose@ox-glass.com</v>
      </c>
      <c r="R6" s="26" t="str">
        <f>IFERROR(__xludf.DUMMYFUNCTION("""COMPUTED_VALUE"""),"LGI OQM175")</f>
        <v>LGI OQM175</v>
      </c>
      <c r="S6" s="26" t="str">
        <f>IFERROR(__xludf.DUMMYFUNCTION("""COMPUTED_VALUE"""),"EXIT")</f>
        <v>EXIT</v>
      </c>
    </row>
    <row r="7" ht="22.5" customHeight="1">
      <c r="A7" s="35">
        <f>IFERROR(__xludf.DUMMYFUNCTION("""COMPUTED_VALUE"""),46231.33027711805)</f>
        <v>46231.33028</v>
      </c>
      <c r="B7" s="36" t="str">
        <f>IFERROR(__xludf.DUMMYFUNCTION("""COMPUTED_VALUE"""),"SCREEN")</f>
        <v>SCREEN</v>
      </c>
      <c r="C7" s="26" t="str">
        <f>IFERROR(__xludf.DUMMYFUNCTION("""COMPUTED_VALUE"""),"LGI OQU175")</f>
        <v>LGI OQU175</v>
      </c>
      <c r="D7" s="27" t="str">
        <f>IFERROR(__xludf.DUMMYFUNCTION("""COMPUTED_VALUE"""),"LGI")</f>
        <v>LGI</v>
      </c>
      <c r="E7" s="27"/>
      <c r="F7" s="36">
        <f>IFERROR(__xludf.DUMMYFUNCTION("""COMPUTED_VALUE"""),1.0)</f>
        <v>1</v>
      </c>
      <c r="G7" s="27" t="str">
        <f>IFERROR(__xludf.DUMMYFUNCTION("""COMPUTED_VALUE"""),"UNIT")</f>
        <v>UNIT</v>
      </c>
      <c r="H7" s="37">
        <f>IFERROR(__xludf.DUMMYFUNCTION("""COMPUTED_VALUE"""),46230.0)</f>
        <v>46230</v>
      </c>
      <c r="I7" s="36" t="str">
        <f>IFERROR(__xludf.DUMMYFUNCTION("""COMPUTED_VALUE"""),"P3C")</f>
        <v>P3C</v>
      </c>
      <c r="J7" s="30"/>
      <c r="K7" s="26"/>
      <c r="L7" s="30" t="str">
        <f>IFERROR(__xludf.DUMMYFUNCTION("""COMPUTED_VALUE"""),"Dispatched")</f>
        <v>Dispatched</v>
      </c>
      <c r="M7" s="26" t="str">
        <f>IFERROR(__xludf.DUMMYFUNCTION("""COMPUTED_VALUE"""),"JOE L.")</f>
        <v>JOE L.</v>
      </c>
      <c r="N7" s="26"/>
      <c r="O7" s="26" t="str">
        <f>IFERROR(__xludf.DUMMYFUNCTION("""COMPUTED_VALUE"""),"SCREEN|||LGI OQU175")</f>
        <v>SCREEN|||LGI OQU175</v>
      </c>
      <c r="P7" s="26"/>
      <c r="Q7" s="26" t="str">
        <f>IFERROR(__xludf.DUMMYFUNCTION("""COMPUTED_VALUE"""),"jose@ox-glass.com")</f>
        <v>jose@ox-glass.com</v>
      </c>
      <c r="R7" s="26" t="str">
        <f>IFERROR(__xludf.DUMMYFUNCTION("""COMPUTED_VALUE"""),"LGI OQM175")</f>
        <v>LGI OQM175</v>
      </c>
      <c r="S7" s="26" t="str">
        <f>IFERROR(__xludf.DUMMYFUNCTION("""COMPUTED_VALUE"""),"EXIT")</f>
        <v>EXIT</v>
      </c>
    </row>
    <row r="8" ht="22.5" customHeight="1">
      <c r="A8" s="35">
        <f>IFERROR(__xludf.DUMMYFUNCTION("""COMPUTED_VALUE"""),46231.33027711805)</f>
        <v>46231.33028</v>
      </c>
      <c r="B8" s="36" t="str">
        <f>IFERROR(__xludf.DUMMYFUNCTION("""COMPUTED_VALUE"""),"SCREEN")</f>
        <v>SCREEN</v>
      </c>
      <c r="C8" s="26" t="str">
        <f>IFERROR(__xludf.DUMMYFUNCTION("""COMPUTED_VALUE"""),"LGI OQM175 SUPP")</f>
        <v>LGI OQM175 SUPP</v>
      </c>
      <c r="D8" s="27" t="str">
        <f>IFERROR(__xludf.DUMMYFUNCTION("""COMPUTED_VALUE"""),"LGI")</f>
        <v>LGI</v>
      </c>
      <c r="E8" s="27"/>
      <c r="F8" s="36">
        <f>IFERROR(__xludf.DUMMYFUNCTION("""COMPUTED_VALUE"""),2.0)</f>
        <v>2</v>
      </c>
      <c r="G8" s="27" t="str">
        <f>IFERROR(__xludf.DUMMYFUNCTION("""COMPUTED_VALUE"""),"UNIT")</f>
        <v>UNIT</v>
      </c>
      <c r="H8" s="37">
        <f>IFERROR(__xludf.DUMMYFUNCTION("""COMPUTED_VALUE"""),46230.0)</f>
        <v>46230</v>
      </c>
      <c r="I8" s="36" t="str">
        <f>IFERROR(__xludf.DUMMYFUNCTION("""COMPUTED_VALUE"""),"C1B")</f>
        <v>C1B</v>
      </c>
      <c r="J8" s="30"/>
      <c r="K8" s="26"/>
      <c r="L8" s="30" t="str">
        <f>IFERROR(__xludf.DUMMYFUNCTION("""COMPUTED_VALUE"""),"Dispatched")</f>
        <v>Dispatched</v>
      </c>
      <c r="M8" s="26" t="str">
        <f>IFERROR(__xludf.DUMMYFUNCTION("""COMPUTED_VALUE"""),"JOE L.")</f>
        <v>JOE L.</v>
      </c>
      <c r="N8" s="26"/>
      <c r="O8" s="26" t="str">
        <f>IFERROR(__xludf.DUMMYFUNCTION("""COMPUTED_VALUE"""),"SCREEN|||LGI OQM175 SUPP")</f>
        <v>SCREEN|||LGI OQM175 SUPP</v>
      </c>
      <c r="P8" s="26"/>
      <c r="Q8" s="26" t="str">
        <f>IFERROR(__xludf.DUMMYFUNCTION("""COMPUTED_VALUE"""),"jose@ox-glass.com")</f>
        <v>jose@ox-glass.com</v>
      </c>
      <c r="R8" s="26" t="str">
        <f>IFERROR(__xludf.DUMMYFUNCTION("""COMPUTED_VALUE"""),"LGI OQM175")</f>
        <v>LGI OQM175</v>
      </c>
      <c r="S8" s="26" t="str">
        <f>IFERROR(__xludf.DUMMYFUNCTION("""COMPUTED_VALUE"""),"EXIT")</f>
        <v>EXIT</v>
      </c>
    </row>
    <row r="9" ht="22.5" customHeight="1">
      <c r="A9" s="35">
        <f>IFERROR(__xludf.DUMMYFUNCTION("""COMPUTED_VALUE"""),46231.33027711805)</f>
        <v>46231.33028</v>
      </c>
      <c r="B9" s="36" t="str">
        <f>IFERROR(__xludf.DUMMYFUNCTION("""COMPUTED_VALUE"""),"SCREEN")</f>
        <v>SCREEN</v>
      </c>
      <c r="C9" s="26" t="str">
        <f>IFERROR(__xludf.DUMMYFUNCTION("""COMPUTED_VALUE"""),"LGI OQM175 SUPP")</f>
        <v>LGI OQM175 SUPP</v>
      </c>
      <c r="D9" s="27" t="str">
        <f>IFERROR(__xludf.DUMMYFUNCTION("""COMPUTED_VALUE"""),"LGI")</f>
        <v>LGI</v>
      </c>
      <c r="E9" s="27"/>
      <c r="F9" s="36">
        <f>IFERROR(__xludf.DUMMYFUNCTION("""COMPUTED_VALUE"""),1.0)</f>
        <v>1</v>
      </c>
      <c r="G9" s="27" t="str">
        <f>IFERROR(__xludf.DUMMYFUNCTION("""COMPUTED_VALUE"""),"UNIT")</f>
        <v>UNIT</v>
      </c>
      <c r="H9" s="37">
        <f>IFERROR(__xludf.DUMMYFUNCTION("""COMPUTED_VALUE"""),46230.0)</f>
        <v>46230</v>
      </c>
      <c r="I9" s="36" t="str">
        <f>IFERROR(__xludf.DUMMYFUNCTION("""COMPUTED_VALUE"""),"P3C")</f>
        <v>P3C</v>
      </c>
      <c r="J9" s="30"/>
      <c r="K9" s="26"/>
      <c r="L9" s="30" t="str">
        <f>IFERROR(__xludf.DUMMYFUNCTION("""COMPUTED_VALUE"""),"Dispatched")</f>
        <v>Dispatched</v>
      </c>
      <c r="M9" s="26" t="str">
        <f>IFERROR(__xludf.DUMMYFUNCTION("""COMPUTED_VALUE"""),"JOE L.")</f>
        <v>JOE L.</v>
      </c>
      <c r="N9" s="26"/>
      <c r="O9" s="26" t="str">
        <f>IFERROR(__xludf.DUMMYFUNCTION("""COMPUTED_VALUE"""),"SCREEN|||LGI OQM175 SUPP")</f>
        <v>SCREEN|||LGI OQM175 SUPP</v>
      </c>
      <c r="P9" s="26"/>
      <c r="Q9" s="26" t="str">
        <f>IFERROR(__xludf.DUMMYFUNCTION("""COMPUTED_VALUE"""),"jose@ox-glass.com")</f>
        <v>jose@ox-glass.com</v>
      </c>
      <c r="R9" s="26" t="str">
        <f>IFERROR(__xludf.DUMMYFUNCTION("""COMPUTED_VALUE"""),"LGI OQM175")</f>
        <v>LGI OQM175</v>
      </c>
      <c r="S9" s="26" t="str">
        <f>IFERROR(__xludf.DUMMYFUNCTION("""COMPUTED_VALUE"""),"EXIT")</f>
        <v>EXIT</v>
      </c>
    </row>
    <row r="10" ht="22.5" customHeight="1">
      <c r="A10" s="35">
        <f>IFERROR(__xludf.DUMMYFUNCTION("""COMPUTED_VALUE"""),46230.691351331014)</f>
        <v>46230.69135</v>
      </c>
      <c r="B10" s="36" t="str">
        <f>IFERROR(__xludf.DUMMYFUNCTION("""COMPUTED_VALUE"""),"SCREEN")</f>
        <v>SCREEN</v>
      </c>
      <c r="C10" s="26" t="str">
        <f>IFERROR(__xludf.DUMMYFUNCTION("""COMPUTED_VALUE"""),"LGI OQU185")</f>
        <v>LGI OQU185</v>
      </c>
      <c r="D10" s="27"/>
      <c r="E10" s="27"/>
      <c r="F10" s="36">
        <f>IFERROR(__xludf.DUMMYFUNCTION("""COMPUTED_VALUE"""),4.0)</f>
        <v>4</v>
      </c>
      <c r="G10" s="27" t="str">
        <f>IFERROR(__xludf.DUMMYFUNCTION("""COMPUTED_VALUE"""),"UNIT")</f>
        <v>UNIT</v>
      </c>
      <c r="H10" s="37">
        <f>IFERROR(__xludf.DUMMYFUNCTION("""COMPUTED_VALUE"""),46230.0)</f>
        <v>46230</v>
      </c>
      <c r="I10" s="36" t="str">
        <f>IFERROR(__xludf.DUMMYFUNCTION("""COMPUTED_VALUE"""),"A2B")</f>
        <v>A2B</v>
      </c>
      <c r="J10" s="30"/>
      <c r="K10" s="26"/>
      <c r="L10" s="30" t="str">
        <f>IFERROR(__xludf.DUMMYFUNCTION("""COMPUTED_VALUE"""),"Dispatched")</f>
        <v>Dispatched</v>
      </c>
      <c r="M10" s="26" t="str">
        <f>IFERROR(__xludf.DUMMYFUNCTION("""COMPUTED_VALUE"""),"JOE L.")</f>
        <v>JOE L.</v>
      </c>
      <c r="N10" s="26"/>
      <c r="O10" s="26" t="str">
        <f>IFERROR(__xludf.DUMMYFUNCTION("""COMPUTED_VALUE"""),"SCREEN|||LGI OQU185")</f>
        <v>SCREEN|||LGI OQU185</v>
      </c>
      <c r="P10" s="26"/>
      <c r="Q10" s="26" t="str">
        <f>IFERROR(__xludf.DUMMYFUNCTION("""COMPUTED_VALUE"""),"jose@ox-glass.com")</f>
        <v>jose@ox-glass.com</v>
      </c>
      <c r="R10" s="26" t="str">
        <f>IFERROR(__xludf.DUMMYFUNCTION("""COMPUTED_VALUE"""),"LGI OQU185")</f>
        <v>LGI OQU185</v>
      </c>
      <c r="S10" s="26" t="str">
        <f>IFERROR(__xludf.DUMMYFUNCTION("""COMPUTED_VALUE"""),"EXIT")</f>
        <v>EXIT</v>
      </c>
    </row>
    <row r="11" ht="22.5" customHeight="1">
      <c r="A11" s="35">
        <f>IFERROR(__xludf.DUMMYFUNCTION("""COMPUTED_VALUE"""),46230.691351331014)</f>
        <v>46230.69135</v>
      </c>
      <c r="B11" s="36" t="str">
        <f>IFERROR(__xludf.DUMMYFUNCTION("""COMPUTED_VALUE"""),"SCREEN")</f>
        <v>SCREEN</v>
      </c>
      <c r="C11" s="26" t="str">
        <f>IFERROR(__xludf.DUMMYFUNCTION("""COMPUTED_VALUE"""),"LGI OQU185")</f>
        <v>LGI OQU185</v>
      </c>
      <c r="D11" s="27"/>
      <c r="E11" s="27"/>
      <c r="F11" s="36">
        <f>IFERROR(__xludf.DUMMYFUNCTION("""COMPUTED_VALUE"""),1.0)</f>
        <v>1</v>
      </c>
      <c r="G11" s="27" t="str">
        <f>IFERROR(__xludf.DUMMYFUNCTION("""COMPUTED_VALUE"""),"UNIT")</f>
        <v>UNIT</v>
      </c>
      <c r="H11" s="37">
        <f>IFERROR(__xludf.DUMMYFUNCTION("""COMPUTED_VALUE"""),46230.0)</f>
        <v>46230</v>
      </c>
      <c r="I11" s="36" t="str">
        <f>IFERROR(__xludf.DUMMYFUNCTION("""COMPUTED_VALUE"""),"P3C")</f>
        <v>P3C</v>
      </c>
      <c r="J11" s="30"/>
      <c r="K11" s="26"/>
      <c r="L11" s="30" t="str">
        <f>IFERROR(__xludf.DUMMYFUNCTION("""COMPUTED_VALUE"""),"Dispatched")</f>
        <v>Dispatched</v>
      </c>
      <c r="M11" s="26" t="str">
        <f>IFERROR(__xludf.DUMMYFUNCTION("""COMPUTED_VALUE"""),"JOE L.")</f>
        <v>JOE L.</v>
      </c>
      <c r="N11" s="26"/>
      <c r="O11" s="26" t="str">
        <f>IFERROR(__xludf.DUMMYFUNCTION("""COMPUTED_VALUE"""),"SCREEN|||LGI OQU185")</f>
        <v>SCREEN|||LGI OQU185</v>
      </c>
      <c r="P11" s="26"/>
      <c r="Q11" s="26" t="str">
        <f>IFERROR(__xludf.DUMMYFUNCTION("""COMPUTED_VALUE"""),"jose@ox-glass.com")</f>
        <v>jose@ox-glass.com</v>
      </c>
      <c r="R11" s="26" t="str">
        <f>IFERROR(__xludf.DUMMYFUNCTION("""COMPUTED_VALUE"""),"LGI OQU185")</f>
        <v>LGI OQU185</v>
      </c>
      <c r="S11" s="26" t="str">
        <f>IFERROR(__xludf.DUMMYFUNCTION("""COMPUTED_VALUE"""),"EXIT")</f>
        <v>EXIT</v>
      </c>
    </row>
    <row r="12" ht="22.5" customHeight="1">
      <c r="A12" s="35">
        <f>IFERROR(__xludf.DUMMYFUNCTION("""COMPUTED_VALUE"""),46230.68655633101)</f>
        <v>46230.68656</v>
      </c>
      <c r="B12" s="36" t="str">
        <f>IFERROR(__xludf.DUMMYFUNCTION("""COMPUTED_VALUE"""),"SCREEN")</f>
        <v>SCREEN</v>
      </c>
      <c r="C12" s="26" t="str">
        <f>IFERROR(__xludf.DUMMYFUNCTION("""COMPUTED_VALUE"""),"LGI OQU183")</f>
        <v>LGI OQU183</v>
      </c>
      <c r="D12" s="27"/>
      <c r="E12" s="27"/>
      <c r="F12" s="36">
        <f>IFERROR(__xludf.DUMMYFUNCTION("""COMPUTED_VALUE"""),4.0)</f>
        <v>4</v>
      </c>
      <c r="G12" s="27" t="str">
        <f>IFERROR(__xludf.DUMMYFUNCTION("""COMPUTED_VALUE"""),"UNIT")</f>
        <v>UNIT</v>
      </c>
      <c r="H12" s="37">
        <f>IFERROR(__xludf.DUMMYFUNCTION("""COMPUTED_VALUE"""),46230.0)</f>
        <v>46230</v>
      </c>
      <c r="I12" s="36" t="str">
        <f>IFERROR(__xludf.DUMMYFUNCTION("""COMPUTED_VALUE"""),"A2B")</f>
        <v>A2B</v>
      </c>
      <c r="J12" s="30"/>
      <c r="K12" s="26"/>
      <c r="L12" s="30" t="str">
        <f>IFERROR(__xludf.DUMMYFUNCTION("""COMPUTED_VALUE"""),"Dispatched")</f>
        <v>Dispatched</v>
      </c>
      <c r="M12" s="26" t="str">
        <f>IFERROR(__xludf.DUMMYFUNCTION("""COMPUTED_VALUE"""),"JOE L.")</f>
        <v>JOE L.</v>
      </c>
      <c r="N12" s="26"/>
      <c r="O12" s="26" t="str">
        <f>IFERROR(__xludf.DUMMYFUNCTION("""COMPUTED_VALUE"""),"SCREEN|||LGI OQU183")</f>
        <v>SCREEN|||LGI OQU183</v>
      </c>
      <c r="P12" s="26"/>
      <c r="Q12" s="26" t="str">
        <f>IFERROR(__xludf.DUMMYFUNCTION("""COMPUTED_VALUE"""),"jose@ox-glass.com")</f>
        <v>jose@ox-glass.com</v>
      </c>
      <c r="R12" s="26" t="str">
        <f>IFERROR(__xludf.DUMMYFUNCTION("""COMPUTED_VALUE"""),"LGI OQU183")</f>
        <v>LGI OQU183</v>
      </c>
      <c r="S12" s="26" t="str">
        <f>IFERROR(__xludf.DUMMYFUNCTION("""COMPUTED_VALUE"""),"EXIT")</f>
        <v>EXIT</v>
      </c>
    </row>
    <row r="13" ht="22.5" customHeight="1">
      <c r="A13" s="35">
        <f>IFERROR(__xludf.DUMMYFUNCTION("""COMPUTED_VALUE"""),46230.68655633101)</f>
        <v>46230.68656</v>
      </c>
      <c r="B13" s="36" t="str">
        <f>IFERROR(__xludf.DUMMYFUNCTION("""COMPUTED_VALUE"""),"SCREEN")</f>
        <v>SCREEN</v>
      </c>
      <c r="C13" s="26" t="str">
        <f>IFERROR(__xludf.DUMMYFUNCTION("""COMPUTED_VALUE"""),"LGI OQU183")</f>
        <v>LGI OQU183</v>
      </c>
      <c r="D13" s="27"/>
      <c r="E13" s="27"/>
      <c r="F13" s="36">
        <f>IFERROR(__xludf.DUMMYFUNCTION("""COMPUTED_VALUE"""),1.0)</f>
        <v>1</v>
      </c>
      <c r="G13" s="27" t="str">
        <f>IFERROR(__xludf.DUMMYFUNCTION("""COMPUTED_VALUE"""),"UNIT")</f>
        <v>UNIT</v>
      </c>
      <c r="H13" s="37">
        <f>IFERROR(__xludf.DUMMYFUNCTION("""COMPUTED_VALUE"""),46230.0)</f>
        <v>46230</v>
      </c>
      <c r="I13" s="36" t="str">
        <f>IFERROR(__xludf.DUMMYFUNCTION("""COMPUTED_VALUE"""),"P3C")</f>
        <v>P3C</v>
      </c>
      <c r="J13" s="30"/>
      <c r="K13" s="26"/>
      <c r="L13" s="30" t="str">
        <f>IFERROR(__xludf.DUMMYFUNCTION("""COMPUTED_VALUE"""),"Dispatched")</f>
        <v>Dispatched</v>
      </c>
      <c r="M13" s="26" t="str">
        <f>IFERROR(__xludf.DUMMYFUNCTION("""COMPUTED_VALUE"""),"JOE L.")</f>
        <v>JOE L.</v>
      </c>
      <c r="N13" s="26"/>
      <c r="O13" s="26" t="str">
        <f>IFERROR(__xludf.DUMMYFUNCTION("""COMPUTED_VALUE"""),"SCREEN|||LGI OQU183")</f>
        <v>SCREEN|||LGI OQU183</v>
      </c>
      <c r="P13" s="26"/>
      <c r="Q13" s="26" t="str">
        <f>IFERROR(__xludf.DUMMYFUNCTION("""COMPUTED_VALUE"""),"jose@ox-glass.com")</f>
        <v>jose@ox-glass.com</v>
      </c>
      <c r="R13" s="26" t="str">
        <f>IFERROR(__xludf.DUMMYFUNCTION("""COMPUTED_VALUE"""),"LGI OQU183")</f>
        <v>LGI OQU183</v>
      </c>
      <c r="S13" s="26" t="str">
        <f>IFERROR(__xludf.DUMMYFUNCTION("""COMPUTED_VALUE"""),"EXIT")</f>
        <v>EXIT</v>
      </c>
    </row>
    <row r="14" ht="22.5" customHeight="1">
      <c r="A14" s="35">
        <f>IFERROR(__xludf.DUMMYFUNCTION("""COMPUTED_VALUE"""),46224.42526853009)</f>
        <v>46224.42527</v>
      </c>
      <c r="B14" s="36" t="str">
        <f>IFERROR(__xludf.DUMMYFUNCTION("""COMPUTED_VALUE"""),"SCREEN")</f>
        <v>SCREEN</v>
      </c>
      <c r="C14" s="26" t="str">
        <f>IFERROR(__xludf.DUMMYFUNCTION("""COMPUTED_VALUE"""),"JJFARMS LOT 106")</f>
        <v>JJFARMS LOT 106</v>
      </c>
      <c r="D14" s="27" t="str">
        <f>IFERROR(__xludf.DUMMYFUNCTION("""COMPUTED_VALUE"""),"WHI")</f>
        <v>WHI</v>
      </c>
      <c r="E14" s="27" t="str">
        <f>IFERROR(__xludf.DUMMYFUNCTION("""COMPUTED_VALUE"""),"06-786")</f>
        <v>06-786</v>
      </c>
      <c r="F14" s="36">
        <f>IFERROR(__xludf.DUMMYFUNCTION("""COMPUTED_VALUE"""),2.0)</f>
        <v>2</v>
      </c>
      <c r="G14" s="27" t="str">
        <f>IFERROR(__xludf.DUMMYFUNCTION("""COMPUTED_VALUE"""),"UNIT")</f>
        <v>UNIT</v>
      </c>
      <c r="H14" s="37">
        <f>IFERROR(__xludf.DUMMYFUNCTION("""COMPUTED_VALUE"""),46220.0)</f>
        <v>46220</v>
      </c>
      <c r="I14" s="36"/>
      <c r="J14" s="30" t="str">
        <f>IFERROR(__xludf.DUMMYFUNCTION("""COMPUTED_VALUE"""),"AMSCO")</f>
        <v>AMSCO</v>
      </c>
      <c r="K14" s="26"/>
      <c r="L14" s="30" t="str">
        <f>IFERROR(__xludf.DUMMYFUNCTION("""COMPUTED_VALUE"""),"In Stock")</f>
        <v>In Stock</v>
      </c>
      <c r="M14" s="26" t="str">
        <f>IFERROR(__xludf.DUMMYFUNCTION("""COMPUTED_VALUE"""),"JOSE")</f>
        <v>JOSE</v>
      </c>
      <c r="N14" s="26" t="str">
        <f>IFERROR(__xludf.DUMMYFUNCTION("""COMPUTED_VALUE"""),"WHI JJFARMS LOT 106")</f>
        <v>WHI JJFARMS LOT 106</v>
      </c>
      <c r="O14" s="26" t="str">
        <f>IFERROR(__xludf.DUMMYFUNCTION("""COMPUTED_VALUE"""),"SCREEN|||JJFARMS LOT 106")</f>
        <v>SCREEN|||JJFARMS LOT 106</v>
      </c>
      <c r="P14" s="26"/>
      <c r="Q14" s="26" t="str">
        <f>IFERROR(__xludf.DUMMYFUNCTION("""COMPUTED_VALUE"""),"jose@ox-glass.com")</f>
        <v>jose@ox-glass.com</v>
      </c>
      <c r="R14" s="26" t="str">
        <f>IFERROR(__xludf.DUMMYFUNCTION("""COMPUTED_VALUE"""),"P4C")</f>
        <v>P4C</v>
      </c>
      <c r="S14" s="26" t="str">
        <f>IFERROR(__xludf.DUMMYFUNCTION("""COMPUTED_VALUE"""),"ENTRY")</f>
        <v>ENTRY</v>
      </c>
    </row>
    <row r="15" ht="22.5" customHeight="1">
      <c r="A15" s="35">
        <f>IFERROR(__xludf.DUMMYFUNCTION("""COMPUTED_VALUE"""),46223.56396746528)</f>
        <v>46223.56397</v>
      </c>
      <c r="B15" s="36" t="str">
        <f>IFERROR(__xludf.DUMMYFUNCTION("""COMPUTED_VALUE"""),"SCREEN")</f>
        <v>SCREEN</v>
      </c>
      <c r="C15" s="26" t="str">
        <f>IFERROR(__xludf.DUMMYFUNCTION("""COMPUTED_VALUE"""),"PAO225")</f>
        <v>PAO225</v>
      </c>
      <c r="D15" s="27" t="str">
        <f>IFERROR(__xludf.DUMMYFUNCTION("""COMPUTED_VALUE"""),"WHI")</f>
        <v>WHI</v>
      </c>
      <c r="E15" s="27" t="str">
        <f>IFERROR(__xludf.DUMMYFUNCTION("""COMPUTED_VALUE"""),"07-758")</f>
        <v>07-758</v>
      </c>
      <c r="F15" s="36">
        <f>IFERROR(__xludf.DUMMYFUNCTION("""COMPUTED_VALUE"""),1.0)</f>
        <v>1</v>
      </c>
      <c r="G15" s="27" t="str">
        <f>IFERROR(__xludf.DUMMYFUNCTION("""COMPUTED_VALUE"""),"UNIT")</f>
        <v>UNIT</v>
      </c>
      <c r="H15" s="37">
        <f>IFERROR(__xludf.DUMMYFUNCTION("""COMPUTED_VALUE"""),46220.0)</f>
        <v>46220</v>
      </c>
      <c r="I15" s="36"/>
      <c r="J15" s="30" t="str">
        <f>IFERROR(__xludf.DUMMYFUNCTION("""COMPUTED_VALUE"""),"AMSCO")</f>
        <v>AMSCO</v>
      </c>
      <c r="K15" s="26"/>
      <c r="L15" s="30" t="str">
        <f>IFERROR(__xludf.DUMMYFUNCTION("""COMPUTED_VALUE"""),"In Stock")</f>
        <v>In Stock</v>
      </c>
      <c r="M15" s="26" t="str">
        <f>IFERROR(__xludf.DUMMYFUNCTION("""COMPUTED_VALUE"""),"JOSE")</f>
        <v>JOSE</v>
      </c>
      <c r="N15" s="26" t="str">
        <f>IFERROR(__xludf.DUMMYFUNCTION("""COMPUTED_VALUE"""),"WHI PAO225")</f>
        <v>WHI PAO225</v>
      </c>
      <c r="O15" s="26" t="str">
        <f>IFERROR(__xludf.DUMMYFUNCTION("""COMPUTED_VALUE"""),"SCREEN|||PAO225")</f>
        <v>SCREEN|||PAO225</v>
      </c>
      <c r="P15" s="26"/>
      <c r="Q15" s="26" t="str">
        <f>IFERROR(__xludf.DUMMYFUNCTION("""COMPUTED_VALUE"""),"jose@ox-glass.com")</f>
        <v>jose@ox-glass.com</v>
      </c>
      <c r="R15" s="26" t="str">
        <f>IFERROR(__xludf.DUMMYFUNCTION("""COMPUTED_VALUE"""),"P3C")</f>
        <v>P3C</v>
      </c>
      <c r="S15" s="26" t="str">
        <f>IFERROR(__xludf.DUMMYFUNCTION("""COMPUTED_VALUE"""),"ENTRY")</f>
        <v>ENTRY</v>
      </c>
    </row>
    <row r="16" ht="22.5" customHeight="1">
      <c r="A16" s="35">
        <f>IFERROR(__xludf.DUMMYFUNCTION("""COMPUTED_VALUE"""),46223.56396746528)</f>
        <v>46223.56397</v>
      </c>
      <c r="B16" s="36" t="str">
        <f>IFERROR(__xludf.DUMMYFUNCTION("""COMPUTED_VALUE"""),"SCREEN")</f>
        <v>SCREEN</v>
      </c>
      <c r="C16" s="26" t="str">
        <f>IFERROR(__xludf.DUMMYFUNCTION("""COMPUTED_VALUE"""),"PAO223")</f>
        <v>PAO223</v>
      </c>
      <c r="D16" s="27" t="str">
        <f>IFERROR(__xludf.DUMMYFUNCTION("""COMPUTED_VALUE"""),"WHI")</f>
        <v>WHI</v>
      </c>
      <c r="E16" s="27" t="str">
        <f>IFERROR(__xludf.DUMMYFUNCTION("""COMPUTED_VALUE"""),"07-733")</f>
        <v>07-733</v>
      </c>
      <c r="F16" s="36">
        <f>IFERROR(__xludf.DUMMYFUNCTION("""COMPUTED_VALUE"""),1.0)</f>
        <v>1</v>
      </c>
      <c r="G16" s="27" t="str">
        <f>IFERROR(__xludf.DUMMYFUNCTION("""COMPUTED_VALUE"""),"UNIT")</f>
        <v>UNIT</v>
      </c>
      <c r="H16" s="37">
        <f>IFERROR(__xludf.DUMMYFUNCTION("""COMPUTED_VALUE"""),46220.0)</f>
        <v>46220</v>
      </c>
      <c r="I16" s="36"/>
      <c r="J16" s="30" t="str">
        <f>IFERROR(__xludf.DUMMYFUNCTION("""COMPUTED_VALUE"""),"AMSCO")</f>
        <v>AMSCO</v>
      </c>
      <c r="K16" s="26"/>
      <c r="L16" s="30" t="str">
        <f>IFERROR(__xludf.DUMMYFUNCTION("""COMPUTED_VALUE"""),"In Stock")</f>
        <v>In Stock</v>
      </c>
      <c r="M16" s="26" t="str">
        <f>IFERROR(__xludf.DUMMYFUNCTION("""COMPUTED_VALUE"""),"JOSE")</f>
        <v>JOSE</v>
      </c>
      <c r="N16" s="26" t="str">
        <f>IFERROR(__xludf.DUMMYFUNCTION("""COMPUTED_VALUE"""),"WHI PAO223")</f>
        <v>WHI PAO223</v>
      </c>
      <c r="O16" s="26" t="str">
        <f>IFERROR(__xludf.DUMMYFUNCTION("""COMPUTED_VALUE"""),"SCREEN|||PAO223")</f>
        <v>SCREEN|||PAO223</v>
      </c>
      <c r="P16" s="26"/>
      <c r="Q16" s="26" t="str">
        <f>IFERROR(__xludf.DUMMYFUNCTION("""COMPUTED_VALUE"""),"jose@ox-glass.com")</f>
        <v>jose@ox-glass.com</v>
      </c>
      <c r="R16" s="26" t="str">
        <f>IFERROR(__xludf.DUMMYFUNCTION("""COMPUTED_VALUE"""),"P3C")</f>
        <v>P3C</v>
      </c>
      <c r="S16" s="26" t="str">
        <f>IFERROR(__xludf.DUMMYFUNCTION("""COMPUTED_VALUE"""),"ENTRY")</f>
        <v>ENTRY</v>
      </c>
    </row>
    <row r="17" ht="22.5" customHeight="1">
      <c r="A17" s="35">
        <f>IFERROR(__xludf.DUMMYFUNCTION("""COMPUTED_VALUE"""),46223.49309027778)</f>
        <v>46223.49309</v>
      </c>
      <c r="B17" s="36" t="str">
        <f>IFERROR(__xludf.DUMMYFUNCTION("""COMPUTED_VALUE"""),"SCREEN")</f>
        <v>SCREEN</v>
      </c>
      <c r="C17" s="26" t="str">
        <f>IFERROR(__xludf.DUMMYFUNCTION("""COMPUTED_VALUE"""),"3500 RESIDENCES")</f>
        <v>3500 RESIDENCES</v>
      </c>
      <c r="D17" s="27" t="str">
        <f>IFERROR(__xludf.DUMMYFUNCTION("""COMPUTED_VALUE"""),"GHH")</f>
        <v>GHH</v>
      </c>
      <c r="E17" s="27"/>
      <c r="F17" s="36">
        <f>IFERROR(__xludf.DUMMYFUNCTION("""COMPUTED_VALUE"""),2.0)</f>
        <v>2</v>
      </c>
      <c r="G17" s="27" t="str">
        <f>IFERROR(__xludf.DUMMYFUNCTION("""COMPUTED_VALUE"""),"UNIT")</f>
        <v>UNIT</v>
      </c>
      <c r="H17" s="37">
        <f>IFERROR(__xludf.DUMMYFUNCTION("""COMPUTED_VALUE"""),46220.0)</f>
        <v>46220</v>
      </c>
      <c r="I17" s="36"/>
      <c r="J17" s="30" t="str">
        <f>IFERROR(__xludf.DUMMYFUNCTION("""COMPUTED_VALUE"""),"WINDSOR")</f>
        <v>WINDSOR</v>
      </c>
      <c r="K17" s="26"/>
      <c r="L17" s="30" t="str">
        <f>IFERROR(__xludf.DUMMYFUNCTION("""COMPUTED_VALUE"""),"In Stock")</f>
        <v>In Stock</v>
      </c>
      <c r="M17" s="26" t="str">
        <f>IFERROR(__xludf.DUMMYFUNCTION("""COMPUTED_VALUE"""),"JOSE")</f>
        <v>JOSE</v>
      </c>
      <c r="N17" s="26" t="str">
        <f>IFERROR(__xludf.DUMMYFUNCTION("""COMPUTED_VALUE"""),"GHH3500 RESIDENCES")</f>
        <v>GHH3500 RESIDENCES</v>
      </c>
      <c r="O17" s="26" t="str">
        <f>IFERROR(__xludf.DUMMYFUNCTION("""COMPUTED_VALUE"""),"SCREEN|||3500 RESIDENCES")</f>
        <v>SCREEN|||3500 RESIDENCES</v>
      </c>
      <c r="P17" s="26"/>
      <c r="Q17" s="26" t="str">
        <f>IFERROR(__xludf.DUMMYFUNCTION("""COMPUTED_VALUE"""),"jose@ox-glass.com")</f>
        <v>jose@ox-glass.com</v>
      </c>
      <c r="R17" s="26" t="str">
        <f>IFERROR(__xludf.DUMMYFUNCTION("""COMPUTED_VALUE"""),"P4C")</f>
        <v>P4C</v>
      </c>
      <c r="S17" s="26" t="str">
        <f>IFERROR(__xludf.DUMMYFUNCTION("""COMPUTED_VALUE"""),"ENTRY")</f>
        <v>ENTRY</v>
      </c>
    </row>
    <row r="18" ht="22.5" customHeight="1">
      <c r="A18" s="35">
        <f>IFERROR(__xludf.DUMMYFUNCTION("""COMPUTED_VALUE"""),46223.4930757176)</f>
        <v>46223.49308</v>
      </c>
      <c r="B18" s="36" t="str">
        <f>IFERROR(__xludf.DUMMYFUNCTION("""COMPUTED_VALUE"""),"SCREEN")</f>
        <v>SCREEN</v>
      </c>
      <c r="C18" s="26" t="str">
        <f>IFERROR(__xludf.DUMMYFUNCTION("""COMPUTED_VALUE"""),"3500 RESIDENCES")</f>
        <v>3500 RESIDENCES</v>
      </c>
      <c r="D18" s="27" t="str">
        <f>IFERROR(__xludf.DUMMYFUNCTION("""COMPUTED_VALUE"""),"GHH")</f>
        <v>GHH</v>
      </c>
      <c r="E18" s="27"/>
      <c r="F18" s="36">
        <f>IFERROR(__xludf.DUMMYFUNCTION("""COMPUTED_VALUE"""),2.0)</f>
        <v>2</v>
      </c>
      <c r="G18" s="27" t="str">
        <f>IFERROR(__xludf.DUMMYFUNCTION("""COMPUTED_VALUE"""),"UNIT")</f>
        <v>UNIT</v>
      </c>
      <c r="H18" s="37">
        <f>IFERROR(__xludf.DUMMYFUNCTION("""COMPUTED_VALUE"""),46220.0)</f>
        <v>46220</v>
      </c>
      <c r="I18" s="36"/>
      <c r="J18" s="30" t="str">
        <f>IFERROR(__xludf.DUMMYFUNCTION("""COMPUTED_VALUE"""),"WINDSOR")</f>
        <v>WINDSOR</v>
      </c>
      <c r="K18" s="26"/>
      <c r="L18" s="30" t="str">
        <f>IFERROR(__xludf.DUMMYFUNCTION("""COMPUTED_VALUE"""),"In Stock")</f>
        <v>In Stock</v>
      </c>
      <c r="M18" s="26" t="str">
        <f>IFERROR(__xludf.DUMMYFUNCTION("""COMPUTED_VALUE"""),"JOSE")</f>
        <v>JOSE</v>
      </c>
      <c r="N18" s="26" t="str">
        <f>IFERROR(__xludf.DUMMYFUNCTION("""COMPUTED_VALUE"""),"GHH3500 RESIDENCES")</f>
        <v>GHH3500 RESIDENCES</v>
      </c>
      <c r="O18" s="26" t="str">
        <f>IFERROR(__xludf.DUMMYFUNCTION("""COMPUTED_VALUE"""),"SCREEN|||3500 RESIDENCES")</f>
        <v>SCREEN|||3500 RESIDENCES</v>
      </c>
      <c r="P18" s="26"/>
      <c r="Q18" s="26" t="str">
        <f>IFERROR(__xludf.DUMMYFUNCTION("""COMPUTED_VALUE"""),"jose@ox-glass.com")</f>
        <v>jose@ox-glass.com</v>
      </c>
      <c r="R18" s="26" t="str">
        <f>IFERROR(__xludf.DUMMYFUNCTION("""COMPUTED_VALUE"""),"P4C")</f>
        <v>P4C</v>
      </c>
      <c r="S18" s="26" t="str">
        <f>IFERROR(__xludf.DUMMYFUNCTION("""COMPUTED_VALUE"""),"ENTRY")</f>
        <v>ENTRY</v>
      </c>
    </row>
    <row r="19" ht="22.5" customHeight="1">
      <c r="A19" s="35">
        <f>IFERROR(__xludf.DUMMYFUNCTION("""COMPUTED_VALUE"""),46223.491435185184)</f>
        <v>46223.49144</v>
      </c>
      <c r="B19" s="36" t="str">
        <f>IFERROR(__xludf.DUMMYFUNCTION("""COMPUTED_VALUE"""),"SCREEN")</f>
        <v>SCREEN</v>
      </c>
      <c r="C19" s="26" t="str">
        <f>IFERROR(__xludf.DUMMYFUNCTION("""COMPUTED_VALUE"""),"3500 RESIDENCES")</f>
        <v>3500 RESIDENCES</v>
      </c>
      <c r="D19" s="27" t="str">
        <f>IFERROR(__xludf.DUMMYFUNCTION("""COMPUTED_VALUE"""),"GHH")</f>
        <v>GHH</v>
      </c>
      <c r="E19" s="27"/>
      <c r="F19" s="36">
        <f>IFERROR(__xludf.DUMMYFUNCTION("""COMPUTED_VALUE"""),4.0)</f>
        <v>4</v>
      </c>
      <c r="G19" s="27" t="str">
        <f>IFERROR(__xludf.DUMMYFUNCTION("""COMPUTED_VALUE"""),"UNIT")</f>
        <v>UNIT</v>
      </c>
      <c r="H19" s="37">
        <f>IFERROR(__xludf.DUMMYFUNCTION("""COMPUTED_VALUE"""),46220.0)</f>
        <v>46220</v>
      </c>
      <c r="I19" s="36"/>
      <c r="J19" s="30" t="str">
        <f>IFERROR(__xludf.DUMMYFUNCTION("""COMPUTED_VALUE"""),"WINDSOR")</f>
        <v>WINDSOR</v>
      </c>
      <c r="K19" s="26"/>
      <c r="L19" s="30" t="str">
        <f>IFERROR(__xludf.DUMMYFUNCTION("""COMPUTED_VALUE"""),"In Stock")</f>
        <v>In Stock</v>
      </c>
      <c r="M19" s="26" t="str">
        <f>IFERROR(__xludf.DUMMYFUNCTION("""COMPUTED_VALUE"""),"JOSE")</f>
        <v>JOSE</v>
      </c>
      <c r="N19" s="26" t="str">
        <f>IFERROR(__xludf.DUMMYFUNCTION("""COMPUTED_VALUE"""),"GHH3500 RESIDENCES")</f>
        <v>GHH3500 RESIDENCES</v>
      </c>
      <c r="O19" s="26" t="str">
        <f>IFERROR(__xludf.DUMMYFUNCTION("""COMPUTED_VALUE"""),"SCREEN|||3500 RESIDENCES")</f>
        <v>SCREEN|||3500 RESIDENCES</v>
      </c>
      <c r="P19" s="26"/>
      <c r="Q19" s="26" t="str">
        <f>IFERROR(__xludf.DUMMYFUNCTION("""COMPUTED_VALUE"""),"jose@ox-glass.com")</f>
        <v>jose@ox-glass.com</v>
      </c>
      <c r="R19" s="26" t="str">
        <f>IFERROR(__xludf.DUMMYFUNCTION("""COMPUTED_VALUE"""),"A4B")</f>
        <v>A4B</v>
      </c>
      <c r="S19" s="26" t="str">
        <f>IFERROR(__xludf.DUMMYFUNCTION("""COMPUTED_VALUE"""),"ENTRY")</f>
        <v>ENTRY</v>
      </c>
    </row>
    <row r="20" ht="22.5" customHeight="1">
      <c r="A20" s="35">
        <f>IFERROR(__xludf.DUMMYFUNCTION("""COMPUTED_VALUE"""),46223.49108796296)</f>
        <v>46223.49109</v>
      </c>
      <c r="B20" s="36" t="str">
        <f>IFERROR(__xludf.DUMMYFUNCTION("""COMPUTED_VALUE"""),"SCREEN")</f>
        <v>SCREEN</v>
      </c>
      <c r="C20" s="26" t="str">
        <f>IFERROR(__xludf.DUMMYFUNCTION("""COMPUTED_VALUE"""),"3500 RESIDENCES")</f>
        <v>3500 RESIDENCES</v>
      </c>
      <c r="D20" s="27" t="str">
        <f>IFERROR(__xludf.DUMMYFUNCTION("""COMPUTED_VALUE"""),"GHH")</f>
        <v>GHH</v>
      </c>
      <c r="E20" s="27"/>
      <c r="F20" s="36">
        <f>IFERROR(__xludf.DUMMYFUNCTION("""COMPUTED_VALUE"""),10.0)</f>
        <v>10</v>
      </c>
      <c r="G20" s="27" t="str">
        <f>IFERROR(__xludf.DUMMYFUNCTION("""COMPUTED_VALUE"""),"UNIT")</f>
        <v>UNIT</v>
      </c>
      <c r="H20" s="37">
        <f>IFERROR(__xludf.DUMMYFUNCTION("""COMPUTED_VALUE"""),46220.0)</f>
        <v>46220</v>
      </c>
      <c r="I20" s="36"/>
      <c r="J20" s="30" t="str">
        <f>IFERROR(__xludf.DUMMYFUNCTION("""COMPUTED_VALUE"""),"WINDSOR")</f>
        <v>WINDSOR</v>
      </c>
      <c r="K20" s="26"/>
      <c r="L20" s="30" t="str">
        <f>IFERROR(__xludf.DUMMYFUNCTION("""COMPUTED_VALUE"""),"In Stock")</f>
        <v>In Stock</v>
      </c>
      <c r="M20" s="26" t="str">
        <f>IFERROR(__xludf.DUMMYFUNCTION("""COMPUTED_VALUE"""),"JOSE")</f>
        <v>JOSE</v>
      </c>
      <c r="N20" s="26" t="str">
        <f>IFERROR(__xludf.DUMMYFUNCTION("""COMPUTED_VALUE"""),"GHH3500 RESIDENCES")</f>
        <v>GHH3500 RESIDENCES</v>
      </c>
      <c r="O20" s="26" t="str">
        <f>IFERROR(__xludf.DUMMYFUNCTION("""COMPUTED_VALUE"""),"SCREEN|||3500 RESIDENCES")</f>
        <v>SCREEN|||3500 RESIDENCES</v>
      </c>
      <c r="P20" s="26"/>
      <c r="Q20" s="26" t="str">
        <f>IFERROR(__xludf.DUMMYFUNCTION("""COMPUTED_VALUE"""),"jose@ox-glass.com")</f>
        <v>jose@ox-glass.com</v>
      </c>
      <c r="R20" s="26" t="str">
        <f>IFERROR(__xludf.DUMMYFUNCTION("""COMPUTED_VALUE"""),"A4B")</f>
        <v>A4B</v>
      </c>
      <c r="S20" s="26" t="str">
        <f>IFERROR(__xludf.DUMMYFUNCTION("""COMPUTED_VALUE"""),"ENTRY")</f>
        <v>ENTRY</v>
      </c>
    </row>
    <row r="21" ht="22.5" customHeight="1">
      <c r="A21" s="35">
        <f>IFERROR(__xludf.DUMMYFUNCTION("""COMPUTED_VALUE"""),46223.49091435185)</f>
        <v>46223.49091</v>
      </c>
      <c r="B21" s="36" t="str">
        <f>IFERROR(__xludf.DUMMYFUNCTION("""COMPUTED_VALUE"""),"SCREEN")</f>
        <v>SCREEN</v>
      </c>
      <c r="C21" s="26" t="str">
        <f>IFERROR(__xludf.DUMMYFUNCTION("""COMPUTED_VALUE"""),"3500 RESIDENCES")</f>
        <v>3500 RESIDENCES</v>
      </c>
      <c r="D21" s="27" t="str">
        <f>IFERROR(__xludf.DUMMYFUNCTION("""COMPUTED_VALUE"""),"GHH")</f>
        <v>GHH</v>
      </c>
      <c r="E21" s="27"/>
      <c r="F21" s="36">
        <f>IFERROR(__xludf.DUMMYFUNCTION("""COMPUTED_VALUE"""),10.0)</f>
        <v>10</v>
      </c>
      <c r="G21" s="27" t="str">
        <f>IFERROR(__xludf.DUMMYFUNCTION("""COMPUTED_VALUE"""),"UNIT")</f>
        <v>UNIT</v>
      </c>
      <c r="H21" s="37">
        <f>IFERROR(__xludf.DUMMYFUNCTION("""COMPUTED_VALUE"""),46220.0)</f>
        <v>46220</v>
      </c>
      <c r="I21" s="36"/>
      <c r="J21" s="30" t="str">
        <f>IFERROR(__xludf.DUMMYFUNCTION("""COMPUTED_VALUE"""),"WINDSOR")</f>
        <v>WINDSOR</v>
      </c>
      <c r="K21" s="26"/>
      <c r="L21" s="30" t="str">
        <f>IFERROR(__xludf.DUMMYFUNCTION("""COMPUTED_VALUE"""),"In Stock")</f>
        <v>In Stock</v>
      </c>
      <c r="M21" s="26" t="str">
        <f>IFERROR(__xludf.DUMMYFUNCTION("""COMPUTED_VALUE"""),"JOSE")</f>
        <v>JOSE</v>
      </c>
      <c r="N21" s="26" t="str">
        <f>IFERROR(__xludf.DUMMYFUNCTION("""COMPUTED_VALUE"""),"GHH3500 RESIDENCES")</f>
        <v>GHH3500 RESIDENCES</v>
      </c>
      <c r="O21" s="26" t="str">
        <f>IFERROR(__xludf.DUMMYFUNCTION("""COMPUTED_VALUE"""),"SCREEN|||3500 RESIDENCES")</f>
        <v>SCREEN|||3500 RESIDENCES</v>
      </c>
      <c r="P21" s="26"/>
      <c r="Q21" s="26" t="str">
        <f>IFERROR(__xludf.DUMMYFUNCTION("""COMPUTED_VALUE"""),"jose@ox-glass.com")</f>
        <v>jose@ox-glass.com</v>
      </c>
      <c r="R21" s="26" t="str">
        <f>IFERROR(__xludf.DUMMYFUNCTION("""COMPUTED_VALUE"""),"A4B")</f>
        <v>A4B</v>
      </c>
      <c r="S21" s="26" t="str">
        <f>IFERROR(__xludf.DUMMYFUNCTION("""COMPUTED_VALUE"""),"ENTRY")</f>
        <v>ENTRY</v>
      </c>
    </row>
    <row r="22" ht="22.5" customHeight="1">
      <c r="A22" s="35">
        <f>IFERROR(__xludf.DUMMYFUNCTION("""COMPUTED_VALUE"""),46223.49085648148)</f>
        <v>46223.49086</v>
      </c>
      <c r="B22" s="36" t="str">
        <f>IFERROR(__xludf.DUMMYFUNCTION("""COMPUTED_VALUE"""),"SCREEN")</f>
        <v>SCREEN</v>
      </c>
      <c r="C22" s="26" t="str">
        <f>IFERROR(__xludf.DUMMYFUNCTION("""COMPUTED_VALUE"""),"3500 RESIDENCES")</f>
        <v>3500 RESIDENCES</v>
      </c>
      <c r="D22" s="27" t="str">
        <f>IFERROR(__xludf.DUMMYFUNCTION("""COMPUTED_VALUE"""),"GHH")</f>
        <v>GHH</v>
      </c>
      <c r="E22" s="27"/>
      <c r="F22" s="36">
        <f>IFERROR(__xludf.DUMMYFUNCTION("""COMPUTED_VALUE"""),2.0)</f>
        <v>2</v>
      </c>
      <c r="G22" s="27" t="str">
        <f>IFERROR(__xludf.DUMMYFUNCTION("""COMPUTED_VALUE"""),"UNIT")</f>
        <v>UNIT</v>
      </c>
      <c r="H22" s="37">
        <f>IFERROR(__xludf.DUMMYFUNCTION("""COMPUTED_VALUE"""),46220.0)</f>
        <v>46220</v>
      </c>
      <c r="I22" s="36"/>
      <c r="J22" s="30" t="str">
        <f>IFERROR(__xludf.DUMMYFUNCTION("""COMPUTED_VALUE"""),"WINDSOR")</f>
        <v>WINDSOR</v>
      </c>
      <c r="K22" s="26"/>
      <c r="L22" s="30" t="str">
        <f>IFERROR(__xludf.DUMMYFUNCTION("""COMPUTED_VALUE"""),"In Stock")</f>
        <v>In Stock</v>
      </c>
      <c r="M22" s="26" t="str">
        <f>IFERROR(__xludf.DUMMYFUNCTION("""COMPUTED_VALUE"""),"JOSE")</f>
        <v>JOSE</v>
      </c>
      <c r="N22" s="26" t="str">
        <f>IFERROR(__xludf.DUMMYFUNCTION("""COMPUTED_VALUE"""),"GHH3500 RESIDENCES")</f>
        <v>GHH3500 RESIDENCES</v>
      </c>
      <c r="O22" s="26" t="str">
        <f>IFERROR(__xludf.DUMMYFUNCTION("""COMPUTED_VALUE"""),"SCREEN|||3500 RESIDENCES")</f>
        <v>SCREEN|||3500 RESIDENCES</v>
      </c>
      <c r="P22" s="26"/>
      <c r="Q22" s="26" t="str">
        <f>IFERROR(__xludf.DUMMYFUNCTION("""COMPUTED_VALUE"""),"jose@ox-glass.com")</f>
        <v>jose@ox-glass.com</v>
      </c>
      <c r="R22" s="26" t="str">
        <f>IFERROR(__xludf.DUMMYFUNCTION("""COMPUTED_VALUE"""),"A4B")</f>
        <v>A4B</v>
      </c>
      <c r="S22" s="26" t="str">
        <f>IFERROR(__xludf.DUMMYFUNCTION("""COMPUTED_VALUE"""),"ENTRY")</f>
        <v>ENTRY</v>
      </c>
    </row>
    <row r="23" ht="22.5" customHeight="1">
      <c r="A23" s="35">
        <f>IFERROR(__xludf.DUMMYFUNCTION("""COMPUTED_VALUE"""),46223.482611875)</f>
        <v>46223.48261</v>
      </c>
      <c r="B23" s="36" t="str">
        <f>IFERROR(__xludf.DUMMYFUNCTION("""COMPUTED_VALUE"""),"SCREEN")</f>
        <v>SCREEN</v>
      </c>
      <c r="C23" s="26" t="str">
        <f>IFERROR(__xludf.DUMMYFUNCTION("""COMPUTED_VALUE"""),"BRYLEE 7 (A, C, E, B, C, B, D)")</f>
        <v>BRYLEE 7 (A, C, E, B, C, B, D)</v>
      </c>
      <c r="D23" s="27" t="str">
        <f>IFERROR(__xludf.DUMMYFUNCTION("""COMPUTED_VALUE"""),"ELE")</f>
        <v>ELE</v>
      </c>
      <c r="E23" s="27" t="str">
        <f>IFERROR(__xludf.DUMMYFUNCTION("""COMPUTED_VALUE"""),"06-6263")</f>
        <v>06-6263</v>
      </c>
      <c r="F23" s="36">
        <f>IFERROR(__xludf.DUMMYFUNCTION("""COMPUTED_VALUE"""),17.0)</f>
        <v>17</v>
      </c>
      <c r="G23" s="27" t="str">
        <f>IFERROR(__xludf.DUMMYFUNCTION("""COMPUTED_VALUE"""),"UNIT")</f>
        <v>UNIT</v>
      </c>
      <c r="H23" s="37">
        <f>IFERROR(__xludf.DUMMYFUNCTION("""COMPUTED_VALUE"""),46220.0)</f>
        <v>46220</v>
      </c>
      <c r="I23" s="36"/>
      <c r="J23" s="30" t="str">
        <f>IFERROR(__xludf.DUMMYFUNCTION("""COMPUTED_VALUE"""),"AMSCO")</f>
        <v>AMSCO</v>
      </c>
      <c r="K23" s="26"/>
      <c r="L23" s="30" t="str">
        <f>IFERROR(__xludf.DUMMYFUNCTION("""COMPUTED_VALUE"""),"In Stock")</f>
        <v>In Stock</v>
      </c>
      <c r="M23" s="26" t="str">
        <f>IFERROR(__xludf.DUMMYFUNCTION("""COMPUTED_VALUE"""),"JOSE")</f>
        <v>JOSE</v>
      </c>
      <c r="N23" s="26" t="str">
        <f>IFERROR(__xludf.DUMMYFUNCTION("""COMPUTED_VALUE"""),"BRYLEE 7 (A C E B C B D)")</f>
        <v>BRYLEE 7 (A C E B C B D)</v>
      </c>
      <c r="O23" s="26" t="str">
        <f>IFERROR(__xludf.DUMMYFUNCTION("""COMPUTED_VALUE"""),"SCREEN|||BRYLEE 7 (A C E B C B D)")</f>
        <v>SCREEN|||BRYLEE 7 (A C E B C B D)</v>
      </c>
      <c r="P23" s="26"/>
      <c r="Q23" s="26" t="str">
        <f>IFERROR(__xludf.DUMMYFUNCTION("""COMPUTED_VALUE"""),"jose@ox-glass.com")</f>
        <v>jose@ox-glass.com</v>
      </c>
      <c r="R23" s="26" t="str">
        <f>IFERROR(__xludf.DUMMYFUNCTION("""COMPUTED_VALUE"""),"A4B")</f>
        <v>A4B</v>
      </c>
      <c r="S23" s="26" t="str">
        <f>IFERROR(__xludf.DUMMYFUNCTION("""COMPUTED_VALUE"""),"ENTRY")</f>
        <v>ENTRY</v>
      </c>
    </row>
    <row r="24" ht="22.5" customHeight="1">
      <c r="A24" s="35">
        <f>IFERROR(__xludf.DUMMYFUNCTION("""COMPUTED_VALUE"""),46223.482611875)</f>
        <v>46223.48261</v>
      </c>
      <c r="B24" s="36" t="str">
        <f>IFERROR(__xludf.DUMMYFUNCTION("""COMPUTED_VALUE"""),"SCREEN")</f>
        <v>SCREEN</v>
      </c>
      <c r="C24" s="26" t="str">
        <f>IFERROR(__xludf.DUMMYFUNCTION("""COMPUTED_VALUE"""),"BRYLEE 7 (A, C, E, B, C, B, D)")</f>
        <v>BRYLEE 7 (A, C, E, B, C, B, D)</v>
      </c>
      <c r="D24" s="27" t="str">
        <f>IFERROR(__xludf.DUMMYFUNCTION("""COMPUTED_VALUE"""),"ELE")</f>
        <v>ELE</v>
      </c>
      <c r="E24" s="27" t="str">
        <f>IFERROR(__xludf.DUMMYFUNCTION("""COMPUTED_VALUE"""),"06-6263")</f>
        <v>06-6263</v>
      </c>
      <c r="F24" s="36">
        <f>IFERROR(__xludf.DUMMYFUNCTION("""COMPUTED_VALUE"""),18.0)</f>
        <v>18</v>
      </c>
      <c r="G24" s="27" t="str">
        <f>IFERROR(__xludf.DUMMYFUNCTION("""COMPUTED_VALUE"""),"UNIT")</f>
        <v>UNIT</v>
      </c>
      <c r="H24" s="37">
        <f>IFERROR(__xludf.DUMMYFUNCTION("""COMPUTED_VALUE"""),46220.0)</f>
        <v>46220</v>
      </c>
      <c r="I24" s="36"/>
      <c r="J24" s="30" t="str">
        <f>IFERROR(__xludf.DUMMYFUNCTION("""COMPUTED_VALUE"""),"AMSCO")</f>
        <v>AMSCO</v>
      </c>
      <c r="K24" s="26"/>
      <c r="L24" s="30" t="str">
        <f>IFERROR(__xludf.DUMMYFUNCTION("""COMPUTED_VALUE"""),"In Stock")</f>
        <v>In Stock</v>
      </c>
      <c r="M24" s="26" t="str">
        <f>IFERROR(__xludf.DUMMYFUNCTION("""COMPUTED_VALUE"""),"JOSE")</f>
        <v>JOSE</v>
      </c>
      <c r="N24" s="26" t="str">
        <f>IFERROR(__xludf.DUMMYFUNCTION("""COMPUTED_VALUE"""),"BRYLEE 7 (A C E B C B D)")</f>
        <v>BRYLEE 7 (A C E B C B D)</v>
      </c>
      <c r="O24" s="26" t="str">
        <f>IFERROR(__xludf.DUMMYFUNCTION("""COMPUTED_VALUE"""),"SCREEN|||BRYLEE 7 (A C E B C B D)")</f>
        <v>SCREEN|||BRYLEE 7 (A C E B C B D)</v>
      </c>
      <c r="P24" s="26"/>
      <c r="Q24" s="26" t="str">
        <f>IFERROR(__xludf.DUMMYFUNCTION("""COMPUTED_VALUE"""),"jose@ox-glass.com")</f>
        <v>jose@ox-glass.com</v>
      </c>
      <c r="R24" s="26" t="str">
        <f>IFERROR(__xludf.DUMMYFUNCTION("""COMPUTED_VALUE"""),"A4B")</f>
        <v>A4B</v>
      </c>
      <c r="S24" s="26" t="str">
        <f>IFERROR(__xludf.DUMMYFUNCTION("""COMPUTED_VALUE"""),"ENTRY")</f>
        <v>ENTRY</v>
      </c>
    </row>
    <row r="25" ht="22.5" customHeight="1">
      <c r="A25" s="35">
        <f>IFERROR(__xludf.DUMMYFUNCTION("""COMPUTED_VALUE"""),46223.482611875)</f>
        <v>46223.48261</v>
      </c>
      <c r="B25" s="36" t="str">
        <f>IFERROR(__xludf.DUMMYFUNCTION("""COMPUTED_VALUE"""),"SCREEN")</f>
        <v>SCREEN</v>
      </c>
      <c r="C25" s="26" t="str">
        <f>IFERROR(__xludf.DUMMYFUNCTION("""COMPUTED_VALUE"""),"BRYLEE 7 (A, C, E, B, C, B, D)")</f>
        <v>BRYLEE 7 (A, C, E, B, C, B, D)</v>
      </c>
      <c r="D25" s="27" t="str">
        <f>IFERROR(__xludf.DUMMYFUNCTION("""COMPUTED_VALUE"""),"ELE")</f>
        <v>ELE</v>
      </c>
      <c r="E25" s="27" t="str">
        <f>IFERROR(__xludf.DUMMYFUNCTION("""COMPUTED_VALUE"""),"06-6263")</f>
        <v>06-6263</v>
      </c>
      <c r="F25" s="36">
        <f>IFERROR(__xludf.DUMMYFUNCTION("""COMPUTED_VALUE"""),18.0)</f>
        <v>18</v>
      </c>
      <c r="G25" s="27" t="str">
        <f>IFERROR(__xludf.DUMMYFUNCTION("""COMPUTED_VALUE"""),"UNIT")</f>
        <v>UNIT</v>
      </c>
      <c r="H25" s="37">
        <f>IFERROR(__xludf.DUMMYFUNCTION("""COMPUTED_VALUE"""),46220.0)</f>
        <v>46220</v>
      </c>
      <c r="I25" s="36"/>
      <c r="J25" s="30" t="str">
        <f>IFERROR(__xludf.DUMMYFUNCTION("""COMPUTED_VALUE"""),"AMSCO")</f>
        <v>AMSCO</v>
      </c>
      <c r="K25" s="26"/>
      <c r="L25" s="30" t="str">
        <f>IFERROR(__xludf.DUMMYFUNCTION("""COMPUTED_VALUE"""),"In Stock")</f>
        <v>In Stock</v>
      </c>
      <c r="M25" s="26" t="str">
        <f>IFERROR(__xludf.DUMMYFUNCTION("""COMPUTED_VALUE"""),"JOSE")</f>
        <v>JOSE</v>
      </c>
      <c r="N25" s="26" t="str">
        <f>IFERROR(__xludf.DUMMYFUNCTION("""COMPUTED_VALUE"""),"BRYLEE 7 (A C E B C B D)")</f>
        <v>BRYLEE 7 (A C E B C B D)</v>
      </c>
      <c r="O25" s="26" t="str">
        <f>IFERROR(__xludf.DUMMYFUNCTION("""COMPUTED_VALUE"""),"SCREEN|||BRYLEE 7 (A C E B C B D)")</f>
        <v>SCREEN|||BRYLEE 7 (A C E B C B D)</v>
      </c>
      <c r="P25" s="26"/>
      <c r="Q25" s="26" t="str">
        <f>IFERROR(__xludf.DUMMYFUNCTION("""COMPUTED_VALUE"""),"jose@ox-glass.com")</f>
        <v>jose@ox-glass.com</v>
      </c>
      <c r="R25" s="26" t="str">
        <f>IFERROR(__xludf.DUMMYFUNCTION("""COMPUTED_VALUE"""),"A4B")</f>
        <v>A4B</v>
      </c>
      <c r="S25" s="26" t="str">
        <f>IFERROR(__xludf.DUMMYFUNCTION("""COMPUTED_VALUE"""),"ENTRY")</f>
        <v>ENTRY</v>
      </c>
    </row>
    <row r="26" ht="22.5" customHeight="1">
      <c r="A26" s="35">
        <f>IFERROR(__xludf.DUMMYFUNCTION("""COMPUTED_VALUE"""),46223.47687530093)</f>
        <v>46223.47688</v>
      </c>
      <c r="B26" s="36" t="str">
        <f>IFERROR(__xludf.DUMMYFUNCTION("""COMPUTED_VALUE"""),"SCREEN")</f>
        <v>SCREEN</v>
      </c>
      <c r="C26" s="26" t="str">
        <f>IFERROR(__xludf.DUMMYFUNCTION("""COMPUTED_VALUE"""),"CODY RESIDENCE")</f>
        <v>CODY RESIDENCE</v>
      </c>
      <c r="D26" s="27"/>
      <c r="E26" s="27" t="str">
        <f>IFERROR(__xludf.DUMMYFUNCTION("""COMPUTED_VALUE"""),"06-5807")</f>
        <v>06-5807</v>
      </c>
      <c r="F26" s="36">
        <f>IFERROR(__xludf.DUMMYFUNCTION("""COMPUTED_VALUE"""),17.0)</f>
        <v>17</v>
      </c>
      <c r="G26" s="27" t="str">
        <f>IFERROR(__xludf.DUMMYFUNCTION("""COMPUTED_VALUE"""),"UNIT")</f>
        <v>UNIT</v>
      </c>
      <c r="H26" s="37">
        <f>IFERROR(__xludf.DUMMYFUNCTION("""COMPUTED_VALUE"""),46220.0)</f>
        <v>46220</v>
      </c>
      <c r="I26" s="36"/>
      <c r="J26" s="30" t="str">
        <f>IFERROR(__xludf.DUMMYFUNCTION("""COMPUTED_VALUE"""),"AMSCO")</f>
        <v>AMSCO</v>
      </c>
      <c r="K26" s="26"/>
      <c r="L26" s="30" t="str">
        <f>IFERROR(__xludf.DUMMYFUNCTION("""COMPUTED_VALUE"""),"In Stock")</f>
        <v>In Stock</v>
      </c>
      <c r="M26" s="26" t="str">
        <f>IFERROR(__xludf.DUMMYFUNCTION("""COMPUTED_VALUE"""),"jose@ox-glass.com")</f>
        <v>jose@ox-glass.com</v>
      </c>
      <c r="N26" s="26" t="str">
        <f>IFERROR(__xludf.DUMMYFUNCTION("""COMPUTED_VALUE"""),"CODY RESIDENCE")</f>
        <v>CODY RESIDENCE</v>
      </c>
      <c r="O26" s="26" t="str">
        <f>IFERROR(__xludf.DUMMYFUNCTION("""COMPUTED_VALUE"""),"SCREEN|||CODY RESIDENCE")</f>
        <v>SCREEN|||CODY RESIDENCE</v>
      </c>
      <c r="P26" s="26"/>
      <c r="Q26" s="26" t="str">
        <f>IFERROR(__xludf.DUMMYFUNCTION("""COMPUTED_VALUE"""),"jose@ox-glass.com")</f>
        <v>jose@ox-glass.com</v>
      </c>
      <c r="R26" s="26" t="str">
        <f>IFERROR(__xludf.DUMMYFUNCTION("""COMPUTED_VALUE"""),"A4B")</f>
        <v>A4B</v>
      </c>
      <c r="S26" s="26" t="str">
        <f>IFERROR(__xludf.DUMMYFUNCTION("""COMPUTED_VALUE"""),"ENTRY")</f>
        <v>ENTRY</v>
      </c>
    </row>
    <row r="27" ht="22.5" customHeight="1">
      <c r="A27" s="35">
        <f>IFERROR(__xludf.DUMMYFUNCTION("""COMPUTED_VALUE"""),46223.47413790509)</f>
        <v>46223.47414</v>
      </c>
      <c r="B27" s="36" t="str">
        <f>IFERROR(__xludf.DUMMYFUNCTION("""COMPUTED_VALUE"""),"SCREEN")</f>
        <v>SCREEN</v>
      </c>
      <c r="C27" s="26" t="str">
        <f>IFERROR(__xludf.DUMMYFUNCTION("""COMPUTED_VALUE"""),"MM210")</f>
        <v>MM210</v>
      </c>
      <c r="D27" s="27" t="str">
        <f>IFERROR(__xludf.DUMMYFUNCTION("""COMPUTED_VALUE"""),"SWE")</f>
        <v>SWE</v>
      </c>
      <c r="E27" s="27" t="str">
        <f>IFERROR(__xludf.DUMMYFUNCTION("""COMPUTED_VALUE"""),"06-5800")</f>
        <v>06-5800</v>
      </c>
      <c r="F27" s="36">
        <f>IFERROR(__xludf.DUMMYFUNCTION("""COMPUTED_VALUE"""),28.0)</f>
        <v>28</v>
      </c>
      <c r="G27" s="27" t="str">
        <f>IFERROR(__xludf.DUMMYFUNCTION("""COMPUTED_VALUE"""),"UNIT")</f>
        <v>UNIT</v>
      </c>
      <c r="H27" s="37">
        <f>IFERROR(__xludf.DUMMYFUNCTION("""COMPUTED_VALUE"""),46220.0)</f>
        <v>46220</v>
      </c>
      <c r="I27" s="36"/>
      <c r="J27" s="30" t="str">
        <f>IFERROR(__xludf.DUMMYFUNCTION("""COMPUTED_VALUE"""),"AMSCO")</f>
        <v>AMSCO</v>
      </c>
      <c r="K27" s="26"/>
      <c r="L27" s="30" t="str">
        <f>IFERROR(__xludf.DUMMYFUNCTION("""COMPUTED_VALUE"""),"In Stock")</f>
        <v>In Stock</v>
      </c>
      <c r="M27" s="26" t="str">
        <f>IFERROR(__xludf.DUMMYFUNCTION("""COMPUTED_VALUE"""),"JOSE")</f>
        <v>JOSE</v>
      </c>
      <c r="N27" s="26" t="str">
        <f>IFERROR(__xludf.DUMMYFUNCTION("""COMPUTED_VALUE"""),"SWE MM210")</f>
        <v>SWE MM210</v>
      </c>
      <c r="O27" s="26" t="str">
        <f>IFERROR(__xludf.DUMMYFUNCTION("""COMPUTED_VALUE"""),"SCREEN|||MM210")</f>
        <v>SCREEN|||MM210</v>
      </c>
      <c r="P27" s="26"/>
      <c r="Q27" s="26" t="str">
        <f>IFERROR(__xludf.DUMMYFUNCTION("""COMPUTED_VALUE"""),"jose@ox-glass.com")</f>
        <v>jose@ox-glass.com</v>
      </c>
      <c r="R27" s="26" t="str">
        <f>IFERROR(__xludf.DUMMYFUNCTION("""COMPUTED_VALUE"""),"A4B")</f>
        <v>A4B</v>
      </c>
      <c r="S27" s="26" t="str">
        <f>IFERROR(__xludf.DUMMYFUNCTION("""COMPUTED_VALUE"""),"ENTRY")</f>
        <v>ENTRY</v>
      </c>
    </row>
    <row r="28" ht="22.5" customHeight="1">
      <c r="A28" s="35">
        <f>IFERROR(__xludf.DUMMYFUNCTION("""COMPUTED_VALUE"""),46223.4707378588)</f>
        <v>46223.47074</v>
      </c>
      <c r="B28" s="36" t="str">
        <f>IFERROR(__xludf.DUMMYFUNCTION("""COMPUTED_VALUE"""),"SCREEN")</f>
        <v>SCREEN</v>
      </c>
      <c r="C28" s="26" t="str">
        <f>IFERROR(__xludf.DUMMYFUNCTION("""COMPUTED_VALUE"""),"JJFARMS LOT 106")</f>
        <v>JJFARMS LOT 106</v>
      </c>
      <c r="D28" s="27" t="str">
        <f>IFERROR(__xludf.DUMMYFUNCTION("""COMPUTED_VALUE"""),"WHI")</f>
        <v>WHI</v>
      </c>
      <c r="E28" s="27" t="str">
        <f>IFERROR(__xludf.DUMMYFUNCTION("""COMPUTED_VALUE"""),"06-786")</f>
        <v>06-786</v>
      </c>
      <c r="F28" s="36">
        <f>IFERROR(__xludf.DUMMYFUNCTION("""COMPUTED_VALUE"""),10.0)</f>
        <v>10</v>
      </c>
      <c r="G28" s="27" t="str">
        <f>IFERROR(__xludf.DUMMYFUNCTION("""COMPUTED_VALUE"""),"UNIT")</f>
        <v>UNIT</v>
      </c>
      <c r="H28" s="37">
        <f>IFERROR(__xludf.DUMMYFUNCTION("""COMPUTED_VALUE"""),46220.0)</f>
        <v>46220</v>
      </c>
      <c r="I28" s="36"/>
      <c r="J28" s="30" t="str">
        <f>IFERROR(__xludf.DUMMYFUNCTION("""COMPUTED_VALUE"""),"AMSCO")</f>
        <v>AMSCO</v>
      </c>
      <c r="K28" s="26"/>
      <c r="L28" s="30" t="str">
        <f>IFERROR(__xludf.DUMMYFUNCTION("""COMPUTED_VALUE"""),"In Stock")</f>
        <v>In Stock</v>
      </c>
      <c r="M28" s="26" t="str">
        <f>IFERROR(__xludf.DUMMYFUNCTION("""COMPUTED_VALUE"""),"JOSE")</f>
        <v>JOSE</v>
      </c>
      <c r="N28" s="26" t="str">
        <f>IFERROR(__xludf.DUMMYFUNCTION("""COMPUTED_VALUE"""),"WHI JJFARMS LOT 106")</f>
        <v>WHI JJFARMS LOT 106</v>
      </c>
      <c r="O28" s="26" t="str">
        <f>IFERROR(__xludf.DUMMYFUNCTION("""COMPUTED_VALUE"""),"SCREEN|||JJFARMS LOT 106")</f>
        <v>SCREEN|||JJFARMS LOT 106</v>
      </c>
      <c r="P28" s="26"/>
      <c r="Q28" s="26" t="str">
        <f>IFERROR(__xludf.DUMMYFUNCTION("""COMPUTED_VALUE"""),"jose@ox-glass.com")</f>
        <v>jose@ox-glass.com</v>
      </c>
      <c r="R28" s="26" t="str">
        <f>IFERROR(__xludf.DUMMYFUNCTION("""COMPUTED_VALUE"""),"A4B")</f>
        <v>A4B</v>
      </c>
      <c r="S28" s="26" t="str">
        <f>IFERROR(__xludf.DUMMYFUNCTION("""COMPUTED_VALUE"""),"ENTRY")</f>
        <v>ENTRY</v>
      </c>
    </row>
    <row r="29" ht="22.5" customHeight="1">
      <c r="A29" s="35">
        <f>IFERROR(__xludf.DUMMYFUNCTION("""COMPUTED_VALUE"""),46223.463473842596)</f>
        <v>46223.46347</v>
      </c>
      <c r="B29" s="36" t="str">
        <f>IFERROR(__xludf.DUMMYFUNCTION("""COMPUTED_VALUE"""),"SCREEN")</f>
        <v>SCREEN</v>
      </c>
      <c r="C29" s="26" t="str">
        <f>IFERROR(__xludf.DUMMYFUNCTION("""COMPUTED_VALUE"""),"HF 156")</f>
        <v>HF 156</v>
      </c>
      <c r="D29" s="27" t="str">
        <f>IFERROR(__xludf.DUMMYFUNCTION("""COMPUTED_VALUE"""),"GOO")</f>
        <v>GOO</v>
      </c>
      <c r="E29" s="27"/>
      <c r="F29" s="36">
        <f>IFERROR(__xludf.DUMMYFUNCTION("""COMPUTED_VALUE"""),23.0)</f>
        <v>23</v>
      </c>
      <c r="G29" s="27" t="str">
        <f>IFERROR(__xludf.DUMMYFUNCTION("""COMPUTED_VALUE"""),"UNIT")</f>
        <v>UNIT</v>
      </c>
      <c r="H29" s="37">
        <f>IFERROR(__xludf.DUMMYFUNCTION("""COMPUTED_VALUE"""),46220.0)</f>
        <v>46220</v>
      </c>
      <c r="I29" s="36"/>
      <c r="J29" s="30" t="str">
        <f>IFERROR(__xludf.DUMMYFUNCTION("""COMPUTED_VALUE"""),"WINDSOR")</f>
        <v>WINDSOR</v>
      </c>
      <c r="K29" s="26"/>
      <c r="L29" s="30" t="str">
        <f>IFERROR(__xludf.DUMMYFUNCTION("""COMPUTED_VALUE"""),"In Stock")</f>
        <v>In Stock</v>
      </c>
      <c r="M29" s="26" t="str">
        <f>IFERROR(__xludf.DUMMYFUNCTION("""COMPUTED_VALUE"""),"JOSE")</f>
        <v>JOSE</v>
      </c>
      <c r="N29" s="26" t="str">
        <f>IFERROR(__xludf.DUMMYFUNCTION("""COMPUTED_VALUE"""),"GOO HF 156")</f>
        <v>GOO HF 156</v>
      </c>
      <c r="O29" s="26" t="str">
        <f>IFERROR(__xludf.DUMMYFUNCTION("""COMPUTED_VALUE"""),"SCREEN|||HF 156")</f>
        <v>SCREEN|||HF 156</v>
      </c>
      <c r="P29" s="26"/>
      <c r="Q29" s="26" t="str">
        <f>IFERROR(__xludf.DUMMYFUNCTION("""COMPUTED_VALUE"""),"jose@ox-glass.com")</f>
        <v>jose@ox-glass.com</v>
      </c>
      <c r="R29" s="26" t="str">
        <f>IFERROR(__xludf.DUMMYFUNCTION("""COMPUTED_VALUE"""),"A4B")</f>
        <v>A4B</v>
      </c>
      <c r="S29" s="26" t="str">
        <f>IFERROR(__xludf.DUMMYFUNCTION("""COMPUTED_VALUE"""),"ENTRY")</f>
        <v>ENTRY</v>
      </c>
    </row>
    <row r="30" ht="22.5" customHeight="1">
      <c r="A30" s="35">
        <f>IFERROR(__xludf.DUMMYFUNCTION("""COMPUTED_VALUE"""),46223.46023052083)</f>
        <v>46223.46023</v>
      </c>
      <c r="B30" s="36" t="str">
        <f>IFERROR(__xludf.DUMMYFUNCTION("""COMPUTED_VALUE"""),"SCREEN")</f>
        <v>SCREEN</v>
      </c>
      <c r="C30" s="26" t="str">
        <f>IFERROR(__xludf.DUMMYFUNCTION("""COMPUTED_VALUE"""),"HF 156")</f>
        <v>HF 156</v>
      </c>
      <c r="D30" s="27" t="str">
        <f>IFERROR(__xludf.DUMMYFUNCTION("""COMPUTED_VALUE"""),"GOO")</f>
        <v>GOO</v>
      </c>
      <c r="E30" s="27"/>
      <c r="F30" s="36">
        <f>IFERROR(__xludf.DUMMYFUNCTION("""COMPUTED_VALUE"""),13.0)</f>
        <v>13</v>
      </c>
      <c r="G30" s="27" t="str">
        <f>IFERROR(__xludf.DUMMYFUNCTION("""COMPUTED_VALUE"""),"UNIT")</f>
        <v>UNIT</v>
      </c>
      <c r="H30" s="37">
        <f>IFERROR(__xludf.DUMMYFUNCTION("""COMPUTED_VALUE"""),46220.0)</f>
        <v>46220</v>
      </c>
      <c r="I30" s="36"/>
      <c r="J30" s="30" t="str">
        <f>IFERROR(__xludf.DUMMYFUNCTION("""COMPUTED_VALUE"""),"WINDSOR")</f>
        <v>WINDSOR</v>
      </c>
      <c r="K30" s="26"/>
      <c r="L30" s="30" t="str">
        <f>IFERROR(__xludf.DUMMYFUNCTION("""COMPUTED_VALUE"""),"In Stock")</f>
        <v>In Stock</v>
      </c>
      <c r="M30" s="26" t="str">
        <f>IFERROR(__xludf.DUMMYFUNCTION("""COMPUTED_VALUE"""),"JOSE")</f>
        <v>JOSE</v>
      </c>
      <c r="N30" s="26" t="str">
        <f>IFERROR(__xludf.DUMMYFUNCTION("""COMPUTED_VALUE"""),"GOO HF 156")</f>
        <v>GOO HF 156</v>
      </c>
      <c r="O30" s="26" t="str">
        <f>IFERROR(__xludf.DUMMYFUNCTION("""COMPUTED_VALUE"""),"SCREEN|||HF 156")</f>
        <v>SCREEN|||HF 156</v>
      </c>
      <c r="P30" s="26"/>
      <c r="Q30" s="26" t="str">
        <f>IFERROR(__xludf.DUMMYFUNCTION("""COMPUTED_VALUE"""),"jose@ox-glass.com")</f>
        <v>jose@ox-glass.com</v>
      </c>
      <c r="R30" s="26" t="str">
        <f>IFERROR(__xludf.DUMMYFUNCTION("""COMPUTED_VALUE"""),"A4B")</f>
        <v>A4B</v>
      </c>
      <c r="S30" s="26" t="str">
        <f>IFERROR(__xludf.DUMMYFUNCTION("""COMPUTED_VALUE"""),"ENTRY")</f>
        <v>ENTRY</v>
      </c>
    </row>
    <row r="31" ht="22.5" customHeight="1">
      <c r="A31" s="35">
        <f>IFERROR(__xludf.DUMMYFUNCTION("""COMPUTED_VALUE"""),46223.45002270833)</f>
        <v>46223.45002</v>
      </c>
      <c r="B31" s="36" t="str">
        <f>IFERROR(__xludf.DUMMYFUNCTION("""COMPUTED_VALUE"""),"SCREEN")</f>
        <v>SCREEN</v>
      </c>
      <c r="C31" s="26" t="str">
        <f>IFERROR(__xludf.DUMMYFUNCTION("""COMPUTED_VALUE"""),"PROVO REMODEL")</f>
        <v>PROVO REMODEL</v>
      </c>
      <c r="D31" s="27" t="str">
        <f>IFERROR(__xludf.DUMMYFUNCTION("""COMPUTED_VALUE"""),"HH")</f>
        <v>HH</v>
      </c>
      <c r="E31" s="27" t="str">
        <f>IFERROR(__xludf.DUMMYFUNCTION("""COMPUTED_VALUE"""),"06-7016")</f>
        <v>06-7016</v>
      </c>
      <c r="F31" s="36">
        <f>IFERROR(__xludf.DUMMYFUNCTION("""COMPUTED_VALUE"""),16.0)</f>
        <v>16</v>
      </c>
      <c r="G31" s="27" t="str">
        <f>IFERROR(__xludf.DUMMYFUNCTION("""COMPUTED_VALUE"""),"UNIT")</f>
        <v>UNIT</v>
      </c>
      <c r="H31" s="37">
        <f>IFERROR(__xludf.DUMMYFUNCTION("""COMPUTED_VALUE"""),46220.0)</f>
        <v>46220</v>
      </c>
      <c r="I31" s="36"/>
      <c r="J31" s="30" t="str">
        <f>IFERROR(__xludf.DUMMYFUNCTION("""COMPUTED_VALUE"""),"AMSCO")</f>
        <v>AMSCO</v>
      </c>
      <c r="K31" s="26"/>
      <c r="L31" s="30" t="str">
        <f>IFERROR(__xludf.DUMMYFUNCTION("""COMPUTED_VALUE"""),"In Stock")</f>
        <v>In Stock</v>
      </c>
      <c r="M31" s="26" t="str">
        <f>IFERROR(__xludf.DUMMYFUNCTION("""COMPUTED_VALUE"""),"JOSE")</f>
        <v>JOSE</v>
      </c>
      <c r="N31" s="26" t="str">
        <f>IFERROR(__xludf.DUMMYFUNCTION("""COMPUTED_VALUE"""),"HH PROVO REMODEL")</f>
        <v>HH PROVO REMODEL</v>
      </c>
      <c r="O31" s="26" t="str">
        <f>IFERROR(__xludf.DUMMYFUNCTION("""COMPUTED_VALUE"""),"SCREEN|||PROVO REMODEL")</f>
        <v>SCREEN|||PROVO REMODEL</v>
      </c>
      <c r="P31" s="26"/>
      <c r="Q31" s="26" t="str">
        <f>IFERROR(__xludf.DUMMYFUNCTION("""COMPUTED_VALUE"""),"jose@ox-glass.com")</f>
        <v>jose@ox-glass.com</v>
      </c>
      <c r="R31" s="26" t="str">
        <f>IFERROR(__xludf.DUMMYFUNCTION("""COMPUTED_VALUE"""),"A3B")</f>
        <v>A3B</v>
      </c>
      <c r="S31" s="26" t="str">
        <f>IFERROR(__xludf.DUMMYFUNCTION("""COMPUTED_VALUE"""),"ENTRY")</f>
        <v>ENTRY</v>
      </c>
    </row>
    <row r="32" ht="22.5" customHeight="1">
      <c r="A32" s="35">
        <f>IFERROR(__xludf.DUMMYFUNCTION("""COMPUTED_VALUE"""),46223.44801961805)</f>
        <v>46223.44802</v>
      </c>
      <c r="B32" s="36" t="str">
        <f>IFERROR(__xludf.DUMMYFUNCTION("""COMPUTED_VALUE"""),"SCREEN")</f>
        <v>SCREEN</v>
      </c>
      <c r="C32" s="26" t="str">
        <f>IFERROR(__xludf.DUMMYFUNCTION("""COMPUTED_VALUE"""),"VINEYARD BLACK 13C MOCKUP")</f>
        <v>VINEYARD BLACK 13C MOCKUP</v>
      </c>
      <c r="D32" s="27" t="str">
        <f>IFERROR(__xludf.DUMMYFUNCTION("""COMPUTED_VALUE"""),"RIM")</f>
        <v>RIM</v>
      </c>
      <c r="E32" s="27" t="str">
        <f>IFERROR(__xludf.DUMMYFUNCTION("""COMPUTED_VALUE"""),"06-6480")</f>
        <v>06-6480</v>
      </c>
      <c r="F32" s="36">
        <f>IFERROR(__xludf.DUMMYFUNCTION("""COMPUTED_VALUE"""),3.0)</f>
        <v>3</v>
      </c>
      <c r="G32" s="27" t="str">
        <f>IFERROR(__xludf.DUMMYFUNCTION("""COMPUTED_VALUE"""),"UNIT")</f>
        <v>UNIT</v>
      </c>
      <c r="H32" s="37">
        <f>IFERROR(__xludf.DUMMYFUNCTION("""COMPUTED_VALUE"""),46220.0)</f>
        <v>46220</v>
      </c>
      <c r="I32" s="36"/>
      <c r="J32" s="30" t="str">
        <f>IFERROR(__xludf.DUMMYFUNCTION("""COMPUTED_VALUE"""),"AMSCO")</f>
        <v>AMSCO</v>
      </c>
      <c r="K32" s="26"/>
      <c r="L32" s="30" t="str">
        <f>IFERROR(__xludf.DUMMYFUNCTION("""COMPUTED_VALUE"""),"In Stock")</f>
        <v>In Stock</v>
      </c>
      <c r="M32" s="26" t="str">
        <f>IFERROR(__xludf.DUMMYFUNCTION("""COMPUTED_VALUE"""),"JOSE")</f>
        <v>JOSE</v>
      </c>
      <c r="N32" s="26" t="str">
        <f>IFERROR(__xludf.DUMMYFUNCTION("""COMPUTED_VALUE"""),"VINEYARD BLACK 13C MOCKUP")</f>
        <v>VINEYARD BLACK 13C MOCKUP</v>
      </c>
      <c r="O32" s="26" t="str">
        <f>IFERROR(__xludf.DUMMYFUNCTION("""COMPUTED_VALUE"""),"SCREEN|||VINEYARD BLACK 13C MOCKUP")</f>
        <v>SCREEN|||VINEYARD BLACK 13C MOCKUP</v>
      </c>
      <c r="P32" s="26"/>
      <c r="Q32" s="26" t="str">
        <f>IFERROR(__xludf.DUMMYFUNCTION("""COMPUTED_VALUE"""),"jose@ox-glass.com")</f>
        <v>jose@ox-glass.com</v>
      </c>
      <c r="R32" s="26" t="str">
        <f>IFERROR(__xludf.DUMMYFUNCTION("""COMPUTED_VALUE"""),"A3B")</f>
        <v>A3B</v>
      </c>
      <c r="S32" s="26" t="str">
        <f>IFERROR(__xludf.DUMMYFUNCTION("""COMPUTED_VALUE"""),"ENTRY")</f>
        <v>ENTRY</v>
      </c>
    </row>
    <row r="33" ht="22.5" customHeight="1">
      <c r="A33" s="35">
        <f>IFERROR(__xludf.DUMMYFUNCTION("""COMPUTED_VALUE"""),46223.44403173611)</f>
        <v>46223.44403</v>
      </c>
      <c r="B33" s="36" t="str">
        <f>IFERROR(__xludf.DUMMYFUNCTION("""COMPUTED_VALUE"""),"SCREEN")</f>
        <v>SCREEN</v>
      </c>
      <c r="C33" s="26" t="str">
        <f>IFERROR(__xludf.DUMMYFUNCTION("""COMPUTED_VALUE"""),"PAO225")</f>
        <v>PAO225</v>
      </c>
      <c r="D33" s="27" t="str">
        <f>IFERROR(__xludf.DUMMYFUNCTION("""COMPUTED_VALUE"""),"WHI")</f>
        <v>WHI</v>
      </c>
      <c r="E33" s="27" t="str">
        <f>IFERROR(__xludf.DUMMYFUNCTION("""COMPUTED_VALUE"""),"07-758")</f>
        <v>07-758</v>
      </c>
      <c r="F33" s="36">
        <f>IFERROR(__xludf.DUMMYFUNCTION("""COMPUTED_VALUE"""),6.0)</f>
        <v>6</v>
      </c>
      <c r="G33" s="27" t="str">
        <f>IFERROR(__xludf.DUMMYFUNCTION("""COMPUTED_VALUE"""),"UNIT")</f>
        <v>UNIT</v>
      </c>
      <c r="H33" s="37">
        <f>IFERROR(__xludf.DUMMYFUNCTION("""COMPUTED_VALUE"""),46220.0)</f>
        <v>46220</v>
      </c>
      <c r="I33" s="36"/>
      <c r="J33" s="30" t="str">
        <f>IFERROR(__xludf.DUMMYFUNCTION("""COMPUTED_VALUE"""),"AMSCO")</f>
        <v>AMSCO</v>
      </c>
      <c r="K33" s="26"/>
      <c r="L33" s="30" t="str">
        <f>IFERROR(__xludf.DUMMYFUNCTION("""COMPUTED_VALUE"""),"In Stock")</f>
        <v>In Stock</v>
      </c>
      <c r="M33" s="26" t="str">
        <f>IFERROR(__xludf.DUMMYFUNCTION("""COMPUTED_VALUE"""),"JOSE")</f>
        <v>JOSE</v>
      </c>
      <c r="N33" s="26" t="str">
        <f>IFERROR(__xludf.DUMMYFUNCTION("""COMPUTED_VALUE"""),"WHI PAO225")</f>
        <v>WHI PAO225</v>
      </c>
      <c r="O33" s="26" t="str">
        <f>IFERROR(__xludf.DUMMYFUNCTION("""COMPUTED_VALUE"""),"SCREEN|||PAO225")</f>
        <v>SCREEN|||PAO225</v>
      </c>
      <c r="P33" s="26"/>
      <c r="Q33" s="26" t="str">
        <f>IFERROR(__xludf.DUMMYFUNCTION("""COMPUTED_VALUE"""),"jose@ox-glass.com")</f>
        <v>jose@ox-glass.com</v>
      </c>
      <c r="R33" s="26" t="str">
        <f>IFERROR(__xludf.DUMMYFUNCTION("""COMPUTED_VALUE"""),"A3B")</f>
        <v>A3B</v>
      </c>
      <c r="S33" s="26" t="str">
        <f>IFERROR(__xludf.DUMMYFUNCTION("""COMPUTED_VALUE"""),"ENTRY")</f>
        <v>ENTRY</v>
      </c>
    </row>
    <row r="34" ht="22.5" customHeight="1">
      <c r="A34" s="35">
        <f>IFERROR(__xludf.DUMMYFUNCTION("""COMPUTED_VALUE"""),46223.4418853588)</f>
        <v>46223.44189</v>
      </c>
      <c r="B34" s="36" t="str">
        <f>IFERROR(__xludf.DUMMYFUNCTION("""COMPUTED_VALUE"""),"SCREEN")</f>
        <v>SCREEN</v>
      </c>
      <c r="C34" s="26" t="str">
        <f>IFERROR(__xludf.DUMMYFUNCTION("""COMPUTED_VALUE"""),"PAO223")</f>
        <v>PAO223</v>
      </c>
      <c r="D34" s="27" t="str">
        <f>IFERROR(__xludf.DUMMYFUNCTION("""COMPUTED_VALUE"""),"WHI")</f>
        <v>WHI</v>
      </c>
      <c r="E34" s="27" t="str">
        <f>IFERROR(__xludf.DUMMYFUNCTION("""COMPUTED_VALUE"""),"07-733")</f>
        <v>07-733</v>
      </c>
      <c r="F34" s="36">
        <f>IFERROR(__xludf.DUMMYFUNCTION("""COMPUTED_VALUE"""),9.0)</f>
        <v>9</v>
      </c>
      <c r="G34" s="27" t="str">
        <f>IFERROR(__xludf.DUMMYFUNCTION("""COMPUTED_VALUE"""),"UNIT")</f>
        <v>UNIT</v>
      </c>
      <c r="H34" s="37">
        <f>IFERROR(__xludf.DUMMYFUNCTION("""COMPUTED_VALUE"""),46220.0)</f>
        <v>46220</v>
      </c>
      <c r="I34" s="36"/>
      <c r="J34" s="30" t="str">
        <f>IFERROR(__xludf.DUMMYFUNCTION("""COMPUTED_VALUE"""),"AMSCO")</f>
        <v>AMSCO</v>
      </c>
      <c r="K34" s="26"/>
      <c r="L34" s="30" t="str">
        <f>IFERROR(__xludf.DUMMYFUNCTION("""COMPUTED_VALUE"""),"In Stock")</f>
        <v>In Stock</v>
      </c>
      <c r="M34" s="26" t="str">
        <f>IFERROR(__xludf.DUMMYFUNCTION("""COMPUTED_VALUE"""),"JOSE")</f>
        <v>JOSE</v>
      </c>
      <c r="N34" s="26" t="str">
        <f>IFERROR(__xludf.DUMMYFUNCTION("""COMPUTED_VALUE"""),"WHI PAO223")</f>
        <v>WHI PAO223</v>
      </c>
      <c r="O34" s="26" t="str">
        <f>IFERROR(__xludf.DUMMYFUNCTION("""COMPUTED_VALUE"""),"SCREEN|||PAO223")</f>
        <v>SCREEN|||PAO223</v>
      </c>
      <c r="P34" s="26"/>
      <c r="Q34" s="26" t="str">
        <f>IFERROR(__xludf.DUMMYFUNCTION("""COMPUTED_VALUE"""),"jose@ox-glass.com")</f>
        <v>jose@ox-glass.com</v>
      </c>
      <c r="R34" s="26" t="str">
        <f>IFERROR(__xludf.DUMMYFUNCTION("""COMPUTED_VALUE"""),"A3B")</f>
        <v>A3B</v>
      </c>
      <c r="S34" s="26" t="str">
        <f>IFERROR(__xludf.DUMMYFUNCTION("""COMPUTED_VALUE"""),"ENTRY")</f>
        <v>ENTRY</v>
      </c>
    </row>
    <row r="35" ht="22.5" customHeight="1">
      <c r="A35" s="35">
        <f>IFERROR(__xludf.DUMMYFUNCTION("""COMPUTED_VALUE"""),46223.372311226856)</f>
        <v>46223.37231</v>
      </c>
      <c r="B35" s="36" t="str">
        <f>IFERROR(__xludf.DUMMYFUNCTION("""COMPUTED_VALUE"""),"SCREEN")</f>
        <v>SCREEN</v>
      </c>
      <c r="C35" s="26" t="str">
        <f>IFERROR(__xludf.DUMMYFUNCTION("""COMPUTED_VALUE"""),"SP 638 REORDER")</f>
        <v>SP 638 REORDER</v>
      </c>
      <c r="D35" s="27" t="str">
        <f>IFERROR(__xludf.DUMMYFUNCTION("""COMPUTED_VALUE"""),"PAT")</f>
        <v>PAT</v>
      </c>
      <c r="E35" s="27"/>
      <c r="F35" s="36">
        <f>IFERROR(__xludf.DUMMYFUNCTION("""COMPUTED_VALUE"""),2.0)</f>
        <v>2</v>
      </c>
      <c r="G35" s="27" t="str">
        <f>IFERROR(__xludf.DUMMYFUNCTION("""COMPUTED_VALUE"""),"UNIT")</f>
        <v>UNIT</v>
      </c>
      <c r="H35" s="37">
        <f>IFERROR(__xludf.DUMMYFUNCTION("""COMPUTED_VALUE"""),46223.0)</f>
        <v>46223</v>
      </c>
      <c r="I35" s="36"/>
      <c r="J35" s="30" t="str">
        <f>IFERROR(__xludf.DUMMYFUNCTION("""COMPUTED_VALUE"""),"ALSIDE")</f>
        <v>ALSIDE</v>
      </c>
      <c r="K35" s="26" t="str">
        <f>IFERROR(__xludf.DUMMYFUNCTION("""COMPUTED_VALUE"""),"2 WINDOWS, 2 SCREENS, TAKEN BY JOE L.")</f>
        <v>2 WINDOWS, 2 SCREENS, TAKEN BY JOE L.</v>
      </c>
      <c r="L35" s="30" t="str">
        <f>IFERROR(__xludf.DUMMYFUNCTION("""COMPUTED_VALUE"""),"In Stock")</f>
        <v>In Stock</v>
      </c>
      <c r="M35" s="26" t="str">
        <f>IFERROR(__xludf.DUMMYFUNCTION("""COMPUTED_VALUE"""),"JOSE")</f>
        <v>JOSE</v>
      </c>
      <c r="N35" s="26" t="str">
        <f>IFERROR(__xludf.DUMMYFUNCTION("""COMPUTED_VALUE"""),"PAT SP 638 REORDER")</f>
        <v>PAT SP 638 REORDER</v>
      </c>
      <c r="O35" s="26" t="str">
        <f>IFERROR(__xludf.DUMMYFUNCTION("""COMPUTED_VALUE"""),"SCREEN|||SP 638 REORDER")</f>
        <v>SCREEN|||SP 638 REORDER</v>
      </c>
      <c r="P35" s="26"/>
      <c r="Q35" s="26" t="str">
        <f>IFERROR(__xludf.DUMMYFUNCTION("""COMPUTED_VALUE"""),"jose@ox-glass.com")</f>
        <v>jose@ox-glass.com</v>
      </c>
      <c r="R35" s="26" t="str">
        <f>IFERROR(__xludf.DUMMYFUNCTION("""COMPUTED_VALUE"""),"A3B")</f>
        <v>A3B</v>
      </c>
      <c r="S35" s="26" t="str">
        <f>IFERROR(__xludf.DUMMYFUNCTION("""COMPUTED_VALUE"""),"ENTRY")</f>
        <v>ENTRY</v>
      </c>
    </row>
    <row r="36" ht="22.5" customHeight="1">
      <c r="A36" s="35">
        <f>IFERROR(__xludf.DUMMYFUNCTION("""COMPUTED_VALUE"""),46223.364769374995)</f>
        <v>46223.36477</v>
      </c>
      <c r="B36" s="36" t="str">
        <f>IFERROR(__xludf.DUMMYFUNCTION("""COMPUTED_VALUE"""),"SCREEN")</f>
        <v>SCREEN</v>
      </c>
      <c r="C36" s="26" t="str">
        <f>IFERROR(__xludf.DUMMYFUNCTION("""COMPUTED_VALUE"""),"LGI OQU67")</f>
        <v>LGI OQU67</v>
      </c>
      <c r="D36" s="27"/>
      <c r="E36" s="27"/>
      <c r="F36" s="36">
        <f>IFERROR(__xludf.DUMMYFUNCTION("""COMPUTED_VALUE"""),4.0)</f>
        <v>4</v>
      </c>
      <c r="G36" s="27" t="str">
        <f>IFERROR(__xludf.DUMMYFUNCTION("""COMPUTED_VALUE"""),"UNIT")</f>
        <v>UNIT</v>
      </c>
      <c r="H36" s="37">
        <f>IFERROR(__xludf.DUMMYFUNCTION("""COMPUTED_VALUE"""),46223.0)</f>
        <v>46223</v>
      </c>
      <c r="I36" s="36" t="str">
        <f>IFERROR(__xludf.DUMMYFUNCTION("""COMPUTED_VALUE"""),"A2B")</f>
        <v>A2B</v>
      </c>
      <c r="J36" s="30"/>
      <c r="K36" s="26"/>
      <c r="L36" s="30" t="str">
        <f>IFERROR(__xludf.DUMMYFUNCTION("""COMPUTED_VALUE"""),"Dispatched")</f>
        <v>Dispatched</v>
      </c>
      <c r="M36" s="26" t="str">
        <f>IFERROR(__xludf.DUMMYFUNCTION("""COMPUTED_VALUE"""),"JOE L.")</f>
        <v>JOE L.</v>
      </c>
      <c r="N36" s="26" t="str">
        <f>IFERROR(__xludf.DUMMYFUNCTION("""COMPUTED_VALUE"""),"LGI OQU67")</f>
        <v>LGI OQU67</v>
      </c>
      <c r="O36" s="26" t="str">
        <f>IFERROR(__xludf.DUMMYFUNCTION("""COMPUTED_VALUE"""),"SCREEN|||LGI OQU67")</f>
        <v>SCREEN|||LGI OQU67</v>
      </c>
      <c r="P36" s="26"/>
      <c r="Q36" s="26" t="str">
        <f>IFERROR(__xludf.DUMMYFUNCTION("""COMPUTED_VALUE"""),"jose@ox-glass.com")</f>
        <v>jose@ox-glass.com</v>
      </c>
      <c r="R36" s="26" t="str">
        <f>IFERROR(__xludf.DUMMYFUNCTION("""COMPUTED_VALUE"""),"LGI OQU67")</f>
        <v>LGI OQU67</v>
      </c>
      <c r="S36" s="26" t="str">
        <f>IFERROR(__xludf.DUMMYFUNCTION("""COMPUTED_VALUE"""),"EXIT")</f>
        <v>EXIT</v>
      </c>
    </row>
    <row r="37" ht="22.5" customHeight="1">
      <c r="A37" s="35">
        <f>IFERROR(__xludf.DUMMYFUNCTION("""COMPUTED_VALUE"""),46223.364769374995)</f>
        <v>46223.36477</v>
      </c>
      <c r="B37" s="36" t="str">
        <f>IFERROR(__xludf.DUMMYFUNCTION("""COMPUTED_VALUE"""),"SCREEN")</f>
        <v>SCREEN</v>
      </c>
      <c r="C37" s="26" t="str">
        <f>IFERROR(__xludf.DUMMYFUNCTION("""COMPUTED_VALUE"""),"LGI OQU67")</f>
        <v>LGI OQU67</v>
      </c>
      <c r="D37" s="27"/>
      <c r="E37" s="27"/>
      <c r="F37" s="36">
        <f>IFERROR(__xludf.DUMMYFUNCTION("""COMPUTED_VALUE"""),1.0)</f>
        <v>1</v>
      </c>
      <c r="G37" s="27" t="str">
        <f>IFERROR(__xludf.DUMMYFUNCTION("""COMPUTED_VALUE"""),"UNIT")</f>
        <v>UNIT</v>
      </c>
      <c r="H37" s="37">
        <f>IFERROR(__xludf.DUMMYFUNCTION("""COMPUTED_VALUE"""),46223.0)</f>
        <v>46223</v>
      </c>
      <c r="I37" s="36" t="str">
        <f>IFERROR(__xludf.DUMMYFUNCTION("""COMPUTED_VALUE"""),"P3C")</f>
        <v>P3C</v>
      </c>
      <c r="J37" s="30"/>
      <c r="K37" s="26"/>
      <c r="L37" s="30" t="str">
        <f>IFERROR(__xludf.DUMMYFUNCTION("""COMPUTED_VALUE"""),"Dispatched")</f>
        <v>Dispatched</v>
      </c>
      <c r="M37" s="26" t="str">
        <f>IFERROR(__xludf.DUMMYFUNCTION("""COMPUTED_VALUE"""),"JOE L.")</f>
        <v>JOE L.</v>
      </c>
      <c r="N37" s="26" t="str">
        <f>IFERROR(__xludf.DUMMYFUNCTION("""COMPUTED_VALUE"""),"LGI OQU67")</f>
        <v>LGI OQU67</v>
      </c>
      <c r="O37" s="26" t="str">
        <f>IFERROR(__xludf.DUMMYFUNCTION("""COMPUTED_VALUE"""),"SCREEN|||LGI OQU67")</f>
        <v>SCREEN|||LGI OQU67</v>
      </c>
      <c r="P37" s="26"/>
      <c r="Q37" s="26" t="str">
        <f>IFERROR(__xludf.DUMMYFUNCTION("""COMPUTED_VALUE"""),"jose@ox-glass.com")</f>
        <v>jose@ox-glass.com</v>
      </c>
      <c r="R37" s="26" t="str">
        <f>IFERROR(__xludf.DUMMYFUNCTION("""COMPUTED_VALUE"""),"LGI OQU67")</f>
        <v>LGI OQU67</v>
      </c>
      <c r="S37" s="26" t="str">
        <f>IFERROR(__xludf.DUMMYFUNCTION("""COMPUTED_VALUE"""),"EXIT")</f>
        <v>EXIT</v>
      </c>
    </row>
    <row r="38" ht="22.5" customHeight="1">
      <c r="A38" s="35">
        <f>IFERROR(__xludf.DUMMYFUNCTION("""COMPUTED_VALUE"""),46223.364769374995)</f>
        <v>46223.36477</v>
      </c>
      <c r="B38" s="36" t="str">
        <f>IFERROR(__xludf.DUMMYFUNCTION("""COMPUTED_VALUE"""),"SCREEN")</f>
        <v>SCREEN</v>
      </c>
      <c r="C38" s="26" t="str">
        <f>IFERROR(__xludf.DUMMYFUNCTION("""COMPUTED_VALUE"""),"LGI OQU66")</f>
        <v>LGI OQU66</v>
      </c>
      <c r="D38" s="27"/>
      <c r="E38" s="27"/>
      <c r="F38" s="36">
        <f>IFERROR(__xludf.DUMMYFUNCTION("""COMPUTED_VALUE"""),4.0)</f>
        <v>4</v>
      </c>
      <c r="G38" s="27" t="str">
        <f>IFERROR(__xludf.DUMMYFUNCTION("""COMPUTED_VALUE"""),"UNIT")</f>
        <v>UNIT</v>
      </c>
      <c r="H38" s="37">
        <f>IFERROR(__xludf.DUMMYFUNCTION("""COMPUTED_VALUE"""),46223.0)</f>
        <v>46223</v>
      </c>
      <c r="I38" s="36" t="str">
        <f>IFERROR(__xludf.DUMMYFUNCTION("""COMPUTED_VALUE"""),"A2B")</f>
        <v>A2B</v>
      </c>
      <c r="J38" s="30"/>
      <c r="K38" s="26"/>
      <c r="L38" s="30" t="str">
        <f>IFERROR(__xludf.DUMMYFUNCTION("""COMPUTED_VALUE"""),"Dispatched")</f>
        <v>Dispatched</v>
      </c>
      <c r="M38" s="26" t="str">
        <f>IFERROR(__xludf.DUMMYFUNCTION("""COMPUTED_VALUE"""),"JOE L.")</f>
        <v>JOE L.</v>
      </c>
      <c r="N38" s="26" t="str">
        <f>IFERROR(__xludf.DUMMYFUNCTION("""COMPUTED_VALUE"""),"LGI OQU66")</f>
        <v>LGI OQU66</v>
      </c>
      <c r="O38" s="26" t="str">
        <f>IFERROR(__xludf.DUMMYFUNCTION("""COMPUTED_VALUE"""),"SCREEN|||LGI OQU66")</f>
        <v>SCREEN|||LGI OQU66</v>
      </c>
      <c r="P38" s="26"/>
      <c r="Q38" s="26" t="str">
        <f>IFERROR(__xludf.DUMMYFUNCTION("""COMPUTED_VALUE"""),"jose@ox-glass.com")</f>
        <v>jose@ox-glass.com</v>
      </c>
      <c r="R38" s="26" t="str">
        <f>IFERROR(__xludf.DUMMYFUNCTION("""COMPUTED_VALUE"""),"LGI OQU66")</f>
        <v>LGI OQU66</v>
      </c>
      <c r="S38" s="26" t="str">
        <f>IFERROR(__xludf.DUMMYFUNCTION("""COMPUTED_VALUE"""),"EXIT")</f>
        <v>EXIT</v>
      </c>
    </row>
    <row r="39" ht="22.5" customHeight="1">
      <c r="A39" s="35">
        <f>IFERROR(__xludf.DUMMYFUNCTION("""COMPUTED_VALUE"""),46223.364769374995)</f>
        <v>46223.36477</v>
      </c>
      <c r="B39" s="36" t="str">
        <f>IFERROR(__xludf.DUMMYFUNCTION("""COMPUTED_VALUE"""),"SCREEN")</f>
        <v>SCREEN</v>
      </c>
      <c r="C39" s="26" t="str">
        <f>IFERROR(__xludf.DUMMYFUNCTION("""COMPUTED_VALUE"""),"LGI OQU66")</f>
        <v>LGI OQU66</v>
      </c>
      <c r="D39" s="27"/>
      <c r="E39" s="27"/>
      <c r="F39" s="36">
        <f>IFERROR(__xludf.DUMMYFUNCTION("""COMPUTED_VALUE"""),1.0)</f>
        <v>1</v>
      </c>
      <c r="G39" s="27" t="str">
        <f>IFERROR(__xludf.DUMMYFUNCTION("""COMPUTED_VALUE"""),"UNIT")</f>
        <v>UNIT</v>
      </c>
      <c r="H39" s="37">
        <f>IFERROR(__xludf.DUMMYFUNCTION("""COMPUTED_VALUE"""),46223.0)</f>
        <v>46223</v>
      </c>
      <c r="I39" s="36" t="str">
        <f>IFERROR(__xludf.DUMMYFUNCTION("""COMPUTED_VALUE"""),"P3C")</f>
        <v>P3C</v>
      </c>
      <c r="J39" s="30"/>
      <c r="K39" s="26"/>
      <c r="L39" s="30" t="str">
        <f>IFERROR(__xludf.DUMMYFUNCTION("""COMPUTED_VALUE"""),"Dispatched")</f>
        <v>Dispatched</v>
      </c>
      <c r="M39" s="26" t="str">
        <f>IFERROR(__xludf.DUMMYFUNCTION("""COMPUTED_VALUE"""),"JOE L.")</f>
        <v>JOE L.</v>
      </c>
      <c r="N39" s="26" t="str">
        <f>IFERROR(__xludf.DUMMYFUNCTION("""COMPUTED_VALUE"""),"LGI OQU66")</f>
        <v>LGI OQU66</v>
      </c>
      <c r="O39" s="26" t="str">
        <f>IFERROR(__xludf.DUMMYFUNCTION("""COMPUTED_VALUE"""),"SCREEN|||LGI OQU66")</f>
        <v>SCREEN|||LGI OQU66</v>
      </c>
      <c r="P39" s="26"/>
      <c r="Q39" s="26" t="str">
        <f>IFERROR(__xludf.DUMMYFUNCTION("""COMPUTED_VALUE"""),"jose@ox-glass.com")</f>
        <v>jose@ox-glass.com</v>
      </c>
      <c r="R39" s="26" t="str">
        <f>IFERROR(__xludf.DUMMYFUNCTION("""COMPUTED_VALUE"""),"LGI OQU66")</f>
        <v>LGI OQU66</v>
      </c>
      <c r="S39" s="26" t="str">
        <f>IFERROR(__xludf.DUMMYFUNCTION("""COMPUTED_VALUE"""),"EXIT")</f>
        <v>EXIT</v>
      </c>
    </row>
    <row r="40" ht="22.5" customHeight="1">
      <c r="A40" s="35">
        <f>IFERROR(__xludf.DUMMYFUNCTION("""COMPUTED_VALUE"""),46223.364769374995)</f>
        <v>46223.36477</v>
      </c>
      <c r="B40" s="36" t="str">
        <f>IFERROR(__xludf.DUMMYFUNCTION("""COMPUTED_VALUE"""),"SCREEN")</f>
        <v>SCREEN</v>
      </c>
      <c r="C40" s="26" t="str">
        <f>IFERROR(__xludf.DUMMYFUNCTION("""COMPUTED_VALUE"""),"LGI OQU60")</f>
        <v>LGI OQU60</v>
      </c>
      <c r="D40" s="27"/>
      <c r="E40" s="27"/>
      <c r="F40" s="36">
        <f>IFERROR(__xludf.DUMMYFUNCTION("""COMPUTED_VALUE"""),4.0)</f>
        <v>4</v>
      </c>
      <c r="G40" s="27" t="str">
        <f>IFERROR(__xludf.DUMMYFUNCTION("""COMPUTED_VALUE"""),"UNIT")</f>
        <v>UNIT</v>
      </c>
      <c r="H40" s="37">
        <f>IFERROR(__xludf.DUMMYFUNCTION("""COMPUTED_VALUE"""),46223.0)</f>
        <v>46223</v>
      </c>
      <c r="I40" s="36" t="str">
        <f>IFERROR(__xludf.DUMMYFUNCTION("""COMPUTED_VALUE"""),"A2B")</f>
        <v>A2B</v>
      </c>
      <c r="J40" s="30"/>
      <c r="K40" s="26"/>
      <c r="L40" s="30" t="str">
        <f>IFERROR(__xludf.DUMMYFUNCTION("""COMPUTED_VALUE"""),"Dispatched")</f>
        <v>Dispatched</v>
      </c>
      <c r="M40" s="26" t="str">
        <f>IFERROR(__xludf.DUMMYFUNCTION("""COMPUTED_VALUE"""),"JOE L.")</f>
        <v>JOE L.</v>
      </c>
      <c r="N40" s="26" t="str">
        <f>IFERROR(__xludf.DUMMYFUNCTION("""COMPUTED_VALUE"""),"LGI OQU60")</f>
        <v>LGI OQU60</v>
      </c>
      <c r="O40" s="26" t="str">
        <f>IFERROR(__xludf.DUMMYFUNCTION("""COMPUTED_VALUE"""),"SCREEN|||LGI OQU60")</f>
        <v>SCREEN|||LGI OQU60</v>
      </c>
      <c r="P40" s="26"/>
      <c r="Q40" s="26" t="str">
        <f>IFERROR(__xludf.DUMMYFUNCTION("""COMPUTED_VALUE"""),"jose@ox-glass.com")</f>
        <v>jose@ox-glass.com</v>
      </c>
      <c r="R40" s="26" t="str">
        <f>IFERROR(__xludf.DUMMYFUNCTION("""COMPUTED_VALUE"""),"LGI OQU60")</f>
        <v>LGI OQU60</v>
      </c>
      <c r="S40" s="26" t="str">
        <f>IFERROR(__xludf.DUMMYFUNCTION("""COMPUTED_VALUE"""),"EXIT")</f>
        <v>EXIT</v>
      </c>
    </row>
    <row r="41" ht="22.5" customHeight="1">
      <c r="A41" s="35">
        <f>IFERROR(__xludf.DUMMYFUNCTION("""COMPUTED_VALUE"""),46223.364769374995)</f>
        <v>46223.36477</v>
      </c>
      <c r="B41" s="36" t="str">
        <f>IFERROR(__xludf.DUMMYFUNCTION("""COMPUTED_VALUE"""),"SCREEN")</f>
        <v>SCREEN</v>
      </c>
      <c r="C41" s="26" t="str">
        <f>IFERROR(__xludf.DUMMYFUNCTION("""COMPUTED_VALUE"""),"LGI OQU60")</f>
        <v>LGI OQU60</v>
      </c>
      <c r="D41" s="27"/>
      <c r="E41" s="27"/>
      <c r="F41" s="36">
        <f>IFERROR(__xludf.DUMMYFUNCTION("""COMPUTED_VALUE"""),1.0)</f>
        <v>1</v>
      </c>
      <c r="G41" s="27" t="str">
        <f>IFERROR(__xludf.DUMMYFUNCTION("""COMPUTED_VALUE"""),"UNIT")</f>
        <v>UNIT</v>
      </c>
      <c r="H41" s="37">
        <f>IFERROR(__xludf.DUMMYFUNCTION("""COMPUTED_VALUE"""),46223.0)</f>
        <v>46223</v>
      </c>
      <c r="I41" s="36" t="str">
        <f>IFERROR(__xludf.DUMMYFUNCTION("""COMPUTED_VALUE"""),"P3C")</f>
        <v>P3C</v>
      </c>
      <c r="J41" s="30"/>
      <c r="K41" s="26"/>
      <c r="L41" s="30" t="str">
        <f>IFERROR(__xludf.DUMMYFUNCTION("""COMPUTED_VALUE"""),"Dispatched")</f>
        <v>Dispatched</v>
      </c>
      <c r="M41" s="26" t="str">
        <f>IFERROR(__xludf.DUMMYFUNCTION("""COMPUTED_VALUE"""),"JOE L.")</f>
        <v>JOE L.</v>
      </c>
      <c r="N41" s="26" t="str">
        <f>IFERROR(__xludf.DUMMYFUNCTION("""COMPUTED_VALUE"""),"LGI OQU60")</f>
        <v>LGI OQU60</v>
      </c>
      <c r="O41" s="26" t="str">
        <f>IFERROR(__xludf.DUMMYFUNCTION("""COMPUTED_VALUE"""),"SCREEN|||LGI OQU60")</f>
        <v>SCREEN|||LGI OQU60</v>
      </c>
      <c r="P41" s="26"/>
      <c r="Q41" s="26" t="str">
        <f>IFERROR(__xludf.DUMMYFUNCTION("""COMPUTED_VALUE"""),"jose@ox-glass.com")</f>
        <v>jose@ox-glass.com</v>
      </c>
      <c r="R41" s="26" t="str">
        <f>IFERROR(__xludf.DUMMYFUNCTION("""COMPUTED_VALUE"""),"LGI OQU60")</f>
        <v>LGI OQU60</v>
      </c>
      <c r="S41" s="26" t="str">
        <f>IFERROR(__xludf.DUMMYFUNCTION("""COMPUTED_VALUE"""),"EXIT")</f>
        <v>EXIT</v>
      </c>
    </row>
    <row r="42" ht="22.5" customHeight="1">
      <c r="A42" s="35">
        <f>IFERROR(__xludf.DUMMYFUNCTION("""COMPUTED_VALUE"""),46220.58566134259)</f>
        <v>46220.58566</v>
      </c>
      <c r="B42" s="36" t="str">
        <f>IFERROR(__xludf.DUMMYFUNCTION("""COMPUTED_VALUE"""),"SCREEN")</f>
        <v>SCREEN</v>
      </c>
      <c r="C42" s="26" t="str">
        <f>IFERROR(__xludf.DUMMYFUNCTION("""COMPUTED_VALUE"""),"ELKWOOD SCREENS S845")</f>
        <v>ELKWOOD SCREENS S845</v>
      </c>
      <c r="D42" s="27"/>
      <c r="E42" s="27"/>
      <c r="F42" s="36">
        <f>IFERROR(__xludf.DUMMYFUNCTION("""COMPUTED_VALUE"""),1.0)</f>
        <v>1</v>
      </c>
      <c r="G42" s="27" t="str">
        <f>IFERROR(__xludf.DUMMYFUNCTION("""COMPUTED_VALUE"""),"UNIT")</f>
        <v>UNIT</v>
      </c>
      <c r="H42" s="37">
        <f>IFERROR(__xludf.DUMMYFUNCTION("""COMPUTED_VALUE"""),46218.0)</f>
        <v>46218</v>
      </c>
      <c r="I42" s="36" t="str">
        <f>IFERROR(__xludf.DUMMYFUNCTION("""COMPUTED_VALUE"""),"PM'S OFFICE")</f>
        <v>PM'S OFFICE</v>
      </c>
      <c r="J42" s="30"/>
      <c r="K42" s="26"/>
      <c r="L42" s="30" t="str">
        <f>IFERROR(__xludf.DUMMYFUNCTION("""COMPUTED_VALUE"""),"Dispatched")</f>
        <v>Dispatched</v>
      </c>
      <c r="M42" s="26" t="str">
        <f>IFERROR(__xludf.DUMMYFUNCTION("""COMPUTED_VALUE"""),"TERRY T.")</f>
        <v>TERRY T.</v>
      </c>
      <c r="N42" s="26"/>
      <c r="O42" s="26" t="str">
        <f>IFERROR(__xludf.DUMMYFUNCTION("""COMPUTED_VALUE"""),"SCREEN|||ELKWOOD SCREENS S845")</f>
        <v>SCREEN|||ELKWOOD SCREENS S845</v>
      </c>
      <c r="P42" s="26"/>
      <c r="Q42" s="26" t="str">
        <f>IFERROR(__xludf.DUMMYFUNCTION("""COMPUTED_VALUE"""),"jose@ox-glass.com")</f>
        <v>jose@ox-glass.com</v>
      </c>
      <c r="R42" s="26" t="str">
        <f>IFERROR(__xludf.DUMMYFUNCTION("""COMPUTED_VALUE"""),"ELKWOOD")</f>
        <v>ELKWOOD</v>
      </c>
      <c r="S42" s="26" t="str">
        <f>IFERROR(__xludf.DUMMYFUNCTION("""COMPUTED_VALUE"""),"EXIT")</f>
        <v>EXIT</v>
      </c>
    </row>
    <row r="43" ht="22.5" customHeight="1">
      <c r="A43" s="35">
        <f>IFERROR(__xludf.DUMMYFUNCTION("""COMPUTED_VALUE"""),46220.585036875)</f>
        <v>46220.58504</v>
      </c>
      <c r="B43" s="36" t="str">
        <f>IFERROR(__xludf.DUMMYFUNCTION("""COMPUTED_VALUE"""),"SCREEN")</f>
        <v>SCREEN</v>
      </c>
      <c r="C43" s="26" t="str">
        <f>IFERROR(__xludf.DUMMYFUNCTION("""COMPUTED_VALUE"""),"MH 304 SCREENS#2")</f>
        <v>MH 304 SCREENS#2</v>
      </c>
      <c r="D43" s="27"/>
      <c r="E43" s="27"/>
      <c r="F43" s="36">
        <f>IFERROR(__xludf.DUMMYFUNCTION("""COMPUTED_VALUE"""),1.0)</f>
        <v>1</v>
      </c>
      <c r="G43" s="27" t="str">
        <f>IFERROR(__xludf.DUMMYFUNCTION("""COMPUTED_VALUE"""),"UNIT")</f>
        <v>UNIT</v>
      </c>
      <c r="H43" s="37">
        <f>IFERROR(__xludf.DUMMYFUNCTION("""COMPUTED_VALUE"""),46220.0)</f>
        <v>46220</v>
      </c>
      <c r="I43" s="36" t="str">
        <f>IFERROR(__xludf.DUMMYFUNCTION("""COMPUTED_VALUE"""),"WINDOW WAREHOUSE")</f>
        <v>WINDOW WAREHOUSE</v>
      </c>
      <c r="J43" s="30"/>
      <c r="K43" s="26"/>
      <c r="L43" s="30" t="str">
        <f>IFERROR(__xludf.DUMMYFUNCTION("""COMPUTED_VALUE"""),"Dispatched")</f>
        <v>Dispatched</v>
      </c>
      <c r="M43" s="26" t="str">
        <f>IFERROR(__xludf.DUMMYFUNCTION("""COMPUTED_VALUE"""),"TAKEN BY DANE'S TEAM")</f>
        <v>TAKEN BY DANE'S TEAM</v>
      </c>
      <c r="N43" s="26"/>
      <c r="O43" s="26" t="str">
        <f>IFERROR(__xludf.DUMMYFUNCTION("""COMPUTED_VALUE"""),"SCREEN|||MH 304 SCREENS#2")</f>
        <v>SCREEN|||MH 304 SCREENS#2</v>
      </c>
      <c r="P43" s="26"/>
      <c r="Q43" s="26" t="str">
        <f>IFERROR(__xludf.DUMMYFUNCTION("""COMPUTED_VALUE"""),"jose@ox-glass.com")</f>
        <v>jose@ox-glass.com</v>
      </c>
      <c r="R43" s="26" t="str">
        <f>IFERROR(__xludf.DUMMYFUNCTION("""COMPUTED_VALUE"""),"LGI-OQU175,183,185")</f>
        <v>LGI-OQU175,183,185</v>
      </c>
      <c r="S43" s="26" t="str">
        <f>IFERROR(__xludf.DUMMYFUNCTION("""COMPUTED_VALUE"""),"EXIT")</f>
        <v>EXIT</v>
      </c>
    </row>
    <row r="44" ht="22.5" customHeight="1">
      <c r="A44" s="35">
        <f>IFERROR(__xludf.DUMMYFUNCTION("""COMPUTED_VALUE"""),46220.58444462963)</f>
        <v>46220.58444</v>
      </c>
      <c r="B44" s="36" t="str">
        <f>IFERROR(__xludf.DUMMYFUNCTION("""COMPUTED_VALUE"""),"SCREEN")</f>
        <v>SCREEN</v>
      </c>
      <c r="C44" s="26" t="str">
        <f>IFERROR(__xludf.DUMMYFUNCTION("""COMPUTED_VALUE"""),"MH 304 SCREENS#2")</f>
        <v>MH 304 SCREENS#2</v>
      </c>
      <c r="D44" s="27"/>
      <c r="E44" s="27" t="str">
        <f>IFERROR(__xludf.DUMMYFUNCTION("""COMPUTED_VALUE"""),"U178Z")</f>
        <v>U178Z</v>
      </c>
      <c r="F44" s="36">
        <f>IFERROR(__xludf.DUMMYFUNCTION("""COMPUTED_VALUE"""),1.0)</f>
        <v>1</v>
      </c>
      <c r="G44" s="27" t="str">
        <f>IFERROR(__xludf.DUMMYFUNCTION("""COMPUTED_VALUE"""),"UNIT")</f>
        <v>UNIT</v>
      </c>
      <c r="H44" s="37">
        <f>IFERROR(__xludf.DUMMYFUNCTION("""COMPUTED_VALUE"""),46218.0)</f>
        <v>46218</v>
      </c>
      <c r="I44" s="36"/>
      <c r="J44" s="30" t="str">
        <f>IFERROR(__xludf.DUMMYFUNCTION("""COMPUTED_VALUE"""),"ALSIDE")</f>
        <v>ALSIDE</v>
      </c>
      <c r="K44" s="26"/>
      <c r="L44" s="30" t="str">
        <f>IFERROR(__xludf.DUMMYFUNCTION("""COMPUTED_VALUE"""),"In Stock")</f>
        <v>In Stock</v>
      </c>
      <c r="M44" s="26" t="str">
        <f>IFERROR(__xludf.DUMMYFUNCTION("""COMPUTED_VALUE"""),"jose@ox-glass.com")</f>
        <v>jose@ox-glass.com</v>
      </c>
      <c r="N44" s="26" t="str">
        <f>IFERROR(__xludf.DUMMYFUNCTION("""COMPUTED_VALUE"""),"MH 304 SCREENS#2")</f>
        <v>MH 304 SCREENS#2</v>
      </c>
      <c r="O44" s="26" t="str">
        <f>IFERROR(__xludf.DUMMYFUNCTION("""COMPUTED_VALUE"""),"SCREEN|||MH 304 SCREENS#2")</f>
        <v>SCREEN|||MH 304 SCREENS#2</v>
      </c>
      <c r="P44" s="26"/>
      <c r="Q44" s="26" t="str">
        <f>IFERROR(__xludf.DUMMYFUNCTION("""COMPUTED_VALUE"""),"jose@ox-glass.com")</f>
        <v>jose@ox-glass.com</v>
      </c>
      <c r="R44" s="26" t="str">
        <f>IFERROR(__xludf.DUMMYFUNCTION("""COMPUTED_VALUE"""),"WINDOW WAREHOUSE")</f>
        <v>WINDOW WAREHOUSE</v>
      </c>
      <c r="S44" s="26" t="str">
        <f>IFERROR(__xludf.DUMMYFUNCTION("""COMPUTED_VALUE"""),"ENTRY")</f>
        <v>ENTRY</v>
      </c>
    </row>
    <row r="45" ht="22.5" customHeight="1">
      <c r="A45" s="35">
        <f>IFERROR(__xludf.DUMMYFUNCTION("""COMPUTED_VALUE"""),46220.58324762732)</f>
        <v>46220.58325</v>
      </c>
      <c r="B45" s="36" t="str">
        <f>IFERROR(__xludf.DUMMYFUNCTION("""COMPUTED_VALUE"""),"SCREEN")</f>
        <v>SCREEN</v>
      </c>
      <c r="C45" s="26" t="str">
        <f>IFERROR(__xludf.DUMMYFUNCTION("""COMPUTED_VALUE"""),"ELKWOOD SCREENS S845")</f>
        <v>ELKWOOD SCREENS S845</v>
      </c>
      <c r="D45" s="27"/>
      <c r="E45" s="27"/>
      <c r="F45" s="36">
        <f>IFERROR(__xludf.DUMMYFUNCTION("""COMPUTED_VALUE"""),1.0)</f>
        <v>1</v>
      </c>
      <c r="G45" s="27" t="str">
        <f>IFERROR(__xludf.DUMMYFUNCTION("""COMPUTED_VALUE"""),"UNIT")</f>
        <v>UNIT</v>
      </c>
      <c r="H45" s="37">
        <f>IFERROR(__xludf.DUMMYFUNCTION("""COMPUTED_VALUE"""),46218.0)</f>
        <v>46218</v>
      </c>
      <c r="I45" s="36"/>
      <c r="J45" s="30" t="str">
        <f>IFERROR(__xludf.DUMMYFUNCTION("""COMPUTED_VALUE"""),"ALSIDE")</f>
        <v>ALSIDE</v>
      </c>
      <c r="K45" s="26" t="str">
        <f>IFERROR(__xludf.DUMMYFUNCTION("""COMPUTED_VALUE"""),"SCREENS NEEDED BY TERRY T.")</f>
        <v>SCREENS NEEDED BY TERRY T.</v>
      </c>
      <c r="L45" s="30" t="str">
        <f>IFERROR(__xludf.DUMMYFUNCTION("""COMPUTED_VALUE"""),"In Stock")</f>
        <v>In Stock</v>
      </c>
      <c r="M45" s="26" t="str">
        <f>IFERROR(__xludf.DUMMYFUNCTION("""COMPUTED_VALUE"""),"jose@ox-glass.com")</f>
        <v>jose@ox-glass.com</v>
      </c>
      <c r="N45" s="26" t="str">
        <f>IFERROR(__xludf.DUMMYFUNCTION("""COMPUTED_VALUE"""),"GENERIC")</f>
        <v>GENERIC</v>
      </c>
      <c r="O45" s="26" t="str">
        <f>IFERROR(__xludf.DUMMYFUNCTION("""COMPUTED_VALUE"""),"SCREEN|||ELKWOOD SCREENS S845")</f>
        <v>SCREEN|||ELKWOOD SCREENS S845</v>
      </c>
      <c r="P45" s="26"/>
      <c r="Q45" s="26" t="str">
        <f>IFERROR(__xludf.DUMMYFUNCTION("""COMPUTED_VALUE"""),"jose@ox-glass.com")</f>
        <v>jose@ox-glass.com</v>
      </c>
      <c r="R45" s="26" t="str">
        <f>IFERROR(__xludf.DUMMYFUNCTION("""COMPUTED_VALUE"""),"PM'S OFFICE")</f>
        <v>PM'S OFFICE</v>
      </c>
      <c r="S45" s="26" t="str">
        <f>IFERROR(__xludf.DUMMYFUNCTION("""COMPUTED_VALUE"""),"ENTRY")</f>
        <v>ENTRY</v>
      </c>
    </row>
    <row r="46" ht="22.5" customHeight="1">
      <c r="A46" s="35">
        <f>IFERROR(__xludf.DUMMYFUNCTION("""COMPUTED_VALUE"""),46217.38242350694)</f>
        <v>46217.38242</v>
      </c>
      <c r="B46" s="36" t="str">
        <f>IFERROR(__xludf.DUMMYFUNCTION("""COMPUTED_VALUE"""),"SCREEN")</f>
        <v>SCREEN</v>
      </c>
      <c r="C46" s="26" t="str">
        <f>IFERROR(__xludf.DUMMYFUNCTION("""COMPUTED_VALUE"""),"DAL-BARNES")</f>
        <v>DAL-BARNES</v>
      </c>
      <c r="D46" s="27"/>
      <c r="E46" s="27"/>
      <c r="F46" s="36">
        <f>IFERROR(__xludf.DUMMYFUNCTION("""COMPUTED_VALUE"""),4.0)</f>
        <v>4</v>
      </c>
      <c r="G46" s="27" t="str">
        <f>IFERROR(__xludf.DUMMYFUNCTION("""COMPUTED_VALUE"""),"UNIT")</f>
        <v>UNIT</v>
      </c>
      <c r="H46" s="37">
        <f>IFERROR(__xludf.DUMMYFUNCTION("""COMPUTED_VALUE"""),46217.0)</f>
        <v>46217</v>
      </c>
      <c r="I46" s="36" t="str">
        <f>IFERROR(__xludf.DUMMYFUNCTION("""COMPUTED_VALUE"""),"C3B")</f>
        <v>C3B</v>
      </c>
      <c r="J46" s="30"/>
      <c r="K46" s="26"/>
      <c r="L46" s="30" t="str">
        <f>IFERROR(__xludf.DUMMYFUNCTION("""COMPUTED_VALUE"""),"Dispatched")</f>
        <v>Dispatched</v>
      </c>
      <c r="M46" s="26" t="str">
        <f>IFERROR(__xludf.DUMMYFUNCTION("""COMPUTED_VALUE"""),"TERRY T.")</f>
        <v>TERRY T.</v>
      </c>
      <c r="N46" s="26"/>
      <c r="O46" s="26" t="str">
        <f>IFERROR(__xludf.DUMMYFUNCTION("""COMPUTED_VALUE"""),"SCREEN|||DAL BARNES")</f>
        <v>SCREEN|||DAL BARNES</v>
      </c>
      <c r="P46" s="26"/>
      <c r="Q46" s="26" t="str">
        <f>IFERROR(__xludf.DUMMYFUNCTION("""COMPUTED_VALUE"""),"jose@ox-glass.com")</f>
        <v>jose@ox-glass.com</v>
      </c>
      <c r="R46" s="26" t="str">
        <f>IFERROR(__xludf.DUMMYFUNCTION("""COMPUTED_VALUE"""),"DAL-BARNES")</f>
        <v>DAL-BARNES</v>
      </c>
      <c r="S46" s="26" t="str">
        <f>IFERROR(__xludf.DUMMYFUNCTION("""COMPUTED_VALUE"""),"EXIT")</f>
        <v>EXIT</v>
      </c>
    </row>
    <row r="47" ht="22.5" customHeight="1">
      <c r="A47" s="35">
        <f>IFERROR(__xludf.DUMMYFUNCTION("""COMPUTED_VALUE"""),46216.648439375)</f>
        <v>46216.64844</v>
      </c>
      <c r="B47" s="36" t="str">
        <f>IFERROR(__xludf.DUMMYFUNCTION("""COMPUTED_VALUE"""),"SCREEN")</f>
        <v>SCREEN</v>
      </c>
      <c r="C47" s="26" t="str">
        <f>IFERROR(__xludf.DUMMYFUNCTION("""COMPUTED_VALUE"""),"SP 654 BROOKE")</f>
        <v>SP 654 BROOKE</v>
      </c>
      <c r="D47" s="27" t="str">
        <f>IFERROR(__xludf.DUMMYFUNCTION("""COMPUTED_VALUE"""),"PAT")</f>
        <v>PAT</v>
      </c>
      <c r="E47" s="27" t="str">
        <f>IFERROR(__xludf.DUMMYFUNCTION("""COMPUTED_VALUE"""),"7382")</f>
        <v>7382</v>
      </c>
      <c r="F47" s="36">
        <f>IFERROR(__xludf.DUMMYFUNCTION("""COMPUTED_VALUE"""),12.0)</f>
        <v>12</v>
      </c>
      <c r="G47" s="27" t="str">
        <f>IFERROR(__xludf.DUMMYFUNCTION("""COMPUTED_VALUE"""),"UNIT")</f>
        <v>UNIT</v>
      </c>
      <c r="H47" s="37">
        <f>IFERROR(__xludf.DUMMYFUNCTION("""COMPUTED_VALUE"""),46216.0)</f>
        <v>46216</v>
      </c>
      <c r="I47" s="36"/>
      <c r="J47" s="30" t="str">
        <f>IFERROR(__xludf.DUMMYFUNCTION("""COMPUTED_VALUE"""),"ALSIDE")</f>
        <v>ALSIDE</v>
      </c>
      <c r="K47" s="26"/>
      <c r="L47" s="30" t="str">
        <f>IFERROR(__xludf.DUMMYFUNCTION("""COMPUTED_VALUE"""),"In Stock")</f>
        <v>In Stock</v>
      </c>
      <c r="M47" s="26" t="str">
        <f>IFERROR(__xludf.DUMMYFUNCTION("""COMPUTED_VALUE"""),"JOSE")</f>
        <v>JOSE</v>
      </c>
      <c r="N47" s="26" t="str">
        <f>IFERROR(__xludf.DUMMYFUNCTION("""COMPUTED_VALUE"""),"PAT SP 654 BROOKE")</f>
        <v>PAT SP 654 BROOKE</v>
      </c>
      <c r="O47" s="26" t="str">
        <f>IFERROR(__xludf.DUMMYFUNCTION("""COMPUTED_VALUE"""),"SCREEN|||SP 654 BROOKE")</f>
        <v>SCREEN|||SP 654 BROOKE</v>
      </c>
      <c r="P47" s="26" t="str">
        <f>IFERROR(__xludf.DUMMYFUNCTION("""COMPUTED_VALUE"""),"Document||https://drive.google.com/file/d/1udshDhV_7fzTrbvaFyqRFN3ftvT1sazJ/view?usp=drivesdk")</f>
        <v>Document||https://drive.google.com/file/d/1udshDhV_7fzTrbvaFyqRFN3ftvT1sazJ/view?usp=drivesdk</v>
      </c>
      <c r="Q47" s="26" t="str">
        <f>IFERROR(__xludf.DUMMYFUNCTION("""COMPUTED_VALUE"""),"jose@ox-glass.com")</f>
        <v>jose@ox-glass.com</v>
      </c>
      <c r="R47" s="26" t="str">
        <f>IFERROR(__xludf.DUMMYFUNCTION("""COMPUTED_VALUE"""),"A3B")</f>
        <v>A3B</v>
      </c>
      <c r="S47" s="26" t="str">
        <f>IFERROR(__xludf.DUMMYFUNCTION("""COMPUTED_VALUE"""),"ENTRY")</f>
        <v>ENTRY</v>
      </c>
    </row>
    <row r="48" ht="22.5" customHeight="1">
      <c r="A48" s="35">
        <f>IFERROR(__xludf.DUMMYFUNCTION("""COMPUTED_VALUE"""),46213.504116840275)</f>
        <v>46213.50412</v>
      </c>
      <c r="B48" s="36" t="str">
        <f>IFERROR(__xludf.DUMMYFUNCTION("""COMPUTED_VALUE"""),"SCREEN")</f>
        <v>SCREEN</v>
      </c>
      <c r="C48" s="26" t="str">
        <f>IFERROR(__xludf.DUMMYFUNCTION("""COMPUTED_VALUE"""),"HIGHLAND REMODEL ARCHED REORDER")</f>
        <v>HIGHLAND REMODEL ARCHED REORDER</v>
      </c>
      <c r="D48" s="27" t="str">
        <f>IFERROR(__xludf.DUMMYFUNCTION("""COMPUTED_VALUE"""),"SWE")</f>
        <v>SWE</v>
      </c>
      <c r="E48" s="27" t="str">
        <f>IFERROR(__xludf.DUMMYFUNCTION("""COMPUTED_VALUE"""),"06-5218")</f>
        <v>06-5218</v>
      </c>
      <c r="F48" s="36">
        <f>IFERROR(__xludf.DUMMYFUNCTION("""COMPUTED_VALUE"""),2.0)</f>
        <v>2</v>
      </c>
      <c r="G48" s="27" t="str">
        <f>IFERROR(__xludf.DUMMYFUNCTION("""COMPUTED_VALUE"""),"UNIT")</f>
        <v>UNIT</v>
      </c>
      <c r="H48" s="37">
        <f>IFERROR(__xludf.DUMMYFUNCTION("""COMPUTED_VALUE"""),46213.0)</f>
        <v>46213</v>
      </c>
      <c r="I48" s="36"/>
      <c r="J48" s="30" t="str">
        <f>IFERROR(__xludf.DUMMYFUNCTION("""COMPUTED_VALUE"""),"AMSCO")</f>
        <v>AMSCO</v>
      </c>
      <c r="K48" s="26"/>
      <c r="L48" s="30" t="str">
        <f>IFERROR(__xludf.DUMMYFUNCTION("""COMPUTED_VALUE"""),"In Stock")</f>
        <v>In Stock</v>
      </c>
      <c r="M48" s="26" t="str">
        <f>IFERROR(__xludf.DUMMYFUNCTION("""COMPUTED_VALUE"""),"JOSE")</f>
        <v>JOSE</v>
      </c>
      <c r="N48" s="26" t="str">
        <f>IFERROR(__xludf.DUMMYFUNCTION("""COMPUTED_VALUE"""),"HIGHLAND REMODEL")</f>
        <v>HIGHLAND REMODEL</v>
      </c>
      <c r="O48" s="26" t="str">
        <f>IFERROR(__xludf.DUMMYFUNCTION("""COMPUTED_VALUE"""),"SCREEN|||HIGHLAND REMODEL ARCHED REORDER")</f>
        <v>SCREEN|||HIGHLAND REMODEL ARCHED REORDER</v>
      </c>
      <c r="P48" s="26"/>
      <c r="Q48" s="26" t="str">
        <f>IFERROR(__xludf.DUMMYFUNCTION("""COMPUTED_VALUE"""),"jose@ox-glass.com")</f>
        <v>jose@ox-glass.com</v>
      </c>
      <c r="R48" s="26" t="str">
        <f>IFERROR(__xludf.DUMMYFUNCTION("""COMPUTED_VALUE"""),"C1B")</f>
        <v>C1B</v>
      </c>
      <c r="S48" s="26" t="str">
        <f>IFERROR(__xludf.DUMMYFUNCTION("""COMPUTED_VALUE"""),"ENTRY")</f>
        <v>ENTRY</v>
      </c>
    </row>
    <row r="49" ht="22.5" customHeight="1">
      <c r="A49" s="35">
        <f>IFERROR(__xludf.DUMMYFUNCTION("""COMPUTED_VALUE"""),46213.502176828704)</f>
        <v>46213.50218</v>
      </c>
      <c r="B49" s="36" t="str">
        <f>IFERROR(__xludf.DUMMYFUNCTION("""COMPUTED_VALUE"""),"SCREEN")</f>
        <v>SCREEN</v>
      </c>
      <c r="C49" s="26" t="str">
        <f>IFERROR(__xludf.DUMMYFUNCTION("""COMPUTED_VALUE"""),"MISC LEVI DARGER (MATERIAL ONLY)")</f>
        <v>MISC LEVI DARGER (MATERIAL ONLY)</v>
      </c>
      <c r="D49" s="27"/>
      <c r="E49" s="27" t="str">
        <f>IFERROR(__xludf.DUMMYFUNCTION("""COMPUTED_VALUE"""),"06-5581")</f>
        <v>06-5581</v>
      </c>
      <c r="F49" s="36">
        <f>IFERROR(__xludf.DUMMYFUNCTION("""COMPUTED_VALUE"""),1.0)</f>
        <v>1</v>
      </c>
      <c r="G49" s="27" t="str">
        <f>IFERROR(__xludf.DUMMYFUNCTION("""COMPUTED_VALUE"""),"UNIT")</f>
        <v>UNIT</v>
      </c>
      <c r="H49" s="37">
        <f>IFERROR(__xludf.DUMMYFUNCTION("""COMPUTED_VALUE"""),46213.0)</f>
        <v>46213</v>
      </c>
      <c r="I49" s="36"/>
      <c r="J49" s="30" t="str">
        <f>IFERROR(__xludf.DUMMYFUNCTION("""COMPUTED_VALUE"""),"AMSCO")</f>
        <v>AMSCO</v>
      </c>
      <c r="K49" s="26"/>
      <c r="L49" s="30" t="str">
        <f>IFERROR(__xludf.DUMMYFUNCTION("""COMPUTED_VALUE"""),"In Stock")</f>
        <v>In Stock</v>
      </c>
      <c r="M49" s="26" t="str">
        <f>IFERROR(__xludf.DUMMYFUNCTION("""COMPUTED_VALUE"""),"JOSE")</f>
        <v>JOSE</v>
      </c>
      <c r="N49" s="26" t="str">
        <f>IFERROR(__xludf.DUMMYFUNCTION("""COMPUTED_VALUE"""),"LEVI DARGER")</f>
        <v>LEVI DARGER</v>
      </c>
      <c r="O49" s="26" t="str">
        <f>IFERROR(__xludf.DUMMYFUNCTION("""COMPUTED_VALUE"""),"SCREEN|||MISC LEVI DARGER (MATERIAL ONLY)")</f>
        <v>SCREEN|||MISC LEVI DARGER (MATERIAL ONLY)</v>
      </c>
      <c r="P49" s="26"/>
      <c r="Q49" s="26" t="str">
        <f>IFERROR(__xludf.DUMMYFUNCTION("""COMPUTED_VALUE"""),"jose@ox-glass.com")</f>
        <v>jose@ox-glass.com</v>
      </c>
      <c r="R49" s="26" t="str">
        <f>IFERROR(__xludf.DUMMYFUNCTION("""COMPUTED_VALUE"""),"A")</f>
        <v>A</v>
      </c>
      <c r="S49" s="26" t="str">
        <f>IFERROR(__xludf.DUMMYFUNCTION("""COMPUTED_VALUE"""),"ENTRY")</f>
        <v>ENTRY</v>
      </c>
    </row>
    <row r="50" ht="22.5" customHeight="1">
      <c r="A50" s="35">
        <f>IFERROR(__xludf.DUMMYFUNCTION("""COMPUTED_VALUE"""),46213.48280593749)</f>
        <v>46213.48281</v>
      </c>
      <c r="B50" s="36" t="str">
        <f>IFERROR(__xludf.DUMMYFUNCTION("""COMPUTED_VALUE"""),"SCREEN")</f>
        <v>SCREEN</v>
      </c>
      <c r="C50" s="26" t="str">
        <f>IFERROR(__xludf.DUMMYFUNCTION("""COMPUTED_VALUE"""),"TOL MH 159 (REORDER)")</f>
        <v>TOL MH 159 (REORDER)</v>
      </c>
      <c r="D50" s="27"/>
      <c r="E50" s="27" t="str">
        <f>IFERROR(__xludf.DUMMYFUNCTION("""COMPUTED_VALUE"""),"06-4871")</f>
        <v>06-4871</v>
      </c>
      <c r="F50" s="36">
        <f>IFERROR(__xludf.DUMMYFUNCTION("""COMPUTED_VALUE"""),1.0)</f>
        <v>1</v>
      </c>
      <c r="G50" s="27" t="str">
        <f>IFERROR(__xludf.DUMMYFUNCTION("""COMPUTED_VALUE"""),"UNIT")</f>
        <v>UNIT</v>
      </c>
      <c r="H50" s="37">
        <f>IFERROR(__xludf.DUMMYFUNCTION("""COMPUTED_VALUE"""),46213.0)</f>
        <v>46213</v>
      </c>
      <c r="I50" s="36"/>
      <c r="J50" s="30" t="str">
        <f>IFERROR(__xludf.DUMMYFUNCTION("""COMPUTED_VALUE"""),"AMSCO")</f>
        <v>AMSCO</v>
      </c>
      <c r="K50" s="26"/>
      <c r="L50" s="30" t="str">
        <f>IFERROR(__xludf.DUMMYFUNCTION("""COMPUTED_VALUE"""),"In Stock")</f>
        <v>In Stock</v>
      </c>
      <c r="M50" s="26" t="str">
        <f>IFERROR(__xludf.DUMMYFUNCTION("""COMPUTED_VALUE"""),"JOSE")</f>
        <v>JOSE</v>
      </c>
      <c r="N50" s="26" t="str">
        <f>IFERROR(__xludf.DUMMYFUNCTION("""COMPUTED_VALUE"""),"TOL MH 159 (REORDER)")</f>
        <v>TOL MH 159 (REORDER)</v>
      </c>
      <c r="O50" s="26" t="str">
        <f>IFERROR(__xludf.DUMMYFUNCTION("""COMPUTED_VALUE"""),"SCREEN|||TOL MH 159 (REORDER)")</f>
        <v>SCREEN|||TOL MH 159 (REORDER)</v>
      </c>
      <c r="P50" s="26"/>
      <c r="Q50" s="26" t="str">
        <f>IFERROR(__xludf.DUMMYFUNCTION("""COMPUTED_VALUE"""),"jose@ox-glass.com")</f>
        <v>jose@ox-glass.com</v>
      </c>
      <c r="R50" s="26" t="str">
        <f>IFERROR(__xludf.DUMMYFUNCTION("""COMPUTED_VALUE"""),"P4C")</f>
        <v>P4C</v>
      </c>
      <c r="S50" s="26" t="str">
        <f>IFERROR(__xludf.DUMMYFUNCTION("""COMPUTED_VALUE"""),"ENTRY")</f>
        <v>ENTRY</v>
      </c>
    </row>
    <row r="51" ht="22.5" customHeight="1">
      <c r="A51" s="35">
        <f>IFERROR(__xludf.DUMMYFUNCTION("""COMPUTED_VALUE"""),46213.48280593749)</f>
        <v>46213.48281</v>
      </c>
      <c r="B51" s="36" t="str">
        <f>IFERROR(__xludf.DUMMYFUNCTION("""COMPUTED_VALUE"""),"SCREEN")</f>
        <v>SCREEN</v>
      </c>
      <c r="C51" s="26" t="str">
        <f>IFERROR(__xludf.DUMMYFUNCTION("""COMPUTED_VALUE"""),"TOL MH 159 (REORDER)")</f>
        <v>TOL MH 159 (REORDER)</v>
      </c>
      <c r="D51" s="27"/>
      <c r="E51" s="27" t="str">
        <f>IFERROR(__xludf.DUMMYFUNCTION("""COMPUTED_VALUE"""),"06-4871")</f>
        <v>06-4871</v>
      </c>
      <c r="F51" s="36">
        <f>IFERROR(__xludf.DUMMYFUNCTION("""COMPUTED_VALUE"""),23.0)</f>
        <v>23</v>
      </c>
      <c r="G51" s="27" t="str">
        <f>IFERROR(__xludf.DUMMYFUNCTION("""COMPUTED_VALUE"""),"UNIT")</f>
        <v>UNIT</v>
      </c>
      <c r="H51" s="37">
        <f>IFERROR(__xludf.DUMMYFUNCTION("""COMPUTED_VALUE"""),46213.0)</f>
        <v>46213</v>
      </c>
      <c r="I51" s="36"/>
      <c r="J51" s="30" t="str">
        <f>IFERROR(__xludf.DUMMYFUNCTION("""COMPUTED_VALUE"""),"AMSCO")</f>
        <v>AMSCO</v>
      </c>
      <c r="K51" s="26"/>
      <c r="L51" s="30" t="str">
        <f>IFERROR(__xludf.DUMMYFUNCTION("""COMPUTED_VALUE"""),"In Stock")</f>
        <v>In Stock</v>
      </c>
      <c r="M51" s="26" t="str">
        <f>IFERROR(__xludf.DUMMYFUNCTION("""COMPUTED_VALUE"""),"JOSE")</f>
        <v>JOSE</v>
      </c>
      <c r="N51" s="26" t="str">
        <f>IFERROR(__xludf.DUMMYFUNCTION("""COMPUTED_VALUE"""),"TOL MH 159 (REORDER)")</f>
        <v>TOL MH 159 (REORDER)</v>
      </c>
      <c r="O51" s="26" t="str">
        <f>IFERROR(__xludf.DUMMYFUNCTION("""COMPUTED_VALUE"""),"SCREEN|||TOL MH 159 (REORDER)")</f>
        <v>SCREEN|||TOL MH 159 (REORDER)</v>
      </c>
      <c r="P51" s="26"/>
      <c r="Q51" s="26" t="str">
        <f>IFERROR(__xludf.DUMMYFUNCTION("""COMPUTED_VALUE"""),"jose@ox-glass.com")</f>
        <v>jose@ox-glass.com</v>
      </c>
      <c r="R51" s="26" t="str">
        <f>IFERROR(__xludf.DUMMYFUNCTION("""COMPUTED_VALUE"""),"A3B")</f>
        <v>A3B</v>
      </c>
      <c r="S51" s="26" t="str">
        <f>IFERROR(__xludf.DUMMYFUNCTION("""COMPUTED_VALUE"""),"ENTRY")</f>
        <v>ENTRY</v>
      </c>
    </row>
    <row r="52" ht="22.5" customHeight="1">
      <c r="A52" s="35">
        <f>IFERROR(__xludf.DUMMYFUNCTION("""COMPUTED_VALUE"""),46213.44005636574)</f>
        <v>46213.44006</v>
      </c>
      <c r="B52" s="36" t="str">
        <f>IFERROR(__xludf.DUMMYFUNCTION("""COMPUTED_VALUE"""),"SCREEN")</f>
        <v>SCREEN</v>
      </c>
      <c r="C52" s="26" t="str">
        <f>IFERROR(__xludf.DUMMYFUNCTION("""COMPUTED_VALUE"""),"TOL MH 145 (REORDER)")</f>
        <v>TOL MH 145 (REORDER)</v>
      </c>
      <c r="D52" s="27"/>
      <c r="E52" s="27" t="str">
        <f>IFERROR(__xludf.DUMMYFUNCTION("""COMPUTED_VALUE"""),"06-4872")</f>
        <v>06-4872</v>
      </c>
      <c r="F52" s="36">
        <f>IFERROR(__xludf.DUMMYFUNCTION("""COMPUTED_VALUE"""),1.0)</f>
        <v>1</v>
      </c>
      <c r="G52" s="27" t="str">
        <f>IFERROR(__xludf.DUMMYFUNCTION("""COMPUTED_VALUE"""),"UNIT")</f>
        <v>UNIT</v>
      </c>
      <c r="H52" s="37">
        <f>IFERROR(__xludf.DUMMYFUNCTION("""COMPUTED_VALUE"""),46213.0)</f>
        <v>46213</v>
      </c>
      <c r="I52" s="36"/>
      <c r="J52" s="30" t="str">
        <f>IFERROR(__xludf.DUMMYFUNCTION("""COMPUTED_VALUE"""),"AMSCO")</f>
        <v>AMSCO</v>
      </c>
      <c r="K52" s="26"/>
      <c r="L52" s="30" t="str">
        <f>IFERROR(__xludf.DUMMYFUNCTION("""COMPUTED_VALUE"""),"In Stock")</f>
        <v>In Stock</v>
      </c>
      <c r="M52" s="26" t="str">
        <f>IFERROR(__xludf.DUMMYFUNCTION("""COMPUTED_VALUE"""),"JOSE")</f>
        <v>JOSE</v>
      </c>
      <c r="N52" s="26" t="str">
        <f>IFERROR(__xludf.DUMMYFUNCTION("""COMPUTED_VALUE"""),"TOL MH 145 (REORDER)")</f>
        <v>TOL MH 145 (REORDER)</v>
      </c>
      <c r="O52" s="26" t="str">
        <f>IFERROR(__xludf.DUMMYFUNCTION("""COMPUTED_VALUE"""),"SCREEN|||TOL MH 145 (REORDER)")</f>
        <v>SCREEN|||TOL MH 145 (REORDER)</v>
      </c>
      <c r="P52" s="26"/>
      <c r="Q52" s="26" t="str">
        <f>IFERROR(__xludf.DUMMYFUNCTION("""COMPUTED_VALUE"""),"jose@ox-glass.com")</f>
        <v>jose@ox-glass.com</v>
      </c>
      <c r="R52" s="26" t="str">
        <f>IFERROR(__xludf.DUMMYFUNCTION("""COMPUTED_VALUE"""),"P4C")</f>
        <v>P4C</v>
      </c>
      <c r="S52" s="26" t="str">
        <f>IFERROR(__xludf.DUMMYFUNCTION("""COMPUTED_VALUE"""),"ENTRY")</f>
        <v>ENTRY</v>
      </c>
    </row>
    <row r="53" ht="22.5" customHeight="1">
      <c r="A53" s="35">
        <f>IFERROR(__xludf.DUMMYFUNCTION("""COMPUTED_VALUE"""),46213.44005636574)</f>
        <v>46213.44006</v>
      </c>
      <c r="B53" s="36" t="str">
        <f>IFERROR(__xludf.DUMMYFUNCTION("""COMPUTED_VALUE"""),"SCREEN")</f>
        <v>SCREEN</v>
      </c>
      <c r="C53" s="26" t="str">
        <f>IFERROR(__xludf.DUMMYFUNCTION("""COMPUTED_VALUE"""),"TOL MH 145 (REORDER)")</f>
        <v>TOL MH 145 (REORDER)</v>
      </c>
      <c r="D53" s="27"/>
      <c r="E53" s="27" t="str">
        <f>IFERROR(__xludf.DUMMYFUNCTION("""COMPUTED_VALUE"""),"06-4872")</f>
        <v>06-4872</v>
      </c>
      <c r="F53" s="36">
        <f>IFERROR(__xludf.DUMMYFUNCTION("""COMPUTED_VALUE"""),29.0)</f>
        <v>29</v>
      </c>
      <c r="G53" s="27" t="str">
        <f>IFERROR(__xludf.DUMMYFUNCTION("""COMPUTED_VALUE"""),"UNIT")</f>
        <v>UNIT</v>
      </c>
      <c r="H53" s="37">
        <f>IFERROR(__xludf.DUMMYFUNCTION("""COMPUTED_VALUE"""),46213.0)</f>
        <v>46213</v>
      </c>
      <c r="I53" s="36"/>
      <c r="J53" s="30" t="str">
        <f>IFERROR(__xludf.DUMMYFUNCTION("""COMPUTED_VALUE"""),"AMSCO")</f>
        <v>AMSCO</v>
      </c>
      <c r="K53" s="26"/>
      <c r="L53" s="30" t="str">
        <f>IFERROR(__xludf.DUMMYFUNCTION("""COMPUTED_VALUE"""),"In Stock")</f>
        <v>In Stock</v>
      </c>
      <c r="M53" s="26" t="str">
        <f>IFERROR(__xludf.DUMMYFUNCTION("""COMPUTED_VALUE"""),"JOSE")</f>
        <v>JOSE</v>
      </c>
      <c r="N53" s="26" t="str">
        <f>IFERROR(__xludf.DUMMYFUNCTION("""COMPUTED_VALUE"""),"TOL MH 145 (REORDER)")</f>
        <v>TOL MH 145 (REORDER)</v>
      </c>
      <c r="O53" s="26" t="str">
        <f>IFERROR(__xludf.DUMMYFUNCTION("""COMPUTED_VALUE"""),"SCREEN|||TOL MH 145 (REORDER)")</f>
        <v>SCREEN|||TOL MH 145 (REORDER)</v>
      </c>
      <c r="P53" s="26"/>
      <c r="Q53" s="26" t="str">
        <f>IFERROR(__xludf.DUMMYFUNCTION("""COMPUTED_VALUE"""),"jose@ox-glass.com")</f>
        <v>jose@ox-glass.com</v>
      </c>
      <c r="R53" s="26" t="str">
        <f>IFERROR(__xludf.DUMMYFUNCTION("""COMPUTED_VALUE"""),"B2B")</f>
        <v>B2B</v>
      </c>
      <c r="S53" s="26" t="str">
        <f>IFERROR(__xludf.DUMMYFUNCTION("""COMPUTED_VALUE"""),"ENTRY")</f>
        <v>ENTRY</v>
      </c>
    </row>
    <row r="54" ht="22.5" customHeight="1">
      <c r="A54" s="35">
        <f>IFERROR(__xludf.DUMMYFUNCTION("""COMPUTED_VALUE"""),46213.43398263889)</f>
        <v>46213.43398</v>
      </c>
      <c r="B54" s="36" t="str">
        <f>IFERROR(__xludf.DUMMYFUNCTION("""COMPUTED_VALUE"""),"SCREEN")</f>
        <v>SCREEN</v>
      </c>
      <c r="C54" s="26" t="str">
        <f>IFERROR(__xludf.DUMMYFUNCTION("""COMPUTED_VALUE"""),"TOL MH 146 (W-REORDER)")</f>
        <v>TOL MH 146 (W-REORDER)</v>
      </c>
      <c r="D54" s="27"/>
      <c r="E54" s="27" t="str">
        <f>IFERROR(__xludf.DUMMYFUNCTION("""COMPUTED_VALUE"""),"06-4847")</f>
        <v>06-4847</v>
      </c>
      <c r="F54" s="36">
        <f>IFERROR(__xludf.DUMMYFUNCTION("""COMPUTED_VALUE"""),29.0)</f>
        <v>29</v>
      </c>
      <c r="G54" s="27" t="str">
        <f>IFERROR(__xludf.DUMMYFUNCTION("""COMPUTED_VALUE"""),"UNIT")</f>
        <v>UNIT</v>
      </c>
      <c r="H54" s="37">
        <f>IFERROR(__xludf.DUMMYFUNCTION("""COMPUTED_VALUE"""),46213.0)</f>
        <v>46213</v>
      </c>
      <c r="I54" s="36"/>
      <c r="J54" s="30" t="str">
        <f>IFERROR(__xludf.DUMMYFUNCTION("""COMPUTED_VALUE"""),"AMSCO")</f>
        <v>AMSCO</v>
      </c>
      <c r="K54" s="26"/>
      <c r="L54" s="30" t="str">
        <f>IFERROR(__xludf.DUMMYFUNCTION("""COMPUTED_VALUE"""),"In Stock")</f>
        <v>In Stock</v>
      </c>
      <c r="M54" s="26" t="str">
        <f>IFERROR(__xludf.DUMMYFUNCTION("""COMPUTED_VALUE"""),"JOSE")</f>
        <v>JOSE</v>
      </c>
      <c r="N54" s="26" t="str">
        <f>IFERROR(__xludf.DUMMYFUNCTION("""COMPUTED_VALUE"""),"TOL MH 146 W REORDER")</f>
        <v>TOL MH 146 W REORDER</v>
      </c>
      <c r="O54" s="26" t="str">
        <f>IFERROR(__xludf.DUMMYFUNCTION("""COMPUTED_VALUE"""),"SCREEN|||TOL MH 146 (W REORDER)")</f>
        <v>SCREEN|||TOL MH 146 (W REORDER)</v>
      </c>
      <c r="P54" s="26"/>
      <c r="Q54" s="26" t="str">
        <f>IFERROR(__xludf.DUMMYFUNCTION("""COMPUTED_VALUE"""),"jose@ox-glass.com")</f>
        <v>jose@ox-glass.com</v>
      </c>
      <c r="R54" s="26" t="str">
        <f>IFERROR(__xludf.DUMMYFUNCTION("""COMPUTED_VALUE"""),"A2B")</f>
        <v>A2B</v>
      </c>
      <c r="S54" s="26" t="str">
        <f>IFERROR(__xludf.DUMMYFUNCTION("""COMPUTED_VALUE"""),"ENTRY")</f>
        <v>ENTRY</v>
      </c>
    </row>
    <row r="55" ht="22.5" customHeight="1">
      <c r="A55" s="35">
        <f>IFERROR(__xludf.DUMMYFUNCTION("""COMPUTED_VALUE"""),46213.43398263889)</f>
        <v>46213.43398</v>
      </c>
      <c r="B55" s="36" t="str">
        <f>IFERROR(__xludf.DUMMYFUNCTION("""COMPUTED_VALUE"""),"SCREEN")</f>
        <v>SCREEN</v>
      </c>
      <c r="C55" s="26" t="str">
        <f>IFERROR(__xludf.DUMMYFUNCTION("""COMPUTED_VALUE"""),"TOL MH 146 (W-REORDER)")</f>
        <v>TOL MH 146 (W-REORDER)</v>
      </c>
      <c r="D55" s="27"/>
      <c r="E55" s="27" t="str">
        <f>IFERROR(__xludf.DUMMYFUNCTION("""COMPUTED_VALUE"""),"06-4847")</f>
        <v>06-4847</v>
      </c>
      <c r="F55" s="36">
        <f>IFERROR(__xludf.DUMMYFUNCTION("""COMPUTED_VALUE"""),1.0)</f>
        <v>1</v>
      </c>
      <c r="G55" s="27" t="str">
        <f>IFERROR(__xludf.DUMMYFUNCTION("""COMPUTED_VALUE"""),"UNIT")</f>
        <v>UNIT</v>
      </c>
      <c r="H55" s="37">
        <f>IFERROR(__xludf.DUMMYFUNCTION("""COMPUTED_VALUE"""),46213.0)</f>
        <v>46213</v>
      </c>
      <c r="I55" s="36"/>
      <c r="J55" s="30" t="str">
        <f>IFERROR(__xludf.DUMMYFUNCTION("""COMPUTED_VALUE"""),"AMSCO")</f>
        <v>AMSCO</v>
      </c>
      <c r="K55" s="26"/>
      <c r="L55" s="30" t="str">
        <f>IFERROR(__xludf.DUMMYFUNCTION("""COMPUTED_VALUE"""),"In Stock")</f>
        <v>In Stock</v>
      </c>
      <c r="M55" s="26" t="str">
        <f>IFERROR(__xludf.DUMMYFUNCTION("""COMPUTED_VALUE"""),"JOSE")</f>
        <v>JOSE</v>
      </c>
      <c r="N55" s="26" t="str">
        <f>IFERROR(__xludf.DUMMYFUNCTION("""COMPUTED_VALUE"""),"TOL MH 146 W REORDER")</f>
        <v>TOL MH 146 W REORDER</v>
      </c>
      <c r="O55" s="26" t="str">
        <f>IFERROR(__xludf.DUMMYFUNCTION("""COMPUTED_VALUE"""),"SCREEN|||TOL MH 146 (W REORDER)")</f>
        <v>SCREEN|||TOL MH 146 (W REORDER)</v>
      </c>
      <c r="P55" s="26"/>
      <c r="Q55" s="26" t="str">
        <f>IFERROR(__xludf.DUMMYFUNCTION("""COMPUTED_VALUE"""),"jose@ox-glass.com")</f>
        <v>jose@ox-glass.com</v>
      </c>
      <c r="R55" s="26" t="str">
        <f>IFERROR(__xludf.DUMMYFUNCTION("""COMPUTED_VALUE"""),"P4C")</f>
        <v>P4C</v>
      </c>
      <c r="S55" s="26" t="str">
        <f>IFERROR(__xludf.DUMMYFUNCTION("""COMPUTED_VALUE"""),"ENTRY")</f>
        <v>ENTRY</v>
      </c>
    </row>
    <row r="56" ht="22.5" customHeight="1">
      <c r="A56" s="35">
        <f>IFERROR(__xludf.DUMMYFUNCTION("""COMPUTED_VALUE"""),46212.458445509255)</f>
        <v>46212.45845</v>
      </c>
      <c r="B56" s="36" t="str">
        <f>IFERROR(__xludf.DUMMYFUNCTION("""COMPUTED_VALUE"""),"SCREEN")</f>
        <v>SCREEN</v>
      </c>
      <c r="C56" s="26" t="str">
        <f>IFERROR(__xludf.DUMMYFUNCTION("""COMPUTED_VALUE"""),"MISC JONES RES")</f>
        <v>MISC JONES RES</v>
      </c>
      <c r="D56" s="27"/>
      <c r="E56" s="27" t="str">
        <f>IFERROR(__xludf.DUMMYFUNCTION("""COMPUTED_VALUE"""),"N722Z")</f>
        <v>N722Z</v>
      </c>
      <c r="F56" s="36">
        <f>IFERROR(__xludf.DUMMYFUNCTION("""COMPUTED_VALUE"""),7.0)</f>
        <v>7</v>
      </c>
      <c r="G56" s="27" t="str">
        <f>IFERROR(__xludf.DUMMYFUNCTION("""COMPUTED_VALUE"""),"UNIT")</f>
        <v>UNIT</v>
      </c>
      <c r="H56" s="37">
        <f>IFERROR(__xludf.DUMMYFUNCTION("""COMPUTED_VALUE"""),46212.0)</f>
        <v>46212</v>
      </c>
      <c r="I56" s="36"/>
      <c r="J56" s="30" t="str">
        <f>IFERROR(__xludf.DUMMYFUNCTION("""COMPUTED_VALUE"""),"ALSIDE")</f>
        <v>ALSIDE</v>
      </c>
      <c r="K56" s="26"/>
      <c r="L56" s="30" t="str">
        <f>IFERROR(__xludf.DUMMYFUNCTION("""COMPUTED_VALUE"""),"In Stock")</f>
        <v>In Stock</v>
      </c>
      <c r="M56" s="26" t="str">
        <f>IFERROR(__xludf.DUMMYFUNCTION("""COMPUTED_VALUE"""),"JOSE")</f>
        <v>JOSE</v>
      </c>
      <c r="N56" s="26" t="str">
        <f>IFERROR(__xludf.DUMMYFUNCTION("""COMPUTED_VALUE"""),"MISC JONES RES")</f>
        <v>MISC JONES RES</v>
      </c>
      <c r="O56" s="26" t="str">
        <f>IFERROR(__xludf.DUMMYFUNCTION("""COMPUTED_VALUE"""),"SCREEN|||MISC JONES RES")</f>
        <v>SCREEN|||MISC JONES RES</v>
      </c>
      <c r="P56" s="26" t="str">
        <f>IFERROR(__xludf.DUMMYFUNCTION("""COMPUTED_VALUE"""),"Delivery||https://drive.google.com/file/d/1G91iD4ErnV_IiSOPKFlzfQfI_k0XL5S3/view?usp=drivesdk")</f>
        <v>Delivery||https://drive.google.com/file/d/1G91iD4ErnV_IiSOPKFlzfQfI_k0XL5S3/view?usp=drivesdk</v>
      </c>
      <c r="Q56" s="26" t="str">
        <f>IFERROR(__xludf.DUMMYFUNCTION("""COMPUTED_VALUE"""),"jose@ox-glass.com")</f>
        <v>jose@ox-glass.com</v>
      </c>
      <c r="R56" s="26" t="str">
        <f>IFERROR(__xludf.DUMMYFUNCTION("""COMPUTED_VALUE"""),"A3B")</f>
        <v>A3B</v>
      </c>
      <c r="S56" s="26" t="str">
        <f>IFERROR(__xludf.DUMMYFUNCTION("""COMPUTED_VALUE"""),"ENTRY")</f>
        <v>ENTRY</v>
      </c>
    </row>
    <row r="57" ht="22.5" customHeight="1">
      <c r="A57" s="35">
        <f>IFERROR(__xludf.DUMMYFUNCTION("""COMPUTED_VALUE"""),46212.45433656251)</f>
        <v>46212.45434</v>
      </c>
      <c r="B57" s="36" t="str">
        <f>IFERROR(__xludf.DUMMYFUNCTION("""COMPUTED_VALUE"""),"SCREEN")</f>
        <v>SCREEN</v>
      </c>
      <c r="C57" s="26" t="str">
        <f>IFERROR(__xludf.DUMMYFUNCTION("""COMPUTED_VALUE"""),"WESTERLY UNIT 414 W09")</f>
        <v>WESTERLY UNIT 414 W09</v>
      </c>
      <c r="D57" s="27"/>
      <c r="E57" s="27" t="str">
        <f>IFERROR(__xludf.DUMMYFUNCTION("""COMPUTED_VALUE"""),"7199")</f>
        <v>7199</v>
      </c>
      <c r="F57" s="36">
        <f>IFERROR(__xludf.DUMMYFUNCTION("""COMPUTED_VALUE"""),2.0)</f>
        <v>2</v>
      </c>
      <c r="G57" s="27" t="str">
        <f>IFERROR(__xludf.DUMMYFUNCTION("""COMPUTED_VALUE"""),"UNIT")</f>
        <v>UNIT</v>
      </c>
      <c r="H57" s="37">
        <f>IFERROR(__xludf.DUMMYFUNCTION("""COMPUTED_VALUE"""),46212.0)</f>
        <v>46212</v>
      </c>
      <c r="I57" s="36"/>
      <c r="J57" s="30" t="str">
        <f>IFERROR(__xludf.DUMMYFUNCTION("""COMPUTED_VALUE"""),"ALSIDE")</f>
        <v>ALSIDE</v>
      </c>
      <c r="K57" s="26"/>
      <c r="L57" s="30" t="str">
        <f>IFERROR(__xludf.DUMMYFUNCTION("""COMPUTED_VALUE"""),"In Stock")</f>
        <v>In Stock</v>
      </c>
      <c r="M57" s="26" t="str">
        <f>IFERROR(__xludf.DUMMYFUNCTION("""COMPUTED_VALUE"""),"JOSE")</f>
        <v>JOSE</v>
      </c>
      <c r="N57" s="26" t="str">
        <f>IFERROR(__xludf.DUMMYFUNCTION("""COMPUTED_VALUE"""),"WESTERLY UNIT 414 W09")</f>
        <v>WESTERLY UNIT 414 W09</v>
      </c>
      <c r="O57" s="26" t="str">
        <f>IFERROR(__xludf.DUMMYFUNCTION("""COMPUTED_VALUE"""),"SCREEN|||WESTERLY UNIT 414 W09")</f>
        <v>SCREEN|||WESTERLY UNIT 414 W09</v>
      </c>
      <c r="P57" s="26"/>
      <c r="Q57" s="26" t="str">
        <f>IFERROR(__xludf.DUMMYFUNCTION("""COMPUTED_VALUE"""),"jose@ox-glass.com")</f>
        <v>jose@ox-glass.com</v>
      </c>
      <c r="R57" s="26" t="str">
        <f>IFERROR(__xludf.DUMMYFUNCTION("""COMPUTED_VALUE"""),"C2B")</f>
        <v>C2B</v>
      </c>
      <c r="S57" s="26" t="str">
        <f>IFERROR(__xludf.DUMMYFUNCTION("""COMPUTED_VALUE"""),"ENTRY")</f>
        <v>ENTRY</v>
      </c>
    </row>
    <row r="58" ht="22.5" customHeight="1">
      <c r="A58" s="35">
        <f>IFERROR(__xludf.DUMMYFUNCTION("""COMPUTED_VALUE"""),46212.42870311342)</f>
        <v>46212.4287</v>
      </c>
      <c r="B58" s="36" t="str">
        <f>IFERROR(__xludf.DUMMYFUNCTION("""COMPUTED_VALUE"""),"SCREEN")</f>
        <v>SCREEN</v>
      </c>
      <c r="C58" s="26" t="str">
        <f>IFERROR(__xludf.DUMMYFUNCTION("""COMPUTED_VALUE"""),"CAMDEN COMMONS 23_24")</f>
        <v>CAMDEN COMMONS 23_24</v>
      </c>
      <c r="D58" s="27" t="str">
        <f>IFERROR(__xludf.DUMMYFUNCTION("""COMPUTED_VALUE"""),"GOO")</f>
        <v>GOO</v>
      </c>
      <c r="E58" s="27"/>
      <c r="F58" s="36">
        <f>IFERROR(__xludf.DUMMYFUNCTION("""COMPUTED_VALUE"""),24.0)</f>
        <v>24</v>
      </c>
      <c r="G58" s="27" t="str">
        <f>IFERROR(__xludf.DUMMYFUNCTION("""COMPUTED_VALUE"""),"UNIT")</f>
        <v>UNIT</v>
      </c>
      <c r="H58" s="37">
        <f>IFERROR(__xludf.DUMMYFUNCTION("""COMPUTED_VALUE"""),46212.0)</f>
        <v>46212</v>
      </c>
      <c r="I58" s="36"/>
      <c r="J58" s="30" t="str">
        <f>IFERROR(__xludf.DUMMYFUNCTION("""COMPUTED_VALUE"""),"WINDSOR")</f>
        <v>WINDSOR</v>
      </c>
      <c r="K58" s="26"/>
      <c r="L58" s="30" t="str">
        <f>IFERROR(__xludf.DUMMYFUNCTION("""COMPUTED_VALUE"""),"In Stock")</f>
        <v>In Stock</v>
      </c>
      <c r="M58" s="26" t="str">
        <f>IFERROR(__xludf.DUMMYFUNCTION("""COMPUTED_VALUE"""),"JOSE")</f>
        <v>JOSE</v>
      </c>
      <c r="N58" s="26" t="str">
        <f>IFERROR(__xludf.DUMMYFUNCTION("""COMPUTED_VALUE"""),"GOO CAMDEN COMMONS 23_24")</f>
        <v>GOO CAMDEN COMMONS 23_24</v>
      </c>
      <c r="O58" s="26" t="str">
        <f>IFERROR(__xludf.DUMMYFUNCTION("""COMPUTED_VALUE"""),"SCREEN|||CAMDEN COMMONS 23_24")</f>
        <v>SCREEN|||CAMDEN COMMONS 23_24</v>
      </c>
      <c r="P58" s="26"/>
      <c r="Q58" s="26" t="str">
        <f>IFERROR(__xludf.DUMMYFUNCTION("""COMPUTED_VALUE"""),"jose@ox-glass.com")</f>
        <v>jose@ox-glass.com</v>
      </c>
      <c r="R58" s="26" t="str">
        <f>IFERROR(__xludf.DUMMYFUNCTION("""COMPUTED_VALUE"""),"C1B")</f>
        <v>C1B</v>
      </c>
      <c r="S58" s="26" t="str">
        <f>IFERROR(__xludf.DUMMYFUNCTION("""COMPUTED_VALUE"""),"ENTRY")</f>
        <v>ENTRY</v>
      </c>
    </row>
    <row r="59" ht="22.5" customHeight="1">
      <c r="A59" s="35">
        <f>IFERROR(__xludf.DUMMYFUNCTION("""COMPUTED_VALUE"""),46211.348507546296)</f>
        <v>46211.34851</v>
      </c>
      <c r="B59" s="36" t="str">
        <f>IFERROR(__xludf.DUMMYFUNCTION("""COMPUTED_VALUE"""),"SCREEN")</f>
        <v>SCREEN</v>
      </c>
      <c r="C59" s="26" t="str">
        <f>IFERROR(__xludf.DUMMYFUNCTION("""COMPUTED_VALUE"""),"WHI 222")</f>
        <v>WHI 222</v>
      </c>
      <c r="D59" s="27"/>
      <c r="E59" s="27"/>
      <c r="F59" s="36">
        <f>IFERROR(__xludf.DUMMYFUNCTION("""COMPUTED_VALUE"""),1.0)</f>
        <v>1</v>
      </c>
      <c r="G59" s="27" t="str">
        <f>IFERROR(__xludf.DUMMYFUNCTION("""COMPUTED_VALUE"""),"UNIT")</f>
        <v>UNIT</v>
      </c>
      <c r="H59" s="37">
        <f>IFERROR(__xludf.DUMMYFUNCTION("""COMPUTED_VALUE"""),46211.0)</f>
        <v>46211</v>
      </c>
      <c r="I59" s="36" t="str">
        <f>IFERROR(__xludf.DUMMYFUNCTION("""COMPUTED_VALUE"""),"P1C")</f>
        <v>P1C</v>
      </c>
      <c r="J59" s="30"/>
      <c r="K59" s="26"/>
      <c r="L59" s="30" t="str">
        <f>IFERROR(__xludf.DUMMYFUNCTION("""COMPUTED_VALUE"""),"Dispatched")</f>
        <v>Dispatched</v>
      </c>
      <c r="M59" s="26" t="str">
        <f>IFERROR(__xludf.DUMMYFUNCTION("""COMPUTED_VALUE"""),"JOE L.")</f>
        <v>JOE L.</v>
      </c>
      <c r="N59" s="26"/>
      <c r="O59" s="26" t="str">
        <f>IFERROR(__xludf.DUMMYFUNCTION("""COMPUTED_VALUE"""),"SCREEN|||WHI 222")</f>
        <v>SCREEN|||WHI 222</v>
      </c>
      <c r="P59" s="26"/>
      <c r="Q59" s="26" t="str">
        <f>IFERROR(__xludf.DUMMYFUNCTION("""COMPUTED_VALUE"""),"jose@ox-glass.com")</f>
        <v>jose@ox-glass.com</v>
      </c>
      <c r="R59" s="26" t="str">
        <f>IFERROR(__xludf.DUMMYFUNCTION("""COMPUTED_VALUE"""),"WHI 222")</f>
        <v>WHI 222</v>
      </c>
      <c r="S59" s="26" t="str">
        <f>IFERROR(__xludf.DUMMYFUNCTION("""COMPUTED_VALUE"""),"EXIT")</f>
        <v>EXIT</v>
      </c>
    </row>
    <row r="60" ht="22.5" customHeight="1">
      <c r="A60" s="35">
        <f>IFERROR(__xludf.DUMMYFUNCTION("""COMPUTED_VALUE"""),46211.34630038194)</f>
        <v>46211.3463</v>
      </c>
      <c r="B60" s="36" t="str">
        <f>IFERROR(__xludf.DUMMYFUNCTION("""COMPUTED_VALUE"""),"SCREEN")</f>
        <v>SCREEN</v>
      </c>
      <c r="C60" s="26" t="str">
        <f>IFERROR(__xludf.DUMMYFUNCTION("""COMPUTED_VALUE"""),"WHI 222")</f>
        <v>WHI 222</v>
      </c>
      <c r="D60" s="27"/>
      <c r="E60" s="27" t="str">
        <f>IFERROR(__xludf.DUMMYFUNCTION("""COMPUTED_VALUE"""),"04-6621")</f>
        <v>04-6621</v>
      </c>
      <c r="F60" s="36">
        <f>IFERROR(__xludf.DUMMYFUNCTION("""COMPUTED_VALUE"""),1.0)</f>
        <v>1</v>
      </c>
      <c r="G60" s="27" t="str">
        <f>IFERROR(__xludf.DUMMYFUNCTION("""COMPUTED_VALUE"""),"UNIT")</f>
        <v>UNIT</v>
      </c>
      <c r="H60" s="37">
        <f>IFERROR(__xludf.DUMMYFUNCTION("""COMPUTED_VALUE"""),46157.0)</f>
        <v>46157</v>
      </c>
      <c r="I60" s="36"/>
      <c r="J60" s="30" t="str">
        <f>IFERROR(__xludf.DUMMYFUNCTION("""COMPUTED_VALUE"""),"AMSCO")</f>
        <v>AMSCO</v>
      </c>
      <c r="K60" s="26"/>
      <c r="L60" s="30" t="str">
        <f>IFERROR(__xludf.DUMMYFUNCTION("""COMPUTED_VALUE"""),"In Stock")</f>
        <v>In Stock</v>
      </c>
      <c r="M60" s="26" t="str">
        <f>IFERROR(__xludf.DUMMYFUNCTION("""COMPUTED_VALUE"""),"JOSE")</f>
        <v>JOSE</v>
      </c>
      <c r="N60" s="26" t="str">
        <f>IFERROR(__xludf.DUMMYFUNCTION("""COMPUTED_VALUE"""),"WHI 222")</f>
        <v>WHI 222</v>
      </c>
      <c r="O60" s="26" t="str">
        <f>IFERROR(__xludf.DUMMYFUNCTION("""COMPUTED_VALUE"""),"SCREEN|||WHI 222")</f>
        <v>SCREEN|||WHI 222</v>
      </c>
      <c r="P60" s="26"/>
      <c r="Q60" s="26" t="str">
        <f>IFERROR(__xludf.DUMMYFUNCTION("""COMPUTED_VALUE"""),"jose@ox-glass.com")</f>
        <v>jose@ox-glass.com</v>
      </c>
      <c r="R60" s="26" t="str">
        <f>IFERROR(__xludf.DUMMYFUNCTION("""COMPUTED_VALUE"""),"P1C")</f>
        <v>P1C</v>
      </c>
      <c r="S60" s="26" t="str">
        <f>IFERROR(__xludf.DUMMYFUNCTION("""COMPUTED_VALUE"""),"ENTRY")</f>
        <v>ENTRY</v>
      </c>
    </row>
    <row r="61" ht="22.5" customHeight="1">
      <c r="A61" s="35">
        <f>IFERROR(__xludf.DUMMYFUNCTION("""COMPUTED_VALUE"""),46211.34517457176)</f>
        <v>46211.34517</v>
      </c>
      <c r="B61" s="36" t="str">
        <f>IFERROR(__xludf.DUMMYFUNCTION("""COMPUTED_VALUE"""),"SCREEN")</f>
        <v>SCREEN</v>
      </c>
      <c r="C61" s="26" t="str">
        <f>IFERROR(__xludf.DUMMYFUNCTION("""COMPUTED_VALUE"""),"WHILOT219")</f>
        <v>WHILOT219</v>
      </c>
      <c r="D61" s="27"/>
      <c r="E61" s="27"/>
      <c r="F61" s="36">
        <f>IFERROR(__xludf.DUMMYFUNCTION("""COMPUTED_VALUE"""),12.0)</f>
        <v>12</v>
      </c>
      <c r="G61" s="27" t="str">
        <f>IFERROR(__xludf.DUMMYFUNCTION("""COMPUTED_VALUE"""),"UNIT")</f>
        <v>UNIT</v>
      </c>
      <c r="H61" s="37">
        <f>IFERROR(__xludf.DUMMYFUNCTION("""COMPUTED_VALUE"""),46211.0)</f>
        <v>46211</v>
      </c>
      <c r="I61" s="36" t="str">
        <f>IFERROR(__xludf.DUMMYFUNCTION("""COMPUTED_VALUE"""),"B1B")</f>
        <v>B1B</v>
      </c>
      <c r="J61" s="30"/>
      <c r="K61" s="26" t="str">
        <f>IFERROR(__xludf.DUMMYFUNCTION("""COMPUTED_VALUE"""),"THEY ALL WERE TAKEN, EACH ONE TO ITS JOB SITE")</f>
        <v>THEY ALL WERE TAKEN, EACH ONE TO ITS JOB SITE</v>
      </c>
      <c r="L61" s="30" t="str">
        <f>IFERROR(__xludf.DUMMYFUNCTION("""COMPUTED_VALUE"""),"Dispatched")</f>
        <v>Dispatched</v>
      </c>
      <c r="M61" s="26" t="str">
        <f>IFERROR(__xludf.DUMMYFUNCTION("""COMPUTED_VALUE"""),"JOE L.")</f>
        <v>JOE L.</v>
      </c>
      <c r="N61" s="26"/>
      <c r="O61" s="26" t="str">
        <f>IFERROR(__xludf.DUMMYFUNCTION("""COMPUTED_VALUE"""),"SCREEN|||WHILOT219")</f>
        <v>SCREEN|||WHILOT219</v>
      </c>
      <c r="P61" s="26"/>
      <c r="Q61" s="26" t="str">
        <f>IFERROR(__xludf.DUMMYFUNCTION("""COMPUTED_VALUE"""),"jose@ox-glass.com")</f>
        <v>jose@ox-glass.com</v>
      </c>
      <c r="R61" s="26" t="str">
        <f>IFERROR(__xludf.DUMMYFUNCTION("""COMPUTED_VALUE"""),"WHI")</f>
        <v>WHI</v>
      </c>
      <c r="S61" s="26" t="str">
        <f>IFERROR(__xludf.DUMMYFUNCTION("""COMPUTED_VALUE"""),"EXIT")</f>
        <v>EXIT</v>
      </c>
    </row>
    <row r="62" ht="22.5" customHeight="1">
      <c r="A62" s="35">
        <f>IFERROR(__xludf.DUMMYFUNCTION("""COMPUTED_VALUE"""),46211.34517457176)</f>
        <v>46211.34517</v>
      </c>
      <c r="B62" s="36" t="str">
        <f>IFERROR(__xludf.DUMMYFUNCTION("""COMPUTED_VALUE"""),"SCREEN")</f>
        <v>SCREEN</v>
      </c>
      <c r="C62" s="26" t="str">
        <f>IFERROR(__xludf.DUMMYFUNCTION("""COMPUTED_VALUE"""),"WHILOT219")</f>
        <v>WHILOT219</v>
      </c>
      <c r="D62" s="27"/>
      <c r="E62" s="27"/>
      <c r="F62" s="36">
        <f>IFERROR(__xludf.DUMMYFUNCTION("""COMPUTED_VALUE"""),1.0)</f>
        <v>1</v>
      </c>
      <c r="G62" s="27" t="str">
        <f>IFERROR(__xludf.DUMMYFUNCTION("""COMPUTED_VALUE"""),"UNIT")</f>
        <v>UNIT</v>
      </c>
      <c r="H62" s="37">
        <f>IFERROR(__xludf.DUMMYFUNCTION("""COMPUTED_VALUE"""),46211.0)</f>
        <v>46211</v>
      </c>
      <c r="I62" s="36" t="str">
        <f>IFERROR(__xludf.DUMMYFUNCTION("""COMPUTED_VALUE"""),"P1C")</f>
        <v>P1C</v>
      </c>
      <c r="J62" s="30"/>
      <c r="K62" s="26" t="str">
        <f>IFERROR(__xludf.DUMMYFUNCTION("""COMPUTED_VALUE"""),"THEY ALL WERE TAKEN, EACH ONE TO ITS JOB SITE")</f>
        <v>THEY ALL WERE TAKEN, EACH ONE TO ITS JOB SITE</v>
      </c>
      <c r="L62" s="30" t="str">
        <f>IFERROR(__xludf.DUMMYFUNCTION("""COMPUTED_VALUE"""),"Dispatched")</f>
        <v>Dispatched</v>
      </c>
      <c r="M62" s="26" t="str">
        <f>IFERROR(__xludf.DUMMYFUNCTION("""COMPUTED_VALUE"""),"JOE L.")</f>
        <v>JOE L.</v>
      </c>
      <c r="N62" s="26"/>
      <c r="O62" s="26" t="str">
        <f>IFERROR(__xludf.DUMMYFUNCTION("""COMPUTED_VALUE"""),"SCREEN|||WHILOT219")</f>
        <v>SCREEN|||WHILOT219</v>
      </c>
      <c r="P62" s="26"/>
      <c r="Q62" s="26" t="str">
        <f>IFERROR(__xludf.DUMMYFUNCTION("""COMPUTED_VALUE"""),"jose@ox-glass.com")</f>
        <v>jose@ox-glass.com</v>
      </c>
      <c r="R62" s="26" t="str">
        <f>IFERROR(__xludf.DUMMYFUNCTION("""COMPUTED_VALUE"""),"WHI")</f>
        <v>WHI</v>
      </c>
      <c r="S62" s="26" t="str">
        <f>IFERROR(__xludf.DUMMYFUNCTION("""COMPUTED_VALUE"""),"EXIT")</f>
        <v>EXIT</v>
      </c>
    </row>
    <row r="63" ht="22.5" customHeight="1">
      <c r="A63" s="35">
        <f>IFERROR(__xludf.DUMMYFUNCTION("""COMPUTED_VALUE"""),46211.34517457176)</f>
        <v>46211.34517</v>
      </c>
      <c r="B63" s="36" t="str">
        <f>IFERROR(__xludf.DUMMYFUNCTION("""COMPUTED_VALUE"""),"SCREEN")</f>
        <v>SCREEN</v>
      </c>
      <c r="C63" s="26" t="str">
        <f>IFERROR(__xludf.DUMMYFUNCTION("""COMPUTED_VALUE"""),"WHIPR220")</f>
        <v>WHIPR220</v>
      </c>
      <c r="D63" s="27"/>
      <c r="E63" s="27"/>
      <c r="F63" s="36">
        <f>IFERROR(__xludf.DUMMYFUNCTION("""COMPUTED_VALUE"""),11.0)</f>
        <v>11</v>
      </c>
      <c r="G63" s="27" t="str">
        <f>IFERROR(__xludf.DUMMYFUNCTION("""COMPUTED_VALUE"""),"UNIT")</f>
        <v>UNIT</v>
      </c>
      <c r="H63" s="37">
        <f>IFERROR(__xludf.DUMMYFUNCTION("""COMPUTED_VALUE"""),46211.0)</f>
        <v>46211</v>
      </c>
      <c r="I63" s="36" t="str">
        <f>IFERROR(__xludf.DUMMYFUNCTION("""COMPUTED_VALUE"""),"B2B")</f>
        <v>B2B</v>
      </c>
      <c r="J63" s="30"/>
      <c r="K63" s="26" t="str">
        <f>IFERROR(__xludf.DUMMYFUNCTION("""COMPUTED_VALUE"""),"THEY ALL WERE TAKEN, EACH ONE TO ITS JOB SITE")</f>
        <v>THEY ALL WERE TAKEN, EACH ONE TO ITS JOB SITE</v>
      </c>
      <c r="L63" s="30" t="str">
        <f>IFERROR(__xludf.DUMMYFUNCTION("""COMPUTED_VALUE"""),"Dispatched")</f>
        <v>Dispatched</v>
      </c>
      <c r="M63" s="26" t="str">
        <f>IFERROR(__xludf.DUMMYFUNCTION("""COMPUTED_VALUE"""),"JOE L.")</f>
        <v>JOE L.</v>
      </c>
      <c r="N63" s="26"/>
      <c r="O63" s="26" t="str">
        <f>IFERROR(__xludf.DUMMYFUNCTION("""COMPUTED_VALUE"""),"SCREEN|||WHIPR220")</f>
        <v>SCREEN|||WHIPR220</v>
      </c>
      <c r="P63" s="26"/>
      <c r="Q63" s="26" t="str">
        <f>IFERROR(__xludf.DUMMYFUNCTION("""COMPUTED_VALUE"""),"jose@ox-glass.com")</f>
        <v>jose@ox-glass.com</v>
      </c>
      <c r="R63" s="26" t="str">
        <f>IFERROR(__xludf.DUMMYFUNCTION("""COMPUTED_VALUE"""),"WHI")</f>
        <v>WHI</v>
      </c>
      <c r="S63" s="26" t="str">
        <f>IFERROR(__xludf.DUMMYFUNCTION("""COMPUTED_VALUE"""),"EXIT")</f>
        <v>EXIT</v>
      </c>
    </row>
    <row r="64" ht="22.5" customHeight="1">
      <c r="A64" s="35">
        <f>IFERROR(__xludf.DUMMYFUNCTION("""COMPUTED_VALUE"""),46211.34517457176)</f>
        <v>46211.34517</v>
      </c>
      <c r="B64" s="36" t="str">
        <f>IFERROR(__xludf.DUMMYFUNCTION("""COMPUTED_VALUE"""),"SCREEN")</f>
        <v>SCREEN</v>
      </c>
      <c r="C64" s="26" t="str">
        <f>IFERROR(__xludf.DUMMYFUNCTION("""COMPUTED_VALUE"""),"WHIPR220")</f>
        <v>WHIPR220</v>
      </c>
      <c r="D64" s="27"/>
      <c r="E64" s="27"/>
      <c r="F64" s="36">
        <f>IFERROR(__xludf.DUMMYFUNCTION("""COMPUTED_VALUE"""),1.0)</f>
        <v>1</v>
      </c>
      <c r="G64" s="27" t="str">
        <f>IFERROR(__xludf.DUMMYFUNCTION("""COMPUTED_VALUE"""),"UNIT")</f>
        <v>UNIT</v>
      </c>
      <c r="H64" s="37">
        <f>IFERROR(__xludf.DUMMYFUNCTION("""COMPUTED_VALUE"""),46211.0)</f>
        <v>46211</v>
      </c>
      <c r="I64" s="36" t="str">
        <f>IFERROR(__xludf.DUMMYFUNCTION("""COMPUTED_VALUE"""),"P1C")</f>
        <v>P1C</v>
      </c>
      <c r="J64" s="30"/>
      <c r="K64" s="26" t="str">
        <f>IFERROR(__xludf.DUMMYFUNCTION("""COMPUTED_VALUE"""),"THEY ALL WERE TAKEN, EACH ONE TO ITS JOB SITE")</f>
        <v>THEY ALL WERE TAKEN, EACH ONE TO ITS JOB SITE</v>
      </c>
      <c r="L64" s="30" t="str">
        <f>IFERROR(__xludf.DUMMYFUNCTION("""COMPUTED_VALUE"""),"Dispatched")</f>
        <v>Dispatched</v>
      </c>
      <c r="M64" s="26" t="str">
        <f>IFERROR(__xludf.DUMMYFUNCTION("""COMPUTED_VALUE"""),"JOE L.")</f>
        <v>JOE L.</v>
      </c>
      <c r="N64" s="26"/>
      <c r="O64" s="26" t="str">
        <f>IFERROR(__xludf.DUMMYFUNCTION("""COMPUTED_VALUE"""),"SCREEN|||WHIPR220")</f>
        <v>SCREEN|||WHIPR220</v>
      </c>
      <c r="P64" s="26"/>
      <c r="Q64" s="26" t="str">
        <f>IFERROR(__xludf.DUMMYFUNCTION("""COMPUTED_VALUE"""),"jose@ox-glass.com")</f>
        <v>jose@ox-glass.com</v>
      </c>
      <c r="R64" s="26" t="str">
        <f>IFERROR(__xludf.DUMMYFUNCTION("""COMPUTED_VALUE"""),"WHI")</f>
        <v>WHI</v>
      </c>
      <c r="S64" s="26" t="str">
        <f>IFERROR(__xludf.DUMMYFUNCTION("""COMPUTED_VALUE"""),"EXIT")</f>
        <v>EXIT</v>
      </c>
    </row>
    <row r="65" ht="22.5" customHeight="1">
      <c r="A65" s="35">
        <f>IFERROR(__xludf.DUMMYFUNCTION("""COMPUTED_VALUE"""),46211.34517457176)</f>
        <v>46211.34517</v>
      </c>
      <c r="B65" s="36" t="str">
        <f>IFERROR(__xludf.DUMMYFUNCTION("""COMPUTED_VALUE"""),"SCREEN")</f>
        <v>SCREEN</v>
      </c>
      <c r="C65" s="26" t="str">
        <f>IFERROR(__xludf.DUMMYFUNCTION("""COMPUTED_VALUE"""),"WHI 222")</f>
        <v>WHI 222</v>
      </c>
      <c r="D65" s="27"/>
      <c r="E65" s="27"/>
      <c r="F65" s="36">
        <f>IFERROR(__xludf.DUMMYFUNCTION("""COMPUTED_VALUE"""),12.0)</f>
        <v>12</v>
      </c>
      <c r="G65" s="27" t="str">
        <f>IFERROR(__xludf.DUMMYFUNCTION("""COMPUTED_VALUE"""),"UNIT")</f>
        <v>UNIT</v>
      </c>
      <c r="H65" s="37">
        <f>IFERROR(__xludf.DUMMYFUNCTION("""COMPUTED_VALUE"""),46211.0)</f>
        <v>46211</v>
      </c>
      <c r="I65" s="36" t="str">
        <f>IFERROR(__xludf.DUMMYFUNCTION("""COMPUTED_VALUE"""),"B2B")</f>
        <v>B2B</v>
      </c>
      <c r="J65" s="30"/>
      <c r="K65" s="26" t="str">
        <f>IFERROR(__xludf.DUMMYFUNCTION("""COMPUTED_VALUE"""),"THEY ALL WERE TAKEN, EACH ONE TO ITS JOB SITE")</f>
        <v>THEY ALL WERE TAKEN, EACH ONE TO ITS JOB SITE</v>
      </c>
      <c r="L65" s="30" t="str">
        <f>IFERROR(__xludf.DUMMYFUNCTION("""COMPUTED_VALUE"""),"Dispatched")</f>
        <v>Dispatched</v>
      </c>
      <c r="M65" s="26" t="str">
        <f>IFERROR(__xludf.DUMMYFUNCTION("""COMPUTED_VALUE"""),"JOE L.")</f>
        <v>JOE L.</v>
      </c>
      <c r="N65" s="26"/>
      <c r="O65" s="26" t="str">
        <f>IFERROR(__xludf.DUMMYFUNCTION("""COMPUTED_VALUE"""),"SCREEN|||WHI 222")</f>
        <v>SCREEN|||WHI 222</v>
      </c>
      <c r="P65" s="26"/>
      <c r="Q65" s="26" t="str">
        <f>IFERROR(__xludf.DUMMYFUNCTION("""COMPUTED_VALUE"""),"jose@ox-glass.com")</f>
        <v>jose@ox-glass.com</v>
      </c>
      <c r="R65" s="26" t="str">
        <f>IFERROR(__xludf.DUMMYFUNCTION("""COMPUTED_VALUE"""),"WHI")</f>
        <v>WHI</v>
      </c>
      <c r="S65" s="26" t="str">
        <f>IFERROR(__xludf.DUMMYFUNCTION("""COMPUTED_VALUE"""),"EXIT")</f>
        <v>EXIT</v>
      </c>
    </row>
    <row r="66" ht="22.5" customHeight="1">
      <c r="A66" s="35">
        <f>IFERROR(__xludf.DUMMYFUNCTION("""COMPUTED_VALUE"""),46211.34517457176)</f>
        <v>46211.34517</v>
      </c>
      <c r="B66" s="36" t="str">
        <f>IFERROR(__xludf.DUMMYFUNCTION("""COMPUTED_VALUE"""),"SCREEN")</f>
        <v>SCREEN</v>
      </c>
      <c r="C66" s="26" t="str">
        <f>IFERROR(__xludf.DUMMYFUNCTION("""COMPUTED_VALUE"""),"WHILOT224POPPY")</f>
        <v>WHILOT224POPPY</v>
      </c>
      <c r="D66" s="27"/>
      <c r="E66" s="27"/>
      <c r="F66" s="36">
        <f>IFERROR(__xludf.DUMMYFUNCTION("""COMPUTED_VALUE"""),12.0)</f>
        <v>12</v>
      </c>
      <c r="G66" s="27" t="str">
        <f>IFERROR(__xludf.DUMMYFUNCTION("""COMPUTED_VALUE"""),"UNIT")</f>
        <v>UNIT</v>
      </c>
      <c r="H66" s="37">
        <f>IFERROR(__xludf.DUMMYFUNCTION("""COMPUTED_VALUE"""),46211.0)</f>
        <v>46211</v>
      </c>
      <c r="I66" s="36" t="str">
        <f>IFERROR(__xludf.DUMMYFUNCTION("""COMPUTED_VALUE"""),"B1B")</f>
        <v>B1B</v>
      </c>
      <c r="J66" s="30"/>
      <c r="K66" s="26" t="str">
        <f>IFERROR(__xludf.DUMMYFUNCTION("""COMPUTED_VALUE"""),"THEY ALL WERE TAKEN, EACH ONE TO ITS JOB SITE")</f>
        <v>THEY ALL WERE TAKEN, EACH ONE TO ITS JOB SITE</v>
      </c>
      <c r="L66" s="30" t="str">
        <f>IFERROR(__xludf.DUMMYFUNCTION("""COMPUTED_VALUE"""),"Dispatched")</f>
        <v>Dispatched</v>
      </c>
      <c r="M66" s="26" t="str">
        <f>IFERROR(__xludf.DUMMYFUNCTION("""COMPUTED_VALUE"""),"JOE L.")</f>
        <v>JOE L.</v>
      </c>
      <c r="N66" s="26"/>
      <c r="O66" s="26" t="str">
        <f>IFERROR(__xludf.DUMMYFUNCTION("""COMPUTED_VALUE"""),"SCREEN|||WHILOT224POPPY")</f>
        <v>SCREEN|||WHILOT224POPPY</v>
      </c>
      <c r="P66" s="26"/>
      <c r="Q66" s="26" t="str">
        <f>IFERROR(__xludf.DUMMYFUNCTION("""COMPUTED_VALUE"""),"jose@ox-glass.com")</f>
        <v>jose@ox-glass.com</v>
      </c>
      <c r="R66" s="26" t="str">
        <f>IFERROR(__xludf.DUMMYFUNCTION("""COMPUTED_VALUE"""),"WHI")</f>
        <v>WHI</v>
      </c>
      <c r="S66" s="26" t="str">
        <f>IFERROR(__xludf.DUMMYFUNCTION("""COMPUTED_VALUE"""),"EXIT")</f>
        <v>EXIT</v>
      </c>
    </row>
    <row r="67" ht="22.5" customHeight="1">
      <c r="A67" s="35">
        <f>IFERROR(__xludf.DUMMYFUNCTION("""COMPUTED_VALUE"""),46211.34517457176)</f>
        <v>46211.34517</v>
      </c>
      <c r="B67" s="36" t="str">
        <f>IFERROR(__xludf.DUMMYFUNCTION("""COMPUTED_VALUE"""),"SCREEN")</f>
        <v>SCREEN</v>
      </c>
      <c r="C67" s="26" t="str">
        <f>IFERROR(__xludf.DUMMYFUNCTION("""COMPUTED_VALUE"""),"WHILOT224POPPY")</f>
        <v>WHILOT224POPPY</v>
      </c>
      <c r="D67" s="27"/>
      <c r="E67" s="27"/>
      <c r="F67" s="36">
        <f>IFERROR(__xludf.DUMMYFUNCTION("""COMPUTED_VALUE"""),1.0)</f>
        <v>1</v>
      </c>
      <c r="G67" s="27" t="str">
        <f>IFERROR(__xludf.DUMMYFUNCTION("""COMPUTED_VALUE"""),"UNIT")</f>
        <v>UNIT</v>
      </c>
      <c r="H67" s="37">
        <f>IFERROR(__xludf.DUMMYFUNCTION("""COMPUTED_VALUE"""),46211.0)</f>
        <v>46211</v>
      </c>
      <c r="I67" s="36" t="str">
        <f>IFERROR(__xludf.DUMMYFUNCTION("""COMPUTED_VALUE"""),"P1C")</f>
        <v>P1C</v>
      </c>
      <c r="J67" s="30"/>
      <c r="K67" s="26" t="str">
        <f>IFERROR(__xludf.DUMMYFUNCTION("""COMPUTED_VALUE"""),"THEY ALL WERE TAKEN, EACH ONE TO ITS JOB SITE")</f>
        <v>THEY ALL WERE TAKEN, EACH ONE TO ITS JOB SITE</v>
      </c>
      <c r="L67" s="30" t="str">
        <f>IFERROR(__xludf.DUMMYFUNCTION("""COMPUTED_VALUE"""),"Dispatched")</f>
        <v>Dispatched</v>
      </c>
      <c r="M67" s="26" t="str">
        <f>IFERROR(__xludf.DUMMYFUNCTION("""COMPUTED_VALUE"""),"JOE L.")</f>
        <v>JOE L.</v>
      </c>
      <c r="N67" s="26"/>
      <c r="O67" s="26" t="str">
        <f>IFERROR(__xludf.DUMMYFUNCTION("""COMPUTED_VALUE"""),"SCREEN|||WHILOT224POPPY")</f>
        <v>SCREEN|||WHILOT224POPPY</v>
      </c>
      <c r="P67" s="26"/>
      <c r="Q67" s="26" t="str">
        <f>IFERROR(__xludf.DUMMYFUNCTION("""COMPUTED_VALUE"""),"jose@ox-glass.com")</f>
        <v>jose@ox-glass.com</v>
      </c>
      <c r="R67" s="26" t="str">
        <f>IFERROR(__xludf.DUMMYFUNCTION("""COMPUTED_VALUE"""),"WHI")</f>
        <v>WHI</v>
      </c>
      <c r="S67" s="26" t="str">
        <f>IFERROR(__xludf.DUMMYFUNCTION("""COMPUTED_VALUE"""),"EXIT")</f>
        <v>EXIT</v>
      </c>
    </row>
    <row r="68" ht="22.5" customHeight="1">
      <c r="A68" s="35">
        <f>IFERROR(__xludf.DUMMYFUNCTION("""COMPUTED_VALUE"""),46209.60159089121)</f>
        <v>46209.60159</v>
      </c>
      <c r="B68" s="36" t="str">
        <f>IFERROR(__xludf.DUMMYFUNCTION("""COMPUTED_VALUE"""),"SCREEN")</f>
        <v>SCREEN</v>
      </c>
      <c r="C68" s="26" t="str">
        <f>IFERROR(__xludf.DUMMYFUNCTION("""COMPUTED_VALUE"""),"LGI DE 12 GRANITE")</f>
        <v>LGI DE 12 GRANITE</v>
      </c>
      <c r="D68" s="27" t="str">
        <f>IFERROR(__xludf.DUMMYFUNCTION("""COMPUTED_VALUE"""),"LGI")</f>
        <v>LGI</v>
      </c>
      <c r="E68" s="27" t="str">
        <f>IFERROR(__xludf.DUMMYFUNCTION("""COMPUTED_VALUE"""),"7343")</f>
        <v>7343</v>
      </c>
      <c r="F68" s="36">
        <f>IFERROR(__xludf.DUMMYFUNCTION("""COMPUTED_VALUE"""),4.0)</f>
        <v>4</v>
      </c>
      <c r="G68" s="27" t="str">
        <f>IFERROR(__xludf.DUMMYFUNCTION("""COMPUTED_VALUE"""),"UNIT")</f>
        <v>UNIT</v>
      </c>
      <c r="H68" s="37">
        <f>IFERROR(__xludf.DUMMYFUNCTION("""COMPUTED_VALUE"""),46209.0)</f>
        <v>46209</v>
      </c>
      <c r="I68" s="36"/>
      <c r="J68" s="30" t="str">
        <f>IFERROR(__xludf.DUMMYFUNCTION("""COMPUTED_VALUE"""),"ALSIDE")</f>
        <v>ALSIDE</v>
      </c>
      <c r="K68" s="26"/>
      <c r="L68" s="30" t="str">
        <f>IFERROR(__xludf.DUMMYFUNCTION("""COMPUTED_VALUE"""),"In Stock")</f>
        <v>In Stock</v>
      </c>
      <c r="M68" s="26" t="str">
        <f>IFERROR(__xludf.DUMMYFUNCTION("""COMPUTED_VALUE"""),"JOSE")</f>
        <v>JOSE</v>
      </c>
      <c r="N68" s="26" t="str">
        <f>IFERROR(__xludf.DUMMYFUNCTION("""COMPUTED_VALUE"""),"LGI DE 12 DELANO")</f>
        <v>LGI DE 12 DELANO</v>
      </c>
      <c r="O68" s="26" t="str">
        <f>IFERROR(__xludf.DUMMYFUNCTION("""COMPUTED_VALUE"""),"SCREEN|||LGI DE 12 GRANITE")</f>
        <v>SCREEN|||LGI DE 12 GRANITE</v>
      </c>
      <c r="P68" s="26"/>
      <c r="Q68" s="26" t="str">
        <f>IFERROR(__xludf.DUMMYFUNCTION("""COMPUTED_VALUE"""),"jose@ox-glass.com")</f>
        <v>jose@ox-glass.com</v>
      </c>
      <c r="R68" s="26" t="str">
        <f>IFERROR(__xludf.DUMMYFUNCTION("""COMPUTED_VALUE"""),"A2B")</f>
        <v>A2B</v>
      </c>
      <c r="S68" s="26" t="str">
        <f>IFERROR(__xludf.DUMMYFUNCTION("""COMPUTED_VALUE"""),"ENTRY")</f>
        <v>ENTRY</v>
      </c>
    </row>
    <row r="69" ht="22.5" customHeight="1">
      <c r="A69" s="35">
        <f>IFERROR(__xludf.DUMMYFUNCTION("""COMPUTED_VALUE"""),46209.60159089121)</f>
        <v>46209.60159</v>
      </c>
      <c r="B69" s="36" t="str">
        <f>IFERROR(__xludf.DUMMYFUNCTION("""COMPUTED_VALUE"""),"SCREEN")</f>
        <v>SCREEN</v>
      </c>
      <c r="C69" s="26" t="str">
        <f>IFERROR(__xludf.DUMMYFUNCTION("""COMPUTED_VALUE"""),"LGI DE 12 GRANITE")</f>
        <v>LGI DE 12 GRANITE</v>
      </c>
      <c r="D69" s="27" t="str">
        <f>IFERROR(__xludf.DUMMYFUNCTION("""COMPUTED_VALUE"""),"LGI")</f>
        <v>LGI</v>
      </c>
      <c r="E69" s="27" t="str">
        <f>IFERROR(__xludf.DUMMYFUNCTION("""COMPUTED_VALUE"""),"7343")</f>
        <v>7343</v>
      </c>
      <c r="F69" s="36">
        <f>IFERROR(__xludf.DUMMYFUNCTION("""COMPUTED_VALUE"""),1.0)</f>
        <v>1</v>
      </c>
      <c r="G69" s="27" t="str">
        <f>IFERROR(__xludf.DUMMYFUNCTION("""COMPUTED_VALUE"""),"UNIT")</f>
        <v>UNIT</v>
      </c>
      <c r="H69" s="37">
        <f>IFERROR(__xludf.DUMMYFUNCTION("""COMPUTED_VALUE"""),46209.0)</f>
        <v>46209</v>
      </c>
      <c r="I69" s="36"/>
      <c r="J69" s="30" t="str">
        <f>IFERROR(__xludf.DUMMYFUNCTION("""COMPUTED_VALUE"""),"ALSIDE")</f>
        <v>ALSIDE</v>
      </c>
      <c r="K69" s="26"/>
      <c r="L69" s="30" t="str">
        <f>IFERROR(__xludf.DUMMYFUNCTION("""COMPUTED_VALUE"""),"In Stock")</f>
        <v>In Stock</v>
      </c>
      <c r="M69" s="26" t="str">
        <f>IFERROR(__xludf.DUMMYFUNCTION("""COMPUTED_VALUE"""),"JOSE")</f>
        <v>JOSE</v>
      </c>
      <c r="N69" s="26" t="str">
        <f>IFERROR(__xludf.DUMMYFUNCTION("""COMPUTED_VALUE"""),"LGI DE 12 DELANO")</f>
        <v>LGI DE 12 DELANO</v>
      </c>
      <c r="O69" s="26" t="str">
        <f>IFERROR(__xludf.DUMMYFUNCTION("""COMPUTED_VALUE"""),"SCREEN|||LGI DE 12 GRANITE")</f>
        <v>SCREEN|||LGI DE 12 GRANITE</v>
      </c>
      <c r="P69" s="26"/>
      <c r="Q69" s="26" t="str">
        <f>IFERROR(__xludf.DUMMYFUNCTION("""COMPUTED_VALUE"""),"jose@ox-glass.com")</f>
        <v>jose@ox-glass.com</v>
      </c>
      <c r="R69" s="26" t="str">
        <f>IFERROR(__xludf.DUMMYFUNCTION("""COMPUTED_VALUE"""),"P1C")</f>
        <v>P1C</v>
      </c>
      <c r="S69" s="26" t="str">
        <f>IFERROR(__xludf.DUMMYFUNCTION("""COMPUTED_VALUE"""),"ENTRY")</f>
        <v>ENTRY</v>
      </c>
    </row>
    <row r="70" ht="22.5" customHeight="1">
      <c r="A70" s="35">
        <f>IFERROR(__xludf.DUMMYFUNCTION("""COMPUTED_VALUE"""),46209.59968295139)</f>
        <v>46209.59968</v>
      </c>
      <c r="B70" s="36" t="str">
        <f>IFERROR(__xludf.DUMMYFUNCTION("""COMPUTED_VALUE"""),"SCREEN")</f>
        <v>SCREEN</v>
      </c>
      <c r="C70" s="26" t="str">
        <f>IFERROR(__xludf.DUMMYFUNCTION("""COMPUTED_VALUE"""),"LGI DE 11 DELANO")</f>
        <v>LGI DE 11 DELANO</v>
      </c>
      <c r="D70" s="27" t="str">
        <f>IFERROR(__xludf.DUMMYFUNCTION("""COMPUTED_VALUE"""),"LGI")</f>
        <v>LGI</v>
      </c>
      <c r="E70" s="27" t="str">
        <f>IFERROR(__xludf.DUMMYFUNCTION("""COMPUTED_VALUE"""),"7331")</f>
        <v>7331</v>
      </c>
      <c r="F70" s="36">
        <f>IFERROR(__xludf.DUMMYFUNCTION("""COMPUTED_VALUE"""),3.0)</f>
        <v>3</v>
      </c>
      <c r="G70" s="27" t="str">
        <f>IFERROR(__xludf.DUMMYFUNCTION("""COMPUTED_VALUE"""),"UNIT")</f>
        <v>UNIT</v>
      </c>
      <c r="H70" s="37">
        <f>IFERROR(__xludf.DUMMYFUNCTION("""COMPUTED_VALUE"""),46209.0)</f>
        <v>46209</v>
      </c>
      <c r="I70" s="36"/>
      <c r="J70" s="30" t="str">
        <f>IFERROR(__xludf.DUMMYFUNCTION("""COMPUTED_VALUE"""),"ALSIDE")</f>
        <v>ALSIDE</v>
      </c>
      <c r="K70" s="26"/>
      <c r="L70" s="30" t="str">
        <f>IFERROR(__xludf.DUMMYFUNCTION("""COMPUTED_VALUE"""),"In Stock")</f>
        <v>In Stock</v>
      </c>
      <c r="M70" s="26" t="str">
        <f>IFERROR(__xludf.DUMMYFUNCTION("""COMPUTED_VALUE"""),"JOSE")</f>
        <v>JOSE</v>
      </c>
      <c r="N70" s="26" t="str">
        <f>IFERROR(__xludf.DUMMYFUNCTION("""COMPUTED_VALUE"""),"LGI DE 11 DELANO")</f>
        <v>LGI DE 11 DELANO</v>
      </c>
      <c r="O70" s="26" t="str">
        <f>IFERROR(__xludf.DUMMYFUNCTION("""COMPUTED_VALUE"""),"SCREEN|||LGI DE 11 DELANO")</f>
        <v>SCREEN|||LGI DE 11 DELANO</v>
      </c>
      <c r="P70" s="26"/>
      <c r="Q70" s="26" t="str">
        <f>IFERROR(__xludf.DUMMYFUNCTION("""COMPUTED_VALUE"""),"jose@ox-glass.com")</f>
        <v>jose@ox-glass.com</v>
      </c>
      <c r="R70" s="26" t="str">
        <f>IFERROR(__xludf.DUMMYFUNCTION("""COMPUTED_VALUE"""),"A2B")</f>
        <v>A2B</v>
      </c>
      <c r="S70" s="26" t="str">
        <f>IFERROR(__xludf.DUMMYFUNCTION("""COMPUTED_VALUE"""),"ENTRY")</f>
        <v>ENTRY</v>
      </c>
    </row>
    <row r="71" ht="22.5" customHeight="1">
      <c r="A71" s="35">
        <f>IFERROR(__xludf.DUMMYFUNCTION("""COMPUTED_VALUE"""),46209.59968295139)</f>
        <v>46209.59968</v>
      </c>
      <c r="B71" s="36" t="str">
        <f>IFERROR(__xludf.DUMMYFUNCTION("""COMPUTED_VALUE"""),"SCREEN")</f>
        <v>SCREEN</v>
      </c>
      <c r="C71" s="26" t="str">
        <f>IFERROR(__xludf.DUMMYFUNCTION("""COMPUTED_VALUE"""),"LGI DE 11 DELANO")</f>
        <v>LGI DE 11 DELANO</v>
      </c>
      <c r="D71" s="27" t="str">
        <f>IFERROR(__xludf.DUMMYFUNCTION("""COMPUTED_VALUE"""),"LGI")</f>
        <v>LGI</v>
      </c>
      <c r="E71" s="27" t="str">
        <f>IFERROR(__xludf.DUMMYFUNCTION("""COMPUTED_VALUE"""),"7331")</f>
        <v>7331</v>
      </c>
      <c r="F71" s="36">
        <f>IFERROR(__xludf.DUMMYFUNCTION("""COMPUTED_VALUE"""),1.0)</f>
        <v>1</v>
      </c>
      <c r="G71" s="27" t="str">
        <f>IFERROR(__xludf.DUMMYFUNCTION("""COMPUTED_VALUE"""),"UNIT")</f>
        <v>UNIT</v>
      </c>
      <c r="H71" s="37">
        <f>IFERROR(__xludf.DUMMYFUNCTION("""COMPUTED_VALUE"""),46209.0)</f>
        <v>46209</v>
      </c>
      <c r="I71" s="36"/>
      <c r="J71" s="30" t="str">
        <f>IFERROR(__xludf.DUMMYFUNCTION("""COMPUTED_VALUE"""),"ALSIDE")</f>
        <v>ALSIDE</v>
      </c>
      <c r="K71" s="26"/>
      <c r="L71" s="30" t="str">
        <f>IFERROR(__xludf.DUMMYFUNCTION("""COMPUTED_VALUE"""),"In Stock")</f>
        <v>In Stock</v>
      </c>
      <c r="M71" s="26" t="str">
        <f>IFERROR(__xludf.DUMMYFUNCTION("""COMPUTED_VALUE"""),"JOSE")</f>
        <v>JOSE</v>
      </c>
      <c r="N71" s="26" t="str">
        <f>IFERROR(__xludf.DUMMYFUNCTION("""COMPUTED_VALUE"""),"LGI DE 11 DELANO")</f>
        <v>LGI DE 11 DELANO</v>
      </c>
      <c r="O71" s="26" t="str">
        <f>IFERROR(__xludf.DUMMYFUNCTION("""COMPUTED_VALUE"""),"SCREEN|||LGI DE 11 DELANO")</f>
        <v>SCREEN|||LGI DE 11 DELANO</v>
      </c>
      <c r="P71" s="26"/>
      <c r="Q71" s="26" t="str">
        <f>IFERROR(__xludf.DUMMYFUNCTION("""COMPUTED_VALUE"""),"jose@ox-glass.com")</f>
        <v>jose@ox-glass.com</v>
      </c>
      <c r="R71" s="26" t="str">
        <f>IFERROR(__xludf.DUMMYFUNCTION("""COMPUTED_VALUE"""),"P1C")</f>
        <v>P1C</v>
      </c>
      <c r="S71" s="26" t="str">
        <f>IFERROR(__xludf.DUMMYFUNCTION("""COMPUTED_VALUE"""),"ENTRY")</f>
        <v>ENTRY</v>
      </c>
    </row>
    <row r="72" ht="22.5" customHeight="1">
      <c r="A72" s="35">
        <f>IFERROR(__xludf.DUMMYFUNCTION("""COMPUTED_VALUE"""),46209.5958806713)</f>
        <v>46209.59588</v>
      </c>
      <c r="B72" s="36" t="str">
        <f>IFERROR(__xludf.DUMMYFUNCTION("""COMPUTED_VALUE"""),"SCREEN")</f>
        <v>SCREEN</v>
      </c>
      <c r="C72" s="26" t="str">
        <f>IFERROR(__xludf.DUMMYFUNCTION("""COMPUTED_VALUE"""),"DE 10 CASCADE")</f>
        <v>DE 10 CASCADE</v>
      </c>
      <c r="D72" s="27" t="str">
        <f>IFERROR(__xludf.DUMMYFUNCTION("""COMPUTED_VALUE"""),"LGI")</f>
        <v>LGI</v>
      </c>
      <c r="E72" s="27" t="str">
        <f>IFERROR(__xludf.DUMMYFUNCTION("""COMPUTED_VALUE"""),"7330")</f>
        <v>7330</v>
      </c>
      <c r="F72" s="36">
        <f>IFERROR(__xludf.DUMMYFUNCTION("""COMPUTED_VALUE"""),4.0)</f>
        <v>4</v>
      </c>
      <c r="G72" s="27" t="str">
        <f>IFERROR(__xludf.DUMMYFUNCTION("""COMPUTED_VALUE"""),"UNIT")</f>
        <v>UNIT</v>
      </c>
      <c r="H72" s="37">
        <f>IFERROR(__xludf.DUMMYFUNCTION("""COMPUTED_VALUE"""),46209.0)</f>
        <v>46209</v>
      </c>
      <c r="I72" s="36"/>
      <c r="J72" s="30" t="str">
        <f>IFERROR(__xludf.DUMMYFUNCTION("""COMPUTED_VALUE"""),"ALSIDE")</f>
        <v>ALSIDE</v>
      </c>
      <c r="K72" s="26"/>
      <c r="L72" s="30" t="str">
        <f>IFERROR(__xludf.DUMMYFUNCTION("""COMPUTED_VALUE"""),"In Stock")</f>
        <v>In Stock</v>
      </c>
      <c r="M72" s="26" t="str">
        <f>IFERROR(__xludf.DUMMYFUNCTION("""COMPUTED_VALUE"""),"JOSE")</f>
        <v>JOSE</v>
      </c>
      <c r="N72" s="26" t="str">
        <f>IFERROR(__xludf.DUMMYFUNCTION("""COMPUTED_VALUE"""),"LGI DE 10 CASCADE")</f>
        <v>LGI DE 10 CASCADE</v>
      </c>
      <c r="O72" s="26" t="str">
        <f>IFERROR(__xludf.DUMMYFUNCTION("""COMPUTED_VALUE"""),"SCREEN|||DE 10 CASCADE")</f>
        <v>SCREEN|||DE 10 CASCADE</v>
      </c>
      <c r="P72" s="26"/>
      <c r="Q72" s="26" t="str">
        <f>IFERROR(__xludf.DUMMYFUNCTION("""COMPUTED_VALUE"""),"jose@ox-glass.com")</f>
        <v>jose@ox-glass.com</v>
      </c>
      <c r="R72" s="26" t="str">
        <f>IFERROR(__xludf.DUMMYFUNCTION("""COMPUTED_VALUE"""),"A2B")</f>
        <v>A2B</v>
      </c>
      <c r="S72" s="26" t="str">
        <f>IFERROR(__xludf.DUMMYFUNCTION("""COMPUTED_VALUE"""),"ENTRY")</f>
        <v>ENTRY</v>
      </c>
    </row>
    <row r="73" ht="22.5" customHeight="1">
      <c r="A73" s="35">
        <f>IFERROR(__xludf.DUMMYFUNCTION("""COMPUTED_VALUE"""),46209.5958806713)</f>
        <v>46209.59588</v>
      </c>
      <c r="B73" s="36" t="str">
        <f>IFERROR(__xludf.DUMMYFUNCTION("""COMPUTED_VALUE"""),"SCREEN")</f>
        <v>SCREEN</v>
      </c>
      <c r="C73" s="26" t="str">
        <f>IFERROR(__xludf.DUMMYFUNCTION("""COMPUTED_VALUE"""),"DE 10 CASCADE")</f>
        <v>DE 10 CASCADE</v>
      </c>
      <c r="D73" s="27" t="str">
        <f>IFERROR(__xludf.DUMMYFUNCTION("""COMPUTED_VALUE"""),"LGI")</f>
        <v>LGI</v>
      </c>
      <c r="E73" s="27" t="str">
        <f>IFERROR(__xludf.DUMMYFUNCTION("""COMPUTED_VALUE"""),"7330")</f>
        <v>7330</v>
      </c>
      <c r="F73" s="36">
        <f>IFERROR(__xludf.DUMMYFUNCTION("""COMPUTED_VALUE"""),1.0)</f>
        <v>1</v>
      </c>
      <c r="G73" s="27" t="str">
        <f>IFERROR(__xludf.DUMMYFUNCTION("""COMPUTED_VALUE"""),"UNIT")</f>
        <v>UNIT</v>
      </c>
      <c r="H73" s="37">
        <f>IFERROR(__xludf.DUMMYFUNCTION("""COMPUTED_VALUE"""),46209.0)</f>
        <v>46209</v>
      </c>
      <c r="I73" s="36"/>
      <c r="J73" s="30" t="str">
        <f>IFERROR(__xludf.DUMMYFUNCTION("""COMPUTED_VALUE"""),"ALSIDE")</f>
        <v>ALSIDE</v>
      </c>
      <c r="K73" s="26"/>
      <c r="L73" s="30" t="str">
        <f>IFERROR(__xludf.DUMMYFUNCTION("""COMPUTED_VALUE"""),"In Stock")</f>
        <v>In Stock</v>
      </c>
      <c r="M73" s="26" t="str">
        <f>IFERROR(__xludf.DUMMYFUNCTION("""COMPUTED_VALUE"""),"JOSE")</f>
        <v>JOSE</v>
      </c>
      <c r="N73" s="26" t="str">
        <f>IFERROR(__xludf.DUMMYFUNCTION("""COMPUTED_VALUE"""),"LGI DE 10 CASCADE")</f>
        <v>LGI DE 10 CASCADE</v>
      </c>
      <c r="O73" s="26" t="str">
        <f>IFERROR(__xludf.DUMMYFUNCTION("""COMPUTED_VALUE"""),"SCREEN|||DE 10 CASCADE")</f>
        <v>SCREEN|||DE 10 CASCADE</v>
      </c>
      <c r="P73" s="26"/>
      <c r="Q73" s="26" t="str">
        <f>IFERROR(__xludf.DUMMYFUNCTION("""COMPUTED_VALUE"""),"jose@ox-glass.com")</f>
        <v>jose@ox-glass.com</v>
      </c>
      <c r="R73" s="26" t="str">
        <f>IFERROR(__xludf.DUMMYFUNCTION("""COMPUTED_VALUE"""),"P1C")</f>
        <v>P1C</v>
      </c>
      <c r="S73" s="26" t="str">
        <f>IFERROR(__xludf.DUMMYFUNCTION("""COMPUTED_VALUE"""),"ENTRY")</f>
        <v>ENTRY</v>
      </c>
    </row>
    <row r="74" ht="22.5" customHeight="1">
      <c r="A74" s="35">
        <f>IFERROR(__xludf.DUMMYFUNCTION("""COMPUTED_VALUE"""),46209.588091620375)</f>
        <v>46209.58809</v>
      </c>
      <c r="B74" s="36" t="str">
        <f>IFERROR(__xludf.DUMMYFUNCTION("""COMPUTED_VALUE"""),"SCREEN")</f>
        <v>SCREEN</v>
      </c>
      <c r="C74" s="26" t="str">
        <f>IFERROR(__xludf.DUMMYFUNCTION("""COMPUTED_VALUE"""),"SP 647 REORDER")</f>
        <v>SP 647 REORDER</v>
      </c>
      <c r="D74" s="27" t="str">
        <f>IFERROR(__xludf.DUMMYFUNCTION("""COMPUTED_VALUE"""),"PAT")</f>
        <v>PAT</v>
      </c>
      <c r="E74" s="27" t="str">
        <f>IFERROR(__xludf.DUMMYFUNCTION("""COMPUTED_VALUE"""),"7342")</f>
        <v>7342</v>
      </c>
      <c r="F74" s="36">
        <f>IFERROR(__xludf.DUMMYFUNCTION("""COMPUTED_VALUE"""),5.0)</f>
        <v>5</v>
      </c>
      <c r="G74" s="27" t="str">
        <f>IFERROR(__xludf.DUMMYFUNCTION("""COMPUTED_VALUE"""),"UNIT")</f>
        <v>UNIT</v>
      </c>
      <c r="H74" s="37">
        <f>IFERROR(__xludf.DUMMYFUNCTION("""COMPUTED_VALUE"""),46209.0)</f>
        <v>46209</v>
      </c>
      <c r="I74" s="36"/>
      <c r="J74" s="30" t="str">
        <f>IFERROR(__xludf.DUMMYFUNCTION("""COMPUTED_VALUE"""),"ALSIDE")</f>
        <v>ALSIDE</v>
      </c>
      <c r="K74" s="26"/>
      <c r="L74" s="30" t="str">
        <f>IFERROR(__xludf.DUMMYFUNCTION("""COMPUTED_VALUE"""),"In Stock")</f>
        <v>In Stock</v>
      </c>
      <c r="M74" s="26" t="str">
        <f>IFERROR(__xludf.DUMMYFUNCTION("""COMPUTED_VALUE"""),"JOSE")</f>
        <v>JOSE</v>
      </c>
      <c r="N74" s="26" t="str">
        <f>IFERROR(__xludf.DUMMYFUNCTION("""COMPUTED_VALUE"""),"PAT SP 647 REORDER")</f>
        <v>PAT SP 647 REORDER</v>
      </c>
      <c r="O74" s="26" t="str">
        <f>IFERROR(__xludf.DUMMYFUNCTION("""COMPUTED_VALUE"""),"SCREEN|||SP 647 REORDER")</f>
        <v>SCREEN|||SP 647 REORDER</v>
      </c>
      <c r="P74" s="26"/>
      <c r="Q74" s="26" t="str">
        <f>IFERROR(__xludf.DUMMYFUNCTION("""COMPUTED_VALUE"""),"jose@ox-glass.com")</f>
        <v>jose@ox-glass.com</v>
      </c>
      <c r="R74" s="26" t="str">
        <f>IFERROR(__xludf.DUMMYFUNCTION("""COMPUTED_VALUE"""),"A2B")</f>
        <v>A2B</v>
      </c>
      <c r="S74" s="26" t="str">
        <f>IFERROR(__xludf.DUMMYFUNCTION("""COMPUTED_VALUE"""),"ENTRY")</f>
        <v>ENTRY</v>
      </c>
    </row>
    <row r="75" ht="22.5" customHeight="1">
      <c r="A75" s="35">
        <f>IFERROR(__xludf.DUMMYFUNCTION("""COMPUTED_VALUE"""),46206.30132153935)</f>
        <v>46206.30132</v>
      </c>
      <c r="B75" s="36" t="str">
        <f>IFERROR(__xludf.DUMMYFUNCTION("""COMPUTED_VALUE"""),"SCREEN")</f>
        <v>SCREEN</v>
      </c>
      <c r="C75" s="26" t="str">
        <f>IFERROR(__xludf.DUMMYFUNCTION("""COMPUTED_VALUE"""),"OQU 173 HILGARD")</f>
        <v>OQU 173 HILGARD</v>
      </c>
      <c r="D75" s="27" t="str">
        <f>IFERROR(__xludf.DUMMYFUNCTION("""COMPUTED_VALUE"""),"LGI")</f>
        <v>LGI</v>
      </c>
      <c r="E75" s="27" t="str">
        <f>IFERROR(__xludf.DUMMYFUNCTION("""COMPUTED_VALUE"""),"7273")</f>
        <v>7273</v>
      </c>
      <c r="F75" s="36">
        <f>IFERROR(__xludf.DUMMYFUNCTION("""COMPUTED_VALUE"""),2.0)</f>
        <v>2</v>
      </c>
      <c r="G75" s="27" t="str">
        <f>IFERROR(__xludf.DUMMYFUNCTION("""COMPUTED_VALUE"""),"UNIT")</f>
        <v>UNIT</v>
      </c>
      <c r="H75" s="37">
        <f>IFERROR(__xludf.DUMMYFUNCTION("""COMPUTED_VALUE"""),46199.0)</f>
        <v>46199</v>
      </c>
      <c r="I75" s="36"/>
      <c r="J75" s="30" t="str">
        <f>IFERROR(__xludf.DUMMYFUNCTION("""COMPUTED_VALUE"""),"ALSIDE")</f>
        <v>ALSIDE</v>
      </c>
      <c r="K75" s="26" t="str">
        <f>IFERROR(__xludf.DUMMYFUNCTION("""COMPUTED_VALUE"""),"WHITE DOOR SCREEN")</f>
        <v>WHITE DOOR SCREEN</v>
      </c>
      <c r="L75" s="30" t="str">
        <f>IFERROR(__xludf.DUMMYFUNCTION("""COMPUTED_VALUE"""),"In Stock")</f>
        <v>In Stock</v>
      </c>
      <c r="M75" s="26" t="str">
        <f>IFERROR(__xludf.DUMMYFUNCTION("""COMPUTED_VALUE"""),"JOSE")</f>
        <v>JOSE</v>
      </c>
      <c r="N75" s="26" t="str">
        <f>IFERROR(__xludf.DUMMYFUNCTION("""COMPUTED_VALUE"""),"LGI OQU 173 MILLARD")</f>
        <v>LGI OQU 173 MILLARD</v>
      </c>
      <c r="O75" s="26" t="str">
        <f>IFERROR(__xludf.DUMMYFUNCTION("""COMPUTED_VALUE"""),"SCREEN|||OQU 173 HILGARD")</f>
        <v>SCREEN|||OQU 173 HILGARD</v>
      </c>
      <c r="P75" s="26"/>
      <c r="Q75" s="26" t="str">
        <f>IFERROR(__xludf.DUMMYFUNCTION("""COMPUTED_VALUE"""),"jose@ox-glass.com")</f>
        <v>jose@ox-glass.com</v>
      </c>
      <c r="R75" s="26" t="str">
        <f>IFERROR(__xludf.DUMMYFUNCTION("""COMPUTED_VALUE"""),"P1C")</f>
        <v>P1C</v>
      </c>
      <c r="S75" s="26" t="str">
        <f>IFERROR(__xludf.DUMMYFUNCTION("""COMPUTED_VALUE"""),"ENTRY")</f>
        <v>ENTRY</v>
      </c>
    </row>
    <row r="76" ht="22.5" customHeight="1">
      <c r="A76" s="35">
        <f>IFERROR(__xludf.DUMMYFUNCTION("""COMPUTED_VALUE"""),46206.300312314816)</f>
        <v>46206.30031</v>
      </c>
      <c r="B76" s="36" t="str">
        <f>IFERROR(__xludf.DUMMYFUNCTION("""COMPUTED_VALUE"""),"SCREEN")</f>
        <v>SCREEN</v>
      </c>
      <c r="C76" s="26" t="str">
        <f>IFERROR(__xludf.DUMMYFUNCTION("""COMPUTED_VALUE"""),"DE 043 MILLARD")</f>
        <v>DE 043 MILLARD</v>
      </c>
      <c r="D76" s="27" t="str">
        <f>IFERROR(__xludf.DUMMYFUNCTION("""COMPUTED_VALUE"""),"LGI")</f>
        <v>LGI</v>
      </c>
      <c r="E76" s="27" t="str">
        <f>IFERROR(__xludf.DUMMYFUNCTION("""COMPUTED_VALUE"""),"7270")</f>
        <v>7270</v>
      </c>
      <c r="F76" s="36">
        <f>IFERROR(__xludf.DUMMYFUNCTION("""COMPUTED_VALUE"""),1.0)</f>
        <v>1</v>
      </c>
      <c r="G76" s="27" t="str">
        <f>IFERROR(__xludf.DUMMYFUNCTION("""COMPUTED_VALUE"""),"UNIT")</f>
        <v>UNIT</v>
      </c>
      <c r="H76" s="37">
        <f>IFERROR(__xludf.DUMMYFUNCTION("""COMPUTED_VALUE"""),46199.0)</f>
        <v>46199</v>
      </c>
      <c r="I76" s="36"/>
      <c r="J76" s="30" t="str">
        <f>IFERROR(__xludf.DUMMYFUNCTION("""COMPUTED_VALUE"""),"ALSIDE")</f>
        <v>ALSIDE</v>
      </c>
      <c r="K76" s="26" t="str">
        <f>IFERROR(__xludf.DUMMYFUNCTION("""COMPUTED_VALUE"""),"WHITE DOOR SCREENS")</f>
        <v>WHITE DOOR SCREENS</v>
      </c>
      <c r="L76" s="30" t="str">
        <f>IFERROR(__xludf.DUMMYFUNCTION("""COMPUTED_VALUE"""),"In Stock")</f>
        <v>In Stock</v>
      </c>
      <c r="M76" s="26" t="str">
        <f>IFERROR(__xludf.DUMMYFUNCTION("""COMPUTED_VALUE"""),"JOSE")</f>
        <v>JOSE</v>
      </c>
      <c r="N76" s="26" t="str">
        <f>IFERROR(__xludf.DUMMYFUNCTION("""COMPUTED_VALUE"""),"LGI DE 043 MILLARD")</f>
        <v>LGI DE 043 MILLARD</v>
      </c>
      <c r="O76" s="26" t="str">
        <f>IFERROR(__xludf.DUMMYFUNCTION("""COMPUTED_VALUE"""),"SCREEN|||DE 043 MILLARD")</f>
        <v>SCREEN|||DE 043 MILLARD</v>
      </c>
      <c r="P76" s="26"/>
      <c r="Q76" s="26" t="str">
        <f>IFERROR(__xludf.DUMMYFUNCTION("""COMPUTED_VALUE"""),"jose@ox-glass.com")</f>
        <v>jose@ox-glass.com</v>
      </c>
      <c r="R76" s="26" t="str">
        <f>IFERROR(__xludf.DUMMYFUNCTION("""COMPUTED_VALUE"""),"P1C")</f>
        <v>P1C</v>
      </c>
      <c r="S76" s="26" t="str">
        <f>IFERROR(__xludf.DUMMYFUNCTION("""COMPUTED_VALUE"""),"ENTRY")</f>
        <v>ENTRY</v>
      </c>
    </row>
    <row r="77" ht="22.5" customHeight="1">
      <c r="A77" s="35">
        <f>IFERROR(__xludf.DUMMYFUNCTION("""COMPUTED_VALUE"""),46206.298409675925)</f>
        <v>46206.29841</v>
      </c>
      <c r="B77" s="36" t="str">
        <f>IFERROR(__xludf.DUMMYFUNCTION("""COMPUTED_VALUE"""),"SCREEN")</f>
        <v>SCREEN</v>
      </c>
      <c r="C77" s="26" t="str">
        <f>IFERROR(__xludf.DUMMYFUNCTION("""COMPUTED_VALUE"""),"OQU 181 NAOMI")</f>
        <v>OQU 181 NAOMI</v>
      </c>
      <c r="D77" s="27" t="str">
        <f>IFERROR(__xludf.DUMMYFUNCTION("""COMPUTED_VALUE"""),"LGI")</f>
        <v>LGI</v>
      </c>
      <c r="E77" s="27" t="str">
        <f>IFERROR(__xludf.DUMMYFUNCTION("""COMPUTED_VALUE"""),"7274")</f>
        <v>7274</v>
      </c>
      <c r="F77" s="36">
        <f>IFERROR(__xludf.DUMMYFUNCTION("""COMPUTED_VALUE"""),1.0)</f>
        <v>1</v>
      </c>
      <c r="G77" s="27" t="str">
        <f>IFERROR(__xludf.DUMMYFUNCTION("""COMPUTED_VALUE"""),"UNIT")</f>
        <v>UNIT</v>
      </c>
      <c r="H77" s="37">
        <f>IFERROR(__xludf.DUMMYFUNCTION("""COMPUTED_VALUE"""),46199.0)</f>
        <v>46199</v>
      </c>
      <c r="I77" s="36"/>
      <c r="J77" s="30" t="str">
        <f>IFERROR(__xludf.DUMMYFUNCTION("""COMPUTED_VALUE"""),"ALSIDE")</f>
        <v>ALSIDE</v>
      </c>
      <c r="K77" s="26" t="str">
        <f>IFERROR(__xludf.DUMMYFUNCTION("""COMPUTED_VALUE"""),"WHITE DOOR SCREEN")</f>
        <v>WHITE DOOR SCREEN</v>
      </c>
      <c r="L77" s="30" t="str">
        <f>IFERROR(__xludf.DUMMYFUNCTION("""COMPUTED_VALUE"""),"In Stock")</f>
        <v>In Stock</v>
      </c>
      <c r="M77" s="26" t="str">
        <f>IFERROR(__xludf.DUMMYFUNCTION("""COMPUTED_VALUE"""),"JOSE")</f>
        <v>JOSE</v>
      </c>
      <c r="N77" s="26" t="str">
        <f>IFERROR(__xludf.DUMMYFUNCTION("""COMPUTED_VALUE"""),"LGI OQU 181 NAOMI")</f>
        <v>LGI OQU 181 NAOMI</v>
      </c>
      <c r="O77" s="26" t="str">
        <f>IFERROR(__xludf.DUMMYFUNCTION("""COMPUTED_VALUE"""),"SCREEN|||OQU 181 NAOMI")</f>
        <v>SCREEN|||OQU 181 NAOMI</v>
      </c>
      <c r="P77" s="26"/>
      <c r="Q77" s="26" t="str">
        <f>IFERROR(__xludf.DUMMYFUNCTION("""COMPUTED_VALUE"""),"jose@ox-glass.com")</f>
        <v>jose@ox-glass.com</v>
      </c>
      <c r="R77" s="26" t="str">
        <f>IFERROR(__xludf.DUMMYFUNCTION("""COMPUTED_VALUE"""),"P1C")</f>
        <v>P1C</v>
      </c>
      <c r="S77" s="26" t="str">
        <f>IFERROR(__xludf.DUMMYFUNCTION("""COMPUTED_VALUE"""),"ENTRY")</f>
        <v>ENTRY</v>
      </c>
    </row>
    <row r="78" ht="22.5" customHeight="1">
      <c r="A78" s="35">
        <f>IFERROR(__xludf.DUMMYFUNCTION("""COMPUTED_VALUE"""),46206.29717489584)</f>
        <v>46206.29717</v>
      </c>
      <c r="B78" s="36" t="str">
        <f>IFERROR(__xludf.DUMMYFUNCTION("""COMPUTED_VALUE"""),"SCREEN")</f>
        <v>SCREEN</v>
      </c>
      <c r="C78" s="26" t="str">
        <f>IFERROR(__xludf.DUMMYFUNCTION("""COMPUTED_VALUE"""),"OQU 201 GLENWOOD")</f>
        <v>OQU 201 GLENWOOD</v>
      </c>
      <c r="D78" s="27" t="str">
        <f>IFERROR(__xludf.DUMMYFUNCTION("""COMPUTED_VALUE"""),"LGI")</f>
        <v>LGI</v>
      </c>
      <c r="E78" s="27" t="str">
        <f>IFERROR(__xludf.DUMMYFUNCTION("""COMPUTED_VALUE"""),"7272")</f>
        <v>7272</v>
      </c>
      <c r="F78" s="36">
        <f>IFERROR(__xludf.DUMMYFUNCTION("""COMPUTED_VALUE"""),1.0)</f>
        <v>1</v>
      </c>
      <c r="G78" s="27" t="str">
        <f>IFERROR(__xludf.DUMMYFUNCTION("""COMPUTED_VALUE"""),"UNIT")</f>
        <v>UNIT</v>
      </c>
      <c r="H78" s="37">
        <f>IFERROR(__xludf.DUMMYFUNCTION("""COMPUTED_VALUE"""),46199.0)</f>
        <v>46199</v>
      </c>
      <c r="I78" s="36"/>
      <c r="J78" s="30" t="str">
        <f>IFERROR(__xludf.DUMMYFUNCTION("""COMPUTED_VALUE"""),"ALSIDE")</f>
        <v>ALSIDE</v>
      </c>
      <c r="K78" s="26" t="str">
        <f>IFERROR(__xludf.DUMMYFUNCTION("""COMPUTED_VALUE"""),"WHITE DOOR SCREEN")</f>
        <v>WHITE DOOR SCREEN</v>
      </c>
      <c r="L78" s="30" t="str">
        <f>IFERROR(__xludf.DUMMYFUNCTION("""COMPUTED_VALUE"""),"In Stock")</f>
        <v>In Stock</v>
      </c>
      <c r="M78" s="26" t="str">
        <f>IFERROR(__xludf.DUMMYFUNCTION("""COMPUTED_VALUE"""),"JOSE")</f>
        <v>JOSE</v>
      </c>
      <c r="N78" s="26" t="str">
        <f>IFERROR(__xludf.DUMMYFUNCTION("""COMPUTED_VALUE"""),"LGI OQU 201 GLENWOOD")</f>
        <v>LGI OQU 201 GLENWOOD</v>
      </c>
      <c r="O78" s="26" t="str">
        <f>IFERROR(__xludf.DUMMYFUNCTION("""COMPUTED_VALUE"""),"SCREEN|||OQU 201 GLENWOOD")</f>
        <v>SCREEN|||OQU 201 GLENWOOD</v>
      </c>
      <c r="P78" s="26"/>
      <c r="Q78" s="26" t="str">
        <f>IFERROR(__xludf.DUMMYFUNCTION("""COMPUTED_VALUE"""),"jose@ox-glass.com")</f>
        <v>jose@ox-glass.com</v>
      </c>
      <c r="R78" s="26" t="str">
        <f>IFERROR(__xludf.DUMMYFUNCTION("""COMPUTED_VALUE"""),"P1C")</f>
        <v>P1C</v>
      </c>
      <c r="S78" s="26" t="str">
        <f>IFERROR(__xludf.DUMMYFUNCTION("""COMPUTED_VALUE"""),"ENTRY")</f>
        <v>ENTRY</v>
      </c>
    </row>
    <row r="79" ht="22.5" customHeight="1">
      <c r="A79" s="35">
        <f>IFERROR(__xludf.DUMMYFUNCTION("""COMPUTED_VALUE"""),46206.29615327546)</f>
        <v>46206.29615</v>
      </c>
      <c r="B79" s="36" t="str">
        <f>IFERROR(__xludf.DUMMYFUNCTION("""COMPUTED_VALUE"""),"SCREEN")</f>
        <v>SCREEN</v>
      </c>
      <c r="C79" s="26" t="str">
        <f>IFERROR(__xludf.DUMMYFUNCTION("""COMPUTED_VALUE"""),"DE 008 MILLARD")</f>
        <v>DE 008 MILLARD</v>
      </c>
      <c r="D79" s="27" t="str">
        <f>IFERROR(__xludf.DUMMYFUNCTION("""COMPUTED_VALUE"""),"LGI")</f>
        <v>LGI</v>
      </c>
      <c r="E79" s="27" t="str">
        <f>IFERROR(__xludf.DUMMYFUNCTION("""COMPUTED_VALUE"""),"7269")</f>
        <v>7269</v>
      </c>
      <c r="F79" s="36">
        <f>IFERROR(__xludf.DUMMYFUNCTION("""COMPUTED_VALUE"""),1.0)</f>
        <v>1</v>
      </c>
      <c r="G79" s="27" t="str">
        <f>IFERROR(__xludf.DUMMYFUNCTION("""COMPUTED_VALUE"""),"UNIT")</f>
        <v>UNIT</v>
      </c>
      <c r="H79" s="37">
        <f>IFERROR(__xludf.DUMMYFUNCTION("""COMPUTED_VALUE"""),46199.0)</f>
        <v>46199</v>
      </c>
      <c r="I79" s="36"/>
      <c r="J79" s="30" t="str">
        <f>IFERROR(__xludf.DUMMYFUNCTION("""COMPUTED_VALUE"""),"ALSIDE")</f>
        <v>ALSIDE</v>
      </c>
      <c r="K79" s="26" t="str">
        <f>IFERROR(__xludf.DUMMYFUNCTION("""COMPUTED_VALUE"""),"WHITE DOOR SCREEN")</f>
        <v>WHITE DOOR SCREEN</v>
      </c>
      <c r="L79" s="30" t="str">
        <f>IFERROR(__xludf.DUMMYFUNCTION("""COMPUTED_VALUE"""),"In Stock")</f>
        <v>In Stock</v>
      </c>
      <c r="M79" s="26" t="str">
        <f>IFERROR(__xludf.DUMMYFUNCTION("""COMPUTED_VALUE"""),"JOSE")</f>
        <v>JOSE</v>
      </c>
      <c r="N79" s="26" t="str">
        <f>IFERROR(__xludf.DUMMYFUNCTION("""COMPUTED_VALUE"""),"LGI DE 008 MILLARD")</f>
        <v>LGI DE 008 MILLARD</v>
      </c>
      <c r="O79" s="26" t="str">
        <f>IFERROR(__xludf.DUMMYFUNCTION("""COMPUTED_VALUE"""),"SCREEN|||DE 008 MILLARD")</f>
        <v>SCREEN|||DE 008 MILLARD</v>
      </c>
      <c r="P79" s="26"/>
      <c r="Q79" s="26" t="str">
        <f>IFERROR(__xludf.DUMMYFUNCTION("""COMPUTED_VALUE"""),"jose@ox-glass.com")</f>
        <v>jose@ox-glass.com</v>
      </c>
      <c r="R79" s="26" t="str">
        <f>IFERROR(__xludf.DUMMYFUNCTION("""COMPUTED_VALUE"""),"P1C")</f>
        <v>P1C</v>
      </c>
      <c r="S79" s="26" t="str">
        <f>IFERROR(__xludf.DUMMYFUNCTION("""COMPUTED_VALUE"""),"ENTRY")</f>
        <v>ENTRY</v>
      </c>
    </row>
    <row r="80" ht="22.5" customHeight="1">
      <c r="A80" s="35">
        <f>IFERROR(__xludf.DUMMYFUNCTION("""COMPUTED_VALUE"""),46206.29496739583)</f>
        <v>46206.29497</v>
      </c>
      <c r="B80" s="36" t="str">
        <f>IFERROR(__xludf.DUMMYFUNCTION("""COMPUTED_VALUE"""),"SCREEN")</f>
        <v>SCREEN</v>
      </c>
      <c r="C80" s="26" t="str">
        <f>IFERROR(__xludf.DUMMYFUNCTION("""COMPUTED_VALUE"""),"DE 042 PROVO")</f>
        <v>DE 042 PROVO</v>
      </c>
      <c r="D80" s="27" t="str">
        <f>IFERROR(__xludf.DUMMYFUNCTION("""COMPUTED_VALUE"""),"LGI")</f>
        <v>LGI</v>
      </c>
      <c r="E80" s="27" t="str">
        <f>IFERROR(__xludf.DUMMYFUNCTION("""COMPUTED_VALUE"""),"7271")</f>
        <v>7271</v>
      </c>
      <c r="F80" s="36">
        <f>IFERROR(__xludf.DUMMYFUNCTION("""COMPUTED_VALUE"""),1.0)</f>
        <v>1</v>
      </c>
      <c r="G80" s="27" t="str">
        <f>IFERROR(__xludf.DUMMYFUNCTION("""COMPUTED_VALUE"""),"UNIT")</f>
        <v>UNIT</v>
      </c>
      <c r="H80" s="37">
        <f>IFERROR(__xludf.DUMMYFUNCTION("""COMPUTED_VALUE"""),46199.0)</f>
        <v>46199</v>
      </c>
      <c r="I80" s="36"/>
      <c r="J80" s="30" t="str">
        <f>IFERROR(__xludf.DUMMYFUNCTION("""COMPUTED_VALUE"""),"ALSIDE")</f>
        <v>ALSIDE</v>
      </c>
      <c r="K80" s="26" t="str">
        <f>IFERROR(__xludf.DUMMYFUNCTION("""COMPUTED_VALUE"""),"WHITE DOOR SCREENS")</f>
        <v>WHITE DOOR SCREENS</v>
      </c>
      <c r="L80" s="30" t="str">
        <f>IFERROR(__xludf.DUMMYFUNCTION("""COMPUTED_VALUE"""),"In Stock")</f>
        <v>In Stock</v>
      </c>
      <c r="M80" s="26" t="str">
        <f>IFERROR(__xludf.DUMMYFUNCTION("""COMPUTED_VALUE"""),"JOSE")</f>
        <v>JOSE</v>
      </c>
      <c r="N80" s="26" t="str">
        <f>IFERROR(__xludf.DUMMYFUNCTION("""COMPUTED_VALUE"""),"LGI DE 042 PROVO")</f>
        <v>LGI DE 042 PROVO</v>
      </c>
      <c r="O80" s="26" t="str">
        <f>IFERROR(__xludf.DUMMYFUNCTION("""COMPUTED_VALUE"""),"SCREEN|||DE 042 PROVO")</f>
        <v>SCREEN|||DE 042 PROVO</v>
      </c>
      <c r="P80" s="26"/>
      <c r="Q80" s="26" t="str">
        <f>IFERROR(__xludf.DUMMYFUNCTION("""COMPUTED_VALUE"""),"jose@ox-glass.com")</f>
        <v>jose@ox-glass.com</v>
      </c>
      <c r="R80" s="26" t="str">
        <f>IFERROR(__xludf.DUMMYFUNCTION("""COMPUTED_VALUE"""),"P1C")</f>
        <v>P1C</v>
      </c>
      <c r="S80" s="26" t="str">
        <f>IFERROR(__xludf.DUMMYFUNCTION("""COMPUTED_VALUE"""),"ENTRY")</f>
        <v>ENTRY</v>
      </c>
    </row>
    <row r="81" ht="22.5" customHeight="1">
      <c r="A81" s="35">
        <f>IFERROR(__xludf.DUMMYFUNCTION("""COMPUTED_VALUE"""),46206.29088734953)</f>
        <v>46206.29089</v>
      </c>
      <c r="B81" s="36" t="str">
        <f>IFERROR(__xludf.DUMMYFUNCTION("""COMPUTED_VALUE"""),"SCREEN")</f>
        <v>SCREEN</v>
      </c>
      <c r="C81" s="26" t="str">
        <f>IFERROR(__xludf.DUMMYFUNCTION("""COMPUTED_VALUE"""),"SR MM 104")</f>
        <v>SR MM 104</v>
      </c>
      <c r="D81" s="27" t="str">
        <f>IFERROR(__xludf.DUMMYFUNCTION("""COMPUTED_VALUE"""),"SR")</f>
        <v>SR</v>
      </c>
      <c r="E81" s="27" t="str">
        <f>IFERROR(__xludf.DUMMYFUNCTION("""COMPUTED_VALUE"""),"06-4041")</f>
        <v>06-4041</v>
      </c>
      <c r="F81" s="36">
        <f>IFERROR(__xludf.DUMMYFUNCTION("""COMPUTED_VALUE"""),1.0)</f>
        <v>1</v>
      </c>
      <c r="G81" s="27" t="str">
        <f>IFERROR(__xludf.DUMMYFUNCTION("""COMPUTED_VALUE"""),"UNIT")</f>
        <v>UNIT</v>
      </c>
      <c r="H81" s="37">
        <f>IFERROR(__xludf.DUMMYFUNCTION("""COMPUTED_VALUE"""),46205.0)</f>
        <v>46205</v>
      </c>
      <c r="I81" s="36"/>
      <c r="J81" s="30" t="str">
        <f>IFERROR(__xludf.DUMMYFUNCTION("""COMPUTED_VALUE"""),"AMSCO")</f>
        <v>AMSCO</v>
      </c>
      <c r="K81" s="26" t="str">
        <f>IFERROR(__xludf.DUMMYFUNCTION("""COMPUTED_VALUE"""),"BLACK DOOR SCREEN")</f>
        <v>BLACK DOOR SCREEN</v>
      </c>
      <c r="L81" s="30" t="str">
        <f>IFERROR(__xludf.DUMMYFUNCTION("""COMPUTED_VALUE"""),"In Stock")</f>
        <v>In Stock</v>
      </c>
      <c r="M81" s="26" t="str">
        <f>IFERROR(__xludf.DUMMYFUNCTION("""COMPUTED_VALUE"""),"JOSE")</f>
        <v>JOSE</v>
      </c>
      <c r="N81" s="26" t="str">
        <f>IFERROR(__xludf.DUMMYFUNCTION("""COMPUTED_VALUE"""),"SR MM 104")</f>
        <v>SR MM 104</v>
      </c>
      <c r="O81" s="26" t="str">
        <f>IFERROR(__xludf.DUMMYFUNCTION("""COMPUTED_VALUE"""),"SCREEN|||SR MM 104")</f>
        <v>SCREEN|||SR MM 104</v>
      </c>
      <c r="P81" s="26"/>
      <c r="Q81" s="26" t="str">
        <f>IFERROR(__xludf.DUMMYFUNCTION("""COMPUTED_VALUE"""),"jose@ox-glass.com")</f>
        <v>jose@ox-glass.com</v>
      </c>
      <c r="R81" s="26" t="str">
        <f>IFERROR(__xludf.DUMMYFUNCTION("""COMPUTED_VALUE"""),"P1C")</f>
        <v>P1C</v>
      </c>
      <c r="S81" s="26" t="str">
        <f>IFERROR(__xludf.DUMMYFUNCTION("""COMPUTED_VALUE"""),"ENTRY")</f>
        <v>ENTRY</v>
      </c>
    </row>
    <row r="82" ht="22.5" customHeight="1">
      <c r="A82" s="35">
        <f>IFERROR(__xludf.DUMMYFUNCTION("""COMPUTED_VALUE"""),46206.29004950232)</f>
        <v>46206.29005</v>
      </c>
      <c r="B82" s="36" t="str">
        <f>IFERROR(__xludf.DUMMYFUNCTION("""COMPUTED_VALUE"""),"SCREEN")</f>
        <v>SCREEN</v>
      </c>
      <c r="C82" s="26" t="str">
        <f>IFERROR(__xludf.DUMMYFUNCTION("""COMPUTED_VALUE"""),"SR MM 104")</f>
        <v>SR MM 104</v>
      </c>
      <c r="D82" s="27" t="str">
        <f>IFERROR(__xludf.DUMMYFUNCTION("""COMPUTED_VALUE"""),"SR")</f>
        <v>SR</v>
      </c>
      <c r="E82" s="27" t="str">
        <f>IFERROR(__xludf.DUMMYFUNCTION("""COMPUTED_VALUE"""),"06-4041")</f>
        <v>06-4041</v>
      </c>
      <c r="F82" s="36">
        <f>IFERROR(__xludf.DUMMYFUNCTION("""COMPUTED_VALUE"""),20.0)</f>
        <v>20</v>
      </c>
      <c r="G82" s="27" t="str">
        <f>IFERROR(__xludf.DUMMYFUNCTION("""COMPUTED_VALUE"""),"UNIT")</f>
        <v>UNIT</v>
      </c>
      <c r="H82" s="37">
        <f>IFERROR(__xludf.DUMMYFUNCTION("""COMPUTED_VALUE"""),46205.0)</f>
        <v>46205</v>
      </c>
      <c r="I82" s="36"/>
      <c r="J82" s="30" t="str">
        <f>IFERROR(__xludf.DUMMYFUNCTION("""COMPUTED_VALUE"""),"AMSCO")</f>
        <v>AMSCO</v>
      </c>
      <c r="K82" s="26" t="str">
        <f>IFERROR(__xludf.DUMMYFUNCTION("""COMPUTED_VALUE"""),"INCLUDES 1 BOX AND 1 BAG OF HARDWARE TAPED TO A WINDOW.")</f>
        <v>INCLUDES 1 BOX AND 1 BAG OF HARDWARE TAPED TO A WINDOW.</v>
      </c>
      <c r="L82" s="30" t="str">
        <f>IFERROR(__xludf.DUMMYFUNCTION("""COMPUTED_VALUE"""),"In Stock")</f>
        <v>In Stock</v>
      </c>
      <c r="M82" s="26" t="str">
        <f>IFERROR(__xludf.DUMMYFUNCTION("""COMPUTED_VALUE"""),"JOSE")</f>
        <v>JOSE</v>
      </c>
      <c r="N82" s="26" t="str">
        <f>IFERROR(__xludf.DUMMYFUNCTION("""COMPUTED_VALUE"""),"SR MM 104")</f>
        <v>SR MM 104</v>
      </c>
      <c r="O82" s="26" t="str">
        <f>IFERROR(__xludf.DUMMYFUNCTION("""COMPUTED_VALUE"""),"SCREEN|||SR MM 104")</f>
        <v>SCREEN|||SR MM 104</v>
      </c>
      <c r="P82" s="26"/>
      <c r="Q82" s="26" t="str">
        <f>IFERROR(__xludf.DUMMYFUNCTION("""COMPUTED_VALUE"""),"jose@ox-glass.com")</f>
        <v>jose@ox-glass.com</v>
      </c>
      <c r="R82" s="26" t="str">
        <f>IFERROR(__xludf.DUMMYFUNCTION("""COMPUTED_VALUE"""),"B2B")</f>
        <v>B2B</v>
      </c>
      <c r="S82" s="26" t="str">
        <f>IFERROR(__xludf.DUMMYFUNCTION("""COMPUTED_VALUE"""),"ENTRY")</f>
        <v>ENTRY</v>
      </c>
    </row>
    <row r="83" ht="22.5" customHeight="1">
      <c r="A83" s="35">
        <f>IFERROR(__xludf.DUMMYFUNCTION("""COMPUTED_VALUE"""),46205.43337856482)</f>
        <v>46205.43338</v>
      </c>
      <c r="B83" s="36" t="str">
        <f>IFERROR(__xludf.DUMMYFUNCTION("""COMPUTED_VALUE"""),"SCREEN")</f>
        <v>SCREEN</v>
      </c>
      <c r="C83" s="26" t="str">
        <f>IFERROR(__xludf.DUMMYFUNCTION("""COMPUTED_VALUE"""),"PAT PVS4")</f>
        <v>PAT PVS4</v>
      </c>
      <c r="D83" s="27"/>
      <c r="E83" s="27"/>
      <c r="F83" s="36">
        <f>IFERROR(__xludf.DUMMYFUNCTION("""COMPUTED_VALUE"""),15.0)</f>
        <v>15</v>
      </c>
      <c r="G83" s="27" t="str">
        <f>IFERROR(__xludf.DUMMYFUNCTION("""COMPUTED_VALUE"""),"UNIT")</f>
        <v>UNIT</v>
      </c>
      <c r="H83" s="37">
        <f>IFERROR(__xludf.DUMMYFUNCTION("""COMPUTED_VALUE"""),46205.0)</f>
        <v>46205</v>
      </c>
      <c r="I83" s="36" t="str">
        <f>IFERROR(__xludf.DUMMYFUNCTION("""COMPUTED_VALUE"""),"B2B")</f>
        <v>B2B</v>
      </c>
      <c r="J83" s="30"/>
      <c r="K83" s="26"/>
      <c r="L83" s="30" t="str">
        <f>IFERROR(__xludf.DUMMYFUNCTION("""COMPUTED_VALUE"""),"In Stock")</f>
        <v>In Stock</v>
      </c>
      <c r="M83" s="26" t="str">
        <f>IFERROR(__xludf.DUMMYFUNCTION("""COMPUTED_VALUE"""),"ADAM A.")</f>
        <v>ADAM A.</v>
      </c>
      <c r="N83" s="26" t="str">
        <f>IFERROR(__xludf.DUMMYFUNCTION("""COMPUTED_VALUE"""),"GENERIC")</f>
        <v>GENERIC</v>
      </c>
      <c r="O83" s="26" t="str">
        <f>IFERROR(__xludf.DUMMYFUNCTION("""COMPUTED_VALUE"""),"SCREEN|||PAT PVS4")</f>
        <v>SCREEN|||PAT PVS4</v>
      </c>
      <c r="P83" s="26"/>
      <c r="Q83" s="26" t="str">
        <f>IFERROR(__xludf.DUMMYFUNCTION("""COMPUTED_VALUE"""),"jose@ox-glass.com")</f>
        <v>jose@ox-glass.com</v>
      </c>
      <c r="R83" s="26" t="str">
        <f>IFERROR(__xludf.DUMMYFUNCTION("""COMPUTED_VALUE"""),"PM'S OFFICE")</f>
        <v>PM'S OFFICE</v>
      </c>
      <c r="S83" s="26" t="str">
        <f>IFERROR(__xludf.DUMMYFUNCTION("""COMPUTED_VALUE"""),"TRANSFER")</f>
        <v>TRANSFER</v>
      </c>
    </row>
    <row r="84" ht="22.5" customHeight="1">
      <c r="A84" s="35">
        <f>IFERROR(__xludf.DUMMYFUNCTION("""COMPUTED_VALUE"""),46204.42700415509)</f>
        <v>46204.427</v>
      </c>
      <c r="B84" s="36" t="str">
        <f>IFERROR(__xludf.DUMMYFUNCTION("""COMPUTED_VALUE"""),"SCREEN")</f>
        <v>SCREEN</v>
      </c>
      <c r="C84" s="26" t="str">
        <f>IFERROR(__xludf.DUMMYFUNCTION("""COMPUTED_VALUE"""),"OQU 201 GLENWOOD")</f>
        <v>OQU 201 GLENWOOD</v>
      </c>
      <c r="D84" s="27" t="str">
        <f>IFERROR(__xludf.DUMMYFUNCTION("""COMPUTED_VALUE"""),"LGI")</f>
        <v>LGI</v>
      </c>
      <c r="E84" s="27" t="str">
        <f>IFERROR(__xludf.DUMMYFUNCTION("""COMPUTED_VALUE"""),"7272")</f>
        <v>7272</v>
      </c>
      <c r="F84" s="36">
        <f>IFERROR(__xludf.DUMMYFUNCTION("""COMPUTED_VALUE"""),4.0)</f>
        <v>4</v>
      </c>
      <c r="G84" s="27" t="str">
        <f>IFERROR(__xludf.DUMMYFUNCTION("""COMPUTED_VALUE"""),"UNIT")</f>
        <v>UNIT</v>
      </c>
      <c r="H84" s="37">
        <f>IFERROR(__xludf.DUMMYFUNCTION("""COMPUTED_VALUE"""),46199.0)</f>
        <v>46199</v>
      </c>
      <c r="I84" s="36"/>
      <c r="J84" s="30" t="str">
        <f>IFERROR(__xludf.DUMMYFUNCTION("""COMPUTED_VALUE"""),"ALSIDE")</f>
        <v>ALSIDE</v>
      </c>
      <c r="K84" s="26"/>
      <c r="L84" s="30" t="str">
        <f>IFERROR(__xludf.DUMMYFUNCTION("""COMPUTED_VALUE"""),"In Stock")</f>
        <v>In Stock</v>
      </c>
      <c r="M84" s="26" t="str">
        <f>IFERROR(__xludf.DUMMYFUNCTION("""COMPUTED_VALUE"""),"JOSE")</f>
        <v>JOSE</v>
      </c>
      <c r="N84" s="26" t="str">
        <f>IFERROR(__xludf.DUMMYFUNCTION("""COMPUTED_VALUE"""),"LGI OQU 201 GLENWOOD")</f>
        <v>LGI OQU 201 GLENWOOD</v>
      </c>
      <c r="O84" s="26" t="str">
        <f>IFERROR(__xludf.DUMMYFUNCTION("""COMPUTED_VALUE"""),"SCREEN|||OQU 201 GLENWOOD")</f>
        <v>SCREEN|||OQU 201 GLENWOOD</v>
      </c>
      <c r="P84" s="26"/>
      <c r="Q84" s="26" t="str">
        <f>IFERROR(__xludf.DUMMYFUNCTION("""COMPUTED_VALUE"""),"jose@ox-glass.com")</f>
        <v>jose@ox-glass.com</v>
      </c>
      <c r="R84" s="26" t="str">
        <f>IFERROR(__xludf.DUMMYFUNCTION("""COMPUTED_VALUE"""),"A2B")</f>
        <v>A2B</v>
      </c>
      <c r="S84" s="26" t="str">
        <f>IFERROR(__xludf.DUMMYFUNCTION("""COMPUTED_VALUE"""),"ENTRY")</f>
        <v>ENTRY</v>
      </c>
    </row>
    <row r="85" ht="22.5" customHeight="1">
      <c r="A85" s="35">
        <f>IFERROR(__xludf.DUMMYFUNCTION("""COMPUTED_VALUE"""),46204.422685983795)</f>
        <v>46204.42269</v>
      </c>
      <c r="B85" s="36" t="str">
        <f>IFERROR(__xludf.DUMMYFUNCTION("""COMPUTED_VALUE"""),"SCREEN")</f>
        <v>SCREEN</v>
      </c>
      <c r="C85" s="26" t="str">
        <f>IFERROR(__xludf.DUMMYFUNCTION("""COMPUTED_VALUE"""),"OQU 173 HILGARD")</f>
        <v>OQU 173 HILGARD</v>
      </c>
      <c r="D85" s="27" t="str">
        <f>IFERROR(__xludf.DUMMYFUNCTION("""COMPUTED_VALUE"""),"LGI")</f>
        <v>LGI</v>
      </c>
      <c r="E85" s="27" t="str">
        <f>IFERROR(__xludf.DUMMYFUNCTION("""COMPUTED_VALUE"""),"7273")</f>
        <v>7273</v>
      </c>
      <c r="F85" s="36">
        <f>IFERROR(__xludf.DUMMYFUNCTION("""COMPUTED_VALUE"""),8.0)</f>
        <v>8</v>
      </c>
      <c r="G85" s="27" t="str">
        <f>IFERROR(__xludf.DUMMYFUNCTION("""COMPUTED_VALUE"""),"UNIT")</f>
        <v>UNIT</v>
      </c>
      <c r="H85" s="37">
        <f>IFERROR(__xludf.DUMMYFUNCTION("""COMPUTED_VALUE"""),46199.0)</f>
        <v>46199</v>
      </c>
      <c r="I85" s="36"/>
      <c r="J85" s="30" t="str">
        <f>IFERROR(__xludf.DUMMYFUNCTION("""COMPUTED_VALUE"""),"ALSIDE")</f>
        <v>ALSIDE</v>
      </c>
      <c r="K85" s="26"/>
      <c r="L85" s="30" t="str">
        <f>IFERROR(__xludf.DUMMYFUNCTION("""COMPUTED_VALUE"""),"In Stock")</f>
        <v>In Stock</v>
      </c>
      <c r="M85" s="26" t="str">
        <f>IFERROR(__xludf.DUMMYFUNCTION("""COMPUTED_VALUE"""),"JOSE")</f>
        <v>JOSE</v>
      </c>
      <c r="N85" s="26" t="str">
        <f>IFERROR(__xludf.DUMMYFUNCTION("""COMPUTED_VALUE"""),"LGI OQU 173 MILLARD")</f>
        <v>LGI OQU 173 MILLARD</v>
      </c>
      <c r="O85" s="26" t="str">
        <f>IFERROR(__xludf.DUMMYFUNCTION("""COMPUTED_VALUE"""),"SCREEN|||OQU 173 HILGARD")</f>
        <v>SCREEN|||OQU 173 HILGARD</v>
      </c>
      <c r="P85" s="26"/>
      <c r="Q85" s="26" t="str">
        <f>IFERROR(__xludf.DUMMYFUNCTION("""COMPUTED_VALUE"""),"jose@ox-glass.com")</f>
        <v>jose@ox-glass.com</v>
      </c>
      <c r="R85" s="26" t="str">
        <f>IFERROR(__xludf.DUMMYFUNCTION("""COMPUTED_VALUE"""),"A2B")</f>
        <v>A2B</v>
      </c>
      <c r="S85" s="26" t="str">
        <f>IFERROR(__xludf.DUMMYFUNCTION("""COMPUTED_VALUE"""),"ENTRY")</f>
        <v>ENTRY</v>
      </c>
    </row>
    <row r="86" ht="22.5" customHeight="1">
      <c r="A86" s="35">
        <f>IFERROR(__xludf.DUMMYFUNCTION("""COMPUTED_VALUE"""),46204.42094074074)</f>
        <v>46204.42094</v>
      </c>
      <c r="B86" s="36" t="str">
        <f>IFERROR(__xludf.DUMMYFUNCTION("""COMPUTED_VALUE"""),"SCREEN")</f>
        <v>SCREEN</v>
      </c>
      <c r="C86" s="26" t="str">
        <f>IFERROR(__xludf.DUMMYFUNCTION("""COMPUTED_VALUE"""),"OQU 181 NAOMI")</f>
        <v>OQU 181 NAOMI</v>
      </c>
      <c r="D86" s="27" t="str">
        <f>IFERROR(__xludf.DUMMYFUNCTION("""COMPUTED_VALUE"""),"LGI")</f>
        <v>LGI</v>
      </c>
      <c r="E86" s="27" t="str">
        <f>IFERROR(__xludf.DUMMYFUNCTION("""COMPUTED_VALUE"""),"7274")</f>
        <v>7274</v>
      </c>
      <c r="F86" s="36">
        <f>IFERROR(__xludf.DUMMYFUNCTION("""COMPUTED_VALUE"""),4.0)</f>
        <v>4</v>
      </c>
      <c r="G86" s="27" t="str">
        <f>IFERROR(__xludf.DUMMYFUNCTION("""COMPUTED_VALUE"""),"UNIT")</f>
        <v>UNIT</v>
      </c>
      <c r="H86" s="37">
        <f>IFERROR(__xludf.DUMMYFUNCTION("""COMPUTED_VALUE"""),46199.0)</f>
        <v>46199</v>
      </c>
      <c r="I86" s="36"/>
      <c r="J86" s="30" t="str">
        <f>IFERROR(__xludf.DUMMYFUNCTION("""COMPUTED_VALUE"""),"ALSIDE")</f>
        <v>ALSIDE</v>
      </c>
      <c r="K86" s="26"/>
      <c r="L86" s="30" t="str">
        <f>IFERROR(__xludf.DUMMYFUNCTION("""COMPUTED_VALUE"""),"In Stock")</f>
        <v>In Stock</v>
      </c>
      <c r="M86" s="26" t="str">
        <f>IFERROR(__xludf.DUMMYFUNCTION("""COMPUTED_VALUE"""),"JOSE")</f>
        <v>JOSE</v>
      </c>
      <c r="N86" s="26" t="str">
        <f>IFERROR(__xludf.DUMMYFUNCTION("""COMPUTED_VALUE"""),"LGI OQU 181 NAOMI")</f>
        <v>LGI OQU 181 NAOMI</v>
      </c>
      <c r="O86" s="26" t="str">
        <f>IFERROR(__xludf.DUMMYFUNCTION("""COMPUTED_VALUE"""),"SCREEN|||OQU 181 NAOMI")</f>
        <v>SCREEN|||OQU 181 NAOMI</v>
      </c>
      <c r="P86" s="26"/>
      <c r="Q86" s="26" t="str">
        <f>IFERROR(__xludf.DUMMYFUNCTION("""COMPUTED_VALUE"""),"jose@ox-glass.com")</f>
        <v>jose@ox-glass.com</v>
      </c>
      <c r="R86" s="26" t="str">
        <f>IFERROR(__xludf.DUMMYFUNCTION("""COMPUTED_VALUE"""),"A2B")</f>
        <v>A2B</v>
      </c>
      <c r="S86" s="26" t="str">
        <f>IFERROR(__xludf.DUMMYFUNCTION("""COMPUTED_VALUE"""),"ENTRY")</f>
        <v>ENTRY</v>
      </c>
    </row>
    <row r="87" ht="22.5" customHeight="1">
      <c r="A87" s="35">
        <f>IFERROR(__xludf.DUMMYFUNCTION("""COMPUTED_VALUE"""),46204.41827476852)</f>
        <v>46204.41827</v>
      </c>
      <c r="B87" s="36" t="str">
        <f>IFERROR(__xludf.DUMMYFUNCTION("""COMPUTED_VALUE"""),"SCREEN")</f>
        <v>SCREEN</v>
      </c>
      <c r="C87" s="26" t="str">
        <f>IFERROR(__xludf.DUMMYFUNCTION("""COMPUTED_VALUE"""),"SP648 TRACIE")</f>
        <v>SP648 TRACIE</v>
      </c>
      <c r="D87" s="27" t="str">
        <f>IFERROR(__xludf.DUMMYFUNCTION("""COMPUTED_VALUE"""),"PAT")</f>
        <v>PAT</v>
      </c>
      <c r="E87" s="27" t="str">
        <f>IFERROR(__xludf.DUMMYFUNCTION("""COMPUTED_VALUE"""),"7285")</f>
        <v>7285</v>
      </c>
      <c r="F87" s="36">
        <f>IFERROR(__xludf.DUMMYFUNCTION("""COMPUTED_VALUE"""),10.0)</f>
        <v>10</v>
      </c>
      <c r="G87" s="27" t="str">
        <f>IFERROR(__xludf.DUMMYFUNCTION("""COMPUTED_VALUE"""),"UNIT")</f>
        <v>UNIT</v>
      </c>
      <c r="H87" s="37">
        <f>IFERROR(__xludf.DUMMYFUNCTION("""COMPUTED_VALUE"""),46199.0)</f>
        <v>46199</v>
      </c>
      <c r="I87" s="36"/>
      <c r="J87" s="30" t="str">
        <f>IFERROR(__xludf.DUMMYFUNCTION("""COMPUTED_VALUE"""),"ALSIDE")</f>
        <v>ALSIDE</v>
      </c>
      <c r="K87" s="26"/>
      <c r="L87" s="30" t="str">
        <f>IFERROR(__xludf.DUMMYFUNCTION("""COMPUTED_VALUE"""),"In Stock")</f>
        <v>In Stock</v>
      </c>
      <c r="M87" s="26" t="str">
        <f>IFERROR(__xludf.DUMMYFUNCTION("""COMPUTED_VALUE"""),"JOSE")</f>
        <v>JOSE</v>
      </c>
      <c r="N87" s="26" t="str">
        <f>IFERROR(__xludf.DUMMYFUNCTION("""COMPUTED_VALUE"""),"PAT SP648 TRACIE")</f>
        <v>PAT SP648 TRACIE</v>
      </c>
      <c r="O87" s="26" t="str">
        <f>IFERROR(__xludf.DUMMYFUNCTION("""COMPUTED_VALUE"""),"SCREEN|||SP648 TRACIE")</f>
        <v>SCREEN|||SP648 TRACIE</v>
      </c>
      <c r="P87" s="26"/>
      <c r="Q87" s="26" t="str">
        <f>IFERROR(__xludf.DUMMYFUNCTION("""COMPUTED_VALUE"""),"jose@ox-glass.com")</f>
        <v>jose@ox-glass.com</v>
      </c>
      <c r="R87" s="26" t="str">
        <f>IFERROR(__xludf.DUMMYFUNCTION("""COMPUTED_VALUE"""),"A2B")</f>
        <v>A2B</v>
      </c>
      <c r="S87" s="26" t="str">
        <f>IFERROR(__xludf.DUMMYFUNCTION("""COMPUTED_VALUE"""),"ENTRY")</f>
        <v>ENTRY</v>
      </c>
    </row>
    <row r="88" ht="22.5" customHeight="1">
      <c r="A88" s="35">
        <f>IFERROR(__xludf.DUMMYFUNCTION("""COMPUTED_VALUE"""),46204.41368412037)</f>
        <v>46204.41368</v>
      </c>
      <c r="B88" s="36" t="str">
        <f>IFERROR(__xludf.DUMMYFUNCTION("""COMPUTED_VALUE"""),"SCREEN")</f>
        <v>SCREEN</v>
      </c>
      <c r="C88" s="26" t="str">
        <f>IFERROR(__xludf.DUMMYFUNCTION("""COMPUTED_VALUE"""),"DE 043 MILLARD")</f>
        <v>DE 043 MILLARD</v>
      </c>
      <c r="D88" s="27" t="str">
        <f>IFERROR(__xludf.DUMMYFUNCTION("""COMPUTED_VALUE"""),"LGI")</f>
        <v>LGI</v>
      </c>
      <c r="E88" s="27" t="str">
        <f>IFERROR(__xludf.DUMMYFUNCTION("""COMPUTED_VALUE"""),"7270")</f>
        <v>7270</v>
      </c>
      <c r="F88" s="36">
        <f>IFERROR(__xludf.DUMMYFUNCTION("""COMPUTED_VALUE"""),3.0)</f>
        <v>3</v>
      </c>
      <c r="G88" s="27" t="str">
        <f>IFERROR(__xludf.DUMMYFUNCTION("""COMPUTED_VALUE"""),"UNIT")</f>
        <v>UNIT</v>
      </c>
      <c r="H88" s="37">
        <f>IFERROR(__xludf.DUMMYFUNCTION("""COMPUTED_VALUE"""),46199.0)</f>
        <v>46199</v>
      </c>
      <c r="I88" s="36"/>
      <c r="J88" s="30" t="str">
        <f>IFERROR(__xludf.DUMMYFUNCTION("""COMPUTED_VALUE"""),"ALSIDE")</f>
        <v>ALSIDE</v>
      </c>
      <c r="K88" s="26"/>
      <c r="L88" s="30" t="str">
        <f>IFERROR(__xludf.DUMMYFUNCTION("""COMPUTED_VALUE"""),"In Stock")</f>
        <v>In Stock</v>
      </c>
      <c r="M88" s="26" t="str">
        <f>IFERROR(__xludf.DUMMYFUNCTION("""COMPUTED_VALUE"""),"JOSE")</f>
        <v>JOSE</v>
      </c>
      <c r="N88" s="26" t="str">
        <f>IFERROR(__xludf.DUMMYFUNCTION("""COMPUTED_VALUE"""),"LGI DE 043 MILLARD")</f>
        <v>LGI DE 043 MILLARD</v>
      </c>
      <c r="O88" s="26" t="str">
        <f>IFERROR(__xludf.DUMMYFUNCTION("""COMPUTED_VALUE"""),"SCREEN|||DE 043 MILLARD")</f>
        <v>SCREEN|||DE 043 MILLARD</v>
      </c>
      <c r="P88" s="26"/>
      <c r="Q88" s="26" t="str">
        <f>IFERROR(__xludf.DUMMYFUNCTION("""COMPUTED_VALUE"""),"jose@ox-glass.com")</f>
        <v>jose@ox-glass.com</v>
      </c>
      <c r="R88" s="26" t="str">
        <f>IFERROR(__xludf.DUMMYFUNCTION("""COMPUTED_VALUE"""),"A2B")</f>
        <v>A2B</v>
      </c>
      <c r="S88" s="26" t="str">
        <f>IFERROR(__xludf.DUMMYFUNCTION("""COMPUTED_VALUE"""),"ENTRY")</f>
        <v>ENTRY</v>
      </c>
    </row>
    <row r="89" ht="22.5" customHeight="1">
      <c r="A89" s="35">
        <f>IFERROR(__xludf.DUMMYFUNCTION("""COMPUTED_VALUE"""),46204.40874304398)</f>
        <v>46204.40874</v>
      </c>
      <c r="B89" s="36" t="str">
        <f>IFERROR(__xludf.DUMMYFUNCTION("""COMPUTED_VALUE"""),"SCREEN")</f>
        <v>SCREEN</v>
      </c>
      <c r="C89" s="26" t="str">
        <f>IFERROR(__xludf.DUMMYFUNCTION("""COMPUTED_VALUE"""),"DE 008 MILLARD")</f>
        <v>DE 008 MILLARD</v>
      </c>
      <c r="D89" s="27" t="str">
        <f>IFERROR(__xludf.DUMMYFUNCTION("""COMPUTED_VALUE"""),"LGI")</f>
        <v>LGI</v>
      </c>
      <c r="E89" s="27" t="str">
        <f>IFERROR(__xludf.DUMMYFUNCTION("""COMPUTED_VALUE"""),"7269")</f>
        <v>7269</v>
      </c>
      <c r="F89" s="36">
        <f>IFERROR(__xludf.DUMMYFUNCTION("""COMPUTED_VALUE"""),3.0)</f>
        <v>3</v>
      </c>
      <c r="G89" s="27" t="str">
        <f>IFERROR(__xludf.DUMMYFUNCTION("""COMPUTED_VALUE"""),"UNIT")</f>
        <v>UNIT</v>
      </c>
      <c r="H89" s="37">
        <f>IFERROR(__xludf.DUMMYFUNCTION("""COMPUTED_VALUE"""),46199.0)</f>
        <v>46199</v>
      </c>
      <c r="I89" s="36"/>
      <c r="J89" s="30" t="str">
        <f>IFERROR(__xludf.DUMMYFUNCTION("""COMPUTED_VALUE"""),"ALSIDE")</f>
        <v>ALSIDE</v>
      </c>
      <c r="K89" s="26"/>
      <c r="L89" s="30" t="str">
        <f>IFERROR(__xludf.DUMMYFUNCTION("""COMPUTED_VALUE"""),"In Stock")</f>
        <v>In Stock</v>
      </c>
      <c r="M89" s="26" t="str">
        <f>IFERROR(__xludf.DUMMYFUNCTION("""COMPUTED_VALUE"""),"JOSE")</f>
        <v>JOSE</v>
      </c>
      <c r="N89" s="26" t="str">
        <f>IFERROR(__xludf.DUMMYFUNCTION("""COMPUTED_VALUE"""),"LGI DE 008 MILLARD")</f>
        <v>LGI DE 008 MILLARD</v>
      </c>
      <c r="O89" s="26" t="str">
        <f>IFERROR(__xludf.DUMMYFUNCTION("""COMPUTED_VALUE"""),"SCREEN|||DE 008 MILLARD")</f>
        <v>SCREEN|||DE 008 MILLARD</v>
      </c>
      <c r="P89" s="26"/>
      <c r="Q89" s="26" t="str">
        <f>IFERROR(__xludf.DUMMYFUNCTION("""COMPUTED_VALUE"""),"jose@ox-glass.com")</f>
        <v>jose@ox-glass.com</v>
      </c>
      <c r="R89" s="26" t="str">
        <f>IFERROR(__xludf.DUMMYFUNCTION("""COMPUTED_VALUE"""),"A2B")</f>
        <v>A2B</v>
      </c>
      <c r="S89" s="26" t="str">
        <f>IFERROR(__xludf.DUMMYFUNCTION("""COMPUTED_VALUE"""),"ENTRY")</f>
        <v>ENTRY</v>
      </c>
    </row>
    <row r="90" ht="22.5" customHeight="1">
      <c r="A90" s="35">
        <f>IFERROR(__xludf.DUMMYFUNCTION("""COMPUTED_VALUE"""),46204.40659011574)</f>
        <v>46204.40659</v>
      </c>
      <c r="B90" s="36" t="str">
        <f>IFERROR(__xludf.DUMMYFUNCTION("""COMPUTED_VALUE"""),"SCREEN")</f>
        <v>SCREEN</v>
      </c>
      <c r="C90" s="26" t="str">
        <f>IFERROR(__xludf.DUMMYFUNCTION("""COMPUTED_VALUE"""),"DE 042 PROVO")</f>
        <v>DE 042 PROVO</v>
      </c>
      <c r="D90" s="27" t="str">
        <f>IFERROR(__xludf.DUMMYFUNCTION("""COMPUTED_VALUE"""),"LGI")</f>
        <v>LGI</v>
      </c>
      <c r="E90" s="27" t="str">
        <f>IFERROR(__xludf.DUMMYFUNCTION("""COMPUTED_VALUE"""),"7271")</f>
        <v>7271</v>
      </c>
      <c r="F90" s="36">
        <f>IFERROR(__xludf.DUMMYFUNCTION("""COMPUTED_VALUE"""),5.0)</f>
        <v>5</v>
      </c>
      <c r="G90" s="27" t="str">
        <f>IFERROR(__xludf.DUMMYFUNCTION("""COMPUTED_VALUE"""),"UNIT")</f>
        <v>UNIT</v>
      </c>
      <c r="H90" s="37">
        <f>IFERROR(__xludf.DUMMYFUNCTION("""COMPUTED_VALUE"""),46199.0)</f>
        <v>46199</v>
      </c>
      <c r="I90" s="36"/>
      <c r="J90" s="30" t="str">
        <f>IFERROR(__xludf.DUMMYFUNCTION("""COMPUTED_VALUE"""),"ALSIDE")</f>
        <v>ALSIDE</v>
      </c>
      <c r="K90" s="26"/>
      <c r="L90" s="30" t="str">
        <f>IFERROR(__xludf.DUMMYFUNCTION("""COMPUTED_VALUE"""),"In Stock")</f>
        <v>In Stock</v>
      </c>
      <c r="M90" s="26" t="str">
        <f>IFERROR(__xludf.DUMMYFUNCTION("""COMPUTED_VALUE"""),"JOSE")</f>
        <v>JOSE</v>
      </c>
      <c r="N90" s="26" t="str">
        <f>IFERROR(__xludf.DUMMYFUNCTION("""COMPUTED_VALUE"""),"LGI DE 042 PROVO")</f>
        <v>LGI DE 042 PROVO</v>
      </c>
      <c r="O90" s="26" t="str">
        <f>IFERROR(__xludf.DUMMYFUNCTION("""COMPUTED_VALUE"""),"SCREEN|||DE 042 PROVO")</f>
        <v>SCREEN|||DE 042 PROVO</v>
      </c>
      <c r="P90" s="26"/>
      <c r="Q90" s="26" t="str">
        <f>IFERROR(__xludf.DUMMYFUNCTION("""COMPUTED_VALUE"""),"jose@ox-glass.com")</f>
        <v>jose@ox-glass.com</v>
      </c>
      <c r="R90" s="26" t="str">
        <f>IFERROR(__xludf.DUMMYFUNCTION("""COMPUTED_VALUE"""),"A2B")</f>
        <v>A2B</v>
      </c>
      <c r="S90" s="26" t="str">
        <f>IFERROR(__xludf.DUMMYFUNCTION("""COMPUTED_VALUE"""),"ENTRY")</f>
        <v>ENTRY</v>
      </c>
    </row>
    <row r="91" ht="22.5" customHeight="1">
      <c r="A91" s="35">
        <f>IFERROR(__xludf.DUMMYFUNCTION("""COMPUTED_VALUE"""),46204.3771728588)</f>
        <v>46204.37717</v>
      </c>
      <c r="B91" s="36" t="str">
        <f>IFERROR(__xludf.DUMMYFUNCTION("""COMPUTED_VALUE"""),"SCREEN")</f>
        <v>SCREEN</v>
      </c>
      <c r="C91" s="26" t="str">
        <f>IFERROR(__xludf.DUMMYFUNCTION("""COMPUTED_VALUE"""),"MH 159")</f>
        <v>MH 159</v>
      </c>
      <c r="D91" s="27" t="str">
        <f>IFERROR(__xludf.DUMMYFUNCTION("""COMPUTED_VALUE"""),"TOL")</f>
        <v>TOL</v>
      </c>
      <c r="E91" s="27" t="str">
        <f>IFERROR(__xludf.DUMMYFUNCTION("""COMPUTED_VALUE"""),"06-1495")</f>
        <v>06-1495</v>
      </c>
      <c r="F91" s="36">
        <f>IFERROR(__xludf.DUMMYFUNCTION("""COMPUTED_VALUE"""),1.0)</f>
        <v>1</v>
      </c>
      <c r="G91" s="27" t="str">
        <f>IFERROR(__xludf.DUMMYFUNCTION("""COMPUTED_VALUE"""),"UNIT")</f>
        <v>UNIT</v>
      </c>
      <c r="H91" s="37">
        <f>IFERROR(__xludf.DUMMYFUNCTION("""COMPUTED_VALUE"""),46199.0)</f>
        <v>46199</v>
      </c>
      <c r="I91" s="36"/>
      <c r="J91" s="30" t="str">
        <f>IFERROR(__xludf.DUMMYFUNCTION("""COMPUTED_VALUE"""),"AMSCO")</f>
        <v>AMSCO</v>
      </c>
      <c r="K91" s="26" t="str">
        <f>IFERROR(__xludf.DUMMYFUNCTION("""COMPUTED_VALUE"""),"WHITE DOOR SCREEN")</f>
        <v>WHITE DOOR SCREEN</v>
      </c>
      <c r="L91" s="30" t="str">
        <f>IFERROR(__xludf.DUMMYFUNCTION("""COMPUTED_VALUE"""),"In Stock")</f>
        <v>In Stock</v>
      </c>
      <c r="M91" s="26" t="str">
        <f>IFERROR(__xludf.DUMMYFUNCTION("""COMPUTED_VALUE"""),"JOSE")</f>
        <v>JOSE</v>
      </c>
      <c r="N91" s="26" t="str">
        <f>IFERROR(__xludf.DUMMYFUNCTION("""COMPUTED_VALUE"""),"TOL MH 159")</f>
        <v>TOL MH 159</v>
      </c>
      <c r="O91" s="26" t="str">
        <f>IFERROR(__xludf.DUMMYFUNCTION("""COMPUTED_VALUE"""),"SCREEN|||MH 159")</f>
        <v>SCREEN|||MH 159</v>
      </c>
      <c r="P91" s="26"/>
      <c r="Q91" s="26" t="str">
        <f>IFERROR(__xludf.DUMMYFUNCTION("""COMPUTED_VALUE"""),"jose@ox-glass.com")</f>
        <v>jose@ox-glass.com</v>
      </c>
      <c r="R91" s="26" t="str">
        <f>IFERROR(__xludf.DUMMYFUNCTION("""COMPUTED_VALUE"""),"P1C")</f>
        <v>P1C</v>
      </c>
      <c r="S91" s="26" t="str">
        <f>IFERROR(__xludf.DUMMYFUNCTION("""COMPUTED_VALUE"""),"ENTRY")</f>
        <v>ENTRY</v>
      </c>
    </row>
    <row r="92" ht="22.5" customHeight="1">
      <c r="A92" s="35">
        <f>IFERROR(__xludf.DUMMYFUNCTION("""COMPUTED_VALUE"""),46204.372001157404)</f>
        <v>46204.372</v>
      </c>
      <c r="B92" s="36" t="str">
        <f>IFERROR(__xludf.DUMMYFUNCTION("""COMPUTED_VALUE"""),"SCREEN")</f>
        <v>SCREEN</v>
      </c>
      <c r="C92" s="26" t="str">
        <f>IFERROR(__xludf.DUMMYFUNCTION("""COMPUTED_VALUE"""),"SCENIC MOUNTAIN 4PLEX PHASE2")</f>
        <v>SCENIC MOUNTAIN 4PLEX PHASE2</v>
      </c>
      <c r="D92" s="27" t="str">
        <f>IFERROR(__xludf.DUMMYFUNCTION("""COMPUTED_VALUE"""),"GHH")</f>
        <v>GHH</v>
      </c>
      <c r="E92" s="27" t="str">
        <f>IFERROR(__xludf.DUMMYFUNCTION("""COMPUTED_VALUE"""),"06-2193")</f>
        <v>06-2193</v>
      </c>
      <c r="F92" s="36">
        <f>IFERROR(__xludf.DUMMYFUNCTION("""COMPUTED_VALUE"""),4.0)</f>
        <v>4</v>
      </c>
      <c r="G92" s="27" t="str">
        <f>IFERROR(__xludf.DUMMYFUNCTION("""COMPUTED_VALUE"""),"UNIT")</f>
        <v>UNIT</v>
      </c>
      <c r="H92" s="37">
        <f>IFERROR(__xludf.DUMMYFUNCTION("""COMPUTED_VALUE"""),46199.0)</f>
        <v>46199</v>
      </c>
      <c r="I92" s="36"/>
      <c r="J92" s="30" t="str">
        <f>IFERROR(__xludf.DUMMYFUNCTION("""COMPUTED_VALUE"""),"AMSCO")</f>
        <v>AMSCO</v>
      </c>
      <c r="K92" s="26" t="str">
        <f>IFERROR(__xludf.DUMMYFUNCTION("""COMPUTED_VALUE"""),"WHITE SCREEN DOORS")</f>
        <v>WHITE SCREEN DOORS</v>
      </c>
      <c r="L92" s="30" t="str">
        <f>IFERROR(__xludf.DUMMYFUNCTION("""COMPUTED_VALUE"""),"In Stock")</f>
        <v>In Stock</v>
      </c>
      <c r="M92" s="26" t="str">
        <f>IFERROR(__xludf.DUMMYFUNCTION("""COMPUTED_VALUE"""),"JOSE")</f>
        <v>JOSE</v>
      </c>
      <c r="N92" s="26" t="str">
        <f>IFERROR(__xludf.DUMMYFUNCTION("""COMPUTED_VALUE"""),"GHH SCENIC MOUNTAIN 4PLEX PHASE2")</f>
        <v>GHH SCENIC MOUNTAIN 4PLEX PHASE2</v>
      </c>
      <c r="O92" s="26" t="str">
        <f>IFERROR(__xludf.DUMMYFUNCTION("""COMPUTED_VALUE"""),"SCREEN|||SCENIC MOUNTAIN 4PLEX PHASE2")</f>
        <v>SCREEN|||SCENIC MOUNTAIN 4PLEX PHASE2</v>
      </c>
      <c r="P92" s="26"/>
      <c r="Q92" s="26" t="str">
        <f>IFERROR(__xludf.DUMMYFUNCTION("""COMPUTED_VALUE"""),"jose@ox-glass.com")</f>
        <v>jose@ox-glass.com</v>
      </c>
      <c r="R92" s="26" t="str">
        <f>IFERROR(__xludf.DUMMYFUNCTION("""COMPUTED_VALUE"""),"P1C")</f>
        <v>P1C</v>
      </c>
      <c r="S92" s="26" t="str">
        <f>IFERROR(__xludf.DUMMYFUNCTION("""COMPUTED_VALUE"""),"ENTRY")</f>
        <v>ENTRY</v>
      </c>
    </row>
    <row r="93" ht="22.5" customHeight="1">
      <c r="A93" s="35">
        <f>IFERROR(__xludf.DUMMYFUNCTION("""COMPUTED_VALUE"""),46204.36913053241)</f>
        <v>46204.36913</v>
      </c>
      <c r="B93" s="36" t="str">
        <f>IFERROR(__xludf.DUMMYFUNCTION("""COMPUTED_VALUE"""),"SCREEN")</f>
        <v>SCREEN</v>
      </c>
      <c r="C93" s="26" t="str">
        <f>IFERROR(__xludf.DUMMYFUNCTION("""COMPUTED_VALUE"""),"MH 160")</f>
        <v>MH 160</v>
      </c>
      <c r="D93" s="27" t="str">
        <f>IFERROR(__xludf.DUMMYFUNCTION("""COMPUTED_VALUE"""),"TOLL")</f>
        <v>TOLL</v>
      </c>
      <c r="E93" s="27" t="str">
        <f>IFERROR(__xludf.DUMMYFUNCTION("""COMPUTED_VALUE"""),"06-1489")</f>
        <v>06-1489</v>
      </c>
      <c r="F93" s="36">
        <f>IFERROR(__xludf.DUMMYFUNCTION("""COMPUTED_VALUE"""),2.0)</f>
        <v>2</v>
      </c>
      <c r="G93" s="27" t="str">
        <f>IFERROR(__xludf.DUMMYFUNCTION("""COMPUTED_VALUE"""),"UNIT")</f>
        <v>UNIT</v>
      </c>
      <c r="H93" s="37">
        <f>IFERROR(__xludf.DUMMYFUNCTION("""COMPUTED_VALUE"""),46199.0)</f>
        <v>46199</v>
      </c>
      <c r="I93" s="36"/>
      <c r="J93" s="30" t="str">
        <f>IFERROR(__xludf.DUMMYFUNCTION("""COMPUTED_VALUE"""),"AMSCO")</f>
        <v>AMSCO</v>
      </c>
      <c r="K93" s="26" t="str">
        <f>IFERROR(__xludf.DUMMYFUNCTION("""COMPUTED_VALUE"""),"WHITE DOOR SCREENS")</f>
        <v>WHITE DOOR SCREENS</v>
      </c>
      <c r="L93" s="30" t="str">
        <f>IFERROR(__xludf.DUMMYFUNCTION("""COMPUTED_VALUE"""),"In Stock")</f>
        <v>In Stock</v>
      </c>
      <c r="M93" s="26" t="str">
        <f>IFERROR(__xludf.DUMMYFUNCTION("""COMPUTED_VALUE"""),"JOSE")</f>
        <v>JOSE</v>
      </c>
      <c r="N93" s="26" t="str">
        <f>IFERROR(__xludf.DUMMYFUNCTION("""COMPUTED_VALUE"""),"TOLL MH 160")</f>
        <v>TOLL MH 160</v>
      </c>
      <c r="O93" s="26" t="str">
        <f>IFERROR(__xludf.DUMMYFUNCTION("""COMPUTED_VALUE"""),"SCREEN|||MH 160")</f>
        <v>SCREEN|||MH 160</v>
      </c>
      <c r="P93" s="26"/>
      <c r="Q93" s="26" t="str">
        <f>IFERROR(__xludf.DUMMYFUNCTION("""COMPUTED_VALUE"""),"jose@ox-glass.com")</f>
        <v>jose@ox-glass.com</v>
      </c>
      <c r="R93" s="26" t="str">
        <f>IFERROR(__xludf.DUMMYFUNCTION("""COMPUTED_VALUE"""),"P1C")</f>
        <v>P1C</v>
      </c>
      <c r="S93" s="26" t="str">
        <f>IFERROR(__xludf.DUMMYFUNCTION("""COMPUTED_VALUE"""),"ENTRY")</f>
        <v>ENTRY</v>
      </c>
    </row>
    <row r="94" ht="22.5" customHeight="1">
      <c r="A94" s="35">
        <f>IFERROR(__xludf.DUMMYFUNCTION("""COMPUTED_VALUE"""),46204.353365208335)</f>
        <v>46204.35337</v>
      </c>
      <c r="B94" s="36" t="str">
        <f>IFERROR(__xludf.DUMMYFUNCTION("""COMPUTED_VALUE"""),"SCREEN")</f>
        <v>SCREEN</v>
      </c>
      <c r="C94" s="26" t="str">
        <f>IFERROR(__xludf.DUMMYFUNCTION("""COMPUTED_VALUE"""),"MH 145")</f>
        <v>MH 145</v>
      </c>
      <c r="D94" s="27" t="str">
        <f>IFERROR(__xludf.DUMMYFUNCTION("""COMPUTED_VALUE"""),"TOL")</f>
        <v>TOL</v>
      </c>
      <c r="E94" s="27" t="str">
        <f>IFERROR(__xludf.DUMMYFUNCTION("""COMPUTED_VALUE"""),"06-1483")</f>
        <v>06-1483</v>
      </c>
      <c r="F94" s="36">
        <f>IFERROR(__xludf.DUMMYFUNCTION("""COMPUTED_VALUE"""),1.0)</f>
        <v>1</v>
      </c>
      <c r="G94" s="27" t="str">
        <f>IFERROR(__xludf.DUMMYFUNCTION("""COMPUTED_VALUE"""),"UNIT")</f>
        <v>UNIT</v>
      </c>
      <c r="H94" s="37">
        <f>IFERROR(__xludf.DUMMYFUNCTION("""COMPUTED_VALUE"""),46199.0)</f>
        <v>46199</v>
      </c>
      <c r="I94" s="36"/>
      <c r="J94" s="30" t="str">
        <f>IFERROR(__xludf.DUMMYFUNCTION("""COMPUTED_VALUE"""),"AMSCO")</f>
        <v>AMSCO</v>
      </c>
      <c r="K94" s="26" t="str">
        <f>IFERROR(__xludf.DUMMYFUNCTION("""COMPUTED_VALUE"""),"WHITE DOOR SCREEN")</f>
        <v>WHITE DOOR SCREEN</v>
      </c>
      <c r="L94" s="30" t="str">
        <f>IFERROR(__xludf.DUMMYFUNCTION("""COMPUTED_VALUE"""),"In Stock")</f>
        <v>In Stock</v>
      </c>
      <c r="M94" s="26" t="str">
        <f>IFERROR(__xludf.DUMMYFUNCTION("""COMPUTED_VALUE"""),"JOSE")</f>
        <v>JOSE</v>
      </c>
      <c r="N94" s="26" t="str">
        <f>IFERROR(__xludf.DUMMYFUNCTION("""COMPUTED_VALUE"""),"TOL MH 145")</f>
        <v>TOL MH 145</v>
      </c>
      <c r="O94" s="26" t="str">
        <f>IFERROR(__xludf.DUMMYFUNCTION("""COMPUTED_VALUE"""),"SCREEN|||MH 145")</f>
        <v>SCREEN|||MH 145</v>
      </c>
      <c r="P94" s="26"/>
      <c r="Q94" s="26" t="str">
        <f>IFERROR(__xludf.DUMMYFUNCTION("""COMPUTED_VALUE"""),"jose@ox-glass.com")</f>
        <v>jose@ox-glass.com</v>
      </c>
      <c r="R94" s="26" t="str">
        <f>IFERROR(__xludf.DUMMYFUNCTION("""COMPUTED_VALUE"""),"P1C")</f>
        <v>P1C</v>
      </c>
      <c r="S94" s="26" t="str">
        <f>IFERROR(__xludf.DUMMYFUNCTION("""COMPUTED_VALUE"""),"ENTRY")</f>
        <v>ENTRY</v>
      </c>
    </row>
    <row r="95" ht="22.5" customHeight="1">
      <c r="A95" s="35">
        <f>IFERROR(__xludf.DUMMYFUNCTION("""COMPUTED_VALUE"""),46204.34268148148)</f>
        <v>46204.34268</v>
      </c>
      <c r="B95" s="36" t="str">
        <f>IFERROR(__xludf.DUMMYFUNCTION("""COMPUTED_VALUE"""),"SCREEN")</f>
        <v>SCREEN</v>
      </c>
      <c r="C95" s="26" t="str">
        <f>IFERROR(__xludf.DUMMYFUNCTION("""COMPUTED_VALUE"""),"BS10")</f>
        <v>BS10</v>
      </c>
      <c r="D95" s="27" t="str">
        <f>IFERROR(__xludf.DUMMYFUNCTION("""COMPUTED_VALUE"""),"PAT")</f>
        <v>PAT</v>
      </c>
      <c r="E95" s="27" t="str">
        <f>IFERROR(__xludf.DUMMYFUNCTION("""COMPUTED_VALUE"""),"06-2345")</f>
        <v>06-2345</v>
      </c>
      <c r="F95" s="36">
        <f>IFERROR(__xludf.DUMMYFUNCTION("""COMPUTED_VALUE"""),9.0)</f>
        <v>9</v>
      </c>
      <c r="G95" s="27" t="str">
        <f>IFERROR(__xludf.DUMMYFUNCTION("""COMPUTED_VALUE"""),"UNIT")</f>
        <v>UNIT</v>
      </c>
      <c r="H95" s="37">
        <f>IFERROR(__xludf.DUMMYFUNCTION("""COMPUTED_VALUE"""),46199.0)</f>
        <v>46199</v>
      </c>
      <c r="I95" s="36"/>
      <c r="J95" s="30" t="str">
        <f>IFERROR(__xludf.DUMMYFUNCTION("""COMPUTED_VALUE"""),"AMSCO")</f>
        <v>AMSCO</v>
      </c>
      <c r="K95" s="26"/>
      <c r="L95" s="30" t="str">
        <f>IFERROR(__xludf.DUMMYFUNCTION("""COMPUTED_VALUE"""),"In Stock")</f>
        <v>In Stock</v>
      </c>
      <c r="M95" s="26" t="str">
        <f>IFERROR(__xludf.DUMMYFUNCTION("""COMPUTED_VALUE"""),"JOSE")</f>
        <v>JOSE</v>
      </c>
      <c r="N95" s="26" t="str">
        <f>IFERROR(__xludf.DUMMYFUNCTION("""COMPUTED_VALUE"""),"BS10")</f>
        <v>BS10</v>
      </c>
      <c r="O95" s="26" t="str">
        <f>IFERROR(__xludf.DUMMYFUNCTION("""COMPUTED_VALUE"""),"SCREEN|||BS10")</f>
        <v>SCREEN|||BS10</v>
      </c>
      <c r="P95" s="26"/>
      <c r="Q95" s="26" t="str">
        <f>IFERROR(__xludf.DUMMYFUNCTION("""COMPUTED_VALUE"""),"jose@ox-glass.com")</f>
        <v>jose@ox-glass.com</v>
      </c>
      <c r="R95" s="26" t="str">
        <f>IFERROR(__xludf.DUMMYFUNCTION("""COMPUTED_VALUE"""),"A2B")</f>
        <v>A2B</v>
      </c>
      <c r="S95" s="26" t="str">
        <f>IFERROR(__xludf.DUMMYFUNCTION("""COMPUTED_VALUE"""),"ENTRY")</f>
        <v>ENTRY</v>
      </c>
    </row>
    <row r="96" ht="22.5" customHeight="1">
      <c r="A96" s="35">
        <f>IFERROR(__xludf.DUMMYFUNCTION("""COMPUTED_VALUE"""),46202.650803819444)</f>
        <v>46202.6508</v>
      </c>
      <c r="B96" s="36" t="str">
        <f>IFERROR(__xludf.DUMMYFUNCTION("""COMPUTED_VALUE"""),"SCREEN")</f>
        <v>SCREEN</v>
      </c>
      <c r="C96" s="26" t="str">
        <f>IFERROR(__xludf.DUMMYFUNCTION("""COMPUTED_VALUE"""),"BS10")</f>
        <v>BS10</v>
      </c>
      <c r="D96" s="27" t="str">
        <f>IFERROR(__xludf.DUMMYFUNCTION("""COMPUTED_VALUE"""),"PAT")</f>
        <v>PAT</v>
      </c>
      <c r="E96" s="27" t="str">
        <f>IFERROR(__xludf.DUMMYFUNCTION("""COMPUTED_VALUE"""),"06-2345")</f>
        <v>06-2345</v>
      </c>
      <c r="F96" s="36">
        <f>IFERROR(__xludf.DUMMYFUNCTION("""COMPUTED_VALUE"""),9.0)</f>
        <v>9</v>
      </c>
      <c r="G96" s="27" t="str">
        <f>IFERROR(__xludf.DUMMYFUNCTION("""COMPUTED_VALUE"""),"UNIT")</f>
        <v>UNIT</v>
      </c>
      <c r="H96" s="37">
        <f>IFERROR(__xludf.DUMMYFUNCTION("""COMPUTED_VALUE"""),46199.0)</f>
        <v>46199</v>
      </c>
      <c r="I96" s="36"/>
      <c r="J96" s="30" t="str">
        <f>IFERROR(__xludf.DUMMYFUNCTION("""COMPUTED_VALUE"""),"AMSCO")</f>
        <v>AMSCO</v>
      </c>
      <c r="K96" s="26" t="str">
        <f>IFERROR(__xludf.DUMMYFUNCTION("""COMPUTED_VALUE"""),"BLACK WINDOW SCEENS")</f>
        <v>BLACK WINDOW SCEENS</v>
      </c>
      <c r="L96" s="30" t="str">
        <f>IFERROR(__xludf.DUMMYFUNCTION("""COMPUTED_VALUE"""),"In Stock")</f>
        <v>In Stock</v>
      </c>
      <c r="M96" s="26" t="str">
        <f>IFERROR(__xludf.DUMMYFUNCTION("""COMPUTED_VALUE"""),"JOSE")</f>
        <v>JOSE</v>
      </c>
      <c r="N96" s="26" t="str">
        <f>IFERROR(__xludf.DUMMYFUNCTION("""COMPUTED_VALUE"""),"BS10")</f>
        <v>BS10</v>
      </c>
      <c r="O96" s="26" t="str">
        <f>IFERROR(__xludf.DUMMYFUNCTION("""COMPUTED_VALUE"""),"SCREEN|||BS10")</f>
        <v>SCREEN|||BS10</v>
      </c>
      <c r="P96" s="26"/>
      <c r="Q96" s="26" t="str">
        <f>IFERROR(__xludf.DUMMYFUNCTION("""COMPUTED_VALUE"""),"jose@ox-glass.com")</f>
        <v>jose@ox-glass.com</v>
      </c>
      <c r="R96" s="26" t="str">
        <f>IFERROR(__xludf.DUMMYFUNCTION("""COMPUTED_VALUE"""),"A2B")</f>
        <v>A2B</v>
      </c>
      <c r="S96" s="26" t="str">
        <f>IFERROR(__xludf.DUMMYFUNCTION("""COMPUTED_VALUE"""),"ENTRY")</f>
        <v>ENTRY</v>
      </c>
    </row>
    <row r="97" ht="22.5" customHeight="1">
      <c r="A97" s="35">
        <f>IFERROR(__xludf.DUMMYFUNCTION("""COMPUTED_VALUE"""),46202.59896563657)</f>
        <v>46202.59897</v>
      </c>
      <c r="B97" s="36" t="str">
        <f>IFERROR(__xludf.DUMMYFUNCTION("""COMPUTED_VALUE"""),"SCREEN")</f>
        <v>SCREEN</v>
      </c>
      <c r="C97" s="26" t="str">
        <f>IFERROR(__xludf.DUMMYFUNCTION("""COMPUTED_VALUE"""),"MH 160")</f>
        <v>MH 160</v>
      </c>
      <c r="D97" s="27" t="str">
        <f>IFERROR(__xludf.DUMMYFUNCTION("""COMPUTED_VALUE"""),"TOLL")</f>
        <v>TOLL</v>
      </c>
      <c r="E97" s="27" t="str">
        <f>IFERROR(__xludf.DUMMYFUNCTION("""COMPUTED_VALUE"""),"06-1489")</f>
        <v>06-1489</v>
      </c>
      <c r="F97" s="36">
        <f>IFERROR(__xludf.DUMMYFUNCTION("""COMPUTED_VALUE"""),18.0)</f>
        <v>18</v>
      </c>
      <c r="G97" s="27" t="str">
        <f>IFERROR(__xludf.DUMMYFUNCTION("""COMPUTED_VALUE"""),"UNIT")</f>
        <v>UNIT</v>
      </c>
      <c r="H97" s="37">
        <f>IFERROR(__xludf.DUMMYFUNCTION("""COMPUTED_VALUE"""),46199.0)</f>
        <v>46199</v>
      </c>
      <c r="I97" s="36"/>
      <c r="J97" s="30" t="str">
        <f>IFERROR(__xludf.DUMMYFUNCTION("""COMPUTED_VALUE"""),"AMSCO")</f>
        <v>AMSCO</v>
      </c>
      <c r="K97" s="26"/>
      <c r="L97" s="30" t="str">
        <f>IFERROR(__xludf.DUMMYFUNCTION("""COMPUTED_VALUE"""),"In Stock")</f>
        <v>In Stock</v>
      </c>
      <c r="M97" s="26" t="str">
        <f>IFERROR(__xludf.DUMMYFUNCTION("""COMPUTED_VALUE"""),"JOSE")</f>
        <v>JOSE</v>
      </c>
      <c r="N97" s="26" t="str">
        <f>IFERROR(__xludf.DUMMYFUNCTION("""COMPUTED_VALUE"""),"TOLL MH 160")</f>
        <v>TOLL MH 160</v>
      </c>
      <c r="O97" s="26" t="str">
        <f>IFERROR(__xludf.DUMMYFUNCTION("""COMPUTED_VALUE"""),"SCREEN|||MH 160")</f>
        <v>SCREEN|||MH 160</v>
      </c>
      <c r="P97" s="26"/>
      <c r="Q97" s="26" t="str">
        <f>IFERROR(__xludf.DUMMYFUNCTION("""COMPUTED_VALUE"""),"jose@ox-glass.com")</f>
        <v>jose@ox-glass.com</v>
      </c>
      <c r="R97" s="26" t="str">
        <f>IFERROR(__xludf.DUMMYFUNCTION("""COMPUTED_VALUE"""),"A2B")</f>
        <v>A2B</v>
      </c>
      <c r="S97" s="26" t="str">
        <f>IFERROR(__xludf.DUMMYFUNCTION("""COMPUTED_VALUE"""),"ENTRY")</f>
        <v>ENTRY</v>
      </c>
    </row>
    <row r="98" ht="22.5" customHeight="1">
      <c r="A98" s="35">
        <f>IFERROR(__xludf.DUMMYFUNCTION("""COMPUTED_VALUE"""),46202.595844571755)</f>
        <v>46202.59584</v>
      </c>
      <c r="B98" s="36" t="str">
        <f>IFERROR(__xludf.DUMMYFUNCTION("""COMPUTED_VALUE"""),"SCREEN")</f>
        <v>SCREEN</v>
      </c>
      <c r="C98" s="26" t="str">
        <f>IFERROR(__xludf.DUMMYFUNCTION("""COMPUTED_VALUE"""),"SCENIC MOUNTAIN 4PLEX PHASE2")</f>
        <v>SCENIC MOUNTAIN 4PLEX PHASE2</v>
      </c>
      <c r="D98" s="27" t="str">
        <f>IFERROR(__xludf.DUMMYFUNCTION("""COMPUTED_VALUE"""),"GHH")</f>
        <v>GHH</v>
      </c>
      <c r="E98" s="27" t="str">
        <f>IFERROR(__xludf.DUMMYFUNCTION("""COMPUTED_VALUE"""),"06-2193")</f>
        <v>06-2193</v>
      </c>
      <c r="F98" s="36">
        <f>IFERROR(__xludf.DUMMYFUNCTION("""COMPUTED_VALUE"""),39.0)</f>
        <v>39</v>
      </c>
      <c r="G98" s="27" t="str">
        <f>IFERROR(__xludf.DUMMYFUNCTION("""COMPUTED_VALUE"""),"UNIT")</f>
        <v>UNIT</v>
      </c>
      <c r="H98" s="37">
        <f>IFERROR(__xludf.DUMMYFUNCTION("""COMPUTED_VALUE"""),46199.0)</f>
        <v>46199</v>
      </c>
      <c r="I98" s="36"/>
      <c r="J98" s="30" t="str">
        <f>IFERROR(__xludf.DUMMYFUNCTION("""COMPUTED_VALUE"""),"AMSCO")</f>
        <v>AMSCO</v>
      </c>
      <c r="K98" s="26" t="str">
        <f>IFERROR(__xludf.DUMMYFUNCTION("""COMPUTED_VALUE"""),"WHITE WINDOWS")</f>
        <v>WHITE WINDOWS</v>
      </c>
      <c r="L98" s="30" t="str">
        <f>IFERROR(__xludf.DUMMYFUNCTION("""COMPUTED_VALUE"""),"In Stock")</f>
        <v>In Stock</v>
      </c>
      <c r="M98" s="26" t="str">
        <f>IFERROR(__xludf.DUMMYFUNCTION("""COMPUTED_VALUE"""),"JOSE")</f>
        <v>JOSE</v>
      </c>
      <c r="N98" s="26" t="str">
        <f>IFERROR(__xludf.DUMMYFUNCTION("""COMPUTED_VALUE"""),"GHH SCENIC MOUNTAIN 4PLEX PHASE2")</f>
        <v>GHH SCENIC MOUNTAIN 4PLEX PHASE2</v>
      </c>
      <c r="O98" s="26" t="str">
        <f>IFERROR(__xludf.DUMMYFUNCTION("""COMPUTED_VALUE"""),"SCREEN|||SCENIC MOUNTAIN 4PLEX PHASE2")</f>
        <v>SCREEN|||SCENIC MOUNTAIN 4PLEX PHASE2</v>
      </c>
      <c r="P98" s="26"/>
      <c r="Q98" s="26" t="str">
        <f>IFERROR(__xludf.DUMMYFUNCTION("""COMPUTED_VALUE"""),"jose@ox-glass.com")</f>
        <v>jose@ox-glass.com</v>
      </c>
      <c r="R98" s="26" t="str">
        <f>IFERROR(__xludf.DUMMYFUNCTION("""COMPUTED_VALUE"""),"A2B")</f>
        <v>A2B</v>
      </c>
      <c r="S98" s="26" t="str">
        <f>IFERROR(__xludf.DUMMYFUNCTION("""COMPUTED_VALUE"""),"ENTRY")</f>
        <v>ENTRY</v>
      </c>
    </row>
    <row r="99" ht="22.5" customHeight="1">
      <c r="A99" s="35">
        <f>IFERROR(__xludf.DUMMYFUNCTION("""COMPUTED_VALUE"""),46202.58780627315)</f>
        <v>46202.58781</v>
      </c>
      <c r="B99" s="36" t="str">
        <f>IFERROR(__xludf.DUMMYFUNCTION("""COMPUTED_VALUE"""),"SCREEN")</f>
        <v>SCREEN</v>
      </c>
      <c r="C99" s="26" t="str">
        <f>IFERROR(__xludf.DUMMYFUNCTION("""COMPUTED_VALUE"""),"MH 159")</f>
        <v>MH 159</v>
      </c>
      <c r="D99" s="27" t="str">
        <f>IFERROR(__xludf.DUMMYFUNCTION("""COMPUTED_VALUE"""),"TOL")</f>
        <v>TOL</v>
      </c>
      <c r="E99" s="27" t="str">
        <f>IFERROR(__xludf.DUMMYFUNCTION("""COMPUTED_VALUE"""),"06-1495")</f>
        <v>06-1495</v>
      </c>
      <c r="F99" s="36">
        <f>IFERROR(__xludf.DUMMYFUNCTION("""COMPUTED_VALUE"""),23.0)</f>
        <v>23</v>
      </c>
      <c r="G99" s="27" t="str">
        <f>IFERROR(__xludf.DUMMYFUNCTION("""COMPUTED_VALUE"""),"UNIT")</f>
        <v>UNIT</v>
      </c>
      <c r="H99" s="37">
        <f>IFERROR(__xludf.DUMMYFUNCTION("""COMPUTED_VALUE"""),46199.0)</f>
        <v>46199</v>
      </c>
      <c r="I99" s="36"/>
      <c r="J99" s="30" t="str">
        <f>IFERROR(__xludf.DUMMYFUNCTION("""COMPUTED_VALUE"""),"AMSCO")</f>
        <v>AMSCO</v>
      </c>
      <c r="K99" s="26" t="str">
        <f>IFERROR(__xludf.DUMMYFUNCTION("""COMPUTED_VALUE"""),"WHITE WINDOWS")</f>
        <v>WHITE WINDOWS</v>
      </c>
      <c r="L99" s="30" t="str">
        <f>IFERROR(__xludf.DUMMYFUNCTION("""COMPUTED_VALUE"""),"In Stock")</f>
        <v>In Stock</v>
      </c>
      <c r="M99" s="26" t="str">
        <f>IFERROR(__xludf.DUMMYFUNCTION("""COMPUTED_VALUE"""),"JOSE")</f>
        <v>JOSE</v>
      </c>
      <c r="N99" s="26" t="str">
        <f>IFERROR(__xludf.DUMMYFUNCTION("""COMPUTED_VALUE"""),"TOL MH 159")</f>
        <v>TOL MH 159</v>
      </c>
      <c r="O99" s="26" t="str">
        <f>IFERROR(__xludf.DUMMYFUNCTION("""COMPUTED_VALUE"""),"SCREEN|||MH 159")</f>
        <v>SCREEN|||MH 159</v>
      </c>
      <c r="P99" s="26"/>
      <c r="Q99" s="26" t="str">
        <f>IFERROR(__xludf.DUMMYFUNCTION("""COMPUTED_VALUE"""),"jose@ox-glass.com")</f>
        <v>jose@ox-glass.com</v>
      </c>
      <c r="R99" s="26" t="str">
        <f>IFERROR(__xludf.DUMMYFUNCTION("""COMPUTED_VALUE"""),"A2B")</f>
        <v>A2B</v>
      </c>
      <c r="S99" s="26" t="str">
        <f>IFERROR(__xludf.DUMMYFUNCTION("""COMPUTED_VALUE"""),"ENTRY")</f>
        <v>ENTRY</v>
      </c>
    </row>
    <row r="100" ht="22.5" customHeight="1">
      <c r="A100" s="35">
        <f>IFERROR(__xludf.DUMMYFUNCTION("""COMPUTED_VALUE"""),46202.569782199076)</f>
        <v>46202.56978</v>
      </c>
      <c r="B100" s="36" t="str">
        <f>IFERROR(__xludf.DUMMYFUNCTION("""COMPUTED_VALUE"""),"SCREEN")</f>
        <v>SCREEN</v>
      </c>
      <c r="C100" s="26" t="str">
        <f>IFERROR(__xludf.DUMMYFUNCTION("""COMPUTED_VALUE"""),"MH 145")</f>
        <v>MH 145</v>
      </c>
      <c r="D100" s="27" t="str">
        <f>IFERROR(__xludf.DUMMYFUNCTION("""COMPUTED_VALUE"""),"TOL")</f>
        <v>TOL</v>
      </c>
      <c r="E100" s="27" t="str">
        <f>IFERROR(__xludf.DUMMYFUNCTION("""COMPUTED_VALUE"""),"06-1483")</f>
        <v>06-1483</v>
      </c>
      <c r="F100" s="36">
        <f>IFERROR(__xludf.DUMMYFUNCTION("""COMPUTED_VALUE"""),29.0)</f>
        <v>29</v>
      </c>
      <c r="G100" s="27" t="str">
        <f>IFERROR(__xludf.DUMMYFUNCTION("""COMPUTED_VALUE"""),"UNIT")</f>
        <v>UNIT</v>
      </c>
      <c r="H100" s="37">
        <f>IFERROR(__xludf.DUMMYFUNCTION("""COMPUTED_VALUE"""),46199.0)</f>
        <v>46199</v>
      </c>
      <c r="I100" s="36"/>
      <c r="J100" s="30" t="str">
        <f>IFERROR(__xludf.DUMMYFUNCTION("""COMPUTED_VALUE"""),"AMSCO")</f>
        <v>AMSCO</v>
      </c>
      <c r="K100" s="26" t="str">
        <f>IFERROR(__xludf.DUMMYFUNCTION("""COMPUTED_VALUE"""),"WHITE WINDOW SCREENS")</f>
        <v>WHITE WINDOW SCREENS</v>
      </c>
      <c r="L100" s="30" t="str">
        <f>IFERROR(__xludf.DUMMYFUNCTION("""COMPUTED_VALUE"""),"In Stock")</f>
        <v>In Stock</v>
      </c>
      <c r="M100" s="26" t="str">
        <f>IFERROR(__xludf.DUMMYFUNCTION("""COMPUTED_VALUE"""),"JOSE")</f>
        <v>JOSE</v>
      </c>
      <c r="N100" s="26" t="str">
        <f>IFERROR(__xludf.DUMMYFUNCTION("""COMPUTED_VALUE"""),"TOL MH 145")</f>
        <v>TOL MH 145</v>
      </c>
      <c r="O100" s="26" t="str">
        <f>IFERROR(__xludf.DUMMYFUNCTION("""COMPUTED_VALUE"""),"SCREEN|||MH 145")</f>
        <v>SCREEN|||MH 145</v>
      </c>
      <c r="P100" s="26"/>
      <c r="Q100" s="26" t="str">
        <f>IFERROR(__xludf.DUMMYFUNCTION("""COMPUTED_VALUE"""),"jose@ox-glass.com")</f>
        <v>jose@ox-glass.com</v>
      </c>
      <c r="R100" s="26" t="str">
        <f>IFERROR(__xludf.DUMMYFUNCTION("""COMPUTED_VALUE"""),"A2B")</f>
        <v>A2B</v>
      </c>
      <c r="S100" s="26" t="str">
        <f>IFERROR(__xludf.DUMMYFUNCTION("""COMPUTED_VALUE"""),"ENTRY")</f>
        <v>ENTRY</v>
      </c>
    </row>
    <row r="101" ht="22.5" customHeight="1">
      <c r="A101" s="35">
        <f>IFERROR(__xludf.DUMMYFUNCTION("""COMPUTED_VALUE"""),46202.56552665509)</f>
        <v>46202.56553</v>
      </c>
      <c r="B101" s="36" t="str">
        <f>IFERROR(__xludf.DUMMYFUNCTION("""COMPUTED_VALUE"""),"SCREEN")</f>
        <v>SCREEN</v>
      </c>
      <c r="C101" s="26" t="str">
        <f>IFERROR(__xludf.DUMMYFUNCTION("""COMPUTED_VALUE"""),"MISC KYLE JENSON")</f>
        <v>MISC KYLE JENSON</v>
      </c>
      <c r="D101" s="27"/>
      <c r="E101" s="27" t="str">
        <f>IFERROR(__xludf.DUMMYFUNCTION("""COMPUTED_VALUE"""),"06-1843")</f>
        <v>06-1843</v>
      </c>
      <c r="F101" s="36">
        <f>IFERROR(__xludf.DUMMYFUNCTION("""COMPUTED_VALUE"""),1.0)</f>
        <v>1</v>
      </c>
      <c r="G101" s="27" t="str">
        <f>IFERROR(__xludf.DUMMYFUNCTION("""COMPUTED_VALUE"""),"UNIT")</f>
        <v>UNIT</v>
      </c>
      <c r="H101" s="37">
        <f>IFERROR(__xludf.DUMMYFUNCTION("""COMPUTED_VALUE"""),46199.0)</f>
        <v>46199</v>
      </c>
      <c r="I101" s="36"/>
      <c r="J101" s="30" t="str">
        <f>IFERROR(__xludf.DUMMYFUNCTION("""COMPUTED_VALUE"""),"AMSCO")</f>
        <v>AMSCO</v>
      </c>
      <c r="K101" s="26"/>
      <c r="L101" s="30" t="str">
        <f>IFERROR(__xludf.DUMMYFUNCTION("""COMPUTED_VALUE"""),"In Stock")</f>
        <v>In Stock</v>
      </c>
      <c r="M101" s="26" t="str">
        <f>IFERROR(__xludf.DUMMYFUNCTION("""COMPUTED_VALUE"""),"JOSE")</f>
        <v>JOSE</v>
      </c>
      <c r="N101" s="26" t="str">
        <f>IFERROR(__xludf.DUMMYFUNCTION("""COMPUTED_VALUE"""),"MISC KYLE JENSON")</f>
        <v>MISC KYLE JENSON</v>
      </c>
      <c r="O101" s="26" t="str">
        <f>IFERROR(__xludf.DUMMYFUNCTION("""COMPUTED_VALUE"""),"SCREEN|||MISC KYLE JENSON")</f>
        <v>SCREEN|||MISC KYLE JENSON</v>
      </c>
      <c r="P101" s="26"/>
      <c r="Q101" s="26" t="str">
        <f>IFERROR(__xludf.DUMMYFUNCTION("""COMPUTED_VALUE"""),"jose@ox-glass.com")</f>
        <v>jose@ox-glass.com</v>
      </c>
      <c r="R101" s="26" t="str">
        <f>IFERROR(__xludf.DUMMYFUNCTION("""COMPUTED_VALUE"""),"A")</f>
        <v>A</v>
      </c>
      <c r="S101" s="26" t="str">
        <f>IFERROR(__xludf.DUMMYFUNCTION("""COMPUTED_VALUE"""),"ENTRY")</f>
        <v>ENTRY</v>
      </c>
    </row>
    <row r="102" ht="22.5" customHeight="1">
      <c r="A102" s="35">
        <f>IFERROR(__xludf.DUMMYFUNCTION("""COMPUTED_VALUE"""),46202.39641537037)</f>
        <v>46202.39642</v>
      </c>
      <c r="B102" s="36" t="str">
        <f>IFERROR(__xludf.DUMMYFUNCTION("""COMPUTED_VALUE"""),"SCREEN")</f>
        <v>SCREEN</v>
      </c>
      <c r="C102" s="26" t="str">
        <f>IFERROR(__xludf.DUMMYFUNCTION("""COMPUTED_VALUE"""),"MH305-SCREENS")</f>
        <v>MH305-SCREENS</v>
      </c>
      <c r="D102" s="27" t="str">
        <f>IFERROR(__xludf.DUMMYFUNCTION("""COMPUTED_VALUE"""),"PAT")</f>
        <v>PAT</v>
      </c>
      <c r="E102" s="27" t="str">
        <f>IFERROR(__xludf.DUMMYFUNCTION("""COMPUTED_VALUE"""),"06-2656")</f>
        <v>06-2656</v>
      </c>
      <c r="F102" s="36">
        <f>IFERROR(__xludf.DUMMYFUNCTION("""COMPUTED_VALUE"""),4.0)</f>
        <v>4</v>
      </c>
      <c r="G102" s="27" t="str">
        <f>IFERROR(__xludf.DUMMYFUNCTION("""COMPUTED_VALUE"""),"UNIT")</f>
        <v>UNIT</v>
      </c>
      <c r="H102" s="37">
        <f>IFERROR(__xludf.DUMMYFUNCTION("""COMPUTED_VALUE"""),46199.0)</f>
        <v>46199</v>
      </c>
      <c r="I102" s="36"/>
      <c r="J102" s="30" t="str">
        <f>IFERROR(__xludf.DUMMYFUNCTION("""COMPUTED_VALUE"""),"AMSCO")</f>
        <v>AMSCO</v>
      </c>
      <c r="K102" s="26" t="str">
        <f>IFERROR(__xludf.DUMMYFUNCTION("""COMPUTED_VALUE"""),"1@27 3/8 X 57,
3@33 5/8 X 69")</f>
        <v>1@27 3/8 X 57,
3@33 5/8 X 69</v>
      </c>
      <c r="L102" s="30" t="str">
        <f>IFERROR(__xludf.DUMMYFUNCTION("""COMPUTED_VALUE"""),"In Stock")</f>
        <v>In Stock</v>
      </c>
      <c r="M102" s="26" t="str">
        <f>IFERROR(__xludf.DUMMYFUNCTION("""COMPUTED_VALUE"""),"JOSE")</f>
        <v>JOSE</v>
      </c>
      <c r="N102" s="26" t="str">
        <f>IFERROR(__xludf.DUMMYFUNCTION("""COMPUTED_VALUE"""),"PAT MH305")</f>
        <v>PAT MH305</v>
      </c>
      <c r="O102" s="26" t="str">
        <f>IFERROR(__xludf.DUMMYFUNCTION("""COMPUTED_VALUE"""),"SCREEN|||MH305 SCREENS")</f>
        <v>SCREEN|||MH305 SCREENS</v>
      </c>
      <c r="P102" s="26"/>
      <c r="Q102" s="26" t="str">
        <f>IFERROR(__xludf.DUMMYFUNCTION("""COMPUTED_VALUE"""),"jose@ox-glass.com")</f>
        <v>jose@ox-glass.com</v>
      </c>
      <c r="R102" s="26" t="str">
        <f>IFERROR(__xludf.DUMMYFUNCTION("""COMPUTED_VALUE"""),"A2B")</f>
        <v>A2B</v>
      </c>
      <c r="S102" s="26" t="str">
        <f>IFERROR(__xludf.DUMMYFUNCTION("""COMPUTED_VALUE"""),"ENTRY")</f>
        <v>ENTRY</v>
      </c>
    </row>
    <row r="103" ht="22.5" customHeight="1">
      <c r="A103" s="35">
        <f>IFERROR(__xludf.DUMMYFUNCTION("""COMPUTED_VALUE"""),46202.381029293974)</f>
        <v>46202.38103</v>
      </c>
      <c r="B103" s="36" t="str">
        <f>IFERROR(__xludf.DUMMYFUNCTION("""COMPUTED_VALUE"""),"SCREEN")</f>
        <v>SCREEN</v>
      </c>
      <c r="C103" s="26" t="str">
        <f>IFERROR(__xludf.DUMMYFUNCTION("""COMPUTED_VALUE"""),"SP 648 SGD")</f>
        <v>SP 648 SGD</v>
      </c>
      <c r="D103" s="27" t="str">
        <f>IFERROR(__xludf.DUMMYFUNCTION("""COMPUTED_VALUE"""),"PAT")</f>
        <v>PAT</v>
      </c>
      <c r="E103" s="27" t="str">
        <f>IFERROR(__xludf.DUMMYFUNCTION("""COMPUTED_VALUE"""),"06-3060")</f>
        <v>06-3060</v>
      </c>
      <c r="F103" s="36">
        <f>IFERROR(__xludf.DUMMYFUNCTION("""COMPUTED_VALUE"""),1.0)</f>
        <v>1</v>
      </c>
      <c r="G103" s="27" t="str">
        <f>IFERROR(__xludf.DUMMYFUNCTION("""COMPUTED_VALUE"""),"UNIT")</f>
        <v>UNIT</v>
      </c>
      <c r="H103" s="37">
        <f>IFERROR(__xludf.DUMMYFUNCTION("""COMPUTED_VALUE"""),46199.0)</f>
        <v>46199</v>
      </c>
      <c r="I103" s="36"/>
      <c r="J103" s="30" t="str">
        <f>IFERROR(__xludf.DUMMYFUNCTION("""COMPUTED_VALUE"""),"AMSCO")</f>
        <v>AMSCO</v>
      </c>
      <c r="K103" s="26" t="str">
        <f>IFERROR(__xludf.DUMMYFUNCTION("""COMPUTED_VALUE"""),"PATIO DOOR AND PATIO DOOR SCREEN, 1@ 71 1/2 X 95 1/2, 1@ 36 3/8 X 93 3/4")</f>
        <v>PATIO DOOR AND PATIO DOOR SCREEN, 1@ 71 1/2 X 95 1/2, 1@ 36 3/8 X 93 3/4</v>
      </c>
      <c r="L103" s="30" t="str">
        <f>IFERROR(__xludf.DUMMYFUNCTION("""COMPUTED_VALUE"""),"In Stock")</f>
        <v>In Stock</v>
      </c>
      <c r="M103" s="26" t="str">
        <f>IFERROR(__xludf.DUMMYFUNCTION("""COMPUTED_VALUE"""),"JOSE")</f>
        <v>JOSE</v>
      </c>
      <c r="N103" s="26" t="str">
        <f>IFERROR(__xludf.DUMMYFUNCTION("""COMPUTED_VALUE"""),"PAT SP648 TRACIE")</f>
        <v>PAT SP648 TRACIE</v>
      </c>
      <c r="O103" s="26" t="str">
        <f>IFERROR(__xludf.DUMMYFUNCTION("""COMPUTED_VALUE"""),"SCREEN|||SP 648 SGD")</f>
        <v>SCREEN|||SP 648 SGD</v>
      </c>
      <c r="P103" s="26"/>
      <c r="Q103" s="26" t="str">
        <f>IFERROR(__xludf.DUMMYFUNCTION("""COMPUTED_VALUE"""),"jose@ox-glass.com")</f>
        <v>jose@ox-glass.com</v>
      </c>
      <c r="R103" s="26" t="str">
        <f>IFERROR(__xludf.DUMMYFUNCTION("""COMPUTED_VALUE"""),"P1C")</f>
        <v>P1C</v>
      </c>
      <c r="S103" s="26" t="str">
        <f>IFERROR(__xludf.DUMMYFUNCTION("""COMPUTED_VALUE"""),"ENTRY")</f>
        <v>ENTRY</v>
      </c>
    </row>
    <row r="104" ht="22.5" customHeight="1">
      <c r="A104" s="35">
        <f>IFERROR(__xludf.DUMMYFUNCTION("""COMPUTED_VALUE"""),46202.37212385417)</f>
        <v>46202.37212</v>
      </c>
      <c r="B104" s="36" t="str">
        <f>IFERROR(__xludf.DUMMYFUNCTION("""COMPUTED_VALUE"""),"SCREEN")</f>
        <v>SCREEN</v>
      </c>
      <c r="C104" s="26" t="str">
        <f>IFERROR(__xludf.DUMMYFUNCTION("""COMPUTED_VALUE"""),"JJF 112")</f>
        <v>JJF 112</v>
      </c>
      <c r="D104" s="27" t="str">
        <f>IFERROR(__xludf.DUMMYFUNCTION("""COMPUTED_VALUE"""),"WHI")</f>
        <v>WHI</v>
      </c>
      <c r="E104" s="27" t="str">
        <f>IFERROR(__xludf.DUMMYFUNCTION("""COMPUTED_VALUE"""),"06-526")</f>
        <v>06-526</v>
      </c>
      <c r="F104" s="36">
        <f>IFERROR(__xludf.DUMMYFUNCTION("""COMPUTED_VALUE"""),1.0)</f>
        <v>1</v>
      </c>
      <c r="G104" s="27" t="str">
        <f>IFERROR(__xludf.DUMMYFUNCTION("""COMPUTED_VALUE"""),"UNIT")</f>
        <v>UNIT</v>
      </c>
      <c r="H104" s="37">
        <f>IFERROR(__xludf.DUMMYFUNCTION("""COMPUTED_VALUE"""),46199.0)</f>
        <v>46199</v>
      </c>
      <c r="I104" s="36"/>
      <c r="J104" s="30" t="str">
        <f>IFERROR(__xludf.DUMMYFUNCTION("""COMPUTED_VALUE"""),"AMSCO")</f>
        <v>AMSCO</v>
      </c>
      <c r="K104" s="26" t="str">
        <f>IFERROR(__xludf.DUMMYFUNCTION("""COMPUTED_VALUE"""),"ONLY ONE SCREEN")</f>
        <v>ONLY ONE SCREEN</v>
      </c>
      <c r="L104" s="30" t="str">
        <f>IFERROR(__xludf.DUMMYFUNCTION("""COMPUTED_VALUE"""),"In Stock")</f>
        <v>In Stock</v>
      </c>
      <c r="M104" s="26" t="str">
        <f>IFERROR(__xludf.DUMMYFUNCTION("""COMPUTED_VALUE"""),"JOSE")</f>
        <v>JOSE</v>
      </c>
      <c r="N104" s="26" t="str">
        <f>IFERROR(__xludf.DUMMYFUNCTION("""COMPUTED_VALUE"""),"J&amp;J FARMS 112")</f>
        <v>J&amp;J FARMS 112</v>
      </c>
      <c r="O104" s="26" t="str">
        <f>IFERROR(__xludf.DUMMYFUNCTION("""COMPUTED_VALUE"""),"SCREEN|||JJF 112")</f>
        <v>SCREEN|||JJF 112</v>
      </c>
      <c r="P104" s="26"/>
      <c r="Q104" s="26" t="str">
        <f>IFERROR(__xludf.DUMMYFUNCTION("""COMPUTED_VALUE"""),"jose@ox-glass.com")</f>
        <v>jose@ox-glass.com</v>
      </c>
      <c r="R104" s="26" t="str">
        <f>IFERROR(__xludf.DUMMYFUNCTION("""COMPUTED_VALUE"""),"B1B")</f>
        <v>B1B</v>
      </c>
      <c r="S104" s="26" t="str">
        <f>IFERROR(__xludf.DUMMYFUNCTION("""COMPUTED_VALUE"""),"ENTRY")</f>
        <v>ENTRY</v>
      </c>
    </row>
    <row r="105" ht="22.5" customHeight="1">
      <c r="A105" s="35">
        <f>IFERROR(__xludf.DUMMYFUNCTION("""COMPUTED_VALUE"""),46197.54587185186)</f>
        <v>46197.54587</v>
      </c>
      <c r="B105" s="36" t="str">
        <f>IFERROR(__xludf.DUMMYFUNCTION("""COMPUTED_VALUE"""),"SCREEN")</f>
        <v>SCREEN</v>
      </c>
      <c r="C105" s="26" t="str">
        <f>IFERROR(__xludf.DUMMYFUNCTION("""COMPUTED_VALUE"""),"JJF 105")</f>
        <v>JJF 105</v>
      </c>
      <c r="D105" s="27" t="str">
        <f>IFERROR(__xludf.DUMMYFUNCTION("""COMPUTED_VALUE"""),"WHI")</f>
        <v>WHI</v>
      </c>
      <c r="E105" s="27" t="str">
        <f>IFERROR(__xludf.DUMMYFUNCTION("""COMPUTED_VALUE"""),"06-528")</f>
        <v>06-528</v>
      </c>
      <c r="F105" s="36">
        <f>IFERROR(__xludf.DUMMYFUNCTION("""COMPUTED_VALUE"""),2.0)</f>
        <v>2</v>
      </c>
      <c r="G105" s="27" t="str">
        <f>IFERROR(__xludf.DUMMYFUNCTION("""COMPUTED_VALUE"""),"UNIT")</f>
        <v>UNIT</v>
      </c>
      <c r="H105" s="37">
        <f>IFERROR(__xludf.DUMMYFUNCTION("""COMPUTED_VALUE"""),46192.0)</f>
        <v>46192</v>
      </c>
      <c r="I105" s="36"/>
      <c r="J105" s="30" t="str">
        <f>IFERROR(__xludf.DUMMYFUNCTION("""COMPUTED_VALUE"""),"AMSCO")</f>
        <v>AMSCO</v>
      </c>
      <c r="K105" s="26" t="str">
        <f>IFERROR(__xludf.DUMMYFUNCTION("""COMPUTED_VALUE"""),"WHITE DOOR SCREENS")</f>
        <v>WHITE DOOR SCREENS</v>
      </c>
      <c r="L105" s="30" t="str">
        <f>IFERROR(__xludf.DUMMYFUNCTION("""COMPUTED_VALUE"""),"In Stock")</f>
        <v>In Stock</v>
      </c>
      <c r="M105" s="26" t="str">
        <f>IFERROR(__xludf.DUMMYFUNCTION("""COMPUTED_VALUE"""),"JOSE")</f>
        <v>JOSE</v>
      </c>
      <c r="N105" s="26" t="str">
        <f>IFERROR(__xludf.DUMMYFUNCTION("""COMPUTED_VALUE"""),"J&amp;J FARMS 105")</f>
        <v>J&amp;J FARMS 105</v>
      </c>
      <c r="O105" s="26" t="str">
        <f>IFERROR(__xludf.DUMMYFUNCTION("""COMPUTED_VALUE"""),"SCREEN|||JJF 105")</f>
        <v>SCREEN|||JJF 105</v>
      </c>
      <c r="P105" s="26"/>
      <c r="Q105" s="26" t="str">
        <f>IFERROR(__xludf.DUMMYFUNCTION("""COMPUTED_VALUE"""),"jose@ox-glass.com")</f>
        <v>jose@ox-glass.com</v>
      </c>
      <c r="R105" s="26" t="str">
        <f>IFERROR(__xludf.DUMMYFUNCTION("""COMPUTED_VALUE"""),"P4C")</f>
        <v>P4C</v>
      </c>
      <c r="S105" s="26" t="str">
        <f>IFERROR(__xludf.DUMMYFUNCTION("""COMPUTED_VALUE"""),"ENTRY")</f>
        <v>ENTRY</v>
      </c>
    </row>
    <row r="106" ht="22.5" customHeight="1">
      <c r="A106" s="35">
        <f>IFERROR(__xludf.DUMMYFUNCTION("""COMPUTED_VALUE"""),46197.54587185186)</f>
        <v>46197.54587</v>
      </c>
      <c r="B106" s="36" t="str">
        <f>IFERROR(__xludf.DUMMYFUNCTION("""COMPUTED_VALUE"""),"SCREEN")</f>
        <v>SCREEN</v>
      </c>
      <c r="C106" s="26" t="str">
        <f>IFERROR(__xludf.DUMMYFUNCTION("""COMPUTED_VALUE"""),"JJF 112")</f>
        <v>JJF 112</v>
      </c>
      <c r="D106" s="27" t="str">
        <f>IFERROR(__xludf.DUMMYFUNCTION("""COMPUTED_VALUE"""),"WHI")</f>
        <v>WHI</v>
      </c>
      <c r="E106" s="27" t="str">
        <f>IFERROR(__xludf.DUMMYFUNCTION("""COMPUTED_VALUE"""),"06-526")</f>
        <v>06-526</v>
      </c>
      <c r="F106" s="36">
        <f>IFERROR(__xludf.DUMMYFUNCTION("""COMPUTED_VALUE"""),2.0)</f>
        <v>2</v>
      </c>
      <c r="G106" s="27" t="str">
        <f>IFERROR(__xludf.DUMMYFUNCTION("""COMPUTED_VALUE"""),"UNIT")</f>
        <v>UNIT</v>
      </c>
      <c r="H106" s="37">
        <f>IFERROR(__xludf.DUMMYFUNCTION("""COMPUTED_VALUE"""),46192.0)</f>
        <v>46192</v>
      </c>
      <c r="I106" s="36"/>
      <c r="J106" s="30" t="str">
        <f>IFERROR(__xludf.DUMMYFUNCTION("""COMPUTED_VALUE"""),"AMSCO")</f>
        <v>AMSCO</v>
      </c>
      <c r="K106" s="26" t="str">
        <f>IFERROR(__xludf.DUMMYFUNCTION("""COMPUTED_VALUE"""),"WHITE DOOR SCREENS")</f>
        <v>WHITE DOOR SCREENS</v>
      </c>
      <c r="L106" s="30" t="str">
        <f>IFERROR(__xludf.DUMMYFUNCTION("""COMPUTED_VALUE"""),"In Stock")</f>
        <v>In Stock</v>
      </c>
      <c r="M106" s="26" t="str">
        <f>IFERROR(__xludf.DUMMYFUNCTION("""COMPUTED_VALUE"""),"JOSE")</f>
        <v>JOSE</v>
      </c>
      <c r="N106" s="26" t="str">
        <f>IFERROR(__xludf.DUMMYFUNCTION("""COMPUTED_VALUE"""),"J&amp;J FARMS 112")</f>
        <v>J&amp;J FARMS 112</v>
      </c>
      <c r="O106" s="26" t="str">
        <f>IFERROR(__xludf.DUMMYFUNCTION("""COMPUTED_VALUE"""),"SCREEN|||JJF 112")</f>
        <v>SCREEN|||JJF 112</v>
      </c>
      <c r="P106" s="26"/>
      <c r="Q106" s="26" t="str">
        <f>IFERROR(__xludf.DUMMYFUNCTION("""COMPUTED_VALUE"""),"jose@ox-glass.com")</f>
        <v>jose@ox-glass.com</v>
      </c>
      <c r="R106" s="26" t="str">
        <f>IFERROR(__xludf.DUMMYFUNCTION("""COMPUTED_VALUE"""),"P4C")</f>
        <v>P4C</v>
      </c>
      <c r="S106" s="26" t="str">
        <f>IFERROR(__xludf.DUMMYFUNCTION("""COMPUTED_VALUE"""),"ENTRY")</f>
        <v>ENTRY</v>
      </c>
    </row>
    <row r="107" ht="22.5" customHeight="1">
      <c r="A107" s="35">
        <f>IFERROR(__xludf.DUMMYFUNCTION("""COMPUTED_VALUE"""),46195.34738728009)</f>
        <v>46195.34739</v>
      </c>
      <c r="B107" s="36" t="str">
        <f>IFERROR(__xludf.DUMMYFUNCTION("""COMPUTED_VALUE"""),"SCREEN")</f>
        <v>SCREEN</v>
      </c>
      <c r="C107" s="26" t="str">
        <f>IFERROR(__xludf.DUMMYFUNCTION("""COMPUTED_VALUE"""),"JJF 105")</f>
        <v>JJF 105</v>
      </c>
      <c r="D107" s="27" t="str">
        <f>IFERROR(__xludf.DUMMYFUNCTION("""COMPUTED_VALUE"""),"WHI")</f>
        <v>WHI</v>
      </c>
      <c r="E107" s="27" t="str">
        <f>IFERROR(__xludf.DUMMYFUNCTION("""COMPUTED_VALUE"""),"06-528")</f>
        <v>06-528</v>
      </c>
      <c r="F107" s="36">
        <f>IFERROR(__xludf.DUMMYFUNCTION("""COMPUTED_VALUE"""),11.0)</f>
        <v>11</v>
      </c>
      <c r="G107" s="27" t="str">
        <f>IFERROR(__xludf.DUMMYFUNCTION("""COMPUTED_VALUE"""),"UNIT")</f>
        <v>UNIT</v>
      </c>
      <c r="H107" s="37">
        <f>IFERROR(__xludf.DUMMYFUNCTION("""COMPUTED_VALUE"""),46192.0)</f>
        <v>46192</v>
      </c>
      <c r="I107" s="36"/>
      <c r="J107" s="30" t="str">
        <f>IFERROR(__xludf.DUMMYFUNCTION("""COMPUTED_VALUE"""),"AMSCO")</f>
        <v>AMSCO</v>
      </c>
      <c r="K107" s="26" t="str">
        <f>IFERROR(__xludf.DUMMYFUNCTION("""COMPUTED_VALUE"""),"WHITE WINDOW SCREENS")</f>
        <v>WHITE WINDOW SCREENS</v>
      </c>
      <c r="L107" s="30" t="str">
        <f>IFERROR(__xludf.DUMMYFUNCTION("""COMPUTED_VALUE"""),"In Stock")</f>
        <v>In Stock</v>
      </c>
      <c r="M107" s="26" t="str">
        <f>IFERROR(__xludf.DUMMYFUNCTION("""COMPUTED_VALUE"""),"JOSE")</f>
        <v>JOSE</v>
      </c>
      <c r="N107" s="26" t="str">
        <f>IFERROR(__xludf.DUMMYFUNCTION("""COMPUTED_VALUE"""),"J&amp;J FARMS 105")</f>
        <v>J&amp;J FARMS 105</v>
      </c>
      <c r="O107" s="26" t="str">
        <f>IFERROR(__xludf.DUMMYFUNCTION("""COMPUTED_VALUE"""),"SCREEN|||JJF 105")</f>
        <v>SCREEN|||JJF 105</v>
      </c>
      <c r="P107" s="26"/>
      <c r="Q107" s="26" t="str">
        <f>IFERROR(__xludf.DUMMYFUNCTION("""COMPUTED_VALUE"""),"jose@ox-glass.com")</f>
        <v>jose@ox-glass.com</v>
      </c>
      <c r="R107" s="26" t="str">
        <f>IFERROR(__xludf.DUMMYFUNCTION("""COMPUTED_VALUE"""),"B1B")</f>
        <v>B1B</v>
      </c>
      <c r="S107" s="26" t="str">
        <f>IFERROR(__xludf.DUMMYFUNCTION("""COMPUTED_VALUE"""),"ENTRY")</f>
        <v>ENTRY</v>
      </c>
    </row>
    <row r="108" ht="22.5" customHeight="1">
      <c r="A108" s="35">
        <f>IFERROR(__xludf.DUMMYFUNCTION("""COMPUTED_VALUE"""),46195.3442080787)</f>
        <v>46195.34421</v>
      </c>
      <c r="B108" s="36" t="str">
        <f>IFERROR(__xludf.DUMMYFUNCTION("""COMPUTED_VALUE"""),"SCREEN")</f>
        <v>SCREEN</v>
      </c>
      <c r="C108" s="26" t="str">
        <f>IFERROR(__xludf.DUMMYFUNCTION("""COMPUTED_VALUE"""),"JJF 112")</f>
        <v>JJF 112</v>
      </c>
      <c r="D108" s="27" t="str">
        <f>IFERROR(__xludf.DUMMYFUNCTION("""COMPUTED_VALUE"""),"WHI")</f>
        <v>WHI</v>
      </c>
      <c r="E108" s="27" t="str">
        <f>IFERROR(__xludf.DUMMYFUNCTION("""COMPUTED_VALUE"""),"06-526")</f>
        <v>06-526</v>
      </c>
      <c r="F108" s="36">
        <f>IFERROR(__xludf.DUMMYFUNCTION("""COMPUTED_VALUE"""),10.0)</f>
        <v>10</v>
      </c>
      <c r="G108" s="27" t="str">
        <f>IFERROR(__xludf.DUMMYFUNCTION("""COMPUTED_VALUE"""),"UNIT")</f>
        <v>UNIT</v>
      </c>
      <c r="H108" s="37">
        <f>IFERROR(__xludf.DUMMYFUNCTION("""COMPUTED_VALUE"""),46192.0)</f>
        <v>46192</v>
      </c>
      <c r="I108" s="36"/>
      <c r="J108" s="30" t="str">
        <f>IFERROR(__xludf.DUMMYFUNCTION("""COMPUTED_VALUE"""),"AMSCO")</f>
        <v>AMSCO</v>
      </c>
      <c r="K108" s="26" t="str">
        <f>IFERROR(__xludf.DUMMYFUNCTION("""COMPUTED_VALUE"""),"WHITE WINDOW SCREENS")</f>
        <v>WHITE WINDOW SCREENS</v>
      </c>
      <c r="L108" s="30" t="str">
        <f>IFERROR(__xludf.DUMMYFUNCTION("""COMPUTED_VALUE"""),"In Stock")</f>
        <v>In Stock</v>
      </c>
      <c r="M108" s="26" t="str">
        <f>IFERROR(__xludf.DUMMYFUNCTION("""COMPUTED_VALUE"""),"JOSE")</f>
        <v>JOSE</v>
      </c>
      <c r="N108" s="26" t="str">
        <f>IFERROR(__xludf.DUMMYFUNCTION("""COMPUTED_VALUE"""),"J&amp;J FARMS 112")</f>
        <v>J&amp;J FARMS 112</v>
      </c>
      <c r="O108" s="26" t="str">
        <f>IFERROR(__xludf.DUMMYFUNCTION("""COMPUTED_VALUE"""),"SCREEN|||JJF 112")</f>
        <v>SCREEN|||JJF 112</v>
      </c>
      <c r="P108" s="26"/>
      <c r="Q108" s="26" t="str">
        <f>IFERROR(__xludf.DUMMYFUNCTION("""COMPUTED_VALUE"""),"jose@ox-glass.com")</f>
        <v>jose@ox-glass.com</v>
      </c>
      <c r="R108" s="26" t="str">
        <f>IFERROR(__xludf.DUMMYFUNCTION("""COMPUTED_VALUE"""),"B1B")</f>
        <v>B1B</v>
      </c>
      <c r="S108" s="26" t="str">
        <f>IFERROR(__xludf.DUMMYFUNCTION("""COMPUTED_VALUE"""),"ENTRY")</f>
        <v>ENTRY</v>
      </c>
    </row>
    <row r="109" ht="22.5" customHeight="1">
      <c r="A109" s="35">
        <f>IFERROR(__xludf.DUMMYFUNCTION("""COMPUTED_VALUE"""),46189.39821704861)</f>
        <v>46189.39822</v>
      </c>
      <c r="B109" s="36" t="str">
        <f>IFERROR(__xludf.DUMMYFUNCTION("""COMPUTED_VALUE"""),"SCREEN")</f>
        <v>SCREEN</v>
      </c>
      <c r="C109" s="26" t="str">
        <f>IFERROR(__xludf.DUMMYFUNCTION("""COMPUTED_VALUE"""),"SP 638")</f>
        <v>SP 638</v>
      </c>
      <c r="D109" s="27"/>
      <c r="E109" s="27" t="str">
        <f>IFERROR(__xludf.DUMMYFUNCTION("""COMPUTED_VALUE"""),"7184")</f>
        <v>7184</v>
      </c>
      <c r="F109" s="36">
        <f>IFERROR(__xludf.DUMMYFUNCTION("""COMPUTED_VALUE"""),13.0)</f>
        <v>13</v>
      </c>
      <c r="G109" s="27" t="str">
        <f>IFERROR(__xludf.DUMMYFUNCTION("""COMPUTED_VALUE"""),"UNIT")</f>
        <v>UNIT</v>
      </c>
      <c r="H109" s="37">
        <f>IFERROR(__xludf.DUMMYFUNCTION("""COMPUTED_VALUE"""),46185.0)</f>
        <v>46185</v>
      </c>
      <c r="I109" s="36"/>
      <c r="J109" s="30" t="str">
        <f>IFERROR(__xludf.DUMMYFUNCTION("""COMPUTED_VALUE"""),"ALSIDE")</f>
        <v>ALSIDE</v>
      </c>
      <c r="K109" s="26" t="str">
        <f>IFERROR(__xludf.DUMMYFUNCTION("""COMPUTED_VALUE"""),"TRACIE PLANS")</f>
        <v>TRACIE PLANS</v>
      </c>
      <c r="L109" s="30" t="str">
        <f>IFERROR(__xludf.DUMMYFUNCTION("""COMPUTED_VALUE"""),"In Stock")</f>
        <v>In Stock</v>
      </c>
      <c r="M109" s="26" t="str">
        <f>IFERROR(__xludf.DUMMYFUNCTION("""COMPUTED_VALUE"""),"jose@ox-glass.com")</f>
        <v>jose@ox-glass.com</v>
      </c>
      <c r="N109" s="26" t="str">
        <f>IFERROR(__xludf.DUMMYFUNCTION("""COMPUTED_VALUE"""),"SP 638")</f>
        <v>SP 638</v>
      </c>
      <c r="O109" s="26" t="str">
        <f>IFERROR(__xludf.DUMMYFUNCTION("""COMPUTED_VALUE"""),"SCREEN|||SP 638")</f>
        <v>SCREEN|||SP 638</v>
      </c>
      <c r="P109" s="26"/>
      <c r="Q109" s="26" t="str">
        <f>IFERROR(__xludf.DUMMYFUNCTION("""COMPUTED_VALUE"""),"jose@ox-glass.com")</f>
        <v>jose@ox-glass.com</v>
      </c>
      <c r="R109" s="26" t="str">
        <f>IFERROR(__xludf.DUMMYFUNCTION("""COMPUTED_VALUE"""),"C1B")</f>
        <v>C1B</v>
      </c>
      <c r="S109" s="26" t="str">
        <f>IFERROR(__xludf.DUMMYFUNCTION("""COMPUTED_VALUE"""),"ENTRY")</f>
        <v>ENTRY</v>
      </c>
    </row>
    <row r="110" ht="22.5" customHeight="1">
      <c r="A110" s="35">
        <f>IFERROR(__xludf.DUMMYFUNCTION("""COMPUTED_VALUE"""),46189.396538692126)</f>
        <v>46189.39654</v>
      </c>
      <c r="B110" s="36" t="str">
        <f>IFERROR(__xludf.DUMMYFUNCTION("""COMPUTED_VALUE"""),"SCREEN")</f>
        <v>SCREEN</v>
      </c>
      <c r="C110" s="26" t="str">
        <f>IFERROR(__xludf.DUMMYFUNCTION("""COMPUTED_VALUE"""),"LGI OQM186")</f>
        <v>LGI OQM186</v>
      </c>
      <c r="D110" s="27" t="str">
        <f>IFERROR(__xludf.DUMMYFUNCTION("""COMPUTED_VALUE"""),"LGI")</f>
        <v>LGI</v>
      </c>
      <c r="E110" s="27" t="str">
        <f>IFERROR(__xludf.DUMMYFUNCTION("""COMPUTED_VALUE"""),"7185")</f>
        <v>7185</v>
      </c>
      <c r="F110" s="36">
        <f>IFERROR(__xludf.DUMMYFUNCTION("""COMPUTED_VALUE"""),10.0)</f>
        <v>10</v>
      </c>
      <c r="G110" s="27" t="str">
        <f>IFERROR(__xludf.DUMMYFUNCTION("""COMPUTED_VALUE"""),"UNIT")</f>
        <v>UNIT</v>
      </c>
      <c r="H110" s="37">
        <f>IFERROR(__xludf.DUMMYFUNCTION("""COMPUTED_VALUE"""),46185.0)</f>
        <v>46185</v>
      </c>
      <c r="I110" s="36"/>
      <c r="J110" s="30" t="str">
        <f>IFERROR(__xludf.DUMMYFUNCTION("""COMPUTED_VALUE"""),"ALSIDE")</f>
        <v>ALSIDE</v>
      </c>
      <c r="K110" s="26"/>
      <c r="L110" s="30" t="str">
        <f>IFERROR(__xludf.DUMMYFUNCTION("""COMPUTED_VALUE"""),"In Stock")</f>
        <v>In Stock</v>
      </c>
      <c r="M110" s="26" t="str">
        <f>IFERROR(__xludf.DUMMYFUNCTION("""COMPUTED_VALUE"""),"jose@ox-glass.com")</f>
        <v>jose@ox-glass.com</v>
      </c>
      <c r="N110" s="26" t="str">
        <f>IFERROR(__xludf.DUMMYFUNCTION("""COMPUTED_VALUE"""),"LGI OQM186")</f>
        <v>LGI OQM186</v>
      </c>
      <c r="O110" s="26" t="str">
        <f>IFERROR(__xludf.DUMMYFUNCTION("""COMPUTED_VALUE"""),"SCREEN|||LGI OQM186")</f>
        <v>SCREEN|||LGI OQM186</v>
      </c>
      <c r="P110" s="26"/>
      <c r="Q110" s="26" t="str">
        <f>IFERROR(__xludf.DUMMYFUNCTION("""COMPUTED_VALUE"""),"jose@ox-glass.com")</f>
        <v>jose@ox-glass.com</v>
      </c>
      <c r="R110" s="26" t="str">
        <f>IFERROR(__xludf.DUMMYFUNCTION("""COMPUTED_VALUE"""),"C1B")</f>
        <v>C1B</v>
      </c>
      <c r="S110" s="26" t="str">
        <f>IFERROR(__xludf.DUMMYFUNCTION("""COMPUTED_VALUE"""),"ENTRY")</f>
        <v>ENTRY</v>
      </c>
    </row>
    <row r="111" ht="22.5" customHeight="1">
      <c r="A111" s="35">
        <f>IFERROR(__xludf.DUMMYFUNCTION("""COMPUTED_VALUE"""),46189.394271655096)</f>
        <v>46189.39427</v>
      </c>
      <c r="B111" s="36" t="str">
        <f>IFERROR(__xludf.DUMMYFUNCTION("""COMPUTED_VALUE"""),"SCREEN")</f>
        <v>SCREEN</v>
      </c>
      <c r="C111" s="26" t="str">
        <f>IFERROR(__xludf.DUMMYFUNCTION("""COMPUTED_VALUE"""),"SP 647")</f>
        <v>SP 647</v>
      </c>
      <c r="D111" s="27"/>
      <c r="E111" s="27"/>
      <c r="F111" s="36">
        <f>IFERROR(__xludf.DUMMYFUNCTION("""COMPUTED_VALUE"""),9.0)</f>
        <v>9</v>
      </c>
      <c r="G111" s="27" t="str">
        <f>IFERROR(__xludf.DUMMYFUNCTION("""COMPUTED_VALUE"""),"UNIT")</f>
        <v>UNIT</v>
      </c>
      <c r="H111" s="37">
        <f>IFERROR(__xludf.DUMMYFUNCTION("""COMPUTED_VALUE"""),46185.0)</f>
        <v>46185</v>
      </c>
      <c r="I111" s="36"/>
      <c r="J111" s="30" t="str">
        <f>IFERROR(__xludf.DUMMYFUNCTION("""COMPUTED_VALUE"""),"ALSIDE")</f>
        <v>ALSIDE</v>
      </c>
      <c r="K111" s="26"/>
      <c r="L111" s="30" t="str">
        <f>IFERROR(__xludf.DUMMYFUNCTION("""COMPUTED_VALUE"""),"In Stock")</f>
        <v>In Stock</v>
      </c>
      <c r="M111" s="26" t="str">
        <f>IFERROR(__xludf.DUMMYFUNCTION("""COMPUTED_VALUE"""),"jose@ox-glass.com")</f>
        <v>jose@ox-glass.com</v>
      </c>
      <c r="N111" s="26" t="str">
        <f>IFERROR(__xludf.DUMMYFUNCTION("""COMPUTED_VALUE"""),"SP 647")</f>
        <v>SP 647</v>
      </c>
      <c r="O111" s="26" t="str">
        <f>IFERROR(__xludf.DUMMYFUNCTION("""COMPUTED_VALUE"""),"SCREEN|||SP 647")</f>
        <v>SCREEN|||SP 647</v>
      </c>
      <c r="P111" s="26"/>
      <c r="Q111" s="26" t="str">
        <f>IFERROR(__xludf.DUMMYFUNCTION("""COMPUTED_VALUE"""),"jose@ox-glass.com")</f>
        <v>jose@ox-glass.com</v>
      </c>
      <c r="R111" s="26" t="str">
        <f>IFERROR(__xludf.DUMMYFUNCTION("""COMPUTED_VALUE"""),"C1B")</f>
        <v>C1B</v>
      </c>
      <c r="S111" s="26" t="str">
        <f>IFERROR(__xludf.DUMMYFUNCTION("""COMPUTED_VALUE"""),"ENTRY")</f>
        <v>ENTRY</v>
      </c>
    </row>
    <row r="112" ht="22.5" customHeight="1">
      <c r="A112" s="35">
        <f>IFERROR(__xludf.DUMMYFUNCTION("""COMPUTED_VALUE"""),46189.39268844907)</f>
        <v>46189.39269</v>
      </c>
      <c r="B112" s="36" t="str">
        <f>IFERROR(__xludf.DUMMYFUNCTION("""COMPUTED_VALUE"""),"SCREEN")</f>
        <v>SCREEN</v>
      </c>
      <c r="C112" s="26" t="str">
        <f>IFERROR(__xludf.DUMMYFUNCTION("""COMPUTED_VALUE"""),"LGI OQM174")</f>
        <v>LGI OQM174</v>
      </c>
      <c r="D112" s="27" t="str">
        <f>IFERROR(__xludf.DUMMYFUNCTION("""COMPUTED_VALUE"""),"LGI")</f>
        <v>LGI</v>
      </c>
      <c r="E112" s="27" t="str">
        <f>IFERROR(__xludf.DUMMYFUNCTION("""COMPUTED_VALUE"""),"7096")</f>
        <v>7096</v>
      </c>
      <c r="F112" s="36">
        <f>IFERROR(__xludf.DUMMYFUNCTION("""COMPUTED_VALUE"""),4.0)</f>
        <v>4</v>
      </c>
      <c r="G112" s="27" t="str">
        <f>IFERROR(__xludf.DUMMYFUNCTION("""COMPUTED_VALUE"""),"UNIT")</f>
        <v>UNIT</v>
      </c>
      <c r="H112" s="37">
        <f>IFERROR(__xludf.DUMMYFUNCTION("""COMPUTED_VALUE"""),46175.0)</f>
        <v>46175</v>
      </c>
      <c r="I112" s="36"/>
      <c r="J112" s="30" t="str">
        <f>IFERROR(__xludf.DUMMYFUNCTION("""COMPUTED_VALUE"""),"ALSIDE")</f>
        <v>ALSIDE</v>
      </c>
      <c r="K112" s="26"/>
      <c r="L112" s="30" t="str">
        <f>IFERROR(__xludf.DUMMYFUNCTION("""COMPUTED_VALUE"""),"In Stock")</f>
        <v>In Stock</v>
      </c>
      <c r="M112" s="26" t="str">
        <f>IFERROR(__xludf.DUMMYFUNCTION("""COMPUTED_VALUE"""),"JOSE")</f>
        <v>JOSE</v>
      </c>
      <c r="N112" s="26" t="str">
        <f>IFERROR(__xludf.DUMMYFUNCTION("""COMPUTED_VALUE"""),"LGI OQM174")</f>
        <v>LGI OQM174</v>
      </c>
      <c r="O112" s="26" t="str">
        <f>IFERROR(__xludf.DUMMYFUNCTION("""COMPUTED_VALUE"""),"SCREEN|||LGI OQM174")</f>
        <v>SCREEN|||LGI OQM174</v>
      </c>
      <c r="P112" s="26"/>
      <c r="Q112" s="26" t="str">
        <f>IFERROR(__xludf.DUMMYFUNCTION("""COMPUTED_VALUE"""),"jose@ox-glass.com")</f>
        <v>jose@ox-glass.com</v>
      </c>
      <c r="R112" s="26" t="str">
        <f>IFERROR(__xludf.DUMMYFUNCTION("""COMPUTED_VALUE"""),"C1B")</f>
        <v>C1B</v>
      </c>
      <c r="S112" s="26" t="str">
        <f>IFERROR(__xludf.DUMMYFUNCTION("""COMPUTED_VALUE"""),"ENTRY")</f>
        <v>ENTRY</v>
      </c>
    </row>
    <row r="113" ht="22.5" customHeight="1">
      <c r="A113" s="35">
        <f>IFERROR(__xludf.DUMMYFUNCTION("""COMPUTED_VALUE"""),46189.3892163426)</f>
        <v>46189.38922</v>
      </c>
      <c r="B113" s="36" t="str">
        <f>IFERROR(__xludf.DUMMYFUNCTION("""COMPUTED_VALUE"""),"SCREEN")</f>
        <v>SCREEN</v>
      </c>
      <c r="C113" s="26" t="str">
        <f>IFERROR(__xludf.DUMMYFUNCTION("""COMPUTED_VALUE"""),"LGI OQM184")</f>
        <v>LGI OQM184</v>
      </c>
      <c r="D113" s="27" t="str">
        <f>IFERROR(__xludf.DUMMYFUNCTION("""COMPUTED_VALUE"""),"LGI")</f>
        <v>LGI</v>
      </c>
      <c r="E113" s="27" t="str">
        <f>IFERROR(__xludf.DUMMYFUNCTION("""COMPUTED_VALUE"""),"7095")</f>
        <v>7095</v>
      </c>
      <c r="F113" s="36">
        <f>IFERROR(__xludf.DUMMYFUNCTION("""COMPUTED_VALUE"""),4.0)</f>
        <v>4</v>
      </c>
      <c r="G113" s="27" t="str">
        <f>IFERROR(__xludf.DUMMYFUNCTION("""COMPUTED_VALUE"""),"UNIT")</f>
        <v>UNIT</v>
      </c>
      <c r="H113" s="37">
        <f>IFERROR(__xludf.DUMMYFUNCTION("""COMPUTED_VALUE"""),46175.0)</f>
        <v>46175</v>
      </c>
      <c r="I113" s="36"/>
      <c r="J113" s="30" t="str">
        <f>IFERROR(__xludf.DUMMYFUNCTION("""COMPUTED_VALUE"""),"ALSIDE")</f>
        <v>ALSIDE</v>
      </c>
      <c r="K113" s="26"/>
      <c r="L113" s="30" t="str">
        <f>IFERROR(__xludf.DUMMYFUNCTION("""COMPUTED_VALUE"""),"In Stock")</f>
        <v>In Stock</v>
      </c>
      <c r="M113" s="26" t="str">
        <f>IFERROR(__xludf.DUMMYFUNCTION("""COMPUTED_VALUE"""),"JOSE")</f>
        <v>JOSE</v>
      </c>
      <c r="N113" s="26" t="str">
        <f>IFERROR(__xludf.DUMMYFUNCTION("""COMPUTED_VALUE"""),"LGI OQM184")</f>
        <v>LGI OQM184</v>
      </c>
      <c r="O113" s="26" t="str">
        <f>IFERROR(__xludf.DUMMYFUNCTION("""COMPUTED_VALUE"""),"SCREEN|||LGI OQM184")</f>
        <v>SCREEN|||LGI OQM184</v>
      </c>
      <c r="P113" s="26"/>
      <c r="Q113" s="26" t="str">
        <f>IFERROR(__xludf.DUMMYFUNCTION("""COMPUTED_VALUE"""),"jose@ox-glass.com")</f>
        <v>jose@ox-glass.com</v>
      </c>
      <c r="R113" s="26" t="str">
        <f>IFERROR(__xludf.DUMMYFUNCTION("""COMPUTED_VALUE"""),"C1B")</f>
        <v>C1B</v>
      </c>
      <c r="S113" s="26" t="str">
        <f>IFERROR(__xludf.DUMMYFUNCTION("""COMPUTED_VALUE"""),"ENTRY")</f>
        <v>ENTRY</v>
      </c>
    </row>
    <row r="114" ht="22.5" customHeight="1">
      <c r="A114" s="35">
        <f>IFERROR(__xludf.DUMMYFUNCTION("""COMPUTED_VALUE"""),46189.386469861114)</f>
        <v>46189.38647</v>
      </c>
      <c r="B114" s="36" t="str">
        <f>IFERROR(__xludf.DUMMYFUNCTION("""COMPUTED_VALUE"""),"SCREEN")</f>
        <v>SCREEN</v>
      </c>
      <c r="C114" s="26" t="str">
        <f>IFERROR(__xludf.DUMMYFUNCTION("""COMPUTED_VALUE"""),"LGI OM159")</f>
        <v>LGI OM159</v>
      </c>
      <c r="D114" s="27" t="str">
        <f>IFERROR(__xludf.DUMMYFUNCTION("""COMPUTED_VALUE"""),"LGI")</f>
        <v>LGI</v>
      </c>
      <c r="E114" s="27" t="str">
        <f>IFERROR(__xludf.DUMMYFUNCTION("""COMPUTED_VALUE"""),"7106")</f>
        <v>7106</v>
      </c>
      <c r="F114" s="36">
        <f>IFERROR(__xludf.DUMMYFUNCTION("""COMPUTED_VALUE"""),10.0)</f>
        <v>10</v>
      </c>
      <c r="G114" s="27" t="str">
        <f>IFERROR(__xludf.DUMMYFUNCTION("""COMPUTED_VALUE"""),"UNIT")</f>
        <v>UNIT</v>
      </c>
      <c r="H114" s="37">
        <f>IFERROR(__xludf.DUMMYFUNCTION("""COMPUTED_VALUE"""),46175.0)</f>
        <v>46175</v>
      </c>
      <c r="I114" s="36"/>
      <c r="J114" s="30" t="str">
        <f>IFERROR(__xludf.DUMMYFUNCTION("""COMPUTED_VALUE"""),"ALSIDE")</f>
        <v>ALSIDE</v>
      </c>
      <c r="K114" s="26"/>
      <c r="L114" s="30" t="str">
        <f>IFERROR(__xludf.DUMMYFUNCTION("""COMPUTED_VALUE"""),"In Stock")</f>
        <v>In Stock</v>
      </c>
      <c r="M114" s="26" t="str">
        <f>IFERROR(__xludf.DUMMYFUNCTION("""COMPUTED_VALUE"""),"JOSE")</f>
        <v>JOSE</v>
      </c>
      <c r="N114" s="26" t="str">
        <f>IFERROR(__xludf.DUMMYFUNCTION("""COMPUTED_VALUE"""),"LGI OM159")</f>
        <v>LGI OM159</v>
      </c>
      <c r="O114" s="26" t="str">
        <f>IFERROR(__xludf.DUMMYFUNCTION("""COMPUTED_VALUE"""),"SCREEN|||LGI OM159")</f>
        <v>SCREEN|||LGI OM159</v>
      </c>
      <c r="P114" s="26"/>
      <c r="Q114" s="26" t="str">
        <f>IFERROR(__xludf.DUMMYFUNCTION("""COMPUTED_VALUE"""),"jose@ox-glass.com")</f>
        <v>jose@ox-glass.com</v>
      </c>
      <c r="R114" s="26" t="str">
        <f>IFERROR(__xludf.DUMMYFUNCTION("""COMPUTED_VALUE"""),"C1B")</f>
        <v>C1B</v>
      </c>
      <c r="S114" s="26" t="str">
        <f>IFERROR(__xludf.DUMMYFUNCTION("""COMPUTED_VALUE"""),"ENTRY")</f>
        <v>ENTRY</v>
      </c>
    </row>
    <row r="115" ht="22.5" customHeight="1">
      <c r="A115" s="35">
        <f>IFERROR(__xludf.DUMMYFUNCTION("""COMPUTED_VALUE"""),46189.38558292824)</f>
        <v>46189.38558</v>
      </c>
      <c r="B115" s="36" t="str">
        <f>IFERROR(__xludf.DUMMYFUNCTION("""COMPUTED_VALUE"""),"SCREEN")</f>
        <v>SCREEN</v>
      </c>
      <c r="C115" s="26" t="str">
        <f>IFERROR(__xludf.DUMMYFUNCTION("""COMPUTED_VALUE"""),"LGI OQM177")</f>
        <v>LGI OQM177</v>
      </c>
      <c r="D115" s="27" t="str">
        <f>IFERROR(__xludf.DUMMYFUNCTION("""COMPUTED_VALUE"""),"LGI")</f>
        <v>LGI</v>
      </c>
      <c r="E115" s="27" t="str">
        <f>IFERROR(__xludf.DUMMYFUNCTION("""COMPUTED_VALUE"""),"7094")</f>
        <v>7094</v>
      </c>
      <c r="F115" s="36">
        <f>IFERROR(__xludf.DUMMYFUNCTION("""COMPUTED_VALUE"""),6.0)</f>
        <v>6</v>
      </c>
      <c r="G115" s="27" t="str">
        <f>IFERROR(__xludf.DUMMYFUNCTION("""COMPUTED_VALUE"""),"UNIT")</f>
        <v>UNIT</v>
      </c>
      <c r="H115" s="37">
        <f>IFERROR(__xludf.DUMMYFUNCTION("""COMPUTED_VALUE"""),46175.0)</f>
        <v>46175</v>
      </c>
      <c r="I115" s="36"/>
      <c r="J115" s="30" t="str">
        <f>IFERROR(__xludf.DUMMYFUNCTION("""COMPUTED_VALUE"""),"ALSIDE")</f>
        <v>ALSIDE</v>
      </c>
      <c r="K115" s="26"/>
      <c r="L115" s="30" t="str">
        <f>IFERROR(__xludf.DUMMYFUNCTION("""COMPUTED_VALUE"""),"In Stock")</f>
        <v>In Stock</v>
      </c>
      <c r="M115" s="26" t="str">
        <f>IFERROR(__xludf.DUMMYFUNCTION("""COMPUTED_VALUE"""),"JOSE")</f>
        <v>JOSE</v>
      </c>
      <c r="N115" s="26" t="str">
        <f>IFERROR(__xludf.DUMMYFUNCTION("""COMPUTED_VALUE"""),"LGI OQM177")</f>
        <v>LGI OQM177</v>
      </c>
      <c r="O115" s="26" t="str">
        <f>IFERROR(__xludf.DUMMYFUNCTION("""COMPUTED_VALUE"""),"SCREEN|||LGI OQM177")</f>
        <v>SCREEN|||LGI OQM177</v>
      </c>
      <c r="P115" s="26"/>
      <c r="Q115" s="26" t="str">
        <f>IFERROR(__xludf.DUMMYFUNCTION("""COMPUTED_VALUE"""),"jose@ox-glass.com")</f>
        <v>jose@ox-glass.com</v>
      </c>
      <c r="R115" s="26" t="str">
        <f>IFERROR(__xludf.DUMMYFUNCTION("""COMPUTED_VALUE"""),"C1B")</f>
        <v>C1B</v>
      </c>
      <c r="S115" s="26" t="str">
        <f>IFERROR(__xludf.DUMMYFUNCTION("""COMPUTED_VALUE"""),"ENTRY")</f>
        <v>ENTRY</v>
      </c>
    </row>
    <row r="116" ht="22.5" customHeight="1">
      <c r="A116" s="35">
        <f>IFERROR(__xludf.DUMMYFUNCTION("""COMPUTED_VALUE"""),46189.384367060185)</f>
        <v>46189.38437</v>
      </c>
      <c r="B116" s="36" t="str">
        <f>IFERROR(__xludf.DUMMYFUNCTION("""COMPUTED_VALUE"""),"SCREEN")</f>
        <v>SCREEN</v>
      </c>
      <c r="C116" s="26" t="str">
        <f>IFERROR(__xludf.DUMMYFUNCTION("""COMPUTED_VALUE"""),"LGI DE007 CASCADE")</f>
        <v>LGI DE007 CASCADE</v>
      </c>
      <c r="D116" s="27" t="str">
        <f>IFERROR(__xludf.DUMMYFUNCTION("""COMPUTED_VALUE"""),"LGI")</f>
        <v>LGI</v>
      </c>
      <c r="E116" s="27" t="str">
        <f>IFERROR(__xludf.DUMMYFUNCTION("""COMPUTED_VALUE"""),"7102")</f>
        <v>7102</v>
      </c>
      <c r="F116" s="36">
        <f>IFERROR(__xludf.DUMMYFUNCTION("""COMPUTED_VALUE"""),4.0)</f>
        <v>4</v>
      </c>
      <c r="G116" s="27" t="str">
        <f>IFERROR(__xludf.DUMMYFUNCTION("""COMPUTED_VALUE"""),"UNIT")</f>
        <v>UNIT</v>
      </c>
      <c r="H116" s="37">
        <f>IFERROR(__xludf.DUMMYFUNCTION("""COMPUTED_VALUE"""),46175.0)</f>
        <v>46175</v>
      </c>
      <c r="I116" s="36"/>
      <c r="J116" s="30" t="str">
        <f>IFERROR(__xludf.DUMMYFUNCTION("""COMPUTED_VALUE"""),"ALSIDE")</f>
        <v>ALSIDE</v>
      </c>
      <c r="K116" s="26"/>
      <c r="L116" s="30" t="str">
        <f>IFERROR(__xludf.DUMMYFUNCTION("""COMPUTED_VALUE"""),"In Stock")</f>
        <v>In Stock</v>
      </c>
      <c r="M116" s="26" t="str">
        <f>IFERROR(__xludf.DUMMYFUNCTION("""COMPUTED_VALUE"""),"JOSE")</f>
        <v>JOSE</v>
      </c>
      <c r="N116" s="26" t="str">
        <f>IFERROR(__xludf.DUMMYFUNCTION("""COMPUTED_VALUE"""),"LGI DE007 CASCADE")</f>
        <v>LGI DE007 CASCADE</v>
      </c>
      <c r="O116" s="26" t="str">
        <f>IFERROR(__xludf.DUMMYFUNCTION("""COMPUTED_VALUE"""),"SCREEN|||LGI DE007 CASCADE")</f>
        <v>SCREEN|||LGI DE007 CASCADE</v>
      </c>
      <c r="P116" s="26"/>
      <c r="Q116" s="26" t="str">
        <f>IFERROR(__xludf.DUMMYFUNCTION("""COMPUTED_VALUE"""),"jose@ox-glass.com")</f>
        <v>jose@ox-glass.com</v>
      </c>
      <c r="R116" s="26" t="str">
        <f>IFERROR(__xludf.DUMMYFUNCTION("""COMPUTED_VALUE"""),"C1B")</f>
        <v>C1B</v>
      </c>
      <c r="S116" s="26" t="str">
        <f>IFERROR(__xludf.DUMMYFUNCTION("""COMPUTED_VALUE"""),"ENTRY")</f>
        <v>ENTRY</v>
      </c>
    </row>
    <row r="117" ht="22.5" customHeight="1">
      <c r="A117" s="35">
        <f>IFERROR(__xludf.DUMMYFUNCTION("""COMPUTED_VALUE"""),46189.38289504629)</f>
        <v>46189.3829</v>
      </c>
      <c r="B117" s="36" t="str">
        <f>IFERROR(__xludf.DUMMYFUNCTION("""COMPUTED_VALUE"""),"SCREEN")</f>
        <v>SCREEN</v>
      </c>
      <c r="C117" s="26" t="str">
        <f>IFERROR(__xludf.DUMMYFUNCTION("""COMPUTED_VALUE"""),"LGI OM171")</f>
        <v>LGI OM171</v>
      </c>
      <c r="D117" s="27" t="str">
        <f>IFERROR(__xludf.DUMMYFUNCTION("""COMPUTED_VALUE"""),"LGI")</f>
        <v>LGI</v>
      </c>
      <c r="E117" s="27" t="str">
        <f>IFERROR(__xludf.DUMMYFUNCTION("""COMPUTED_VALUE"""),"7105")</f>
        <v>7105</v>
      </c>
      <c r="F117" s="36">
        <f>IFERROR(__xludf.DUMMYFUNCTION("""COMPUTED_VALUE"""),4.0)</f>
        <v>4</v>
      </c>
      <c r="G117" s="27" t="str">
        <f>IFERROR(__xludf.DUMMYFUNCTION("""COMPUTED_VALUE"""),"UNIT")</f>
        <v>UNIT</v>
      </c>
      <c r="H117" s="37">
        <f>IFERROR(__xludf.DUMMYFUNCTION("""COMPUTED_VALUE"""),46175.0)</f>
        <v>46175</v>
      </c>
      <c r="I117" s="36"/>
      <c r="J117" s="30" t="str">
        <f>IFERROR(__xludf.DUMMYFUNCTION("""COMPUTED_VALUE"""),"ALSIDE")</f>
        <v>ALSIDE</v>
      </c>
      <c r="K117" s="26"/>
      <c r="L117" s="30" t="str">
        <f>IFERROR(__xludf.DUMMYFUNCTION("""COMPUTED_VALUE"""),"In Stock")</f>
        <v>In Stock</v>
      </c>
      <c r="M117" s="26" t="str">
        <f>IFERROR(__xludf.DUMMYFUNCTION("""COMPUTED_VALUE"""),"JOSE")</f>
        <v>JOSE</v>
      </c>
      <c r="N117" s="26" t="str">
        <f>IFERROR(__xludf.DUMMYFUNCTION("""COMPUTED_VALUE"""),"LGI OM171")</f>
        <v>LGI OM171</v>
      </c>
      <c r="O117" s="26" t="str">
        <f>IFERROR(__xludf.DUMMYFUNCTION("""COMPUTED_VALUE"""),"SCREEN|||LGI OM171")</f>
        <v>SCREEN|||LGI OM171</v>
      </c>
      <c r="P117" s="26"/>
      <c r="Q117" s="26" t="str">
        <f>IFERROR(__xludf.DUMMYFUNCTION("""COMPUTED_VALUE"""),"jose@ox-glass.com")</f>
        <v>jose@ox-glass.com</v>
      </c>
      <c r="R117" s="26" t="str">
        <f>IFERROR(__xludf.DUMMYFUNCTION("""COMPUTED_VALUE"""),"C1B")</f>
        <v>C1B</v>
      </c>
      <c r="S117" s="26" t="str">
        <f>IFERROR(__xludf.DUMMYFUNCTION("""COMPUTED_VALUE"""),"ENTRY")</f>
        <v>ENTRY</v>
      </c>
    </row>
    <row r="118" ht="22.5" customHeight="1">
      <c r="A118" s="35">
        <f>IFERROR(__xludf.DUMMYFUNCTION("""COMPUTED_VALUE"""),46188.46188569444)</f>
        <v>46188.46189</v>
      </c>
      <c r="B118" s="36" t="str">
        <f>IFERROR(__xludf.DUMMYFUNCTION("""COMPUTED_VALUE"""),"SCREEN")</f>
        <v>SCREEN</v>
      </c>
      <c r="C118" s="26" t="str">
        <f>IFERROR(__xludf.DUMMYFUNCTION("""COMPUTED_VALUE"""),"PV137")</f>
        <v>PV137</v>
      </c>
      <c r="D118" s="27"/>
      <c r="E118" s="27"/>
      <c r="F118" s="36">
        <f>IFERROR(__xludf.DUMMYFUNCTION("""COMPUTED_VALUE"""),22.0)</f>
        <v>22</v>
      </c>
      <c r="G118" s="27" t="str">
        <f>IFERROR(__xludf.DUMMYFUNCTION("""COMPUTED_VALUE"""),"UNIT")</f>
        <v>UNIT</v>
      </c>
      <c r="H118" s="37">
        <f>IFERROR(__xludf.DUMMYFUNCTION("""COMPUTED_VALUE"""),46188.0)</f>
        <v>46188</v>
      </c>
      <c r="I118" s="36" t="str">
        <f>IFERROR(__xludf.DUMMYFUNCTION("""COMPUTED_VALUE"""),"B1B")</f>
        <v>B1B</v>
      </c>
      <c r="J118" s="30"/>
      <c r="K118" s="26"/>
      <c r="L118" s="30" t="str">
        <f>IFERROR(__xludf.DUMMYFUNCTION("""COMPUTED_VALUE"""),"Dispatched")</f>
        <v>Dispatched</v>
      </c>
      <c r="M118" s="26" t="str">
        <f>IFERROR(__xludf.DUMMYFUNCTION("""COMPUTED_VALUE"""),"TOMMY AND PRESTON")</f>
        <v>TOMMY AND PRESTON</v>
      </c>
      <c r="N118" s="26"/>
      <c r="O118" s="26" t="str">
        <f>IFERROR(__xludf.DUMMYFUNCTION("""COMPUTED_VALUE"""),"SCREEN|||PV137")</f>
        <v>SCREEN|||PV137</v>
      </c>
      <c r="P118" s="26"/>
      <c r="Q118" s="26" t="str">
        <f>IFERROR(__xludf.DUMMYFUNCTION("""COMPUTED_VALUE"""),"jose@ox-glass.com")</f>
        <v>jose@ox-glass.com</v>
      </c>
      <c r="R118" s="26" t="str">
        <f>IFERROR(__xludf.DUMMYFUNCTION("""COMPUTED_VALUE"""),"PV137")</f>
        <v>PV137</v>
      </c>
      <c r="S118" s="26" t="str">
        <f>IFERROR(__xludf.DUMMYFUNCTION("""COMPUTED_VALUE"""),"EXIT")</f>
        <v>EXIT</v>
      </c>
    </row>
    <row r="119" ht="22.5" customHeight="1">
      <c r="A119" s="35">
        <f>IFERROR(__xludf.DUMMYFUNCTION("""COMPUTED_VALUE"""),46188.36477962962)</f>
        <v>46188.36478</v>
      </c>
      <c r="B119" s="36" t="str">
        <f>IFERROR(__xludf.DUMMYFUNCTION("""COMPUTED_VALUE"""),"SCREEN")</f>
        <v>SCREEN</v>
      </c>
      <c r="C119" s="26" t="str">
        <f>IFERROR(__xludf.DUMMYFUNCTION("""COMPUTED_VALUE"""),"SMW6")</f>
        <v>SMW6</v>
      </c>
      <c r="D119" s="27"/>
      <c r="E119" s="27"/>
      <c r="F119" s="36">
        <f>IFERROR(__xludf.DUMMYFUNCTION("""COMPUTED_VALUE"""),14.0)</f>
        <v>14</v>
      </c>
      <c r="G119" s="27" t="str">
        <f>IFERROR(__xludf.DUMMYFUNCTION("""COMPUTED_VALUE"""),"UNIT")</f>
        <v>UNIT</v>
      </c>
      <c r="H119" s="37">
        <f>IFERROR(__xludf.DUMMYFUNCTION("""COMPUTED_VALUE"""),46185.0)</f>
        <v>46185</v>
      </c>
      <c r="I119" s="36"/>
      <c r="J119" s="30" t="str">
        <f>IFERROR(__xludf.DUMMYFUNCTION("""COMPUTED_VALUE"""),"AMSCO")</f>
        <v>AMSCO</v>
      </c>
      <c r="K119" s="26"/>
      <c r="L119" s="30" t="str">
        <f>IFERROR(__xludf.DUMMYFUNCTION("""COMPUTED_VALUE"""),"In Stock")</f>
        <v>In Stock</v>
      </c>
      <c r="M119" s="26" t="str">
        <f>IFERROR(__xludf.DUMMYFUNCTION("""COMPUTED_VALUE"""),"jose@ox-glass.com")</f>
        <v>jose@ox-glass.com</v>
      </c>
      <c r="N119" s="26" t="str">
        <f>IFERROR(__xludf.DUMMYFUNCTION("""COMPUTED_VALUE"""),"SMW6")</f>
        <v>SMW6</v>
      </c>
      <c r="O119" s="26" t="str">
        <f>IFERROR(__xludf.DUMMYFUNCTION("""COMPUTED_VALUE"""),"SCREEN|||SMW6")</f>
        <v>SCREEN|||SMW6</v>
      </c>
      <c r="P119" s="26"/>
      <c r="Q119" s="26" t="str">
        <f>IFERROR(__xludf.DUMMYFUNCTION("""COMPUTED_VALUE"""),"jose@ox-glass.com")</f>
        <v>jose@ox-glass.com</v>
      </c>
      <c r="R119" s="26" t="str">
        <f>IFERROR(__xludf.DUMMYFUNCTION("""COMPUTED_VALUE"""),"B1B")</f>
        <v>B1B</v>
      </c>
      <c r="S119" s="26" t="str">
        <f>IFERROR(__xludf.DUMMYFUNCTION("""COMPUTED_VALUE"""),"ENTRY")</f>
        <v>ENTRY</v>
      </c>
    </row>
    <row r="120" ht="22.5" customHeight="1">
      <c r="A120" s="35">
        <f>IFERROR(__xludf.DUMMYFUNCTION("""COMPUTED_VALUE"""),46188.35659137731)</f>
        <v>46188.35659</v>
      </c>
      <c r="B120" s="36" t="str">
        <f>IFERROR(__xludf.DUMMYFUNCTION("""COMPUTED_VALUE"""),"SCREEN")</f>
        <v>SCREEN</v>
      </c>
      <c r="C120" s="26" t="str">
        <f>IFERROR(__xludf.DUMMYFUNCTION("""COMPUTED_VALUE"""),"LANE ALLRED")</f>
        <v>LANE ALLRED</v>
      </c>
      <c r="D120" s="27"/>
      <c r="E120" s="27" t="str">
        <f>IFERROR(__xludf.DUMMYFUNCTION("""COMPUTED_VALUE"""),"05-6168")</f>
        <v>05-6168</v>
      </c>
      <c r="F120" s="36">
        <f>IFERROR(__xludf.DUMMYFUNCTION("""COMPUTED_VALUE"""),2.0)</f>
        <v>2</v>
      </c>
      <c r="G120" s="27" t="str">
        <f>IFERROR(__xludf.DUMMYFUNCTION("""COMPUTED_VALUE"""),"UNIT")</f>
        <v>UNIT</v>
      </c>
      <c r="H120" s="37">
        <f>IFERROR(__xludf.DUMMYFUNCTION("""COMPUTED_VALUE"""),46185.0)</f>
        <v>46185</v>
      </c>
      <c r="I120" s="36"/>
      <c r="J120" s="30" t="str">
        <f>IFERROR(__xludf.DUMMYFUNCTION("""COMPUTED_VALUE"""),"AMSCO")</f>
        <v>AMSCO</v>
      </c>
      <c r="K120" s="26"/>
      <c r="L120" s="30" t="str">
        <f>IFERROR(__xludf.DUMMYFUNCTION("""COMPUTED_VALUE"""),"In Stock")</f>
        <v>In Stock</v>
      </c>
      <c r="M120" s="26" t="str">
        <f>IFERROR(__xludf.DUMMYFUNCTION("""COMPUTED_VALUE"""),"jose@ox-glass.com")</f>
        <v>jose@ox-glass.com</v>
      </c>
      <c r="N120" s="26" t="str">
        <f>IFERROR(__xludf.DUMMYFUNCTION("""COMPUTED_VALUE"""),"LANE ALLRED HOME")</f>
        <v>LANE ALLRED HOME</v>
      </c>
      <c r="O120" s="26" t="str">
        <f>IFERROR(__xludf.DUMMYFUNCTION("""COMPUTED_VALUE"""),"SCREEN|||LANE ALLRED")</f>
        <v>SCREEN|||LANE ALLRED</v>
      </c>
      <c r="P120" s="26"/>
      <c r="Q120" s="26" t="str">
        <f>IFERROR(__xludf.DUMMYFUNCTION("""COMPUTED_VALUE"""),"jose@ox-glass.com")</f>
        <v>jose@ox-glass.com</v>
      </c>
      <c r="R120" s="26" t="str">
        <f>IFERROR(__xludf.DUMMYFUNCTION("""COMPUTED_VALUE"""),"C1B")</f>
        <v>C1B</v>
      </c>
      <c r="S120" s="26" t="str">
        <f>IFERROR(__xludf.DUMMYFUNCTION("""COMPUTED_VALUE"""),"ENTRY")</f>
        <v>ENTRY</v>
      </c>
    </row>
    <row r="121" ht="22.5" customHeight="1">
      <c r="A121" s="35">
        <f>IFERROR(__xludf.DUMMYFUNCTION("""COMPUTED_VALUE"""),46184.57353631944)</f>
        <v>46184.57354</v>
      </c>
      <c r="B121" s="36" t="str">
        <f>IFERROR(__xludf.DUMMYFUNCTION("""COMPUTED_VALUE"""),"SCREEN")</f>
        <v>SCREEN</v>
      </c>
      <c r="C121" s="26" t="str">
        <f>IFERROR(__xludf.DUMMYFUNCTION("""COMPUTED_VALUE"""),"LGI DE009 DELANO")</f>
        <v>LGI DE009 DELANO</v>
      </c>
      <c r="D121" s="27"/>
      <c r="E121" s="27" t="str">
        <f>IFERROR(__xludf.DUMMYFUNCTION("""COMPUTED_VALUE"""),"7104")</f>
        <v>7104</v>
      </c>
      <c r="F121" s="36">
        <f>IFERROR(__xludf.DUMMYFUNCTION("""COMPUTED_VALUE"""),3.0)</f>
        <v>3</v>
      </c>
      <c r="G121" s="27" t="str">
        <f>IFERROR(__xludf.DUMMYFUNCTION("""COMPUTED_VALUE"""),"UNIT")</f>
        <v>UNIT</v>
      </c>
      <c r="H121" s="37">
        <f>IFERROR(__xludf.DUMMYFUNCTION("""COMPUTED_VALUE"""),46178.0)</f>
        <v>46178</v>
      </c>
      <c r="I121" s="36"/>
      <c r="J121" s="30" t="str">
        <f>IFERROR(__xludf.DUMMYFUNCTION("""COMPUTED_VALUE"""),"ALSIDE")</f>
        <v>ALSIDE</v>
      </c>
      <c r="K121" s="26" t="str">
        <f>IFERROR(__xludf.DUMMYFUNCTION("""COMPUTED_VALUE"""),"WHITE WINDOW SCREENS")</f>
        <v>WHITE WINDOW SCREENS</v>
      </c>
      <c r="L121" s="30" t="str">
        <f>IFERROR(__xludf.DUMMYFUNCTION("""COMPUTED_VALUE"""),"In Stock")</f>
        <v>In Stock</v>
      </c>
      <c r="M121" s="26" t="str">
        <f>IFERROR(__xludf.DUMMYFUNCTION("""COMPUTED_VALUE"""),"JOSE")</f>
        <v>JOSE</v>
      </c>
      <c r="N121" s="26" t="str">
        <f>IFERROR(__xludf.DUMMYFUNCTION("""COMPUTED_VALUE"""),"LGI DE009 DELANO")</f>
        <v>LGI DE009 DELANO</v>
      </c>
      <c r="O121" s="26" t="str">
        <f>IFERROR(__xludf.DUMMYFUNCTION("""COMPUTED_VALUE"""),"SCREEN|||LGI DE009 DELANO")</f>
        <v>SCREEN|||LGI DE009 DELANO</v>
      </c>
      <c r="P121" s="26"/>
      <c r="Q121" s="26" t="str">
        <f>IFERROR(__xludf.DUMMYFUNCTION("""COMPUTED_VALUE"""),"jose@ox-glass.com")</f>
        <v>jose@ox-glass.com</v>
      </c>
      <c r="R121" s="26" t="str">
        <f>IFERROR(__xludf.DUMMYFUNCTION("""COMPUTED_VALUE"""),"C1B")</f>
        <v>C1B</v>
      </c>
      <c r="S121" s="26" t="str">
        <f>IFERROR(__xludf.DUMMYFUNCTION("""COMPUTED_VALUE"""),"ENTRY")</f>
        <v>ENTRY</v>
      </c>
    </row>
    <row r="122" ht="22.5" customHeight="1">
      <c r="A122" s="35">
        <f>IFERROR(__xludf.DUMMYFUNCTION("""COMPUTED_VALUE"""),46184.57121675926)</f>
        <v>46184.57122</v>
      </c>
      <c r="B122" s="36" t="str">
        <f>IFERROR(__xludf.DUMMYFUNCTION("""COMPUTED_VALUE"""),"SCREEN")</f>
        <v>SCREEN</v>
      </c>
      <c r="C122" s="26" t="str">
        <f>IFERROR(__xludf.DUMMYFUNCTION("""COMPUTED_VALUE"""),"LGI DE041 GRANITE")</f>
        <v>LGI DE041 GRANITE</v>
      </c>
      <c r="D122" s="27"/>
      <c r="E122" s="27" t="str">
        <f>IFERROR(__xludf.DUMMYFUNCTION("""COMPUTED_VALUE"""),"7103")</f>
        <v>7103</v>
      </c>
      <c r="F122" s="36">
        <f>IFERROR(__xludf.DUMMYFUNCTION("""COMPUTED_VALUE"""),4.0)</f>
        <v>4</v>
      </c>
      <c r="G122" s="27" t="str">
        <f>IFERROR(__xludf.DUMMYFUNCTION("""COMPUTED_VALUE"""),"UNIT")</f>
        <v>UNIT</v>
      </c>
      <c r="H122" s="37">
        <f>IFERROR(__xludf.DUMMYFUNCTION("""COMPUTED_VALUE"""),46178.0)</f>
        <v>46178</v>
      </c>
      <c r="I122" s="36"/>
      <c r="J122" s="30" t="str">
        <f>IFERROR(__xludf.DUMMYFUNCTION("""COMPUTED_VALUE"""),"ALSIDE")</f>
        <v>ALSIDE</v>
      </c>
      <c r="K122" s="26" t="str">
        <f>IFERROR(__xludf.DUMMYFUNCTION("""COMPUTED_VALUE"""),"WHITE WINDOW SCREEN")</f>
        <v>WHITE WINDOW SCREEN</v>
      </c>
      <c r="L122" s="30" t="str">
        <f>IFERROR(__xludf.DUMMYFUNCTION("""COMPUTED_VALUE"""),"In Stock")</f>
        <v>In Stock</v>
      </c>
      <c r="M122" s="26" t="str">
        <f>IFERROR(__xludf.DUMMYFUNCTION("""COMPUTED_VALUE"""),"JOSE")</f>
        <v>JOSE</v>
      </c>
      <c r="N122" s="26" t="str">
        <f>IFERROR(__xludf.DUMMYFUNCTION("""COMPUTED_VALUE"""),"LGI DE041 GRANITE")</f>
        <v>LGI DE041 GRANITE</v>
      </c>
      <c r="O122" s="26" t="str">
        <f>IFERROR(__xludf.DUMMYFUNCTION("""COMPUTED_VALUE"""),"SCREEN|||LGI DE041 GRANITE")</f>
        <v>SCREEN|||LGI DE041 GRANITE</v>
      </c>
      <c r="P122" s="26"/>
      <c r="Q122" s="26" t="str">
        <f>IFERROR(__xludf.DUMMYFUNCTION("""COMPUTED_VALUE"""),"jose@ox-glass.com")</f>
        <v>jose@ox-glass.com</v>
      </c>
      <c r="R122" s="26" t="str">
        <f>IFERROR(__xludf.DUMMYFUNCTION("""COMPUTED_VALUE"""),"C1B")</f>
        <v>C1B</v>
      </c>
      <c r="S122" s="26" t="str">
        <f>IFERROR(__xludf.DUMMYFUNCTION("""COMPUTED_VALUE"""),"ENTRY")</f>
        <v>ENTRY</v>
      </c>
    </row>
    <row r="123" ht="22.5" customHeight="1">
      <c r="A123" s="35">
        <f>IFERROR(__xludf.DUMMYFUNCTION("""COMPUTED_VALUE"""),46184.56394341435)</f>
        <v>46184.56394</v>
      </c>
      <c r="B123" s="36" t="str">
        <f>IFERROR(__xludf.DUMMYFUNCTION("""COMPUTED_VALUE"""),"SCREEN")</f>
        <v>SCREEN</v>
      </c>
      <c r="C123" s="26" t="str">
        <f>IFERROR(__xludf.DUMMYFUNCTION("""COMPUTED_VALUE"""),"BME2 TRACIE DOOR_MAIN")</f>
        <v>BME2 TRACIE DOOR_MAIN</v>
      </c>
      <c r="D123" s="27"/>
      <c r="E123" s="27"/>
      <c r="F123" s="36">
        <f>IFERROR(__xludf.DUMMYFUNCTION("""COMPUTED_VALUE"""),3.0)</f>
        <v>3</v>
      </c>
      <c r="G123" s="27" t="str">
        <f>IFERROR(__xludf.DUMMYFUNCTION("""COMPUTED_VALUE"""),"UNIT")</f>
        <v>UNIT</v>
      </c>
      <c r="H123" s="37">
        <f>IFERROR(__xludf.DUMMYFUNCTION("""COMPUTED_VALUE"""),46178.0)</f>
        <v>46178</v>
      </c>
      <c r="I123" s="36"/>
      <c r="J123" s="30" t="str">
        <f>IFERROR(__xludf.DUMMYFUNCTION("""COMPUTED_VALUE"""),"WINDOR")</f>
        <v>WINDOR</v>
      </c>
      <c r="K123" s="26" t="str">
        <f>IFERROR(__xludf.DUMMYFUNCTION("""COMPUTED_VALUE"""),"WHITE DOOR SCREEN.")</f>
        <v>WHITE DOOR SCREEN.</v>
      </c>
      <c r="L123" s="30" t="str">
        <f>IFERROR(__xludf.DUMMYFUNCTION("""COMPUTED_VALUE"""),"In Stock")</f>
        <v>In Stock</v>
      </c>
      <c r="M123" s="26" t="str">
        <f>IFERROR(__xludf.DUMMYFUNCTION("""COMPUTED_VALUE"""),"JOSE")</f>
        <v>JOSE</v>
      </c>
      <c r="N123" s="26" t="str">
        <f>IFERROR(__xludf.DUMMYFUNCTION("""COMPUTED_VALUE"""),"BME2 TRACIE DOOR_MAIN")</f>
        <v>BME2 TRACIE DOOR_MAIN</v>
      </c>
      <c r="O123" s="26" t="str">
        <f>IFERROR(__xludf.DUMMYFUNCTION("""COMPUTED_VALUE"""),"SCREEN|||BME2 TRACIE DOOR_MAIN")</f>
        <v>SCREEN|||BME2 TRACIE DOOR_MAIN</v>
      </c>
      <c r="P123" s="26"/>
      <c r="Q123" s="26" t="str">
        <f>IFERROR(__xludf.DUMMYFUNCTION("""COMPUTED_VALUE"""),"jose@ox-glass.com")</f>
        <v>jose@ox-glass.com</v>
      </c>
      <c r="R123" s="26" t="str">
        <f>IFERROR(__xludf.DUMMYFUNCTION("""COMPUTED_VALUE"""),"P4C")</f>
        <v>P4C</v>
      </c>
      <c r="S123" s="26" t="str">
        <f>IFERROR(__xludf.DUMMYFUNCTION("""COMPUTED_VALUE"""),"ENTRY")</f>
        <v>ENTRY</v>
      </c>
    </row>
    <row r="124" ht="22.5" customHeight="1">
      <c r="A124" s="35">
        <f>IFERROR(__xludf.DUMMYFUNCTION("""COMPUTED_VALUE"""),46184.552299641204)</f>
        <v>46184.5523</v>
      </c>
      <c r="B124" s="36" t="str">
        <f>IFERROR(__xludf.DUMMYFUNCTION("""COMPUTED_VALUE"""),"SCREEN")</f>
        <v>SCREEN</v>
      </c>
      <c r="C124" s="26" t="str">
        <f>IFERROR(__xludf.DUMMYFUNCTION("""COMPUTED_VALUE"""),"WHI SM215")</f>
        <v>WHI SM215</v>
      </c>
      <c r="D124" s="27"/>
      <c r="E124" s="27" t="str">
        <f>IFERROR(__xludf.DUMMYFUNCTION("""COMPUTED_VALUE"""),"05-3019")</f>
        <v>05-3019</v>
      </c>
      <c r="F124" s="36">
        <f>IFERROR(__xludf.DUMMYFUNCTION("""COMPUTED_VALUE"""),11.0)</f>
        <v>11</v>
      </c>
      <c r="G124" s="27" t="str">
        <f>IFERROR(__xludf.DUMMYFUNCTION("""COMPUTED_VALUE"""),"UNIT")</f>
        <v>UNIT</v>
      </c>
      <c r="H124" s="37">
        <f>IFERROR(__xludf.DUMMYFUNCTION("""COMPUTED_VALUE"""),46178.0)</f>
        <v>46178</v>
      </c>
      <c r="I124" s="36"/>
      <c r="J124" s="30" t="str">
        <f>IFERROR(__xludf.DUMMYFUNCTION("""COMPUTED_VALUE"""),"AMSCO")</f>
        <v>AMSCO</v>
      </c>
      <c r="K124" s="26" t="str">
        <f>IFERROR(__xludf.DUMMYFUNCTION("""COMPUTED_VALUE"""),"WHITE WINDOW SCREEN")</f>
        <v>WHITE WINDOW SCREEN</v>
      </c>
      <c r="L124" s="30" t="str">
        <f>IFERROR(__xludf.DUMMYFUNCTION("""COMPUTED_VALUE"""),"In Stock")</f>
        <v>In Stock</v>
      </c>
      <c r="M124" s="26" t="str">
        <f>IFERROR(__xludf.DUMMYFUNCTION("""COMPUTED_VALUE"""),"JOSE")</f>
        <v>JOSE</v>
      </c>
      <c r="N124" s="26" t="str">
        <f>IFERROR(__xludf.DUMMYFUNCTION("""COMPUTED_VALUE"""),"WHI SM215")</f>
        <v>WHI SM215</v>
      </c>
      <c r="O124" s="26" t="str">
        <f>IFERROR(__xludf.DUMMYFUNCTION("""COMPUTED_VALUE"""),"SCREEN|||WHI SM215")</f>
        <v>SCREEN|||WHI SM215</v>
      </c>
      <c r="P124" s="26"/>
      <c r="Q124" s="26" t="str">
        <f>IFERROR(__xludf.DUMMYFUNCTION("""COMPUTED_VALUE"""),"jose@ox-glass.com")</f>
        <v>jose@ox-glass.com</v>
      </c>
      <c r="R124" s="26" t="str">
        <f>IFERROR(__xludf.DUMMYFUNCTION("""COMPUTED_VALUE"""),"B1B")</f>
        <v>B1B</v>
      </c>
      <c r="S124" s="26" t="str">
        <f>IFERROR(__xludf.DUMMYFUNCTION("""COMPUTED_VALUE"""),"ENTRY")</f>
        <v>ENTRY</v>
      </c>
    </row>
    <row r="125" ht="22.5" customHeight="1">
      <c r="A125" s="35">
        <f>IFERROR(__xludf.DUMMYFUNCTION("""COMPUTED_VALUE"""),46184.54433357639)</f>
        <v>46184.54433</v>
      </c>
      <c r="B125" s="36" t="str">
        <f>IFERROR(__xludf.DUMMYFUNCTION("""COMPUTED_VALUE"""),"SCREEN")</f>
        <v>SCREEN</v>
      </c>
      <c r="C125" s="26" t="str">
        <f>IFERROR(__xludf.DUMMYFUNCTION("""COMPUTED_VALUE"""),"WHI SM213")</f>
        <v>WHI SM213</v>
      </c>
      <c r="D125" s="27"/>
      <c r="E125" s="27" t="str">
        <f>IFERROR(__xludf.DUMMYFUNCTION("""COMPUTED_VALUE"""),"05-3018")</f>
        <v>05-3018</v>
      </c>
      <c r="F125" s="36">
        <f>IFERROR(__xludf.DUMMYFUNCTION("""COMPUTED_VALUE"""),11.0)</f>
        <v>11</v>
      </c>
      <c r="G125" s="27" t="str">
        <f>IFERROR(__xludf.DUMMYFUNCTION("""COMPUTED_VALUE"""),"UNIT")</f>
        <v>UNIT</v>
      </c>
      <c r="H125" s="37">
        <f>IFERROR(__xludf.DUMMYFUNCTION("""COMPUTED_VALUE"""),46178.0)</f>
        <v>46178</v>
      </c>
      <c r="I125" s="36"/>
      <c r="J125" s="30" t="str">
        <f>IFERROR(__xludf.DUMMYFUNCTION("""COMPUTED_VALUE"""),"AMSCO")</f>
        <v>AMSCO</v>
      </c>
      <c r="K125" s="26" t="str">
        <f>IFERROR(__xludf.DUMMYFUNCTION("""COMPUTED_VALUE"""),"WHITE WINDOWS SCREENS")</f>
        <v>WHITE WINDOWS SCREENS</v>
      </c>
      <c r="L125" s="30" t="str">
        <f>IFERROR(__xludf.DUMMYFUNCTION("""COMPUTED_VALUE"""),"In Stock")</f>
        <v>In Stock</v>
      </c>
      <c r="M125" s="26" t="str">
        <f>IFERROR(__xludf.DUMMYFUNCTION("""COMPUTED_VALUE"""),"JOSE")</f>
        <v>JOSE</v>
      </c>
      <c r="N125" s="26" t="str">
        <f>IFERROR(__xludf.DUMMYFUNCTION("""COMPUTED_VALUE"""),"WHI SM213")</f>
        <v>WHI SM213</v>
      </c>
      <c r="O125" s="26" t="str">
        <f>IFERROR(__xludf.DUMMYFUNCTION("""COMPUTED_VALUE"""),"SCREEN|||WHI SM213")</f>
        <v>SCREEN|||WHI SM213</v>
      </c>
      <c r="P125" s="26"/>
      <c r="Q125" s="26" t="str">
        <f>IFERROR(__xludf.DUMMYFUNCTION("""COMPUTED_VALUE"""),"jose@ox-glass.com")</f>
        <v>jose@ox-glass.com</v>
      </c>
      <c r="R125" s="26" t="str">
        <f>IFERROR(__xludf.DUMMYFUNCTION("""COMPUTED_VALUE"""),"B1B")</f>
        <v>B1B</v>
      </c>
      <c r="S125" s="26" t="str">
        <f>IFERROR(__xludf.DUMMYFUNCTION("""COMPUTED_VALUE"""),"ENTRY")</f>
        <v>ENTRY</v>
      </c>
    </row>
    <row r="126" ht="22.5" customHeight="1">
      <c r="A126" s="35">
        <f>IFERROR(__xludf.DUMMYFUNCTION("""COMPUTED_VALUE"""),46184.535173738426)</f>
        <v>46184.53517</v>
      </c>
      <c r="B126" s="36" t="str">
        <f>IFERROR(__xludf.DUMMYFUNCTION("""COMPUTED_VALUE"""),"SCREEN")</f>
        <v>SCREEN</v>
      </c>
      <c r="C126" s="26" t="str">
        <f>IFERROR(__xludf.DUMMYFUNCTION("""COMPUTED_VALUE"""),"WHI SM215")</f>
        <v>WHI SM215</v>
      </c>
      <c r="D126" s="27"/>
      <c r="E126" s="27" t="str">
        <f>IFERROR(__xludf.DUMMYFUNCTION("""COMPUTED_VALUE"""),"05-3019")</f>
        <v>05-3019</v>
      </c>
      <c r="F126" s="36">
        <f>IFERROR(__xludf.DUMMYFUNCTION("""COMPUTED_VALUE"""),1.0)</f>
        <v>1</v>
      </c>
      <c r="G126" s="27" t="str">
        <f>IFERROR(__xludf.DUMMYFUNCTION("""COMPUTED_VALUE"""),"UNIT")</f>
        <v>UNIT</v>
      </c>
      <c r="H126" s="37">
        <f>IFERROR(__xludf.DUMMYFUNCTION("""COMPUTED_VALUE"""),46184.0)</f>
        <v>46184</v>
      </c>
      <c r="I126" s="36"/>
      <c r="J126" s="30" t="str">
        <f>IFERROR(__xludf.DUMMYFUNCTION("""COMPUTED_VALUE"""),"AMSCO")</f>
        <v>AMSCO</v>
      </c>
      <c r="K126" s="26" t="str">
        <f>IFERROR(__xludf.DUMMYFUNCTION("""COMPUTED_VALUE"""),"WHITE DOOR SCREENS")</f>
        <v>WHITE DOOR SCREENS</v>
      </c>
      <c r="L126" s="30" t="str">
        <f>IFERROR(__xludf.DUMMYFUNCTION("""COMPUTED_VALUE"""),"In Stock")</f>
        <v>In Stock</v>
      </c>
      <c r="M126" s="26" t="str">
        <f>IFERROR(__xludf.DUMMYFUNCTION("""COMPUTED_VALUE"""),"JOSE")</f>
        <v>JOSE</v>
      </c>
      <c r="N126" s="26" t="str">
        <f>IFERROR(__xludf.DUMMYFUNCTION("""COMPUTED_VALUE"""),"WHI SM215")</f>
        <v>WHI SM215</v>
      </c>
      <c r="O126" s="26" t="str">
        <f>IFERROR(__xludf.DUMMYFUNCTION("""COMPUTED_VALUE"""),"SCREEN|||WHI SM215")</f>
        <v>SCREEN|||WHI SM215</v>
      </c>
      <c r="P126" s="26"/>
      <c r="Q126" s="26" t="str">
        <f>IFERROR(__xludf.DUMMYFUNCTION("""COMPUTED_VALUE"""),"jose@ox-glass.com")</f>
        <v>jose@ox-glass.com</v>
      </c>
      <c r="R126" s="26" t="str">
        <f>IFERROR(__xludf.DUMMYFUNCTION("""COMPUTED_VALUE"""),"P2C")</f>
        <v>P2C</v>
      </c>
      <c r="S126" s="26" t="str">
        <f>IFERROR(__xludf.DUMMYFUNCTION("""COMPUTED_VALUE"""),"ENTRY")</f>
        <v>ENTRY</v>
      </c>
    </row>
    <row r="127" ht="22.5" customHeight="1">
      <c r="A127" s="35">
        <f>IFERROR(__xludf.DUMMYFUNCTION("""COMPUTED_VALUE"""),46184.535173738426)</f>
        <v>46184.53517</v>
      </c>
      <c r="B127" s="36" t="str">
        <f>IFERROR(__xludf.DUMMYFUNCTION("""COMPUTED_VALUE"""),"SCREEN")</f>
        <v>SCREEN</v>
      </c>
      <c r="C127" s="26" t="str">
        <f>IFERROR(__xludf.DUMMYFUNCTION("""COMPUTED_VALUE"""),"WHI SM213")</f>
        <v>WHI SM213</v>
      </c>
      <c r="D127" s="27"/>
      <c r="E127" s="27" t="str">
        <f>IFERROR(__xludf.DUMMYFUNCTION("""COMPUTED_VALUE"""),"05-3018")</f>
        <v>05-3018</v>
      </c>
      <c r="F127" s="36">
        <f>IFERROR(__xludf.DUMMYFUNCTION("""COMPUTED_VALUE"""),1.0)</f>
        <v>1</v>
      </c>
      <c r="G127" s="27" t="str">
        <f>IFERROR(__xludf.DUMMYFUNCTION("""COMPUTED_VALUE"""),"UNIT")</f>
        <v>UNIT</v>
      </c>
      <c r="H127" s="37">
        <f>IFERROR(__xludf.DUMMYFUNCTION("""COMPUTED_VALUE"""),46184.0)</f>
        <v>46184</v>
      </c>
      <c r="I127" s="36"/>
      <c r="J127" s="30" t="str">
        <f>IFERROR(__xludf.DUMMYFUNCTION("""COMPUTED_VALUE"""),"AMSCO")</f>
        <v>AMSCO</v>
      </c>
      <c r="K127" s="26" t="str">
        <f>IFERROR(__xludf.DUMMYFUNCTION("""COMPUTED_VALUE"""),"WHITE DOOR SCREENS")</f>
        <v>WHITE DOOR SCREENS</v>
      </c>
      <c r="L127" s="30" t="str">
        <f>IFERROR(__xludf.DUMMYFUNCTION("""COMPUTED_VALUE"""),"In Stock")</f>
        <v>In Stock</v>
      </c>
      <c r="M127" s="26" t="str">
        <f>IFERROR(__xludf.DUMMYFUNCTION("""COMPUTED_VALUE"""),"JOSE")</f>
        <v>JOSE</v>
      </c>
      <c r="N127" s="26" t="str">
        <f>IFERROR(__xludf.DUMMYFUNCTION("""COMPUTED_VALUE"""),"WHI SM213")</f>
        <v>WHI SM213</v>
      </c>
      <c r="O127" s="26" t="str">
        <f>IFERROR(__xludf.DUMMYFUNCTION("""COMPUTED_VALUE"""),"SCREEN|||WHI SM213")</f>
        <v>SCREEN|||WHI SM213</v>
      </c>
      <c r="P127" s="26"/>
      <c r="Q127" s="26" t="str">
        <f>IFERROR(__xludf.DUMMYFUNCTION("""COMPUTED_VALUE"""),"jose@ox-glass.com")</f>
        <v>jose@ox-glass.com</v>
      </c>
      <c r="R127" s="26" t="str">
        <f>IFERROR(__xludf.DUMMYFUNCTION("""COMPUTED_VALUE"""),"P2C")</f>
        <v>P2C</v>
      </c>
      <c r="S127" s="26" t="str">
        <f>IFERROR(__xludf.DUMMYFUNCTION("""COMPUTED_VALUE"""),"ENTRY")</f>
        <v>ENTRY</v>
      </c>
    </row>
    <row r="128" ht="22.5" customHeight="1">
      <c r="A128" s="35">
        <f>IFERROR(__xludf.DUMMYFUNCTION("""COMPUTED_VALUE"""),46184.52912413194)</f>
        <v>46184.52912</v>
      </c>
      <c r="B128" s="36" t="str">
        <f>IFERROR(__xludf.DUMMYFUNCTION("""COMPUTED_VALUE"""),"SCREEN")</f>
        <v>SCREEN</v>
      </c>
      <c r="C128" s="26" t="str">
        <f>IFERROR(__xludf.DUMMYFUNCTION("""COMPUTED_VALUE"""),"BJC DAYPOOL 9080")</f>
        <v>BJC DAYPOOL 9080</v>
      </c>
      <c r="D128" s="27"/>
      <c r="E128" s="27" t="str">
        <f>IFERROR(__xludf.DUMMYFUNCTION("""COMPUTED_VALUE"""),"7035")</f>
        <v>7035</v>
      </c>
      <c r="F128" s="36">
        <f>IFERROR(__xludf.DUMMYFUNCTION("""COMPUTED_VALUE"""),1.0)</f>
        <v>1</v>
      </c>
      <c r="G128" s="27" t="str">
        <f>IFERROR(__xludf.DUMMYFUNCTION("""COMPUTED_VALUE"""),"UNIT")</f>
        <v>UNIT</v>
      </c>
      <c r="H128" s="37">
        <f>IFERROR(__xludf.DUMMYFUNCTION("""COMPUTED_VALUE"""),46178.0)</f>
        <v>46178</v>
      </c>
      <c r="I128" s="36"/>
      <c r="J128" s="30" t="str">
        <f>IFERROR(__xludf.DUMMYFUNCTION("""COMPUTED_VALUE"""),"ALSIDE")</f>
        <v>ALSIDE</v>
      </c>
      <c r="K128" s="26" t="str">
        <f>IFERROR(__xludf.DUMMYFUNCTION("""COMPUTED_VALUE"""),"BLACK DOOR SCREEN")</f>
        <v>BLACK DOOR SCREEN</v>
      </c>
      <c r="L128" s="30" t="str">
        <f>IFERROR(__xludf.DUMMYFUNCTION("""COMPUTED_VALUE"""),"In Stock")</f>
        <v>In Stock</v>
      </c>
      <c r="M128" s="26" t="str">
        <f>IFERROR(__xludf.DUMMYFUNCTION("""COMPUTED_VALUE"""),"JOSE")</f>
        <v>JOSE</v>
      </c>
      <c r="N128" s="26" t="str">
        <f>IFERROR(__xludf.DUMMYFUNCTION("""COMPUTED_VALUE"""),"BJC DAYPOOL 9080")</f>
        <v>BJC DAYPOOL 9080</v>
      </c>
      <c r="O128" s="26" t="str">
        <f>IFERROR(__xludf.DUMMYFUNCTION("""COMPUTED_VALUE"""),"SCREEN|||BJC DAYPOOL 9080")</f>
        <v>SCREEN|||BJC DAYPOOL 9080</v>
      </c>
      <c r="P128" s="26"/>
      <c r="Q128" s="26" t="str">
        <f>IFERROR(__xludf.DUMMYFUNCTION("""COMPUTED_VALUE"""),"jose@ox-glass.com")</f>
        <v>jose@ox-glass.com</v>
      </c>
      <c r="R128" s="26" t="str">
        <f>IFERROR(__xludf.DUMMYFUNCTION("""COMPUTED_VALUE"""),"P3C")</f>
        <v>P3C</v>
      </c>
      <c r="S128" s="26" t="str">
        <f>IFERROR(__xludf.DUMMYFUNCTION("""COMPUTED_VALUE"""),"ENTRY")</f>
        <v>ENTRY</v>
      </c>
    </row>
    <row r="129" ht="22.5" customHeight="1">
      <c r="A129" s="35">
        <f>IFERROR(__xludf.DUMMYFUNCTION("""COMPUTED_VALUE"""),46184.50452777778)</f>
        <v>46184.50453</v>
      </c>
      <c r="B129" s="36" t="str">
        <f>IFERROR(__xludf.DUMMYFUNCTION("""COMPUTED_VALUE"""),"SCREEN")</f>
        <v>SCREEN</v>
      </c>
      <c r="C129" s="26" t="str">
        <f>IFERROR(__xludf.DUMMYFUNCTION("""COMPUTED_VALUE"""),"MARCUS LUNT SCRN")</f>
        <v>MARCUS LUNT SCRN</v>
      </c>
      <c r="D129" s="27"/>
      <c r="E129" s="27" t="str">
        <f>IFERROR(__xludf.DUMMYFUNCTION("""COMPUTED_VALUE"""),"N315Z")</f>
        <v>N315Z</v>
      </c>
      <c r="F129" s="36">
        <f>IFERROR(__xludf.DUMMYFUNCTION("""COMPUTED_VALUE"""),4.0)</f>
        <v>4</v>
      </c>
      <c r="G129" s="27" t="str">
        <f>IFERROR(__xludf.DUMMYFUNCTION("""COMPUTED_VALUE"""),"UNIT")</f>
        <v>UNIT</v>
      </c>
      <c r="H129" s="37">
        <f>IFERROR(__xludf.DUMMYFUNCTION("""COMPUTED_VALUE"""),46174.0)</f>
        <v>46174</v>
      </c>
      <c r="I129" s="36"/>
      <c r="J129" s="30" t="str">
        <f>IFERROR(__xludf.DUMMYFUNCTION("""COMPUTED_VALUE"""),"ALSIDE")</f>
        <v>ALSIDE</v>
      </c>
      <c r="K129" s="26" t="str">
        <f>IFERROR(__xludf.DUMMYFUNCTION("""COMPUTED_VALUE"""),"BRONZE WINDOW SCREENS.")</f>
        <v>BRONZE WINDOW SCREENS.</v>
      </c>
      <c r="L129" s="30" t="str">
        <f>IFERROR(__xludf.DUMMYFUNCTION("""COMPUTED_VALUE"""),"In Stock")</f>
        <v>In Stock</v>
      </c>
      <c r="M129" s="26" t="str">
        <f>IFERROR(__xludf.DUMMYFUNCTION("""COMPUTED_VALUE"""),"JOSE")</f>
        <v>JOSE</v>
      </c>
      <c r="N129" s="26" t="str">
        <f>IFERROR(__xludf.DUMMYFUNCTION("""COMPUTED_VALUE"""),"MARCUS LUNT")</f>
        <v>MARCUS LUNT</v>
      </c>
      <c r="O129" s="26" t="str">
        <f>IFERROR(__xludf.DUMMYFUNCTION("""COMPUTED_VALUE"""),"SCREEN|||MARCUS LUNT SCRN")</f>
        <v>SCREEN|||MARCUS LUNT SCRN</v>
      </c>
      <c r="P129" s="26"/>
      <c r="Q129" s="26" t="str">
        <f>IFERROR(__xludf.DUMMYFUNCTION("""COMPUTED_VALUE"""),"jose@ox-glass.com")</f>
        <v>jose@ox-glass.com</v>
      </c>
      <c r="R129" s="26" t="str">
        <f>IFERROR(__xludf.DUMMYFUNCTION("""COMPUTED_VALUE"""),"C1B")</f>
        <v>C1B</v>
      </c>
      <c r="S129" s="26" t="str">
        <f>IFERROR(__xludf.DUMMYFUNCTION("""COMPUTED_VALUE"""),"ENTRY")</f>
        <v>ENTRY</v>
      </c>
    </row>
    <row r="130" ht="22.5" customHeight="1">
      <c r="A130" s="35">
        <f>IFERROR(__xludf.DUMMYFUNCTION("""COMPUTED_VALUE"""),46184.377235960645)</f>
        <v>46184.37724</v>
      </c>
      <c r="B130" s="36" t="str">
        <f>IFERROR(__xludf.DUMMYFUNCTION("""COMPUTED_VALUE"""),"SCREEN")</f>
        <v>SCREEN</v>
      </c>
      <c r="C130" s="26" t="str">
        <f>IFERROR(__xludf.DUMMYFUNCTION("""COMPUTED_VALUE"""),"DAY POOL HOUSE")</f>
        <v>DAY POOL HOUSE</v>
      </c>
      <c r="D130" s="27"/>
      <c r="E130" s="27" t="str">
        <f>IFERROR(__xludf.DUMMYFUNCTION("""COMPUTED_VALUE"""),"6992")</f>
        <v>6992</v>
      </c>
      <c r="F130" s="36">
        <f>IFERROR(__xludf.DUMMYFUNCTION("""COMPUTED_VALUE"""),6.0)</f>
        <v>6</v>
      </c>
      <c r="G130" s="27" t="str">
        <f>IFERROR(__xludf.DUMMYFUNCTION("""COMPUTED_VALUE"""),"UNIT")</f>
        <v>UNIT</v>
      </c>
      <c r="H130" s="37">
        <f>IFERROR(__xludf.DUMMYFUNCTION("""COMPUTED_VALUE"""),46178.0)</f>
        <v>46178</v>
      </c>
      <c r="I130" s="36"/>
      <c r="J130" s="30" t="str">
        <f>IFERROR(__xludf.DUMMYFUNCTION("""COMPUTED_VALUE"""),"ALSIDE")</f>
        <v>ALSIDE</v>
      </c>
      <c r="K130" s="26"/>
      <c r="L130" s="30" t="str">
        <f>IFERROR(__xludf.DUMMYFUNCTION("""COMPUTED_VALUE"""),"In Stock")</f>
        <v>In Stock</v>
      </c>
      <c r="M130" s="26" t="str">
        <f>IFERROR(__xludf.DUMMYFUNCTION("""COMPUTED_VALUE"""),"JOSE")</f>
        <v>JOSE</v>
      </c>
      <c r="N130" s="26" t="str">
        <f>IFERROR(__xludf.DUMMYFUNCTION("""COMPUTED_VALUE"""),"DAY POOL HOUSE")</f>
        <v>DAY POOL HOUSE</v>
      </c>
      <c r="O130" s="26" t="str">
        <f>IFERROR(__xludf.DUMMYFUNCTION("""COMPUTED_VALUE"""),"SCREEN|||DAY POOL HOUSE")</f>
        <v>SCREEN|||DAY POOL HOUSE</v>
      </c>
      <c r="P130" s="26"/>
      <c r="Q130" s="26" t="str">
        <f>IFERROR(__xludf.DUMMYFUNCTION("""COMPUTED_VALUE"""),"jose@ox-glass.com")</f>
        <v>jose@ox-glass.com</v>
      </c>
      <c r="R130" s="26" t="str">
        <f>IFERROR(__xludf.DUMMYFUNCTION("""COMPUTED_VALUE"""),"C1B")</f>
        <v>C1B</v>
      </c>
      <c r="S130" s="26" t="str">
        <f>IFERROR(__xludf.DUMMYFUNCTION("""COMPUTED_VALUE"""),"ENTRY")</f>
        <v>ENTRY</v>
      </c>
    </row>
    <row r="131" ht="22.5" customHeight="1">
      <c r="A131" s="35">
        <f>IFERROR(__xludf.DUMMYFUNCTION("""COMPUTED_VALUE"""),46184.37596297453)</f>
        <v>46184.37596</v>
      </c>
      <c r="B131" s="36" t="str">
        <f>IFERROR(__xludf.DUMMYFUNCTION("""COMPUTED_VALUE"""),"SCREEN")</f>
        <v>SCREEN</v>
      </c>
      <c r="C131" s="26" t="str">
        <f>IFERROR(__xludf.DUMMYFUNCTION("""COMPUTED_VALUE"""),"DAY POOL HOUSE")</f>
        <v>DAY POOL HOUSE</v>
      </c>
      <c r="D131" s="27"/>
      <c r="E131" s="27" t="str">
        <f>IFERROR(__xludf.DUMMYFUNCTION("""COMPUTED_VALUE"""),"6992")</f>
        <v>6992</v>
      </c>
      <c r="F131" s="36">
        <f>IFERROR(__xludf.DUMMYFUNCTION("""COMPUTED_VALUE"""),1.0)</f>
        <v>1</v>
      </c>
      <c r="G131" s="27" t="str">
        <f>IFERROR(__xludf.DUMMYFUNCTION("""COMPUTED_VALUE"""),"UNIT")</f>
        <v>UNIT</v>
      </c>
      <c r="H131" s="37">
        <f>IFERROR(__xludf.DUMMYFUNCTION("""COMPUTED_VALUE"""),46178.0)</f>
        <v>46178</v>
      </c>
      <c r="I131" s="36"/>
      <c r="J131" s="30" t="str">
        <f>IFERROR(__xludf.DUMMYFUNCTION("""COMPUTED_VALUE"""),"ALSIDE")</f>
        <v>ALSIDE</v>
      </c>
      <c r="K131" s="26"/>
      <c r="L131" s="30" t="str">
        <f>IFERROR(__xludf.DUMMYFUNCTION("""COMPUTED_VALUE"""),"In Stock")</f>
        <v>In Stock</v>
      </c>
      <c r="M131" s="26" t="str">
        <f>IFERROR(__xludf.DUMMYFUNCTION("""COMPUTED_VALUE"""),"JOSE")</f>
        <v>JOSE</v>
      </c>
      <c r="N131" s="26" t="str">
        <f>IFERROR(__xludf.DUMMYFUNCTION("""COMPUTED_VALUE"""),"DAY POOL HOUSE")</f>
        <v>DAY POOL HOUSE</v>
      </c>
      <c r="O131" s="26" t="str">
        <f>IFERROR(__xludf.DUMMYFUNCTION("""COMPUTED_VALUE"""),"SCREEN|||DAY POOL HOUSE")</f>
        <v>SCREEN|||DAY POOL HOUSE</v>
      </c>
      <c r="P131" s="26"/>
      <c r="Q131" s="26" t="str">
        <f>IFERROR(__xludf.DUMMYFUNCTION("""COMPUTED_VALUE"""),"jose@ox-glass.com")</f>
        <v>jose@ox-glass.com</v>
      </c>
      <c r="R131" s="26" t="str">
        <f>IFERROR(__xludf.DUMMYFUNCTION("""COMPUTED_VALUE"""),"C1B")</f>
        <v>C1B</v>
      </c>
      <c r="S131" s="26" t="str">
        <f>IFERROR(__xludf.DUMMYFUNCTION("""COMPUTED_VALUE"""),"ENTRY")</f>
        <v>ENTRY</v>
      </c>
    </row>
    <row r="132" ht="22.5" customHeight="1">
      <c r="A132" s="35">
        <f>IFERROR(__xludf.DUMMYFUNCTION("""COMPUTED_VALUE"""),46184.35064524306)</f>
        <v>46184.35065</v>
      </c>
      <c r="B132" s="36" t="str">
        <f>IFERROR(__xludf.DUMMYFUNCTION("""COMPUTED_VALUE"""),"SCREEN")</f>
        <v>SCREEN</v>
      </c>
      <c r="C132" s="26" t="str">
        <f>IFERROR(__xludf.DUMMYFUNCTION("""COMPUTED_VALUE"""),"TRENT B JAMES ANDERSON")</f>
        <v>TRENT B JAMES ANDERSON</v>
      </c>
      <c r="D132" s="27"/>
      <c r="E132" s="27"/>
      <c r="F132" s="36">
        <f>IFERROR(__xludf.DUMMYFUNCTION("""COMPUTED_VALUE"""),4.0)</f>
        <v>4</v>
      </c>
      <c r="G132" s="27" t="str">
        <f>IFERROR(__xludf.DUMMYFUNCTION("""COMPUTED_VALUE"""),"UNIT")</f>
        <v>UNIT</v>
      </c>
      <c r="H132" s="37">
        <f>IFERROR(__xludf.DUMMYFUNCTION("""COMPUTED_VALUE"""),46178.0)</f>
        <v>46178</v>
      </c>
      <c r="I132" s="36"/>
      <c r="J132" s="30" t="str">
        <f>IFERROR(__xludf.DUMMYFUNCTION("""COMPUTED_VALUE"""),"AMSCO")</f>
        <v>AMSCO</v>
      </c>
      <c r="K132" s="26" t="str">
        <f>IFERROR(__xludf.DUMMYFUNCTION("""COMPUTED_VALUE"""),"WITHE WINDOW SCREENS.")</f>
        <v>WITHE WINDOW SCREENS.</v>
      </c>
      <c r="L132" s="30" t="str">
        <f>IFERROR(__xludf.DUMMYFUNCTION("""COMPUTED_VALUE"""),"In Stock")</f>
        <v>In Stock</v>
      </c>
      <c r="M132" s="26" t="str">
        <f>IFERROR(__xludf.DUMMYFUNCTION("""COMPUTED_VALUE"""),"JOSE")</f>
        <v>JOSE</v>
      </c>
      <c r="N132" s="26" t="str">
        <f>IFERROR(__xludf.DUMMYFUNCTION("""COMPUTED_VALUE"""),"JAMES ANDERSON")</f>
        <v>JAMES ANDERSON</v>
      </c>
      <c r="O132" s="26" t="str">
        <f>IFERROR(__xludf.DUMMYFUNCTION("""COMPUTED_VALUE"""),"SCREEN|||TRENT B JAMES ANDERSON")</f>
        <v>SCREEN|||TRENT B JAMES ANDERSON</v>
      </c>
      <c r="P132" s="26"/>
      <c r="Q132" s="26" t="str">
        <f>IFERROR(__xludf.DUMMYFUNCTION("""COMPUTED_VALUE"""),"jose@ox-glass.com")</f>
        <v>jose@ox-glass.com</v>
      </c>
      <c r="R132" s="26" t="str">
        <f>IFERROR(__xludf.DUMMYFUNCTION("""COMPUTED_VALUE"""),"C2B")</f>
        <v>C2B</v>
      </c>
      <c r="S132" s="26" t="str">
        <f>IFERROR(__xludf.DUMMYFUNCTION("""COMPUTED_VALUE"""),"ENTRY")</f>
        <v>ENTRY</v>
      </c>
    </row>
    <row r="133" ht="22.5" customHeight="1">
      <c r="A133" s="35">
        <f>IFERROR(__xludf.DUMMYFUNCTION("""COMPUTED_VALUE"""),46184.343764652775)</f>
        <v>46184.34376</v>
      </c>
      <c r="B133" s="36" t="str">
        <f>IFERROR(__xludf.DUMMYFUNCTION("""COMPUTED_VALUE"""),"SCREEN")</f>
        <v>SCREEN</v>
      </c>
      <c r="C133" s="26" t="str">
        <f>IFERROR(__xludf.DUMMYFUNCTION("""COMPUTED_VALUE"""),"ALTA VISTA ADDITIONAL WINDOW")</f>
        <v>ALTA VISTA ADDITIONAL WINDOW</v>
      </c>
      <c r="D133" s="27"/>
      <c r="E133" s="27" t="str">
        <f>IFERROR(__xludf.DUMMYFUNCTION("""COMPUTED_VALUE"""),"7037")</f>
        <v>7037</v>
      </c>
      <c r="F133" s="36">
        <f>IFERROR(__xludf.DUMMYFUNCTION("""COMPUTED_VALUE"""),1.0)</f>
        <v>1</v>
      </c>
      <c r="G133" s="27" t="str">
        <f>IFERROR(__xludf.DUMMYFUNCTION("""COMPUTED_VALUE"""),"UNIT")</f>
        <v>UNIT</v>
      </c>
      <c r="H133" s="37">
        <f>IFERROR(__xludf.DUMMYFUNCTION("""COMPUTED_VALUE"""),46184.0)</f>
        <v>46184</v>
      </c>
      <c r="I133" s="36"/>
      <c r="J133" s="30" t="str">
        <f>IFERROR(__xludf.DUMMYFUNCTION("""COMPUTED_VALUE"""),"ALSIDE")</f>
        <v>ALSIDE</v>
      </c>
      <c r="K133" s="26" t="str">
        <f>IFERROR(__xludf.DUMMYFUNCTION("""COMPUTED_VALUE"""),"1 WHITE WINDOW SCREEN")</f>
        <v>1 WHITE WINDOW SCREEN</v>
      </c>
      <c r="L133" s="30" t="str">
        <f>IFERROR(__xludf.DUMMYFUNCTION("""COMPUTED_VALUE"""),"In Stock")</f>
        <v>In Stock</v>
      </c>
      <c r="M133" s="26" t="str">
        <f>IFERROR(__xludf.DUMMYFUNCTION("""COMPUTED_VALUE"""),"JOSE")</f>
        <v>JOSE</v>
      </c>
      <c r="N133" s="26" t="str">
        <f>IFERROR(__xludf.DUMMYFUNCTION("""COMPUTED_VALUE"""),"ALTA VISTA")</f>
        <v>ALTA VISTA</v>
      </c>
      <c r="O133" s="26" t="str">
        <f>IFERROR(__xludf.DUMMYFUNCTION("""COMPUTED_VALUE"""),"SCREEN|||ALTA VISTA ADDITIONAL WINDOW")</f>
        <v>SCREEN|||ALTA VISTA ADDITIONAL WINDOW</v>
      </c>
      <c r="P133" s="26"/>
      <c r="Q133" s="26" t="str">
        <f>IFERROR(__xludf.DUMMYFUNCTION("""COMPUTED_VALUE"""),"jose@ox-glass.com")</f>
        <v>jose@ox-glass.com</v>
      </c>
      <c r="R133" s="26" t="str">
        <f>IFERROR(__xludf.DUMMYFUNCTION("""COMPUTED_VALUE"""),"C1B")</f>
        <v>C1B</v>
      </c>
      <c r="S133" s="26" t="str">
        <f>IFERROR(__xludf.DUMMYFUNCTION("""COMPUTED_VALUE"""),"ENTRY")</f>
        <v>ENTRY</v>
      </c>
    </row>
    <row r="134" ht="22.5" customHeight="1">
      <c r="A134" s="35">
        <f>IFERROR(__xludf.DUMMYFUNCTION("""COMPUTED_VALUE"""),46184.340632870364)</f>
        <v>46184.34063</v>
      </c>
      <c r="B134" s="36" t="str">
        <f>IFERROR(__xludf.DUMMYFUNCTION("""COMPUTED_VALUE"""),"SCREEN")</f>
        <v>SCREEN</v>
      </c>
      <c r="C134" s="26" t="str">
        <f>IFERROR(__xludf.DUMMYFUNCTION("""COMPUTED_VALUE"""),"LGI OQM175 SUPP")</f>
        <v>LGI OQM175 SUPP</v>
      </c>
      <c r="D134" s="27" t="str">
        <f>IFERROR(__xludf.DUMMYFUNCTION("""COMPUTED_VALUE"""),"LGI")</f>
        <v>LGI</v>
      </c>
      <c r="E134" s="27"/>
      <c r="F134" s="36">
        <f>IFERROR(__xludf.DUMMYFUNCTION("""COMPUTED_VALUE"""),2.0)</f>
        <v>2</v>
      </c>
      <c r="G134" s="27" t="str">
        <f>IFERROR(__xludf.DUMMYFUNCTION("""COMPUTED_VALUE"""),"UNIT")</f>
        <v>UNIT</v>
      </c>
      <c r="H134" s="37">
        <f>IFERROR(__xludf.DUMMYFUNCTION("""COMPUTED_VALUE"""),46184.0)</f>
        <v>46184</v>
      </c>
      <c r="I134" s="36"/>
      <c r="J134" s="30" t="str">
        <f>IFERROR(__xludf.DUMMYFUNCTION("""COMPUTED_VALUE"""),"ALSIDE")</f>
        <v>ALSIDE</v>
      </c>
      <c r="K134" s="26" t="str">
        <f>IFERROR(__xludf.DUMMYFUNCTION("""COMPUTED_VALUE"""),"2 WHITE WINDOW SCREENS")</f>
        <v>2 WHITE WINDOW SCREENS</v>
      </c>
      <c r="L134" s="30" t="str">
        <f>IFERROR(__xludf.DUMMYFUNCTION("""COMPUTED_VALUE"""),"In Stock")</f>
        <v>In Stock</v>
      </c>
      <c r="M134" s="26" t="str">
        <f>IFERROR(__xludf.DUMMYFUNCTION("""COMPUTED_VALUE"""),"JOSE")</f>
        <v>JOSE</v>
      </c>
      <c r="N134" s="26" t="str">
        <f>IFERROR(__xludf.DUMMYFUNCTION("""COMPUTED_VALUE"""),"LGI OQM175 SUPP")</f>
        <v>LGI OQM175 SUPP</v>
      </c>
      <c r="O134" s="26" t="str">
        <f>IFERROR(__xludf.DUMMYFUNCTION("""COMPUTED_VALUE"""),"SCREEN|||LGI OQM175 SUPP")</f>
        <v>SCREEN|||LGI OQM175 SUPP</v>
      </c>
      <c r="P134" s="26"/>
      <c r="Q134" s="26" t="str">
        <f>IFERROR(__xludf.DUMMYFUNCTION("""COMPUTED_VALUE"""),"jose@ox-glass.com")</f>
        <v>jose@ox-glass.com</v>
      </c>
      <c r="R134" s="26" t="str">
        <f>IFERROR(__xludf.DUMMYFUNCTION("""COMPUTED_VALUE"""),"C1B")</f>
        <v>C1B</v>
      </c>
      <c r="S134" s="26" t="str">
        <f>IFERROR(__xludf.DUMMYFUNCTION("""COMPUTED_VALUE"""),"ENTRY")</f>
        <v>ENTRY</v>
      </c>
    </row>
    <row r="135" ht="22.5" customHeight="1">
      <c r="A135" s="35">
        <f>IFERROR(__xludf.DUMMYFUNCTION("""COMPUTED_VALUE"""),46183.4398784838)</f>
        <v>46183.43988</v>
      </c>
      <c r="B135" s="36" t="str">
        <f>IFERROR(__xludf.DUMMYFUNCTION("""COMPUTED_VALUE"""),"SCREEN")</f>
        <v>SCREEN</v>
      </c>
      <c r="C135" s="26" t="str">
        <f>IFERROR(__xludf.DUMMYFUNCTION("""COMPUTED_VALUE"""),"HIGHLAND ROW")</f>
        <v>HIGHLAND ROW</v>
      </c>
      <c r="D135" s="27"/>
      <c r="E135" s="27" t="str">
        <f>IFERROR(__xludf.DUMMYFUNCTION("""COMPUTED_VALUE"""),"I666")</f>
        <v>I666</v>
      </c>
      <c r="F135" s="36">
        <f>IFERROR(__xludf.DUMMYFUNCTION("""COMPUTED_VALUE"""),6.0)</f>
        <v>6</v>
      </c>
      <c r="G135" s="27" t="str">
        <f>IFERROR(__xludf.DUMMYFUNCTION("""COMPUTED_VALUE"""),"UNIT")</f>
        <v>UNIT</v>
      </c>
      <c r="H135" s="37">
        <f>IFERROR(__xludf.DUMMYFUNCTION("""COMPUTED_VALUE"""),46183.0)</f>
        <v>46183</v>
      </c>
      <c r="I135" s="36"/>
      <c r="J135" s="30" t="str">
        <f>IFERROR(__xludf.DUMMYFUNCTION("""COMPUTED_VALUE"""),"ALSIDE")</f>
        <v>ALSIDE</v>
      </c>
      <c r="K135" s="26" t="str">
        <f>IFERROR(__xludf.DUMMYFUNCTION("""COMPUTED_VALUE"""),"BLACK WINDOW SCREEN, 33 3/4 X 45 1/8")</f>
        <v>BLACK WINDOW SCREEN, 33 3/4 X 45 1/8</v>
      </c>
      <c r="L135" s="30" t="str">
        <f>IFERROR(__xludf.DUMMYFUNCTION("""COMPUTED_VALUE"""),"In Stock")</f>
        <v>In Stock</v>
      </c>
      <c r="M135" s="26" t="str">
        <f>IFERROR(__xludf.DUMMYFUNCTION("""COMPUTED_VALUE"""),"JOSE")</f>
        <v>JOSE</v>
      </c>
      <c r="N135" s="26" t="str">
        <f>IFERROR(__xludf.DUMMYFUNCTION("""COMPUTED_VALUE"""),"HIGHLAND ROW")</f>
        <v>HIGHLAND ROW</v>
      </c>
      <c r="O135" s="26" t="str">
        <f>IFERROR(__xludf.DUMMYFUNCTION("""COMPUTED_VALUE"""),"SCREEN|||HIGHLAND ROW")</f>
        <v>SCREEN|||HIGHLAND ROW</v>
      </c>
      <c r="P135" s="26" t="str">
        <f>IFERROR(__xludf.DUMMYFUNCTION("""COMPUTED_VALUE"""),"Delivery||https://drive.google.com/file/d/1VmNFXNJasF9THrh4fL0tI9J-P5gdG5Qc/view?usp=drivesdk")</f>
        <v>Delivery||https://drive.google.com/file/d/1VmNFXNJasF9THrh4fL0tI9J-P5gdG5Qc/view?usp=drivesdk</v>
      </c>
      <c r="Q135" s="26" t="str">
        <f>IFERROR(__xludf.DUMMYFUNCTION("""COMPUTED_VALUE"""),"jose@ox-glass.com")</f>
        <v>jose@ox-glass.com</v>
      </c>
      <c r="R135" s="26" t="str">
        <f>IFERROR(__xludf.DUMMYFUNCTION("""COMPUTED_VALUE"""),"C1B")</f>
        <v>C1B</v>
      </c>
      <c r="S135" s="26" t="str">
        <f>IFERROR(__xludf.DUMMYFUNCTION("""COMPUTED_VALUE"""),"ENTRY")</f>
        <v>ENTRY</v>
      </c>
    </row>
    <row r="136" ht="22.5" customHeight="1">
      <c r="A136" s="35">
        <f>IFERROR(__xludf.DUMMYFUNCTION("""COMPUTED_VALUE"""),46176.502026875)</f>
        <v>46176.50203</v>
      </c>
      <c r="B136" s="36" t="str">
        <f>IFERROR(__xludf.DUMMYFUNCTION("""COMPUTED_VALUE"""),"SCREEN")</f>
        <v>SCREEN</v>
      </c>
      <c r="C136" s="26" t="str">
        <f>IFERROR(__xludf.DUMMYFUNCTION("""COMPUTED_VALUE"""),"LGI OQM175 SUPP")</f>
        <v>LGI OQM175 SUPP</v>
      </c>
      <c r="D136" s="27" t="str">
        <f>IFERROR(__xludf.DUMMYFUNCTION("""COMPUTED_VALUE"""),"LGI")</f>
        <v>LGI</v>
      </c>
      <c r="E136" s="27"/>
      <c r="F136" s="36">
        <f>IFERROR(__xludf.DUMMYFUNCTION("""COMPUTED_VALUE"""),1.0)</f>
        <v>1</v>
      </c>
      <c r="G136" s="27" t="str">
        <f>IFERROR(__xludf.DUMMYFUNCTION("""COMPUTED_VALUE"""),"UNIT")</f>
        <v>UNIT</v>
      </c>
      <c r="H136" s="37">
        <f>IFERROR(__xludf.DUMMYFUNCTION("""COMPUTED_VALUE"""),46175.0)</f>
        <v>46175</v>
      </c>
      <c r="I136" s="36"/>
      <c r="J136" s="30" t="str">
        <f>IFERROR(__xludf.DUMMYFUNCTION("""COMPUTED_VALUE"""),"ALSIDE")</f>
        <v>ALSIDE</v>
      </c>
      <c r="K136" s="26"/>
      <c r="L136" s="30" t="str">
        <f>IFERROR(__xludf.DUMMYFUNCTION("""COMPUTED_VALUE"""),"In Stock")</f>
        <v>In Stock</v>
      </c>
      <c r="M136" s="26" t="str">
        <f>IFERROR(__xludf.DUMMYFUNCTION("""COMPUTED_VALUE"""),"JOSE")</f>
        <v>JOSE</v>
      </c>
      <c r="N136" s="26" t="str">
        <f>IFERROR(__xludf.DUMMYFUNCTION("""COMPUTED_VALUE"""),"LGI OQM175 SUPP")</f>
        <v>LGI OQM175 SUPP</v>
      </c>
      <c r="O136" s="26" t="str">
        <f>IFERROR(__xludf.DUMMYFUNCTION("""COMPUTED_VALUE"""),"SCREEN|||LGI OQM175 SUPP")</f>
        <v>SCREEN|||LGI OQM175 SUPP</v>
      </c>
      <c r="P136" s="26"/>
      <c r="Q136" s="26" t="str">
        <f>IFERROR(__xludf.DUMMYFUNCTION("""COMPUTED_VALUE"""),"jose@ox-glass.com")</f>
        <v>jose@ox-glass.com</v>
      </c>
      <c r="R136" s="26" t="str">
        <f>IFERROR(__xludf.DUMMYFUNCTION("""COMPUTED_VALUE"""),"P3C")</f>
        <v>P3C</v>
      </c>
      <c r="S136" s="26" t="str">
        <f>IFERROR(__xludf.DUMMYFUNCTION("""COMPUTED_VALUE"""),"ENTRY")</f>
        <v>ENTRY</v>
      </c>
    </row>
    <row r="137" ht="22.5" customHeight="1">
      <c r="A137" s="35">
        <f>IFERROR(__xludf.DUMMYFUNCTION("""COMPUTED_VALUE"""),46176.50021096065)</f>
        <v>46176.50021</v>
      </c>
      <c r="B137" s="36" t="str">
        <f>IFERROR(__xludf.DUMMYFUNCTION("""COMPUTED_VALUE"""),"SCREEN")</f>
        <v>SCREEN</v>
      </c>
      <c r="C137" s="26" t="str">
        <f>IFERROR(__xludf.DUMMYFUNCTION("""COMPUTED_VALUE"""),"LGI OM159")</f>
        <v>LGI OM159</v>
      </c>
      <c r="D137" s="27"/>
      <c r="E137" s="27" t="str">
        <f>IFERROR(__xludf.DUMMYFUNCTION("""COMPUTED_VALUE"""),"7106")</f>
        <v>7106</v>
      </c>
      <c r="F137" s="36">
        <f>IFERROR(__xludf.DUMMYFUNCTION("""COMPUTED_VALUE"""),2.0)</f>
        <v>2</v>
      </c>
      <c r="G137" s="27" t="str">
        <f>IFERROR(__xludf.DUMMYFUNCTION("""COMPUTED_VALUE"""),"UNIT")</f>
        <v>UNIT</v>
      </c>
      <c r="H137" s="37">
        <f>IFERROR(__xludf.DUMMYFUNCTION("""COMPUTED_VALUE"""),46175.0)</f>
        <v>46175</v>
      </c>
      <c r="I137" s="36"/>
      <c r="J137" s="30" t="str">
        <f>IFERROR(__xludf.DUMMYFUNCTION("""COMPUTED_VALUE"""),"ALSIDE")</f>
        <v>ALSIDE</v>
      </c>
      <c r="K137" s="26" t="str">
        <f>IFERROR(__xludf.DUMMYFUNCTION("""COMPUTED_VALUE"""),"WHITE DOOR SCREEN")</f>
        <v>WHITE DOOR SCREEN</v>
      </c>
      <c r="L137" s="30" t="str">
        <f>IFERROR(__xludf.DUMMYFUNCTION("""COMPUTED_VALUE"""),"In Stock")</f>
        <v>In Stock</v>
      </c>
      <c r="M137" s="26" t="str">
        <f>IFERROR(__xludf.DUMMYFUNCTION("""COMPUTED_VALUE"""),"JOSE")</f>
        <v>JOSE</v>
      </c>
      <c r="N137" s="26" t="str">
        <f>IFERROR(__xludf.DUMMYFUNCTION("""COMPUTED_VALUE"""),"LGI OM159")</f>
        <v>LGI OM159</v>
      </c>
      <c r="O137" s="26" t="str">
        <f>IFERROR(__xludf.DUMMYFUNCTION("""COMPUTED_VALUE"""),"SCREEN|||LGI OM159")</f>
        <v>SCREEN|||LGI OM159</v>
      </c>
      <c r="P137" s="26"/>
      <c r="Q137" s="26" t="str">
        <f>IFERROR(__xludf.DUMMYFUNCTION("""COMPUTED_VALUE"""),"jose@ox-glass.com")</f>
        <v>jose@ox-glass.com</v>
      </c>
      <c r="R137" s="26" t="str">
        <f>IFERROR(__xludf.DUMMYFUNCTION("""COMPUTED_VALUE"""),"P3C")</f>
        <v>P3C</v>
      </c>
      <c r="S137" s="26" t="str">
        <f>IFERROR(__xludf.DUMMYFUNCTION("""COMPUTED_VALUE"""),"ENTRY")</f>
        <v>ENTRY</v>
      </c>
    </row>
    <row r="138" ht="22.5" customHeight="1">
      <c r="A138" s="35">
        <f>IFERROR(__xludf.DUMMYFUNCTION("""COMPUTED_VALUE"""),46176.49032240741)</f>
        <v>46176.49032</v>
      </c>
      <c r="B138" s="36" t="str">
        <f>IFERROR(__xludf.DUMMYFUNCTION("""COMPUTED_VALUE"""),"SCREEN")</f>
        <v>SCREEN</v>
      </c>
      <c r="C138" s="26" t="str">
        <f>IFERROR(__xludf.DUMMYFUNCTION("""COMPUTED_VALUE"""),"LGI OM171")</f>
        <v>LGI OM171</v>
      </c>
      <c r="D138" s="27" t="str">
        <f>IFERROR(__xludf.DUMMYFUNCTION("""COMPUTED_VALUE"""),"LGI")</f>
        <v>LGI</v>
      </c>
      <c r="E138" s="27" t="str">
        <f>IFERROR(__xludf.DUMMYFUNCTION("""COMPUTED_VALUE"""),"7105")</f>
        <v>7105</v>
      </c>
      <c r="F138" s="36">
        <f>IFERROR(__xludf.DUMMYFUNCTION("""COMPUTED_VALUE"""),2.0)</f>
        <v>2</v>
      </c>
      <c r="G138" s="27" t="str">
        <f>IFERROR(__xludf.DUMMYFUNCTION("""COMPUTED_VALUE"""),"UNIT")</f>
        <v>UNIT</v>
      </c>
      <c r="H138" s="37">
        <f>IFERROR(__xludf.DUMMYFUNCTION("""COMPUTED_VALUE"""),46175.0)</f>
        <v>46175</v>
      </c>
      <c r="I138" s="36"/>
      <c r="J138" s="30" t="str">
        <f>IFERROR(__xludf.DUMMYFUNCTION("""COMPUTED_VALUE"""),"ALSIDE")</f>
        <v>ALSIDE</v>
      </c>
      <c r="K138" s="26" t="str">
        <f>IFERROR(__xludf.DUMMYFUNCTION("""COMPUTED_VALUE"""),"WHITE DOOR SCREEN")</f>
        <v>WHITE DOOR SCREEN</v>
      </c>
      <c r="L138" s="30" t="str">
        <f>IFERROR(__xludf.DUMMYFUNCTION("""COMPUTED_VALUE"""),"In Stock")</f>
        <v>In Stock</v>
      </c>
      <c r="M138" s="26" t="str">
        <f>IFERROR(__xludf.DUMMYFUNCTION("""COMPUTED_VALUE"""),"JOSE")</f>
        <v>JOSE</v>
      </c>
      <c r="N138" s="26" t="str">
        <f>IFERROR(__xludf.DUMMYFUNCTION("""COMPUTED_VALUE"""),"LGI OM171")</f>
        <v>LGI OM171</v>
      </c>
      <c r="O138" s="26" t="str">
        <f>IFERROR(__xludf.DUMMYFUNCTION("""COMPUTED_VALUE"""),"SCREEN|||LGI OM171")</f>
        <v>SCREEN|||LGI OM171</v>
      </c>
      <c r="P138" s="26"/>
      <c r="Q138" s="26" t="str">
        <f>IFERROR(__xludf.DUMMYFUNCTION("""COMPUTED_VALUE"""),"jose@ox-glass.com")</f>
        <v>jose@ox-glass.com</v>
      </c>
      <c r="R138" s="26" t="str">
        <f>IFERROR(__xludf.DUMMYFUNCTION("""COMPUTED_VALUE"""),"P3C")</f>
        <v>P3C</v>
      </c>
      <c r="S138" s="26" t="str">
        <f>IFERROR(__xludf.DUMMYFUNCTION("""COMPUTED_VALUE"""),"ENTRY")</f>
        <v>ENTRY</v>
      </c>
    </row>
    <row r="139" ht="22.5" customHeight="1">
      <c r="A139" s="35">
        <f>IFERROR(__xludf.DUMMYFUNCTION("""COMPUTED_VALUE"""),46176.48928608796)</f>
        <v>46176.48929</v>
      </c>
      <c r="B139" s="36" t="str">
        <f>IFERROR(__xludf.DUMMYFUNCTION("""COMPUTED_VALUE"""),"SCREEN")</f>
        <v>SCREEN</v>
      </c>
      <c r="C139" s="26" t="str">
        <f>IFERROR(__xludf.DUMMYFUNCTION("""COMPUTED_VALUE"""),"LGI DE009 DELANO")</f>
        <v>LGI DE009 DELANO</v>
      </c>
      <c r="D139" s="27"/>
      <c r="E139" s="27" t="str">
        <f>IFERROR(__xludf.DUMMYFUNCTION("""COMPUTED_VALUE"""),"7104")</f>
        <v>7104</v>
      </c>
      <c r="F139" s="36">
        <f>IFERROR(__xludf.DUMMYFUNCTION("""COMPUTED_VALUE"""),1.0)</f>
        <v>1</v>
      </c>
      <c r="G139" s="27" t="str">
        <f>IFERROR(__xludf.DUMMYFUNCTION("""COMPUTED_VALUE"""),"UNIT")</f>
        <v>UNIT</v>
      </c>
      <c r="H139" s="37">
        <f>IFERROR(__xludf.DUMMYFUNCTION("""COMPUTED_VALUE"""),46175.0)</f>
        <v>46175</v>
      </c>
      <c r="I139" s="36"/>
      <c r="J139" s="30" t="str">
        <f>IFERROR(__xludf.DUMMYFUNCTION("""COMPUTED_VALUE"""),"ALSIDE")</f>
        <v>ALSIDE</v>
      </c>
      <c r="K139" s="26" t="str">
        <f>IFERROR(__xludf.DUMMYFUNCTION("""COMPUTED_VALUE"""),"WHITE DOOR SCREEN")</f>
        <v>WHITE DOOR SCREEN</v>
      </c>
      <c r="L139" s="30" t="str">
        <f>IFERROR(__xludf.DUMMYFUNCTION("""COMPUTED_VALUE"""),"In Stock")</f>
        <v>In Stock</v>
      </c>
      <c r="M139" s="26" t="str">
        <f>IFERROR(__xludf.DUMMYFUNCTION("""COMPUTED_VALUE"""),"JOSE")</f>
        <v>JOSE</v>
      </c>
      <c r="N139" s="26" t="str">
        <f>IFERROR(__xludf.DUMMYFUNCTION("""COMPUTED_VALUE"""),"LGI DE009 DELANO")</f>
        <v>LGI DE009 DELANO</v>
      </c>
      <c r="O139" s="26" t="str">
        <f>IFERROR(__xludf.DUMMYFUNCTION("""COMPUTED_VALUE"""),"SCREEN|||LGI DE009 DELANO")</f>
        <v>SCREEN|||LGI DE009 DELANO</v>
      </c>
      <c r="P139" s="26"/>
      <c r="Q139" s="26" t="str">
        <f>IFERROR(__xludf.DUMMYFUNCTION("""COMPUTED_VALUE"""),"jose@ox-glass.com")</f>
        <v>jose@ox-glass.com</v>
      </c>
      <c r="R139" s="26" t="str">
        <f>IFERROR(__xludf.DUMMYFUNCTION("""COMPUTED_VALUE"""),"P3C")</f>
        <v>P3C</v>
      </c>
      <c r="S139" s="26" t="str">
        <f>IFERROR(__xludf.DUMMYFUNCTION("""COMPUTED_VALUE"""),"ENTRY")</f>
        <v>ENTRY</v>
      </c>
    </row>
    <row r="140" ht="22.5" customHeight="1">
      <c r="A140" s="35">
        <f>IFERROR(__xludf.DUMMYFUNCTION("""COMPUTED_VALUE"""),46176.488155555555)</f>
        <v>46176.48816</v>
      </c>
      <c r="B140" s="36" t="str">
        <f>IFERROR(__xludf.DUMMYFUNCTION("""COMPUTED_VALUE"""),"SCREEN")</f>
        <v>SCREEN</v>
      </c>
      <c r="C140" s="26" t="str">
        <f>IFERROR(__xludf.DUMMYFUNCTION("""COMPUTED_VALUE"""),"LGI DE041 GRANITE")</f>
        <v>LGI DE041 GRANITE</v>
      </c>
      <c r="D140" s="27"/>
      <c r="E140" s="27" t="str">
        <f>IFERROR(__xludf.DUMMYFUNCTION("""COMPUTED_VALUE"""),"7103")</f>
        <v>7103</v>
      </c>
      <c r="F140" s="36">
        <f>IFERROR(__xludf.DUMMYFUNCTION("""COMPUTED_VALUE"""),1.0)</f>
        <v>1</v>
      </c>
      <c r="G140" s="27" t="str">
        <f>IFERROR(__xludf.DUMMYFUNCTION("""COMPUTED_VALUE"""),"UNIT")</f>
        <v>UNIT</v>
      </c>
      <c r="H140" s="37">
        <f>IFERROR(__xludf.DUMMYFUNCTION("""COMPUTED_VALUE"""),46175.0)</f>
        <v>46175</v>
      </c>
      <c r="I140" s="36"/>
      <c r="J140" s="30" t="str">
        <f>IFERROR(__xludf.DUMMYFUNCTION("""COMPUTED_VALUE"""),"ALSIDE")</f>
        <v>ALSIDE</v>
      </c>
      <c r="K140" s="26" t="str">
        <f>IFERROR(__xludf.DUMMYFUNCTION("""COMPUTED_VALUE"""),"WHITE DOOR SCREEN")</f>
        <v>WHITE DOOR SCREEN</v>
      </c>
      <c r="L140" s="30" t="str">
        <f>IFERROR(__xludf.DUMMYFUNCTION("""COMPUTED_VALUE"""),"In Stock")</f>
        <v>In Stock</v>
      </c>
      <c r="M140" s="26" t="str">
        <f>IFERROR(__xludf.DUMMYFUNCTION("""COMPUTED_VALUE"""),"JOSE")</f>
        <v>JOSE</v>
      </c>
      <c r="N140" s="26" t="str">
        <f>IFERROR(__xludf.DUMMYFUNCTION("""COMPUTED_VALUE"""),"LGI DE041 GRANITE")</f>
        <v>LGI DE041 GRANITE</v>
      </c>
      <c r="O140" s="26" t="str">
        <f>IFERROR(__xludf.DUMMYFUNCTION("""COMPUTED_VALUE"""),"SCREEN|||LGI DE041 GRANITE")</f>
        <v>SCREEN|||LGI DE041 GRANITE</v>
      </c>
      <c r="P140" s="26"/>
      <c r="Q140" s="26" t="str">
        <f>IFERROR(__xludf.DUMMYFUNCTION("""COMPUTED_VALUE"""),"jose@ox-glass.com")</f>
        <v>jose@ox-glass.com</v>
      </c>
      <c r="R140" s="26" t="str">
        <f>IFERROR(__xludf.DUMMYFUNCTION("""COMPUTED_VALUE"""),"P3C")</f>
        <v>P3C</v>
      </c>
      <c r="S140" s="26" t="str">
        <f>IFERROR(__xludf.DUMMYFUNCTION("""COMPUTED_VALUE"""),"ENTRY")</f>
        <v>ENTRY</v>
      </c>
    </row>
    <row r="141" ht="22.5" customHeight="1">
      <c r="A141" s="35">
        <f>IFERROR(__xludf.DUMMYFUNCTION("""COMPUTED_VALUE"""),46176.4871206713)</f>
        <v>46176.48712</v>
      </c>
      <c r="B141" s="36" t="str">
        <f>IFERROR(__xludf.DUMMYFUNCTION("""COMPUTED_VALUE"""),"SCREEN")</f>
        <v>SCREEN</v>
      </c>
      <c r="C141" s="26" t="str">
        <f>IFERROR(__xludf.DUMMYFUNCTION("""COMPUTED_VALUE"""),"LGI DE007 CASCADE")</f>
        <v>LGI DE007 CASCADE</v>
      </c>
      <c r="D141" s="27"/>
      <c r="E141" s="27" t="str">
        <f>IFERROR(__xludf.DUMMYFUNCTION("""COMPUTED_VALUE"""),"7102")</f>
        <v>7102</v>
      </c>
      <c r="F141" s="36">
        <f>IFERROR(__xludf.DUMMYFUNCTION("""COMPUTED_VALUE"""),1.0)</f>
        <v>1</v>
      </c>
      <c r="G141" s="27" t="str">
        <f>IFERROR(__xludf.DUMMYFUNCTION("""COMPUTED_VALUE"""),"UNIT")</f>
        <v>UNIT</v>
      </c>
      <c r="H141" s="37">
        <f>IFERROR(__xludf.DUMMYFUNCTION("""COMPUTED_VALUE"""),46175.0)</f>
        <v>46175</v>
      </c>
      <c r="I141" s="36"/>
      <c r="J141" s="30" t="str">
        <f>IFERROR(__xludf.DUMMYFUNCTION("""COMPUTED_VALUE"""),"ALSIDE")</f>
        <v>ALSIDE</v>
      </c>
      <c r="K141" s="26" t="str">
        <f>IFERROR(__xludf.DUMMYFUNCTION("""COMPUTED_VALUE"""),"WHITE DOOR SCREEN")</f>
        <v>WHITE DOOR SCREEN</v>
      </c>
      <c r="L141" s="30" t="str">
        <f>IFERROR(__xludf.DUMMYFUNCTION("""COMPUTED_VALUE"""),"In Stock")</f>
        <v>In Stock</v>
      </c>
      <c r="M141" s="26" t="str">
        <f>IFERROR(__xludf.DUMMYFUNCTION("""COMPUTED_VALUE"""),"JOSE")</f>
        <v>JOSE</v>
      </c>
      <c r="N141" s="26" t="str">
        <f>IFERROR(__xludf.DUMMYFUNCTION("""COMPUTED_VALUE"""),"LGI-DE007-CASCADE")</f>
        <v>LGI-DE007-CASCADE</v>
      </c>
      <c r="O141" s="26" t="str">
        <f>IFERROR(__xludf.DUMMYFUNCTION("""COMPUTED_VALUE"""),"SCREEN|||LGI DE007 CASCADE")</f>
        <v>SCREEN|||LGI DE007 CASCADE</v>
      </c>
      <c r="P141" s="26"/>
      <c r="Q141" s="26" t="str">
        <f>IFERROR(__xludf.DUMMYFUNCTION("""COMPUTED_VALUE"""),"jose@ox-glass.com")</f>
        <v>jose@ox-glass.com</v>
      </c>
      <c r="R141" s="26" t="str">
        <f>IFERROR(__xludf.DUMMYFUNCTION("""COMPUTED_VALUE"""),"P3C")</f>
        <v>P3C</v>
      </c>
      <c r="S141" s="26" t="str">
        <f>IFERROR(__xludf.DUMMYFUNCTION("""COMPUTED_VALUE"""),"ENTRY")</f>
        <v>ENTRY</v>
      </c>
    </row>
    <row r="142" ht="22.5" customHeight="1">
      <c r="A142" s="35">
        <f>IFERROR(__xludf.DUMMYFUNCTION("""COMPUTED_VALUE"""),46176.48591731482)</f>
        <v>46176.48592</v>
      </c>
      <c r="B142" s="36" t="str">
        <f>IFERROR(__xludf.DUMMYFUNCTION("""COMPUTED_VALUE"""),"SCREEN")</f>
        <v>SCREEN</v>
      </c>
      <c r="C142" s="26" t="str">
        <f>IFERROR(__xludf.DUMMYFUNCTION("""COMPUTED_VALUE"""),"LGI OQM174")</f>
        <v>LGI OQM174</v>
      </c>
      <c r="D142" s="27"/>
      <c r="E142" s="27" t="str">
        <f>IFERROR(__xludf.DUMMYFUNCTION("""COMPUTED_VALUE"""),"7096")</f>
        <v>7096</v>
      </c>
      <c r="F142" s="36">
        <f>IFERROR(__xludf.DUMMYFUNCTION("""COMPUTED_VALUE"""),2.0)</f>
        <v>2</v>
      </c>
      <c r="G142" s="27" t="str">
        <f>IFERROR(__xludf.DUMMYFUNCTION("""COMPUTED_VALUE"""),"UNIT")</f>
        <v>UNIT</v>
      </c>
      <c r="H142" s="37">
        <f>IFERROR(__xludf.DUMMYFUNCTION("""COMPUTED_VALUE"""),46175.0)</f>
        <v>46175</v>
      </c>
      <c r="I142" s="36"/>
      <c r="J142" s="30" t="str">
        <f>IFERROR(__xludf.DUMMYFUNCTION("""COMPUTED_VALUE"""),"ALSIDE")</f>
        <v>ALSIDE</v>
      </c>
      <c r="K142" s="26" t="str">
        <f>IFERROR(__xludf.DUMMYFUNCTION("""COMPUTED_VALUE"""),"WHITE DOOR SCREEN")</f>
        <v>WHITE DOOR SCREEN</v>
      </c>
      <c r="L142" s="30" t="str">
        <f>IFERROR(__xludf.DUMMYFUNCTION("""COMPUTED_VALUE"""),"In Stock")</f>
        <v>In Stock</v>
      </c>
      <c r="M142" s="26" t="str">
        <f>IFERROR(__xludf.DUMMYFUNCTION("""COMPUTED_VALUE"""),"JOSE")</f>
        <v>JOSE</v>
      </c>
      <c r="N142" s="26" t="str">
        <f>IFERROR(__xludf.DUMMYFUNCTION("""COMPUTED_VALUE"""),"LGI OQM174")</f>
        <v>LGI OQM174</v>
      </c>
      <c r="O142" s="26" t="str">
        <f>IFERROR(__xludf.DUMMYFUNCTION("""COMPUTED_VALUE"""),"SCREEN|||LGI OQM174")</f>
        <v>SCREEN|||LGI OQM174</v>
      </c>
      <c r="P142" s="26"/>
      <c r="Q142" s="26" t="str">
        <f>IFERROR(__xludf.DUMMYFUNCTION("""COMPUTED_VALUE"""),"jose@ox-glass.com")</f>
        <v>jose@ox-glass.com</v>
      </c>
      <c r="R142" s="26" t="str">
        <f>IFERROR(__xludf.DUMMYFUNCTION("""COMPUTED_VALUE"""),"P3C")</f>
        <v>P3C</v>
      </c>
      <c r="S142" s="26" t="str">
        <f>IFERROR(__xludf.DUMMYFUNCTION("""COMPUTED_VALUE"""),"ENTRY")</f>
        <v>ENTRY</v>
      </c>
    </row>
    <row r="143" ht="22.5" customHeight="1">
      <c r="A143" s="35">
        <f>IFERROR(__xludf.DUMMYFUNCTION("""COMPUTED_VALUE"""),46176.47098491898)</f>
        <v>46176.47098</v>
      </c>
      <c r="B143" s="36" t="str">
        <f>IFERROR(__xludf.DUMMYFUNCTION("""COMPUTED_VALUE"""),"SCREEN")</f>
        <v>SCREEN</v>
      </c>
      <c r="C143" s="26" t="str">
        <f>IFERROR(__xludf.DUMMYFUNCTION("""COMPUTED_VALUE"""),"LGI OQM184")</f>
        <v>LGI OQM184</v>
      </c>
      <c r="D143" s="27"/>
      <c r="E143" s="27" t="str">
        <f>IFERROR(__xludf.DUMMYFUNCTION("""COMPUTED_VALUE"""),"7095")</f>
        <v>7095</v>
      </c>
      <c r="F143" s="36">
        <f>IFERROR(__xludf.DUMMYFUNCTION("""COMPUTED_VALUE"""),1.0)</f>
        <v>1</v>
      </c>
      <c r="G143" s="27" t="str">
        <f>IFERROR(__xludf.DUMMYFUNCTION("""COMPUTED_VALUE"""),"UNIT")</f>
        <v>UNIT</v>
      </c>
      <c r="H143" s="37">
        <f>IFERROR(__xludf.DUMMYFUNCTION("""COMPUTED_VALUE"""),46175.0)</f>
        <v>46175</v>
      </c>
      <c r="I143" s="36"/>
      <c r="J143" s="30" t="str">
        <f>IFERROR(__xludf.DUMMYFUNCTION("""COMPUTED_VALUE"""),"ALSIDE")</f>
        <v>ALSIDE</v>
      </c>
      <c r="K143" s="26" t="str">
        <f>IFERROR(__xludf.DUMMYFUNCTION("""COMPUTED_VALUE"""),"WHITE DOOR SCREEN")</f>
        <v>WHITE DOOR SCREEN</v>
      </c>
      <c r="L143" s="30" t="str">
        <f>IFERROR(__xludf.DUMMYFUNCTION("""COMPUTED_VALUE"""),"In Stock")</f>
        <v>In Stock</v>
      </c>
      <c r="M143" s="26" t="str">
        <f>IFERROR(__xludf.DUMMYFUNCTION("""COMPUTED_VALUE"""),"JOSE")</f>
        <v>JOSE</v>
      </c>
      <c r="N143" s="26" t="str">
        <f>IFERROR(__xludf.DUMMYFUNCTION("""COMPUTED_VALUE"""),"LGI OQM184")</f>
        <v>LGI OQM184</v>
      </c>
      <c r="O143" s="26" t="str">
        <f>IFERROR(__xludf.DUMMYFUNCTION("""COMPUTED_VALUE"""),"SCREEN|||LGI OQM184")</f>
        <v>SCREEN|||LGI OQM184</v>
      </c>
      <c r="P143" s="26"/>
      <c r="Q143" s="26" t="str">
        <f>IFERROR(__xludf.DUMMYFUNCTION("""COMPUTED_VALUE"""),"jose@ox-glass.com")</f>
        <v>jose@ox-glass.com</v>
      </c>
      <c r="R143" s="26" t="str">
        <f>IFERROR(__xludf.DUMMYFUNCTION("""COMPUTED_VALUE"""),"P3C")</f>
        <v>P3C</v>
      </c>
      <c r="S143" s="26" t="str">
        <f>IFERROR(__xludf.DUMMYFUNCTION("""COMPUTED_VALUE"""),"ENTRY")</f>
        <v>ENTRY</v>
      </c>
    </row>
    <row r="144" ht="22.5" customHeight="1">
      <c r="A144" s="35">
        <f>IFERROR(__xludf.DUMMYFUNCTION("""COMPUTED_VALUE"""),46176.46882221065)</f>
        <v>46176.46882</v>
      </c>
      <c r="B144" s="36" t="str">
        <f>IFERROR(__xludf.DUMMYFUNCTION("""COMPUTED_VALUE"""),"SCREEN")</f>
        <v>SCREEN</v>
      </c>
      <c r="C144" s="26" t="str">
        <f>IFERROR(__xludf.DUMMYFUNCTION("""COMPUTED_VALUE"""),"LGI OQM177")</f>
        <v>LGI OQM177</v>
      </c>
      <c r="D144" s="27"/>
      <c r="E144" s="27" t="str">
        <f>IFERROR(__xludf.DUMMYFUNCTION("""COMPUTED_VALUE"""),"7094")</f>
        <v>7094</v>
      </c>
      <c r="F144" s="36">
        <f>IFERROR(__xludf.DUMMYFUNCTION("""COMPUTED_VALUE"""),2.0)</f>
        <v>2</v>
      </c>
      <c r="G144" s="27" t="str">
        <f>IFERROR(__xludf.DUMMYFUNCTION("""COMPUTED_VALUE"""),"UNIT")</f>
        <v>UNIT</v>
      </c>
      <c r="H144" s="37">
        <f>IFERROR(__xludf.DUMMYFUNCTION("""COMPUTED_VALUE"""),46175.0)</f>
        <v>46175</v>
      </c>
      <c r="I144" s="36"/>
      <c r="J144" s="30" t="str">
        <f>IFERROR(__xludf.DUMMYFUNCTION("""COMPUTED_VALUE"""),"ALSIDE")</f>
        <v>ALSIDE</v>
      </c>
      <c r="K144" s="26" t="str">
        <f>IFERROR(__xludf.DUMMYFUNCTION("""COMPUTED_VALUE"""),"WHITE DOOR SCREEN")</f>
        <v>WHITE DOOR SCREEN</v>
      </c>
      <c r="L144" s="30" t="str">
        <f>IFERROR(__xludf.DUMMYFUNCTION("""COMPUTED_VALUE"""),"In Stock")</f>
        <v>In Stock</v>
      </c>
      <c r="M144" s="26" t="str">
        <f>IFERROR(__xludf.DUMMYFUNCTION("""COMPUTED_VALUE"""),"JOSE")</f>
        <v>JOSE</v>
      </c>
      <c r="N144" s="26" t="str">
        <f>IFERROR(__xludf.DUMMYFUNCTION("""COMPUTED_VALUE"""),"LGI OQM177")</f>
        <v>LGI OQM177</v>
      </c>
      <c r="O144" s="26" t="str">
        <f>IFERROR(__xludf.DUMMYFUNCTION("""COMPUTED_VALUE"""),"SCREEN|||LGI OQM177")</f>
        <v>SCREEN|||LGI OQM177</v>
      </c>
      <c r="P144" s="26"/>
      <c r="Q144" s="26" t="str">
        <f>IFERROR(__xludf.DUMMYFUNCTION("""COMPUTED_VALUE"""),"jose@ox-glass.com")</f>
        <v>jose@ox-glass.com</v>
      </c>
      <c r="R144" s="26" t="str">
        <f>IFERROR(__xludf.DUMMYFUNCTION("""COMPUTED_VALUE"""),"P3C")</f>
        <v>P3C</v>
      </c>
      <c r="S144" s="26" t="str">
        <f>IFERROR(__xludf.DUMMYFUNCTION("""COMPUTED_VALUE"""),"ENTRY")</f>
        <v>ENTRY</v>
      </c>
    </row>
    <row r="145" ht="22.5" customHeight="1">
      <c r="A145" s="35">
        <f>IFERROR(__xludf.DUMMYFUNCTION("""COMPUTED_VALUE"""),46171.51280981481)</f>
        <v>46171.51281</v>
      </c>
      <c r="B145" s="36" t="str">
        <f>IFERROR(__xludf.DUMMYFUNCTION("""COMPUTED_VALUE"""),"SCREEN")</f>
        <v>SCREEN</v>
      </c>
      <c r="C145" s="26" t="str">
        <f>IFERROR(__xludf.DUMMYFUNCTION("""COMPUTED_VALUE"""),"SWE SC2REORDERSLIDER")</f>
        <v>SWE SC2REORDERSLIDER</v>
      </c>
      <c r="D145" s="27"/>
      <c r="E145" s="27"/>
      <c r="F145" s="36">
        <f>IFERROR(__xludf.DUMMYFUNCTION("""COMPUTED_VALUE"""),1.0)</f>
        <v>1</v>
      </c>
      <c r="G145" s="27" t="str">
        <f>IFERROR(__xludf.DUMMYFUNCTION("""COMPUTED_VALUE"""),"UNIT")</f>
        <v>UNIT</v>
      </c>
      <c r="H145" s="37">
        <f>IFERROR(__xludf.DUMMYFUNCTION("""COMPUTED_VALUE"""),46171.0)</f>
        <v>46171</v>
      </c>
      <c r="I145" s="36"/>
      <c r="J145" s="30" t="str">
        <f>IFERROR(__xludf.DUMMYFUNCTION("""COMPUTED_VALUE"""),"AMSCO")</f>
        <v>AMSCO</v>
      </c>
      <c r="K145" s="26"/>
      <c r="L145" s="30" t="str">
        <f>IFERROR(__xludf.DUMMYFUNCTION("""COMPUTED_VALUE"""),"In Stock")</f>
        <v>In Stock</v>
      </c>
      <c r="M145" s="26" t="str">
        <f>IFERROR(__xludf.DUMMYFUNCTION("""COMPUTED_VALUE"""),"JOSE")</f>
        <v>JOSE</v>
      </c>
      <c r="N145" s="26" t="str">
        <f>IFERROR(__xludf.DUMMYFUNCTION("""COMPUTED_VALUE"""),"SWE SC2")</f>
        <v>SWE SC2</v>
      </c>
      <c r="O145" s="26" t="str">
        <f>IFERROR(__xludf.DUMMYFUNCTION("""COMPUTED_VALUE"""),"SCREEN|||SWE SC2REORDERSLIDER")</f>
        <v>SCREEN|||SWE SC2REORDERSLIDER</v>
      </c>
      <c r="P145" s="26"/>
      <c r="Q145" s="26" t="str">
        <f>IFERROR(__xludf.DUMMYFUNCTION("""COMPUTED_VALUE"""),"jose@ox-glass.com")</f>
        <v>jose@ox-glass.com</v>
      </c>
      <c r="R145" s="26" t="str">
        <f>IFERROR(__xludf.DUMMYFUNCTION("""COMPUTED_VALUE"""),"C1B")</f>
        <v>C1B</v>
      </c>
      <c r="S145" s="26" t="str">
        <f>IFERROR(__xludf.DUMMYFUNCTION("""COMPUTED_VALUE"""),"ENTRY")</f>
        <v>ENTRY</v>
      </c>
    </row>
    <row r="146" ht="22.5" customHeight="1">
      <c r="A146" s="35">
        <f>IFERROR(__xludf.DUMMYFUNCTION("""COMPUTED_VALUE"""),46171.51115375)</f>
        <v>46171.51115</v>
      </c>
      <c r="B146" s="36" t="str">
        <f>IFERROR(__xludf.DUMMYFUNCTION("""COMPUTED_VALUE"""),"SCREEN")</f>
        <v>SCREEN</v>
      </c>
      <c r="C146" s="26" t="str">
        <f>IFERROR(__xludf.DUMMYFUNCTION("""COMPUTED_VALUE"""),"MISCJAKEBARLOW")</f>
        <v>MISCJAKEBARLOW</v>
      </c>
      <c r="D146" s="27"/>
      <c r="E146" s="27"/>
      <c r="F146" s="36">
        <f>IFERROR(__xludf.DUMMYFUNCTION("""COMPUTED_VALUE"""),1.0)</f>
        <v>1</v>
      </c>
      <c r="G146" s="27" t="str">
        <f>IFERROR(__xludf.DUMMYFUNCTION("""COMPUTED_VALUE"""),"UNIT")</f>
        <v>UNIT</v>
      </c>
      <c r="H146" s="37">
        <f>IFERROR(__xludf.DUMMYFUNCTION("""COMPUTED_VALUE"""),46171.0)</f>
        <v>46171</v>
      </c>
      <c r="I146" s="36"/>
      <c r="J146" s="30" t="str">
        <f>IFERROR(__xludf.DUMMYFUNCTION("""COMPUTED_VALUE"""),"AMSCO")</f>
        <v>AMSCO</v>
      </c>
      <c r="K146" s="26"/>
      <c r="L146" s="30" t="str">
        <f>IFERROR(__xludf.DUMMYFUNCTION("""COMPUTED_VALUE"""),"In Stock")</f>
        <v>In Stock</v>
      </c>
      <c r="M146" s="26" t="str">
        <f>IFERROR(__xludf.DUMMYFUNCTION("""COMPUTED_VALUE"""),"JOSE")</f>
        <v>JOSE</v>
      </c>
      <c r="N146" s="26" t="str">
        <f>IFERROR(__xludf.DUMMYFUNCTION("""COMPUTED_VALUE"""),"MISC JAKE BARLOW")</f>
        <v>MISC JAKE BARLOW</v>
      </c>
      <c r="O146" s="26" t="str">
        <f>IFERROR(__xludf.DUMMYFUNCTION("""COMPUTED_VALUE"""),"SCREEN|||MISCJAKEBARLOW")</f>
        <v>SCREEN|||MISCJAKEBARLOW</v>
      </c>
      <c r="P146" s="26"/>
      <c r="Q146" s="26" t="str">
        <f>IFERROR(__xludf.DUMMYFUNCTION("""COMPUTED_VALUE"""),"jose@ox-glass.com")</f>
        <v>jose@ox-glass.com</v>
      </c>
      <c r="R146" s="26" t="str">
        <f>IFERROR(__xludf.DUMMYFUNCTION("""COMPUTED_VALUE"""),"C1B")</f>
        <v>C1B</v>
      </c>
      <c r="S146" s="26" t="str">
        <f>IFERROR(__xludf.DUMMYFUNCTION("""COMPUTED_VALUE"""),"ENTRY")</f>
        <v>ENTRY</v>
      </c>
    </row>
    <row r="147" ht="22.5" customHeight="1">
      <c r="A147" s="35">
        <f>IFERROR(__xludf.DUMMYFUNCTION("""COMPUTED_VALUE"""),46171.41110913194)</f>
        <v>46171.41111</v>
      </c>
      <c r="B147" s="36" t="str">
        <f>IFERROR(__xludf.DUMMYFUNCTION("""COMPUTED_VALUE"""),"SCREEN")</f>
        <v>SCREEN</v>
      </c>
      <c r="C147" s="26" t="str">
        <f>IFERROR(__xludf.DUMMYFUNCTION("""COMPUTED_VALUE"""),"TOL MH169")</f>
        <v>TOL MH169</v>
      </c>
      <c r="D147" s="27"/>
      <c r="E147" s="27"/>
      <c r="F147" s="36">
        <f>IFERROR(__xludf.DUMMYFUNCTION("""COMPUTED_VALUE"""),15.0)</f>
        <v>15</v>
      </c>
      <c r="G147" s="27" t="str">
        <f>IFERROR(__xludf.DUMMYFUNCTION("""COMPUTED_VALUE"""),"UNIT")</f>
        <v>UNIT</v>
      </c>
      <c r="H147" s="37">
        <f>IFERROR(__xludf.DUMMYFUNCTION("""COMPUTED_VALUE"""),46171.0)</f>
        <v>46171</v>
      </c>
      <c r="I147" s="36"/>
      <c r="J147" s="30" t="str">
        <f>IFERROR(__xludf.DUMMYFUNCTION("""COMPUTED_VALUE"""),"AMSCO")</f>
        <v>AMSCO</v>
      </c>
      <c r="K147" s="26"/>
      <c r="L147" s="30" t="str">
        <f>IFERROR(__xludf.DUMMYFUNCTION("""COMPUTED_VALUE"""),"In Stock")</f>
        <v>In Stock</v>
      </c>
      <c r="M147" s="26" t="str">
        <f>IFERROR(__xludf.DUMMYFUNCTION("""COMPUTED_VALUE"""),"JOSE")</f>
        <v>JOSE</v>
      </c>
      <c r="N147" s="26" t="str">
        <f>IFERROR(__xludf.DUMMYFUNCTION("""COMPUTED_VALUE"""),"MAPLETON HEIGHTS")</f>
        <v>MAPLETON HEIGHTS</v>
      </c>
      <c r="O147" s="26" t="str">
        <f>IFERROR(__xludf.DUMMYFUNCTION("""COMPUTED_VALUE"""),"SCREEN|||TOL MH169")</f>
        <v>SCREEN|||TOL MH169</v>
      </c>
      <c r="P147" s="26"/>
      <c r="Q147" s="26" t="str">
        <f>IFERROR(__xludf.DUMMYFUNCTION("""COMPUTED_VALUE"""),"jose@ox-glass.com")</f>
        <v>jose@ox-glass.com</v>
      </c>
      <c r="R147" s="26" t="str">
        <f>IFERROR(__xludf.DUMMYFUNCTION("""COMPUTED_VALUE"""),"B1B")</f>
        <v>B1B</v>
      </c>
      <c r="S147" s="26" t="str">
        <f>IFERROR(__xludf.DUMMYFUNCTION("""COMPUTED_VALUE"""),"ENTRY")</f>
        <v>ENTRY</v>
      </c>
    </row>
    <row r="148" ht="22.5" customHeight="1">
      <c r="A148" s="35">
        <f>IFERROR(__xludf.DUMMYFUNCTION("""COMPUTED_VALUE"""),46171.40693064815)</f>
        <v>46171.40693</v>
      </c>
      <c r="B148" s="36" t="str">
        <f>IFERROR(__xludf.DUMMYFUNCTION("""COMPUTED_VALUE"""),"SCREEN")</f>
        <v>SCREEN</v>
      </c>
      <c r="C148" s="26" t="str">
        <f>IFERROR(__xludf.DUMMYFUNCTION("""COMPUTED_VALUE"""),"TOL MH146")</f>
        <v>TOL MH146</v>
      </c>
      <c r="D148" s="27"/>
      <c r="E148" s="27"/>
      <c r="F148" s="36">
        <f>IFERROR(__xludf.DUMMYFUNCTION("""COMPUTED_VALUE"""),28.0)</f>
        <v>28</v>
      </c>
      <c r="G148" s="27" t="str">
        <f>IFERROR(__xludf.DUMMYFUNCTION("""COMPUTED_VALUE"""),"UNIT")</f>
        <v>UNIT</v>
      </c>
      <c r="H148" s="37">
        <f>IFERROR(__xludf.DUMMYFUNCTION("""COMPUTED_VALUE"""),46171.0)</f>
        <v>46171</v>
      </c>
      <c r="I148" s="36"/>
      <c r="J148" s="30" t="str">
        <f>IFERROR(__xludf.DUMMYFUNCTION("""COMPUTED_VALUE"""),"AMSCO")</f>
        <v>AMSCO</v>
      </c>
      <c r="K148" s="26"/>
      <c r="L148" s="30" t="str">
        <f>IFERROR(__xludf.DUMMYFUNCTION("""COMPUTED_VALUE"""),"In Stock")</f>
        <v>In Stock</v>
      </c>
      <c r="M148" s="26" t="str">
        <f>IFERROR(__xludf.DUMMYFUNCTION("""COMPUTED_VALUE"""),"JOSE")</f>
        <v>JOSE</v>
      </c>
      <c r="N148" s="26" t="str">
        <f>IFERROR(__xludf.DUMMYFUNCTION("""COMPUTED_VALUE"""),"MAPLETON HEIGHTS")</f>
        <v>MAPLETON HEIGHTS</v>
      </c>
      <c r="O148" s="26" t="str">
        <f>IFERROR(__xludf.DUMMYFUNCTION("""COMPUTED_VALUE"""),"SCREEN|||TOL MH146")</f>
        <v>SCREEN|||TOL MH146</v>
      </c>
      <c r="P148" s="26"/>
      <c r="Q148" s="26" t="str">
        <f>IFERROR(__xludf.DUMMYFUNCTION("""COMPUTED_VALUE"""),"jose@ox-glass.com")</f>
        <v>jose@ox-glass.com</v>
      </c>
      <c r="R148" s="26" t="str">
        <f>IFERROR(__xludf.DUMMYFUNCTION("""COMPUTED_VALUE"""),"B1B")</f>
        <v>B1B</v>
      </c>
      <c r="S148" s="26" t="str">
        <f>IFERROR(__xludf.DUMMYFUNCTION("""COMPUTED_VALUE"""),"ENTRY")</f>
        <v>ENTRY</v>
      </c>
    </row>
    <row r="149" ht="22.5" customHeight="1">
      <c r="A149" s="35">
        <f>IFERROR(__xludf.DUMMYFUNCTION("""COMPUTED_VALUE"""),46169.51824790509)</f>
        <v>46169.51825</v>
      </c>
      <c r="B149" s="36" t="str">
        <f>IFERROR(__xludf.DUMMYFUNCTION("""COMPUTED_VALUE"""),"SCREEN")</f>
        <v>SCREEN</v>
      </c>
      <c r="C149" s="26" t="str">
        <f>IFERROR(__xludf.DUMMYFUNCTION("""COMPUTED_VALUE"""),"BMW5")</f>
        <v>BMW5</v>
      </c>
      <c r="D149" s="27"/>
      <c r="E149" s="27"/>
      <c r="F149" s="36">
        <f>IFERROR(__xludf.DUMMYFUNCTION("""COMPUTED_VALUE"""),17.0)</f>
        <v>17</v>
      </c>
      <c r="G149" s="27" t="str">
        <f>IFERROR(__xludf.DUMMYFUNCTION("""COMPUTED_VALUE"""),"UNIT")</f>
        <v>UNIT</v>
      </c>
      <c r="H149" s="37">
        <f>IFERROR(__xludf.DUMMYFUNCTION("""COMPUTED_VALUE"""),46169.0)</f>
        <v>46169</v>
      </c>
      <c r="I149" s="36" t="str">
        <f>IFERROR(__xludf.DUMMYFUNCTION("""COMPUTED_VALUE"""),"A1B")</f>
        <v>A1B</v>
      </c>
      <c r="J149" s="30"/>
      <c r="K149" s="26"/>
      <c r="L149" s="30" t="str">
        <f>IFERROR(__xludf.DUMMYFUNCTION("""COMPUTED_VALUE"""),"Dispatched")</f>
        <v>Dispatched</v>
      </c>
      <c r="M149" s="26" t="str">
        <f>IFERROR(__xludf.DUMMYFUNCTION("""COMPUTED_VALUE"""),"ADAM A.")</f>
        <v>ADAM A.</v>
      </c>
      <c r="N149" s="26" t="str">
        <f>IFERROR(__xludf.DUMMYFUNCTION("""COMPUTED_VALUE"""),"GENERIC")</f>
        <v>GENERIC</v>
      </c>
      <c r="O149" s="26" t="str">
        <f>IFERROR(__xludf.DUMMYFUNCTION("""COMPUTED_VALUE"""),"SCREEN|||BMW5")</f>
        <v>SCREEN|||BMW5</v>
      </c>
      <c r="P149" s="26"/>
      <c r="Q149" s="26" t="str">
        <f>IFERROR(__xludf.DUMMYFUNCTION("""COMPUTED_VALUE"""),"jose@ox-glass.com")</f>
        <v>jose@ox-glass.com</v>
      </c>
      <c r="R149" s="26" t="str">
        <f>IFERROR(__xludf.DUMMYFUNCTION("""COMPUTED_VALUE"""),"BMW5")</f>
        <v>BMW5</v>
      </c>
      <c r="S149" s="26" t="str">
        <f>IFERROR(__xludf.DUMMYFUNCTION("""COMPUTED_VALUE"""),"EXIT")</f>
        <v>EXIT</v>
      </c>
    </row>
    <row r="150" ht="22.5" customHeight="1">
      <c r="A150" s="35">
        <f>IFERROR(__xludf.DUMMYFUNCTION("""COMPUTED_VALUE"""),46168.66720701389)</f>
        <v>46168.66721</v>
      </c>
      <c r="B150" s="36" t="str">
        <f>IFERROR(__xludf.DUMMYFUNCTION("""COMPUTED_VALUE"""),"SCREEN")</f>
        <v>SCREEN</v>
      </c>
      <c r="C150" s="26" t="str">
        <f>IFERROR(__xludf.DUMMYFUNCTION("""COMPUTED_VALUE"""),"JEFF WATSON")</f>
        <v>JEFF WATSON</v>
      </c>
      <c r="D150" s="27"/>
      <c r="E150" s="27"/>
      <c r="F150" s="36">
        <f>IFERROR(__xludf.DUMMYFUNCTION("""COMPUTED_VALUE"""),3.0)</f>
        <v>3</v>
      </c>
      <c r="G150" s="27" t="str">
        <f>IFERROR(__xludf.DUMMYFUNCTION("""COMPUTED_VALUE"""),"UNIT")</f>
        <v>UNIT</v>
      </c>
      <c r="H150" s="37">
        <f>IFERROR(__xludf.DUMMYFUNCTION("""COMPUTED_VALUE"""),46168.0)</f>
        <v>46168</v>
      </c>
      <c r="I150" s="36" t="str">
        <f>IFERROR(__xludf.DUMMYFUNCTION("""COMPUTED_VALUE"""),"B3A")</f>
        <v>B3A</v>
      </c>
      <c r="J150" s="30"/>
      <c r="K150" s="26"/>
      <c r="L150" s="30" t="str">
        <f>IFERROR(__xludf.DUMMYFUNCTION("""COMPUTED_VALUE"""),"Dispatched")</f>
        <v>Dispatched</v>
      </c>
      <c r="M150" s="26" t="str">
        <f>IFERROR(__xludf.DUMMYFUNCTION("""COMPUTED_VALUE"""),"TREVOR B.")</f>
        <v>TREVOR B.</v>
      </c>
      <c r="N150" s="26" t="str">
        <f>IFERROR(__xludf.DUMMYFUNCTION("""COMPUTED_VALUE"""),"JEFF WATSON")</f>
        <v>JEFF WATSON</v>
      </c>
      <c r="O150" s="26" t="str">
        <f>IFERROR(__xludf.DUMMYFUNCTION("""COMPUTED_VALUE"""),"SCREEN|||JEFF WATSON")</f>
        <v>SCREEN|||JEFF WATSON</v>
      </c>
      <c r="P150" s="26"/>
      <c r="Q150" s="26" t="str">
        <f>IFERROR(__xludf.DUMMYFUNCTION("""COMPUTED_VALUE"""),"jose@ox-glass.com")</f>
        <v>jose@ox-glass.com</v>
      </c>
      <c r="R150" s="26" t="str">
        <f>IFERROR(__xludf.DUMMYFUNCTION("""COMPUTED_VALUE"""),"JEFF WATSON")</f>
        <v>JEFF WATSON</v>
      </c>
      <c r="S150" s="26" t="str">
        <f>IFERROR(__xludf.DUMMYFUNCTION("""COMPUTED_VALUE"""),"EXIT")</f>
        <v>EXIT</v>
      </c>
    </row>
    <row r="151" ht="22.5" customHeight="1">
      <c r="A151" s="35">
        <f>IFERROR(__xludf.DUMMYFUNCTION("""COMPUTED_VALUE"""),46168.66716203704)</f>
        <v>46168.66716</v>
      </c>
      <c r="B151" s="36" t="str">
        <f>IFERROR(__xludf.DUMMYFUNCTION("""COMPUTED_VALUE"""),"SCREEN")</f>
        <v>SCREEN</v>
      </c>
      <c r="C151" s="26" t="str">
        <f>IFERROR(__xludf.DUMMYFUNCTION("""COMPUTED_VALUE"""),"JEFF WATSON")</f>
        <v>JEFF WATSON</v>
      </c>
      <c r="D151" s="27"/>
      <c r="E151" s="27"/>
      <c r="F151" s="36">
        <f>IFERROR(__xludf.DUMMYFUNCTION("""COMPUTED_VALUE"""),11.0)</f>
        <v>11</v>
      </c>
      <c r="G151" s="27" t="str">
        <f>IFERROR(__xludf.DUMMYFUNCTION("""COMPUTED_VALUE"""),"UNIT")</f>
        <v>UNIT</v>
      </c>
      <c r="H151" s="37">
        <f>IFERROR(__xludf.DUMMYFUNCTION("""COMPUTED_VALUE"""),46168.0)</f>
        <v>46168</v>
      </c>
      <c r="I151" s="36" t="str">
        <f>IFERROR(__xludf.DUMMYFUNCTION("""COMPUTED_VALUE"""),"C1B")</f>
        <v>C1B</v>
      </c>
      <c r="J151" s="30"/>
      <c r="K151" s="26"/>
      <c r="L151" s="30" t="str">
        <f>IFERROR(__xludf.DUMMYFUNCTION("""COMPUTED_VALUE"""),"Dispatched")</f>
        <v>Dispatched</v>
      </c>
      <c r="M151" s="26" t="str">
        <f>IFERROR(__xludf.DUMMYFUNCTION("""COMPUTED_VALUE"""),"TREVOR B.")</f>
        <v>TREVOR B.</v>
      </c>
      <c r="N151" s="26" t="str">
        <f>IFERROR(__xludf.DUMMYFUNCTION("""COMPUTED_VALUE"""),"JEFF WATSON")</f>
        <v>JEFF WATSON</v>
      </c>
      <c r="O151" s="26" t="str">
        <f>IFERROR(__xludf.DUMMYFUNCTION("""COMPUTED_VALUE"""),"SCREEN|||JEFF WATSON")</f>
        <v>SCREEN|||JEFF WATSON</v>
      </c>
      <c r="P151" s="26"/>
      <c r="Q151" s="26" t="str">
        <f>IFERROR(__xludf.DUMMYFUNCTION("""COMPUTED_VALUE"""),"jose@ox-glass.com")</f>
        <v>jose@ox-glass.com</v>
      </c>
      <c r="R151" s="26" t="str">
        <f>IFERROR(__xludf.DUMMYFUNCTION("""COMPUTED_VALUE"""),"JEFF WATSON")</f>
        <v>JEFF WATSON</v>
      </c>
      <c r="S151" s="26" t="str">
        <f>IFERROR(__xludf.DUMMYFUNCTION("""COMPUTED_VALUE"""),"EXIT")</f>
        <v>EXIT</v>
      </c>
    </row>
    <row r="152" ht="22.5" customHeight="1">
      <c r="A152" s="35">
        <f>IFERROR(__xludf.DUMMYFUNCTION("""COMPUTED_VALUE"""),46168.48136769675)</f>
        <v>46168.48137</v>
      </c>
      <c r="B152" s="36" t="str">
        <f>IFERROR(__xludf.DUMMYFUNCTION("""COMPUTED_VALUE"""),"SCREEN")</f>
        <v>SCREEN</v>
      </c>
      <c r="C152" s="26" t="str">
        <f>IFERROR(__xludf.DUMMYFUNCTION("""COMPUTED_VALUE"""),"MISC JONES RESIDENCE")</f>
        <v>MISC JONES RESIDENCE</v>
      </c>
      <c r="D152" s="27"/>
      <c r="E152" s="27" t="str">
        <f>IFERROR(__xludf.DUMMYFUNCTION("""COMPUTED_VALUE"""),"K842")</f>
        <v>K842</v>
      </c>
      <c r="F152" s="36">
        <f>IFERROR(__xludf.DUMMYFUNCTION("""COMPUTED_VALUE"""),7.0)</f>
        <v>7</v>
      </c>
      <c r="G152" s="27" t="str">
        <f>IFERROR(__xludf.DUMMYFUNCTION("""COMPUTED_VALUE"""),"UNIT")</f>
        <v>UNIT</v>
      </c>
      <c r="H152" s="37">
        <f>IFERROR(__xludf.DUMMYFUNCTION("""COMPUTED_VALUE"""),46168.0)</f>
        <v>46168</v>
      </c>
      <c r="I152" s="36"/>
      <c r="J152" s="30" t="str">
        <f>IFERROR(__xludf.DUMMYFUNCTION("""COMPUTED_VALUE"""),"ALSIDE")</f>
        <v>ALSIDE</v>
      </c>
      <c r="K152" s="26"/>
      <c r="L152" s="30" t="str">
        <f>IFERROR(__xludf.DUMMYFUNCTION("""COMPUTED_VALUE"""),"In Stock")</f>
        <v>In Stock</v>
      </c>
      <c r="M152" s="26" t="str">
        <f>IFERROR(__xludf.DUMMYFUNCTION("""COMPUTED_VALUE"""),"JOSE C.")</f>
        <v>JOSE C.</v>
      </c>
      <c r="N152" s="26" t="str">
        <f>IFERROR(__xludf.DUMMYFUNCTION("""COMPUTED_VALUE"""),"MISC JONES RESIDENCE")</f>
        <v>MISC JONES RESIDENCE</v>
      </c>
      <c r="O152" s="26" t="str">
        <f>IFERROR(__xludf.DUMMYFUNCTION("""COMPUTED_VALUE"""),"SCREEN|||MISC JONES RESIDENCE")</f>
        <v>SCREEN|||MISC JONES RESIDENCE</v>
      </c>
      <c r="P152" s="26"/>
      <c r="Q152" s="26" t="str">
        <f>IFERROR(__xludf.DUMMYFUNCTION("""COMPUTED_VALUE"""),"jose@ox-glass.com")</f>
        <v>jose@ox-glass.com</v>
      </c>
      <c r="R152" s="26" t="str">
        <f>IFERROR(__xludf.DUMMYFUNCTION("""COMPUTED_VALUE"""),"WINDOW WAREHOUSE")</f>
        <v>WINDOW WAREHOUSE</v>
      </c>
      <c r="S152" s="26" t="str">
        <f>IFERROR(__xludf.DUMMYFUNCTION("""COMPUTED_VALUE"""),"ENTRY")</f>
        <v>ENTRY</v>
      </c>
    </row>
    <row r="153" ht="22.5" customHeight="1">
      <c r="A153" s="35">
        <f>IFERROR(__xludf.DUMMYFUNCTION("""COMPUTED_VALUE"""),46168.47601677084)</f>
        <v>46168.47602</v>
      </c>
      <c r="B153" s="36" t="str">
        <f>IFERROR(__xludf.DUMMYFUNCTION("""COMPUTED_VALUE"""),"SCREEN")</f>
        <v>SCREEN</v>
      </c>
      <c r="C153" s="26" t="str">
        <f>IFERROR(__xludf.DUMMYFUNCTION("""COMPUTED_VALUE"""),"JEFF WATSON")</f>
        <v>JEFF WATSON</v>
      </c>
      <c r="D153" s="27"/>
      <c r="E153" s="27"/>
      <c r="F153" s="36">
        <f>IFERROR(__xludf.DUMMYFUNCTION("""COMPUTED_VALUE"""),3.0)</f>
        <v>3</v>
      </c>
      <c r="G153" s="27" t="str">
        <f>IFERROR(__xludf.DUMMYFUNCTION("""COMPUTED_VALUE"""),"UNIT")</f>
        <v>UNIT</v>
      </c>
      <c r="H153" s="37">
        <f>IFERROR(__xludf.DUMMYFUNCTION("""COMPUTED_VALUE"""),46168.0)</f>
        <v>46168</v>
      </c>
      <c r="I153" s="36"/>
      <c r="J153" s="30" t="str">
        <f>IFERROR(__xludf.DUMMYFUNCTION("""COMPUTED_VALUE"""),"ALSIDE")</f>
        <v>ALSIDE</v>
      </c>
      <c r="K153" s="26"/>
      <c r="L153" s="30" t="str">
        <f>IFERROR(__xludf.DUMMYFUNCTION("""COMPUTED_VALUE"""),"In Stock")</f>
        <v>In Stock</v>
      </c>
      <c r="M153" s="26" t="str">
        <f>IFERROR(__xludf.DUMMYFUNCTION("""COMPUTED_VALUE"""),"JOSE")</f>
        <v>JOSE</v>
      </c>
      <c r="N153" s="26" t="str">
        <f>IFERROR(__xludf.DUMMYFUNCTION("""COMPUTED_VALUE"""),"JEFF WATSON")</f>
        <v>JEFF WATSON</v>
      </c>
      <c r="O153" s="26" t="str">
        <f>IFERROR(__xludf.DUMMYFUNCTION("""COMPUTED_VALUE"""),"SCREEN|||JEFF WATSON")</f>
        <v>SCREEN|||JEFF WATSON</v>
      </c>
      <c r="P153" s="26"/>
      <c r="Q153" s="26" t="str">
        <f>IFERROR(__xludf.DUMMYFUNCTION("""COMPUTED_VALUE"""),"jose@ox-glass.com")</f>
        <v>jose@ox-glass.com</v>
      </c>
      <c r="R153" s="26" t="str">
        <f>IFERROR(__xludf.DUMMYFUNCTION("""COMPUTED_VALUE"""),"B3A")</f>
        <v>B3A</v>
      </c>
      <c r="S153" s="26" t="str">
        <f>IFERROR(__xludf.DUMMYFUNCTION("""COMPUTED_VALUE"""),"ENTRY")</f>
        <v>ENTRY</v>
      </c>
    </row>
    <row r="154" ht="22.5" customHeight="1">
      <c r="A154" s="35">
        <f>IFERROR(__xludf.DUMMYFUNCTION("""COMPUTED_VALUE"""),46164.64138732639)</f>
        <v>46164.64139</v>
      </c>
      <c r="B154" s="36" t="str">
        <f>IFERROR(__xludf.DUMMYFUNCTION("""COMPUTED_VALUE"""),"SCREEN")</f>
        <v>SCREEN</v>
      </c>
      <c r="C154" s="26" t="str">
        <f>IFERROR(__xludf.DUMMYFUNCTION("""COMPUTED_VALUE"""),"TVC ORCHARDGROVESL")</f>
        <v>TVC ORCHARDGROVESL</v>
      </c>
      <c r="D154" s="27"/>
      <c r="E154" s="27" t="str">
        <f>IFERROR(__xludf.DUMMYFUNCTION("""COMPUTED_VALUE"""),"7034")</f>
        <v>7034</v>
      </c>
      <c r="F154" s="36">
        <f>IFERROR(__xludf.DUMMYFUNCTION("""COMPUTED_VALUE"""),3.0)</f>
        <v>3</v>
      </c>
      <c r="G154" s="27" t="str">
        <f>IFERROR(__xludf.DUMMYFUNCTION("""COMPUTED_VALUE"""),"UNIT")</f>
        <v>UNIT</v>
      </c>
      <c r="H154" s="37">
        <f>IFERROR(__xludf.DUMMYFUNCTION("""COMPUTED_VALUE"""),46164.0)</f>
        <v>46164</v>
      </c>
      <c r="I154" s="36"/>
      <c r="J154" s="30" t="str">
        <f>IFERROR(__xludf.DUMMYFUNCTION("""COMPUTED_VALUE"""),"ALSIDE")</f>
        <v>ALSIDE</v>
      </c>
      <c r="K154" s="26" t="str">
        <f>IFERROR(__xludf.DUMMYFUNCTION("""COMPUTED_VALUE"""),"WHITE WINDOW SCREENS")</f>
        <v>WHITE WINDOW SCREENS</v>
      </c>
      <c r="L154" s="30" t="str">
        <f>IFERROR(__xludf.DUMMYFUNCTION("""COMPUTED_VALUE"""),"In Stock")</f>
        <v>In Stock</v>
      </c>
      <c r="M154" s="26" t="str">
        <f>IFERROR(__xludf.DUMMYFUNCTION("""COMPUTED_VALUE"""),"JOSE C.")</f>
        <v>JOSE C.</v>
      </c>
      <c r="N154" s="26" t="str">
        <f>IFERROR(__xludf.DUMMYFUNCTION("""COMPUTED_VALUE"""),"TVC ORCHARD GROVE SL")</f>
        <v>TVC ORCHARD GROVE SL</v>
      </c>
      <c r="O154" s="26" t="str">
        <f>IFERROR(__xludf.DUMMYFUNCTION("""COMPUTED_VALUE"""),"SCREEN|||TVC ORCHARDGROVESL")</f>
        <v>SCREEN|||TVC ORCHARDGROVESL</v>
      </c>
      <c r="P154" s="26"/>
      <c r="Q154" s="26" t="str">
        <f>IFERROR(__xludf.DUMMYFUNCTION("""COMPUTED_VALUE"""),"jose@ox-glass.com")</f>
        <v>jose@ox-glass.com</v>
      </c>
      <c r="R154" s="26" t="str">
        <f>IFERROR(__xludf.DUMMYFUNCTION("""COMPUTED_VALUE"""),"C1B")</f>
        <v>C1B</v>
      </c>
      <c r="S154" s="26" t="str">
        <f>IFERROR(__xludf.DUMMYFUNCTION("""COMPUTED_VALUE"""),"ENTRY")</f>
        <v>ENTRY</v>
      </c>
    </row>
    <row r="155" ht="22.5" customHeight="1">
      <c r="A155" s="35">
        <f>IFERROR(__xludf.DUMMYFUNCTION("""COMPUTED_VALUE"""),46164.63974575231)</f>
        <v>46164.63975</v>
      </c>
      <c r="B155" s="36" t="str">
        <f>IFERROR(__xludf.DUMMYFUNCTION("""COMPUTED_VALUE"""),"SCREEN")</f>
        <v>SCREEN</v>
      </c>
      <c r="C155" s="26" t="str">
        <f>IFERROR(__xludf.DUMMYFUNCTION("""COMPUTED_VALUE"""),"TVC ORCHARDGROVESL")</f>
        <v>TVC ORCHARDGROVESL</v>
      </c>
      <c r="D155" s="27"/>
      <c r="E155" s="27" t="str">
        <f>IFERROR(__xludf.DUMMYFUNCTION("""COMPUTED_VALUE"""),"7034")</f>
        <v>7034</v>
      </c>
      <c r="F155" s="36">
        <f>IFERROR(__xludf.DUMMYFUNCTION("""COMPUTED_VALUE"""),13.0)</f>
        <v>13</v>
      </c>
      <c r="G155" s="27" t="str">
        <f>IFERROR(__xludf.DUMMYFUNCTION("""COMPUTED_VALUE"""),"UNIT")</f>
        <v>UNIT</v>
      </c>
      <c r="H155" s="37">
        <f>IFERROR(__xludf.DUMMYFUNCTION("""COMPUTED_VALUE"""),46163.0)</f>
        <v>46163</v>
      </c>
      <c r="I155" s="36"/>
      <c r="J155" s="30" t="str">
        <f>IFERROR(__xludf.DUMMYFUNCTION("""COMPUTED_VALUE"""),"ALSIDE")</f>
        <v>ALSIDE</v>
      </c>
      <c r="K155" s="26" t="str">
        <f>IFERROR(__xludf.DUMMYFUNCTION("""COMPUTED_VALUE"""),"WHITE WINDOW SCREENS")</f>
        <v>WHITE WINDOW SCREENS</v>
      </c>
      <c r="L155" s="30" t="str">
        <f>IFERROR(__xludf.DUMMYFUNCTION("""COMPUTED_VALUE"""),"In Stock")</f>
        <v>In Stock</v>
      </c>
      <c r="M155" s="26" t="str">
        <f>IFERROR(__xludf.DUMMYFUNCTION("""COMPUTED_VALUE"""),"JOSE C.")</f>
        <v>JOSE C.</v>
      </c>
      <c r="N155" s="26" t="str">
        <f>IFERROR(__xludf.DUMMYFUNCTION("""COMPUTED_VALUE"""),"TVC ORCHARD GROVE SL")</f>
        <v>TVC ORCHARD GROVE SL</v>
      </c>
      <c r="O155" s="26" t="str">
        <f>IFERROR(__xludf.DUMMYFUNCTION("""COMPUTED_VALUE"""),"SCREEN|||TVC ORCHARDGROVESL")</f>
        <v>SCREEN|||TVC ORCHARDGROVESL</v>
      </c>
      <c r="P155" s="26"/>
      <c r="Q155" s="26" t="str">
        <f>IFERROR(__xludf.DUMMYFUNCTION("""COMPUTED_VALUE"""),"jose@ox-glass.com")</f>
        <v>jose@ox-glass.com</v>
      </c>
      <c r="R155" s="26" t="str">
        <f>IFERROR(__xludf.DUMMYFUNCTION("""COMPUTED_VALUE"""),"C1B")</f>
        <v>C1B</v>
      </c>
      <c r="S155" s="26" t="str">
        <f>IFERROR(__xludf.DUMMYFUNCTION("""COMPUTED_VALUE"""),"ENTRY")</f>
        <v>ENTRY</v>
      </c>
    </row>
    <row r="156" ht="22.5" customHeight="1">
      <c r="A156" s="35">
        <f>IFERROR(__xludf.DUMMYFUNCTION("""COMPUTED_VALUE"""),46164.636981620366)</f>
        <v>46164.63698</v>
      </c>
      <c r="B156" s="36" t="str">
        <f>IFERROR(__xludf.DUMMYFUNCTION("""COMPUTED_VALUE"""),"SCREEN")</f>
        <v>SCREEN</v>
      </c>
      <c r="C156" s="26" t="str">
        <f>IFERROR(__xludf.DUMMYFUNCTION("""COMPUTED_VALUE"""),"CAMDEN COMMONS 11/12")</f>
        <v>CAMDEN COMMONS 11/12</v>
      </c>
      <c r="D156" s="27" t="str">
        <f>IFERROR(__xludf.DUMMYFUNCTION("""COMPUTED_VALUE"""),"GOO")</f>
        <v>GOO</v>
      </c>
      <c r="E156" s="27"/>
      <c r="F156" s="36">
        <f>IFERROR(__xludf.DUMMYFUNCTION("""COMPUTED_VALUE"""),24.0)</f>
        <v>24</v>
      </c>
      <c r="G156" s="27" t="str">
        <f>IFERROR(__xludf.DUMMYFUNCTION("""COMPUTED_VALUE"""),"UNIT")</f>
        <v>UNIT</v>
      </c>
      <c r="H156" s="37">
        <f>IFERROR(__xludf.DUMMYFUNCTION("""COMPUTED_VALUE"""),46164.0)</f>
        <v>46164</v>
      </c>
      <c r="I156" s="36"/>
      <c r="J156" s="30" t="str">
        <f>IFERROR(__xludf.DUMMYFUNCTION("""COMPUTED_VALUE"""),"WINDSOR")</f>
        <v>WINDSOR</v>
      </c>
      <c r="K156" s="26" t="str">
        <f>IFERROR(__xludf.DUMMYFUNCTION("""COMPUTED_VALUE"""),"CLAY WINDOW SCREENS, DIFFERENT SIZES")</f>
        <v>CLAY WINDOW SCREENS, DIFFERENT SIZES</v>
      </c>
      <c r="L156" s="30" t="str">
        <f>IFERROR(__xludf.DUMMYFUNCTION("""COMPUTED_VALUE"""),"In Stock")</f>
        <v>In Stock</v>
      </c>
      <c r="M156" s="26" t="str">
        <f>IFERROR(__xludf.DUMMYFUNCTION("""COMPUTED_VALUE"""),"TERRY T.")</f>
        <v>TERRY T.</v>
      </c>
      <c r="N156" s="26" t="str">
        <f>IFERROR(__xludf.DUMMYFUNCTION("""COMPUTED_VALUE"""),"GOOD BORO CAMDEN COMMONS 11/12")</f>
        <v>GOOD BORO CAMDEN COMMONS 11/12</v>
      </c>
      <c r="O156" s="26" t="str">
        <f>IFERROR(__xludf.DUMMYFUNCTION("""COMPUTED_VALUE"""),"SCREEN|||CAMDEN COMMONS 11_12")</f>
        <v>SCREEN|||CAMDEN COMMONS 11_12</v>
      </c>
      <c r="P156" s="26"/>
      <c r="Q156" s="26" t="str">
        <f>IFERROR(__xludf.DUMMYFUNCTION("""COMPUTED_VALUE"""),"jose@ox-glass.com")</f>
        <v>jose@ox-glass.com</v>
      </c>
      <c r="R156" s="26" t="str">
        <f>IFERROR(__xludf.DUMMYFUNCTION("""COMPUTED_VALUE"""),"C1B")</f>
        <v>C1B</v>
      </c>
      <c r="S156" s="26" t="str">
        <f>IFERROR(__xludf.DUMMYFUNCTION("""COMPUTED_VALUE"""),"ENTRY")</f>
        <v>ENTRY</v>
      </c>
    </row>
    <row r="157" ht="22.5" customHeight="1">
      <c r="A157" s="35">
        <f>IFERROR(__xludf.DUMMYFUNCTION("""COMPUTED_VALUE"""),46164.40388611111)</f>
        <v>46164.40389</v>
      </c>
      <c r="B157" s="36" t="str">
        <f>IFERROR(__xludf.DUMMYFUNCTION("""COMPUTED_VALUE"""),"SCREEN")</f>
        <v>SCREEN</v>
      </c>
      <c r="C157" s="26" t="str">
        <f>IFERROR(__xludf.DUMMYFUNCTION("""COMPUTED_VALUE"""),"MISCJAKEBARLOW")</f>
        <v>MISCJAKEBARLOW</v>
      </c>
      <c r="D157" s="27"/>
      <c r="E157" s="27"/>
      <c r="F157" s="36">
        <f>IFERROR(__xludf.DUMMYFUNCTION("""COMPUTED_VALUE"""),4.0)</f>
        <v>4</v>
      </c>
      <c r="G157" s="27" t="str">
        <f>IFERROR(__xludf.DUMMYFUNCTION("""COMPUTED_VALUE"""),"UNIT")</f>
        <v>UNIT</v>
      </c>
      <c r="H157" s="37">
        <f>IFERROR(__xludf.DUMMYFUNCTION("""COMPUTED_VALUE"""),46164.0)</f>
        <v>46164</v>
      </c>
      <c r="I157" s="36"/>
      <c r="J157" s="30" t="str">
        <f>IFERROR(__xludf.DUMMYFUNCTION("""COMPUTED_VALUE"""),"AMSCO")</f>
        <v>AMSCO</v>
      </c>
      <c r="K157" s="26" t="str">
        <f>IFERROR(__xludf.DUMMYFUNCTION("""COMPUTED_VALUE"""),"WHITE SMALL SCREENS")</f>
        <v>WHITE SMALL SCREENS</v>
      </c>
      <c r="L157" s="30" t="str">
        <f>IFERROR(__xludf.DUMMYFUNCTION("""COMPUTED_VALUE"""),"In Stock")</f>
        <v>In Stock</v>
      </c>
      <c r="M157" s="26" t="str">
        <f>IFERROR(__xludf.DUMMYFUNCTION("""COMPUTED_VALUE"""),"JOSE")</f>
        <v>JOSE</v>
      </c>
      <c r="N157" s="26" t="str">
        <f>IFERROR(__xludf.DUMMYFUNCTION("""COMPUTED_VALUE"""),"MISC JAKE BARLOW")</f>
        <v>MISC JAKE BARLOW</v>
      </c>
      <c r="O157" s="26" t="str">
        <f>IFERROR(__xludf.DUMMYFUNCTION("""COMPUTED_VALUE"""),"SCREEN|||MISCJAKEBARLOW")</f>
        <v>SCREEN|||MISCJAKEBARLOW</v>
      </c>
      <c r="P157" s="26" t="str">
        <f>IFERROR(__xludf.DUMMYFUNCTION("""COMPUTED_VALUE"""),"Document||https://drive.google.com/file/d/1P-wivUiL61jbfZ1HcR4J3e_l4t19AbIl/view?usp=drivesdk")</f>
        <v>Document||https://drive.google.com/file/d/1P-wivUiL61jbfZ1HcR4J3e_l4t19AbIl/view?usp=drivesdk</v>
      </c>
      <c r="Q157" s="26" t="str">
        <f>IFERROR(__xludf.DUMMYFUNCTION("""COMPUTED_VALUE"""),"jose@ox-glass.com")</f>
        <v>jose@ox-glass.com</v>
      </c>
      <c r="R157" s="26" t="str">
        <f>IFERROR(__xludf.DUMMYFUNCTION("""COMPUTED_VALUE"""),"C1B")</f>
        <v>C1B</v>
      </c>
      <c r="S157" s="26" t="str">
        <f>IFERROR(__xludf.DUMMYFUNCTION("""COMPUTED_VALUE"""),"ENTRY")</f>
        <v>ENTRY</v>
      </c>
    </row>
    <row r="158" ht="22.5" customHeight="1">
      <c r="A158" s="35">
        <f>IFERROR(__xludf.DUMMYFUNCTION("""COMPUTED_VALUE"""),46163.52819560185)</f>
        <v>46163.5282</v>
      </c>
      <c r="B158" s="36" t="str">
        <f>IFERROR(__xludf.DUMMYFUNCTION("""COMPUTED_VALUE"""),"SCREEN")</f>
        <v>SCREEN</v>
      </c>
      <c r="C158" s="26" t="str">
        <f>IFERROR(__xludf.DUMMYFUNCTION("""COMPUTED_VALUE"""),"BME8")</f>
        <v>BME8</v>
      </c>
      <c r="D158" s="27"/>
      <c r="E158" s="27"/>
      <c r="F158" s="36">
        <f>IFERROR(__xludf.DUMMYFUNCTION("""COMPUTED_VALUE"""),16.0)</f>
        <v>16</v>
      </c>
      <c r="G158" s="27" t="str">
        <f>IFERROR(__xludf.DUMMYFUNCTION("""COMPUTED_VALUE"""),"UNIT")</f>
        <v>UNIT</v>
      </c>
      <c r="H158" s="37">
        <f>IFERROR(__xludf.DUMMYFUNCTION("""COMPUTED_VALUE"""),46163.0)</f>
        <v>46163</v>
      </c>
      <c r="I158" s="36" t="str">
        <f>IFERROR(__xludf.DUMMYFUNCTION("""COMPUTED_VALUE"""),"B1B")</f>
        <v>B1B</v>
      </c>
      <c r="J158" s="30"/>
      <c r="K158" s="26"/>
      <c r="L158" s="30" t="str">
        <f>IFERROR(__xludf.DUMMYFUNCTION("""COMPUTED_VALUE"""),"DISPATCHED")</f>
        <v>DISPATCHED</v>
      </c>
      <c r="M158" s="26" t="str">
        <f>IFERROR(__xludf.DUMMYFUNCTION("""COMPUTED_VALUE"""),"ADAM A.")</f>
        <v>ADAM A.</v>
      </c>
      <c r="N158" s="26" t="str">
        <f>IFERROR(__xludf.DUMMYFUNCTION("""COMPUTED_VALUE"""),"GENERIC")</f>
        <v>GENERIC</v>
      </c>
      <c r="O158" s="26" t="str">
        <f>IFERROR(__xludf.DUMMYFUNCTION("""COMPUTED_VALUE"""),"SCREEN|||BME8")</f>
        <v>SCREEN|||BME8</v>
      </c>
      <c r="P158" s="26"/>
      <c r="Q158" s="26" t="str">
        <f>IFERROR(__xludf.DUMMYFUNCTION("""COMPUTED_VALUE"""),"jose@ox-glass.com")</f>
        <v>jose@ox-glass.com</v>
      </c>
      <c r="R158" s="26" t="str">
        <f>IFERROR(__xludf.DUMMYFUNCTION("""COMPUTED_VALUE"""),"PM'S OFFICE")</f>
        <v>PM'S OFFICE</v>
      </c>
      <c r="S158" s="26" t="str">
        <f>IFERROR(__xludf.DUMMYFUNCTION("""COMPUTED_VALUE"""),"EXIT")</f>
        <v>EXIT</v>
      </c>
    </row>
    <row r="159" ht="22.5" customHeight="1">
      <c r="A159" s="35">
        <f>IFERROR(__xludf.DUMMYFUNCTION("""COMPUTED_VALUE"""),46160.63974677083)</f>
        <v>46160.63975</v>
      </c>
      <c r="B159" s="36" t="str">
        <f>IFERROR(__xludf.DUMMYFUNCTION("""COMPUTED_VALUE"""),"SCREEN")</f>
        <v>SCREEN</v>
      </c>
      <c r="C159" s="26" t="str">
        <f>IFERROR(__xludf.DUMMYFUNCTION("""COMPUTED_VALUE"""),"WHIPR220")</f>
        <v>WHIPR220</v>
      </c>
      <c r="D159" s="27"/>
      <c r="E159" s="27"/>
      <c r="F159" s="36">
        <f>IFERROR(__xludf.DUMMYFUNCTION("""COMPUTED_VALUE"""),1.0)</f>
        <v>1</v>
      </c>
      <c r="G159" s="27" t="str">
        <f>IFERROR(__xludf.DUMMYFUNCTION("""COMPUTED_VALUE"""),"UNIT")</f>
        <v>UNIT</v>
      </c>
      <c r="H159" s="37">
        <f>IFERROR(__xludf.DUMMYFUNCTION("""COMPUTED_VALUE"""),46157.0)</f>
        <v>46157</v>
      </c>
      <c r="I159" s="36"/>
      <c r="J159" s="30" t="str">
        <f>IFERROR(__xludf.DUMMYFUNCTION("""COMPUTED_VALUE"""),"AMSCO")</f>
        <v>AMSCO</v>
      </c>
      <c r="K159" s="26" t="str">
        <f>IFERROR(__xludf.DUMMYFUNCTION("""COMPUTED_VALUE"""),"WHITE DOOR SCREEN")</f>
        <v>WHITE DOOR SCREEN</v>
      </c>
      <c r="L159" s="30" t="str">
        <f>IFERROR(__xludf.DUMMYFUNCTION("""COMPUTED_VALUE"""),"IN STOCK")</f>
        <v>IN STOCK</v>
      </c>
      <c r="M159" s="26" t="str">
        <f>IFERROR(__xludf.DUMMYFUNCTION("""COMPUTED_VALUE"""),"JOSE C.")</f>
        <v>JOSE C.</v>
      </c>
      <c r="N159" s="26" t="str">
        <f>IFERROR(__xludf.DUMMYFUNCTION("""COMPUTED_VALUE"""),"GENERIC")</f>
        <v>GENERIC</v>
      </c>
      <c r="O159" s="26" t="str">
        <f>IFERROR(__xludf.DUMMYFUNCTION("""COMPUTED_VALUE"""),"SCREEN|||WHIPR220")</f>
        <v>SCREEN|||WHIPR220</v>
      </c>
      <c r="P159" s="26"/>
      <c r="Q159" s="26" t="str">
        <f>IFERROR(__xludf.DUMMYFUNCTION("""COMPUTED_VALUE"""),"jose@ox-glass.com")</f>
        <v>jose@ox-glass.com</v>
      </c>
      <c r="R159" s="26" t="str">
        <f>IFERROR(__xludf.DUMMYFUNCTION("""COMPUTED_VALUE"""),"P1C")</f>
        <v>P1C</v>
      </c>
      <c r="S159" s="26" t="str">
        <f>IFERROR(__xludf.DUMMYFUNCTION("""COMPUTED_VALUE"""),"ENTRY")</f>
        <v>ENTRY</v>
      </c>
    </row>
    <row r="160" ht="22.5" customHeight="1">
      <c r="A160" s="35">
        <f>IFERROR(__xludf.DUMMYFUNCTION("""COMPUTED_VALUE"""),46160.637954143516)</f>
        <v>46160.63795</v>
      </c>
      <c r="B160" s="36" t="str">
        <f>IFERROR(__xludf.DUMMYFUNCTION("""COMPUTED_VALUE"""),"SCREEN")</f>
        <v>SCREEN</v>
      </c>
      <c r="C160" s="26" t="str">
        <f>IFERROR(__xludf.DUMMYFUNCTION("""COMPUTED_VALUE"""),"WHIPR220")</f>
        <v>WHIPR220</v>
      </c>
      <c r="D160" s="27"/>
      <c r="E160" s="27" t="str">
        <f>IFERROR(__xludf.DUMMYFUNCTION("""COMPUTED_VALUE"""),"04-6623*9")</f>
        <v>04-6623*9</v>
      </c>
      <c r="F160" s="36">
        <f>IFERROR(__xludf.DUMMYFUNCTION("""COMPUTED_VALUE"""),11.0)</f>
        <v>11</v>
      </c>
      <c r="G160" s="27" t="str">
        <f>IFERROR(__xludf.DUMMYFUNCTION("""COMPUTED_VALUE"""),"UNIT")</f>
        <v>UNIT</v>
      </c>
      <c r="H160" s="37">
        <f>IFERROR(__xludf.DUMMYFUNCTION("""COMPUTED_VALUE"""),46157.0)</f>
        <v>46157</v>
      </c>
      <c r="I160" s="36"/>
      <c r="J160" s="30" t="str">
        <f>IFERROR(__xludf.DUMMYFUNCTION("""COMPUTED_VALUE"""),"AMSCO")</f>
        <v>AMSCO</v>
      </c>
      <c r="K160" s="26" t="str">
        <f>IFERROR(__xludf.DUMMYFUNCTION("""COMPUTED_VALUE"""),"WHITE WINDOW SRCEENS")</f>
        <v>WHITE WINDOW SRCEENS</v>
      </c>
      <c r="L160" s="30" t="str">
        <f>IFERROR(__xludf.DUMMYFUNCTION("""COMPUTED_VALUE"""),"IN STOCK")</f>
        <v>IN STOCK</v>
      </c>
      <c r="M160" s="26" t="str">
        <f>IFERROR(__xludf.DUMMYFUNCTION("""COMPUTED_VALUE"""),"JOSE C.")</f>
        <v>JOSE C.</v>
      </c>
      <c r="N160" s="26" t="str">
        <f>IFERROR(__xludf.DUMMYFUNCTION("""COMPUTED_VALUE"""),"GENERIC")</f>
        <v>GENERIC</v>
      </c>
      <c r="O160" s="26" t="str">
        <f>IFERROR(__xludf.DUMMYFUNCTION("""COMPUTED_VALUE"""),"SCREEN|||WHIPR220")</f>
        <v>SCREEN|||WHIPR220</v>
      </c>
      <c r="P160" s="26"/>
      <c r="Q160" s="26" t="str">
        <f>IFERROR(__xludf.DUMMYFUNCTION("""COMPUTED_VALUE"""),"jose@ox-glass.com")</f>
        <v>jose@ox-glass.com</v>
      </c>
      <c r="R160" s="26" t="str">
        <f>IFERROR(__xludf.DUMMYFUNCTION("""COMPUTED_VALUE"""),"B2B")</f>
        <v>B2B</v>
      </c>
      <c r="S160" s="26" t="str">
        <f>IFERROR(__xludf.DUMMYFUNCTION("""COMPUTED_VALUE"""),"ENTRY")</f>
        <v>ENTRY</v>
      </c>
    </row>
    <row r="161" ht="22.5" customHeight="1">
      <c r="A161" s="35">
        <f>IFERROR(__xludf.DUMMYFUNCTION("""COMPUTED_VALUE"""),46160.63622087963)</f>
        <v>46160.63622</v>
      </c>
      <c r="B161" s="36" t="str">
        <f>IFERROR(__xludf.DUMMYFUNCTION("""COMPUTED_VALUE"""),"SCREEN")</f>
        <v>SCREEN</v>
      </c>
      <c r="C161" s="26" t="str">
        <f>IFERROR(__xludf.DUMMYFUNCTION("""COMPUTED_VALUE"""),"WHI 222")</f>
        <v>WHI 222</v>
      </c>
      <c r="D161" s="27"/>
      <c r="E161" s="27" t="str">
        <f>IFERROR(__xludf.DUMMYFUNCTION("""COMPUTED_VALUE"""),"04-6621")</f>
        <v>04-6621</v>
      </c>
      <c r="F161" s="36">
        <f>IFERROR(__xludf.DUMMYFUNCTION("""COMPUTED_VALUE"""),12.0)</f>
        <v>12</v>
      </c>
      <c r="G161" s="27" t="str">
        <f>IFERROR(__xludf.DUMMYFUNCTION("""COMPUTED_VALUE"""),"UNIT")</f>
        <v>UNIT</v>
      </c>
      <c r="H161" s="37">
        <f>IFERROR(__xludf.DUMMYFUNCTION("""COMPUTED_VALUE"""),46157.0)</f>
        <v>46157</v>
      </c>
      <c r="I161" s="36"/>
      <c r="J161" s="30" t="str">
        <f>IFERROR(__xludf.DUMMYFUNCTION("""COMPUTED_VALUE"""),"AMSCO")</f>
        <v>AMSCO</v>
      </c>
      <c r="K161" s="26" t="str">
        <f>IFERROR(__xludf.DUMMYFUNCTION("""COMPUTED_VALUE"""),"WHITE WINDOW SCREENS")</f>
        <v>WHITE WINDOW SCREENS</v>
      </c>
      <c r="L161" s="30" t="str">
        <f>IFERROR(__xludf.DUMMYFUNCTION("""COMPUTED_VALUE"""),"IN STOCK")</f>
        <v>IN STOCK</v>
      </c>
      <c r="M161" s="26" t="str">
        <f>IFERROR(__xludf.DUMMYFUNCTION("""COMPUTED_VALUE"""),"JOSE C.")</f>
        <v>JOSE C.</v>
      </c>
      <c r="N161" s="26" t="str">
        <f>IFERROR(__xludf.DUMMYFUNCTION("""COMPUTED_VALUE"""),"GENERIC")</f>
        <v>GENERIC</v>
      </c>
      <c r="O161" s="26" t="str">
        <f>IFERROR(__xludf.DUMMYFUNCTION("""COMPUTED_VALUE"""),"SCREEN|||WHI 222")</f>
        <v>SCREEN|||WHI 222</v>
      </c>
      <c r="P161" s="26"/>
      <c r="Q161" s="26" t="str">
        <f>IFERROR(__xludf.DUMMYFUNCTION("""COMPUTED_VALUE"""),"jose@ox-glass.com")</f>
        <v>jose@ox-glass.com</v>
      </c>
      <c r="R161" s="26" t="str">
        <f>IFERROR(__xludf.DUMMYFUNCTION("""COMPUTED_VALUE"""),"B2B")</f>
        <v>B2B</v>
      </c>
      <c r="S161" s="26" t="str">
        <f>IFERROR(__xludf.DUMMYFUNCTION("""COMPUTED_VALUE"""),"ENTRY")</f>
        <v>ENTRY</v>
      </c>
    </row>
    <row r="162" ht="22.5" customHeight="1">
      <c r="A162" s="35">
        <f>IFERROR(__xludf.DUMMYFUNCTION("""COMPUTED_VALUE"""),46160.63408871528)</f>
        <v>46160.63409</v>
      </c>
      <c r="B162" s="36" t="str">
        <f>IFERROR(__xludf.DUMMYFUNCTION("""COMPUTED_VALUE"""),"SCREEN")</f>
        <v>SCREEN</v>
      </c>
      <c r="C162" s="26" t="str">
        <f>IFERROR(__xludf.DUMMYFUNCTION("""COMPUTED_VALUE"""),"MISCLEVATA")</f>
        <v>MISCLEVATA</v>
      </c>
      <c r="D162" s="27"/>
      <c r="E162" s="27"/>
      <c r="F162" s="36">
        <f>IFERROR(__xludf.DUMMYFUNCTION("""COMPUTED_VALUE"""),76.0)</f>
        <v>76</v>
      </c>
      <c r="G162" s="27" t="str">
        <f>IFERROR(__xludf.DUMMYFUNCTION("""COMPUTED_VALUE"""),"UNIT")</f>
        <v>UNIT</v>
      </c>
      <c r="H162" s="37">
        <f>IFERROR(__xludf.DUMMYFUNCTION("""COMPUTED_VALUE"""),46157.0)</f>
        <v>46157</v>
      </c>
      <c r="I162" s="36"/>
      <c r="J162" s="30" t="str">
        <f>IFERROR(__xludf.DUMMYFUNCTION("""COMPUTED_VALUE"""),"AMSCO")</f>
        <v>AMSCO</v>
      </c>
      <c r="K162" s="26" t="str">
        <f>IFERROR(__xludf.DUMMYFUNCTION("""COMPUTED_VALUE"""),"WHITE WINDOW SCREENS")</f>
        <v>WHITE WINDOW SCREENS</v>
      </c>
      <c r="L162" s="30" t="str">
        <f>IFERROR(__xludf.DUMMYFUNCTION("""COMPUTED_VALUE"""),"IN STOCK")</f>
        <v>IN STOCK</v>
      </c>
      <c r="M162" s="26" t="str">
        <f>IFERROR(__xludf.DUMMYFUNCTION("""COMPUTED_VALUE"""),"JOSE C.")</f>
        <v>JOSE C.</v>
      </c>
      <c r="N162" s="26" t="str">
        <f>IFERROR(__xludf.DUMMYFUNCTION("""COMPUTED_VALUE"""),"GENERIC")</f>
        <v>GENERIC</v>
      </c>
      <c r="O162" s="26" t="str">
        <f>IFERROR(__xludf.DUMMYFUNCTION("""COMPUTED_VALUE"""),"SCREEN|||MISCLEVATA")</f>
        <v>SCREEN|||MISCLEVATA</v>
      </c>
      <c r="P162" s="26"/>
      <c r="Q162" s="26" t="str">
        <f>IFERROR(__xludf.DUMMYFUNCTION("""COMPUTED_VALUE"""),"jose@ox-glass.com")</f>
        <v>jose@ox-glass.com</v>
      </c>
      <c r="R162" s="26" t="str">
        <f>IFERROR(__xludf.DUMMYFUNCTION("""COMPUTED_VALUE"""),"A3B")</f>
        <v>A3B</v>
      </c>
      <c r="S162" s="26" t="str">
        <f>IFERROR(__xludf.DUMMYFUNCTION("""COMPUTED_VALUE"""),"ENTRY")</f>
        <v>ENTRY</v>
      </c>
    </row>
    <row r="163" ht="22.5" customHeight="1">
      <c r="A163" s="35">
        <f>IFERROR(__xludf.DUMMYFUNCTION("""COMPUTED_VALUE"""),46160.62576405093)</f>
        <v>46160.62576</v>
      </c>
      <c r="B163" s="36" t="str">
        <f>IFERROR(__xludf.DUMMYFUNCTION("""COMPUTED_VALUE"""),"SCREEN")</f>
        <v>SCREEN</v>
      </c>
      <c r="C163" s="26" t="str">
        <f>IFERROR(__xludf.DUMMYFUNCTION("""COMPUTED_VALUE"""),"2PER SAGE@COMPASS")</f>
        <v>2PER SAGE@COMPASS</v>
      </c>
      <c r="D163" s="27"/>
      <c r="E163" s="27"/>
      <c r="F163" s="36">
        <f>IFERROR(__xludf.DUMMYFUNCTION("""COMPUTED_VALUE"""),72.0)</f>
        <v>72</v>
      </c>
      <c r="G163" s="27" t="str">
        <f>IFERROR(__xludf.DUMMYFUNCTION("""COMPUTED_VALUE"""),"UNIT")</f>
        <v>UNIT</v>
      </c>
      <c r="H163" s="37">
        <f>IFERROR(__xludf.DUMMYFUNCTION("""COMPUTED_VALUE"""),46157.0)</f>
        <v>46157</v>
      </c>
      <c r="I163" s="36"/>
      <c r="J163" s="30" t="str">
        <f>IFERROR(__xludf.DUMMYFUNCTION("""COMPUTED_VALUE"""),"AMSCO")</f>
        <v>AMSCO</v>
      </c>
      <c r="K163" s="26" t="str">
        <f>IFERROR(__xludf.DUMMYFUNCTION("""COMPUTED_VALUE"""),"WHITE WHINDOW SCREENS")</f>
        <v>WHITE WHINDOW SCREENS</v>
      </c>
      <c r="L163" s="30" t="str">
        <f>IFERROR(__xludf.DUMMYFUNCTION("""COMPUTED_VALUE"""),"IN STOCK")</f>
        <v>IN STOCK</v>
      </c>
      <c r="M163" s="26" t="str">
        <f>IFERROR(__xludf.DUMMYFUNCTION("""COMPUTED_VALUE"""),"JOSE C.")</f>
        <v>JOSE C.</v>
      </c>
      <c r="N163" s="26" t="str">
        <f>IFERROR(__xludf.DUMMYFUNCTION("""COMPUTED_VALUE"""),"2PER SAGE@COMPASS")</f>
        <v>2PER SAGE@COMPASS</v>
      </c>
      <c r="O163" s="26" t="str">
        <f>IFERROR(__xludf.DUMMYFUNCTION("""COMPUTED_VALUE"""),"SCREEN|||2PER SAGE@COMPASS")</f>
        <v>SCREEN|||2PER SAGE@COMPASS</v>
      </c>
      <c r="P163" s="26"/>
      <c r="Q163" s="26" t="str">
        <f>IFERROR(__xludf.DUMMYFUNCTION("""COMPUTED_VALUE"""),"jose@ox-glass.com")</f>
        <v>jose@ox-glass.com</v>
      </c>
      <c r="R163" s="26" t="str">
        <f>IFERROR(__xludf.DUMMYFUNCTION("""COMPUTED_VALUE"""),"B2B")</f>
        <v>B2B</v>
      </c>
      <c r="S163" s="26" t="str">
        <f>IFERROR(__xludf.DUMMYFUNCTION("""COMPUTED_VALUE"""),"ENTRY")</f>
        <v>ENTRY</v>
      </c>
    </row>
    <row r="164" ht="22.5" customHeight="1">
      <c r="A164" s="35">
        <f>IFERROR(__xludf.DUMMYFUNCTION("""COMPUTED_VALUE"""),46160.618284421296)</f>
        <v>46160.61828</v>
      </c>
      <c r="B164" s="36" t="str">
        <f>IFERROR(__xludf.DUMMYFUNCTION("""COMPUTED_VALUE"""),"SCREEN")</f>
        <v>SCREEN</v>
      </c>
      <c r="C164" s="26" t="str">
        <f>IFERROR(__xludf.DUMMYFUNCTION("""COMPUTED_VALUE"""),"PRI LOVELESS3PLEXTH")</f>
        <v>PRI LOVELESS3PLEXTH</v>
      </c>
      <c r="D164" s="27"/>
      <c r="E164" s="27" t="str">
        <f>IFERROR(__xludf.DUMMYFUNCTION("""COMPUTED_VALUE"""),"04-6718*8")</f>
        <v>04-6718*8</v>
      </c>
      <c r="F164" s="36">
        <f>IFERROR(__xludf.DUMMYFUNCTION("""COMPUTED_VALUE"""),26.0)</f>
        <v>26</v>
      </c>
      <c r="G164" s="27" t="str">
        <f>IFERROR(__xludf.DUMMYFUNCTION("""COMPUTED_VALUE"""),"UNIT")</f>
        <v>UNIT</v>
      </c>
      <c r="H164" s="37">
        <f>IFERROR(__xludf.DUMMYFUNCTION("""COMPUTED_VALUE"""),46157.0)</f>
        <v>46157</v>
      </c>
      <c r="I164" s="36"/>
      <c r="J164" s="30" t="str">
        <f>IFERROR(__xludf.DUMMYFUNCTION("""COMPUTED_VALUE"""),"AMSCO")</f>
        <v>AMSCO</v>
      </c>
      <c r="K164" s="26" t="str">
        <f>IFERROR(__xludf.DUMMYFUNCTION("""COMPUTED_VALUE"""),"WHITE WINDOW SCREENS")</f>
        <v>WHITE WINDOW SCREENS</v>
      </c>
      <c r="L164" s="30" t="str">
        <f>IFERROR(__xludf.DUMMYFUNCTION("""COMPUTED_VALUE"""),"IN STOCK")</f>
        <v>IN STOCK</v>
      </c>
      <c r="M164" s="26" t="str">
        <f>IFERROR(__xludf.DUMMYFUNCTION("""COMPUTED_VALUE"""),"JOSE C.")</f>
        <v>JOSE C.</v>
      </c>
      <c r="N164" s="26" t="str">
        <f>IFERROR(__xludf.DUMMYFUNCTION("""COMPUTED_VALUE"""),"GENERIC")</f>
        <v>GENERIC</v>
      </c>
      <c r="O164" s="26" t="str">
        <f>IFERROR(__xludf.DUMMYFUNCTION("""COMPUTED_VALUE"""),"SCREEN|||PRI LOVELESS3PLEXTH")</f>
        <v>SCREEN|||PRI LOVELESS3PLEXTH</v>
      </c>
      <c r="P164" s="26"/>
      <c r="Q164" s="26" t="str">
        <f>IFERROR(__xludf.DUMMYFUNCTION("""COMPUTED_VALUE"""),"jose@ox-glass.com")</f>
        <v>jose@ox-glass.com</v>
      </c>
      <c r="R164" s="26" t="str">
        <f>IFERROR(__xludf.DUMMYFUNCTION("""COMPUTED_VALUE"""),"B2B")</f>
        <v>B2B</v>
      </c>
      <c r="S164" s="26" t="str">
        <f>IFERROR(__xludf.DUMMYFUNCTION("""COMPUTED_VALUE"""),"ENTRY")</f>
        <v>ENTRY</v>
      </c>
    </row>
    <row r="165" ht="22.5" customHeight="1">
      <c r="A165" s="35">
        <f>IFERROR(__xludf.DUMMYFUNCTION("""COMPUTED_VALUE"""),46160.6155009375)</f>
        <v>46160.6155</v>
      </c>
      <c r="B165" s="36" t="str">
        <f>IFERROR(__xludf.DUMMYFUNCTION("""COMPUTED_VALUE"""),"SCREEN")</f>
        <v>SCREEN</v>
      </c>
      <c r="C165" s="26" t="str">
        <f>IFERROR(__xludf.DUMMYFUNCTION("""COMPUTED_VALUE"""),"2PATSP639")</f>
        <v>2PATSP639</v>
      </c>
      <c r="D165" s="27"/>
      <c r="E165" s="27" t="str">
        <f>IFERROR(__xludf.DUMMYFUNCTION("""COMPUTED_VALUE"""),"04-5488*15")</f>
        <v>04-5488*15</v>
      </c>
      <c r="F165" s="36">
        <f>IFERROR(__xludf.DUMMYFUNCTION("""COMPUTED_VALUE"""),14.0)</f>
        <v>14</v>
      </c>
      <c r="G165" s="27" t="str">
        <f>IFERROR(__xludf.DUMMYFUNCTION("""COMPUTED_VALUE"""),"UNIT")</f>
        <v>UNIT</v>
      </c>
      <c r="H165" s="37">
        <f>IFERROR(__xludf.DUMMYFUNCTION("""COMPUTED_VALUE"""),46157.0)</f>
        <v>46157</v>
      </c>
      <c r="I165" s="36"/>
      <c r="J165" s="30" t="str">
        <f>IFERROR(__xludf.DUMMYFUNCTION("""COMPUTED_VALUE"""),"AMSCO")</f>
        <v>AMSCO</v>
      </c>
      <c r="K165" s="26" t="str">
        <f>IFERROR(__xludf.DUMMYFUNCTION("""COMPUTED_VALUE"""),"WHITE WINDOW SCREENS")</f>
        <v>WHITE WINDOW SCREENS</v>
      </c>
      <c r="L165" s="30" t="str">
        <f>IFERROR(__xludf.DUMMYFUNCTION("""COMPUTED_VALUE"""),"IN STOCK")</f>
        <v>IN STOCK</v>
      </c>
      <c r="M165" s="26" t="str">
        <f>IFERROR(__xludf.DUMMYFUNCTION("""COMPUTED_VALUE"""),"JOSE C.")</f>
        <v>JOSE C.</v>
      </c>
      <c r="N165" s="26" t="str">
        <f>IFERROR(__xludf.DUMMYFUNCTION("""COMPUTED_VALUE"""),"GENERIC")</f>
        <v>GENERIC</v>
      </c>
      <c r="O165" s="26" t="str">
        <f>IFERROR(__xludf.DUMMYFUNCTION("""COMPUTED_VALUE"""),"SCREEN|||2PATSP639")</f>
        <v>SCREEN|||2PATSP639</v>
      </c>
      <c r="P165" s="26"/>
      <c r="Q165" s="26" t="str">
        <f>IFERROR(__xludf.DUMMYFUNCTION("""COMPUTED_VALUE"""),"jose@ox-glass.com")</f>
        <v>jose@ox-glass.com</v>
      </c>
      <c r="R165" s="26" t="str">
        <f>IFERROR(__xludf.DUMMYFUNCTION("""COMPUTED_VALUE"""),"B2B")</f>
        <v>B2B</v>
      </c>
      <c r="S165" s="26" t="str">
        <f>IFERROR(__xludf.DUMMYFUNCTION("""COMPUTED_VALUE"""),"ENTRY")</f>
        <v>ENTRY</v>
      </c>
    </row>
    <row r="166" ht="22.5" customHeight="1">
      <c r="A166" s="35">
        <f>IFERROR(__xludf.DUMMYFUNCTION("""COMPUTED_VALUE"""),46160.60966108796)</f>
        <v>46160.60966</v>
      </c>
      <c r="B166" s="36" t="str">
        <f>IFERROR(__xludf.DUMMYFUNCTION("""COMPUTED_VALUE"""),"SCREEN")</f>
        <v>SCREEN</v>
      </c>
      <c r="C166" s="26" t="str">
        <f>IFERROR(__xludf.DUMMYFUNCTION("""COMPUTED_VALUE"""),"MISCKK4060")</f>
        <v>MISCKK4060</v>
      </c>
      <c r="D166" s="27"/>
      <c r="E166" s="27" t="str">
        <f>IFERROR(__xludf.DUMMYFUNCTION("""COMPUTED_VALUE"""),"04-5811*2")</f>
        <v>04-5811*2</v>
      </c>
      <c r="F166" s="36">
        <f>IFERROR(__xludf.DUMMYFUNCTION("""COMPUTED_VALUE"""),1.0)</f>
        <v>1</v>
      </c>
      <c r="G166" s="27" t="str">
        <f>IFERROR(__xludf.DUMMYFUNCTION("""COMPUTED_VALUE"""),"UNIT")</f>
        <v>UNIT</v>
      </c>
      <c r="H166" s="37">
        <f>IFERROR(__xludf.DUMMYFUNCTION("""COMPUTED_VALUE"""),46157.0)</f>
        <v>46157</v>
      </c>
      <c r="I166" s="36"/>
      <c r="J166" s="30" t="str">
        <f>IFERROR(__xludf.DUMMYFUNCTION("""COMPUTED_VALUE"""),"ALSIDE")</f>
        <v>ALSIDE</v>
      </c>
      <c r="K166" s="26" t="str">
        <f>IFERROR(__xludf.DUMMYFUNCTION("""COMPUTED_VALUE"""),"GRAY WINDOW SCREEN")</f>
        <v>GRAY WINDOW SCREEN</v>
      </c>
      <c r="L166" s="30" t="str">
        <f>IFERROR(__xludf.DUMMYFUNCTION("""COMPUTED_VALUE"""),"IN STOCK")</f>
        <v>IN STOCK</v>
      </c>
      <c r="M166" s="26" t="str">
        <f>IFERROR(__xludf.DUMMYFUNCTION("""COMPUTED_VALUE"""),"JOSE C.")</f>
        <v>JOSE C.</v>
      </c>
      <c r="N166" s="26" t="str">
        <f>IFERROR(__xludf.DUMMYFUNCTION("""COMPUTED_VALUE"""),"GENERIC")</f>
        <v>GENERIC</v>
      </c>
      <c r="O166" s="26" t="str">
        <f>IFERROR(__xludf.DUMMYFUNCTION("""COMPUTED_VALUE"""),"SCREEN|||MISCKK4060")</f>
        <v>SCREEN|||MISCKK4060</v>
      </c>
      <c r="P166" s="26"/>
      <c r="Q166" s="26" t="str">
        <f>IFERROR(__xludf.DUMMYFUNCTION("""COMPUTED_VALUE"""),"jose@ox-glass.com")</f>
        <v>jose@ox-glass.com</v>
      </c>
      <c r="R166" s="26" t="str">
        <f>IFERROR(__xludf.DUMMYFUNCTION("""COMPUTED_VALUE"""),"A3B")</f>
        <v>A3B</v>
      </c>
      <c r="S166" s="26" t="str">
        <f>IFERROR(__xludf.DUMMYFUNCTION("""COMPUTED_VALUE"""),"ENTRY")</f>
        <v>ENTRY</v>
      </c>
    </row>
    <row r="167" ht="22.5" customHeight="1">
      <c r="A167" s="35">
        <f>IFERROR(__xludf.DUMMYFUNCTION("""COMPUTED_VALUE"""),46156.680621203705)</f>
        <v>46156.68062</v>
      </c>
      <c r="B167" s="36" t="str">
        <f>IFERROR(__xludf.DUMMYFUNCTION("""COMPUTED_VALUE"""),"SCREEN")</f>
        <v>SCREEN</v>
      </c>
      <c r="C167" s="26" t="str">
        <f>IFERROR(__xludf.DUMMYFUNCTION("""COMPUTED_VALUE"""),"ACC STUDENT HOUSING")</f>
        <v>ACC STUDENT HOUSING</v>
      </c>
      <c r="D167" s="27"/>
      <c r="E167" s="27"/>
      <c r="F167" s="36">
        <f>IFERROR(__xludf.DUMMYFUNCTION("""COMPUTED_VALUE"""),44.0)</f>
        <v>44</v>
      </c>
      <c r="G167" s="27" t="str">
        <f>IFERROR(__xludf.DUMMYFUNCTION("""COMPUTED_VALUE"""),"BOX")</f>
        <v>BOX</v>
      </c>
      <c r="H167" s="37">
        <f>IFERROR(__xludf.DUMMYFUNCTION("""COMPUTED_VALUE"""),46155.0)</f>
        <v>46155</v>
      </c>
      <c r="I167" s="36" t="str">
        <f>IFERROR(__xludf.DUMMYFUNCTION("""COMPUTED_VALUE"""),"WINDOW WAREHOUSE")</f>
        <v>WINDOW WAREHOUSE</v>
      </c>
      <c r="J167" s="30"/>
      <c r="K167" s="26" t="str">
        <f>IFERROR(__xludf.DUMMYFUNCTION("""COMPUTED_VALUE"""),"44 big boxes with window screens, in pallets in the window warehouse")</f>
        <v>44 big boxes with window screens, in pallets in the window warehouse</v>
      </c>
      <c r="L167" s="30" t="str">
        <f>IFERROR(__xludf.DUMMYFUNCTION("""COMPUTED_VALUE"""),"IN STOCK")</f>
        <v>IN STOCK</v>
      </c>
      <c r="M167" s="26" t="str">
        <f>IFERROR(__xludf.DUMMYFUNCTION("""COMPUTED_VALUE"""),"JOSE C.")</f>
        <v>JOSE C.</v>
      </c>
      <c r="N167" s="26" t="str">
        <f>IFERROR(__xludf.DUMMYFUNCTION("""COMPUTED_VALUE"""),"GENERIC")</f>
        <v>GENERIC</v>
      </c>
      <c r="O167" s="26" t="str">
        <f>IFERROR(__xludf.DUMMYFUNCTION("""COMPUTED_VALUE"""),"SCREEN|||ACC STUDENT HOUSING")</f>
        <v>SCREEN|||ACC STUDENT HOUSING</v>
      </c>
      <c r="P167" s="53" t="str">
        <f>IFERROR(__xludf.DUMMYFUNCTION("""COMPUTED_VALUE"""),"https://drive.google.com/file/d/1mDgNjEjLAt8mpsw4GO3w_riveq53lyCu/view?usp=drivesdk")</f>
        <v>https://drive.google.com/file/d/1mDgNjEjLAt8mpsw4GO3w_riveq53lyCu/view?usp=drivesdk</v>
      </c>
      <c r="Q167" s="26" t="str">
        <f>IFERROR(__xludf.DUMMYFUNCTION("""COMPUTED_VALUE"""),"jose@ox-glass.com")</f>
        <v>jose@ox-glass.com</v>
      </c>
      <c r="R167" s="26" t="str">
        <f>IFERROR(__xludf.DUMMYFUNCTION("""COMPUTED_VALUE"""),"WINDOW WAREHOUSE")</f>
        <v>WINDOW WAREHOUSE</v>
      </c>
      <c r="S167" s="26" t="str">
        <f>IFERROR(__xludf.DUMMYFUNCTION("""COMPUTED_VALUE"""),"ENTRY")</f>
        <v>ENTRY</v>
      </c>
    </row>
    <row r="168" ht="22.5" customHeight="1">
      <c r="A168" s="35">
        <f>IFERROR(__xludf.DUMMYFUNCTION("""COMPUTED_VALUE"""),46156.634697905094)</f>
        <v>46156.6347</v>
      </c>
      <c r="B168" s="36" t="str">
        <f>IFERROR(__xludf.DUMMYFUNCTION("""COMPUTED_VALUE"""),"SCREEN")</f>
        <v>SCREEN</v>
      </c>
      <c r="C168" s="26" t="str">
        <f>IFERROR(__xludf.DUMMYFUNCTION("""COMPUTED_VALUE"""),"NO NAME")</f>
        <v>NO NAME</v>
      </c>
      <c r="D168" s="27"/>
      <c r="E168" s="27"/>
      <c r="F168" s="36">
        <f>IFERROR(__xludf.DUMMYFUNCTION("""COMPUTED_VALUE"""),87.0)</f>
        <v>87</v>
      </c>
      <c r="G168" s="27" t="str">
        <f>IFERROR(__xludf.DUMMYFUNCTION("""COMPUTED_VALUE"""),"BOX")</f>
        <v>BOX</v>
      </c>
      <c r="H168" s="37">
        <f>IFERROR(__xludf.DUMMYFUNCTION("""COMPUTED_VALUE"""),46155.0)</f>
        <v>46155</v>
      </c>
      <c r="I168" s="36" t="str">
        <f>IFERROR(__xludf.DUMMYFUNCTION("""COMPUTED_VALUE"""),"WINDOW WAREHOUSE")</f>
        <v>WINDOW WAREHOUSE</v>
      </c>
      <c r="J168" s="30" t="str">
        <f>IFERROR(__xludf.DUMMYFUNCTION("""COMPUTED_VALUE"""),"QUAKER")</f>
        <v>QUAKER</v>
      </c>
      <c r="K168" s="26" t="str">
        <f>IFERROR(__xludf.DUMMYFUNCTION("""COMPUTED_VALUE"""),"87 BOXES OF WINDOW SCREENS IN A PALLET IN THE WINDOW WAREHOUSE.")</f>
        <v>87 BOXES OF WINDOW SCREENS IN A PALLET IN THE WINDOW WAREHOUSE.</v>
      </c>
      <c r="L168" s="30" t="str">
        <f>IFERROR(__xludf.DUMMYFUNCTION("""COMPUTED_VALUE"""),"IN STOCK")</f>
        <v>IN STOCK</v>
      </c>
      <c r="M168" s="26" t="str">
        <f>IFERROR(__xludf.DUMMYFUNCTION("""COMPUTED_VALUE"""),"JOSE C.")</f>
        <v>JOSE C.</v>
      </c>
      <c r="N168" s="26" t="str">
        <f>IFERROR(__xludf.DUMMYFUNCTION("""COMPUTED_VALUE"""),"GENERIC")</f>
        <v>GENERIC</v>
      </c>
      <c r="O168" s="26" t="str">
        <f>IFERROR(__xludf.DUMMYFUNCTION("""COMPUTED_VALUE"""),"SCREEN|||NO NAME")</f>
        <v>SCREEN|||NO NAME</v>
      </c>
      <c r="P168" s="53" t="str">
        <f>IFERROR(__xludf.DUMMYFUNCTION("""COMPUTED_VALUE"""),"https://drive.google.com/file/d/1LwhY7S7PZ-RkJtdHDzpyC_OqtlklqW8V/view?usp=drivesdk")</f>
        <v>https://drive.google.com/file/d/1LwhY7S7PZ-RkJtdHDzpyC_OqtlklqW8V/view?usp=drivesdk</v>
      </c>
      <c r="Q168" s="26" t="str">
        <f>IFERROR(__xludf.DUMMYFUNCTION("""COMPUTED_VALUE"""),"jose@ox-glass.com")</f>
        <v>jose@ox-glass.com</v>
      </c>
      <c r="R168" s="26" t="str">
        <f>IFERROR(__xludf.DUMMYFUNCTION("""COMPUTED_VALUE"""),"WINDOW WAREHOUSE")</f>
        <v>WINDOW WAREHOUSE</v>
      </c>
      <c r="S168" s="26" t="str">
        <f>IFERROR(__xludf.DUMMYFUNCTION("""COMPUTED_VALUE"""),"ENTRY")</f>
        <v>ENTRY</v>
      </c>
    </row>
    <row r="169" ht="22.5" customHeight="1">
      <c r="A169" s="35">
        <f>IFERROR(__xludf.DUMMYFUNCTION("""COMPUTED_VALUE"""),46155.342633217595)</f>
        <v>46155.34263</v>
      </c>
      <c r="B169" s="36" t="str">
        <f>IFERROR(__xludf.DUMMYFUNCTION("""COMPUTED_VALUE"""),"SCREEN")</f>
        <v>SCREEN</v>
      </c>
      <c r="C169" s="26" t="str">
        <f>IFERROR(__xludf.DUMMYFUNCTION("""COMPUTED_VALUE"""),"PAT SC17")</f>
        <v>PAT SC17</v>
      </c>
      <c r="D169" s="27"/>
      <c r="E169" s="27"/>
      <c r="F169" s="36">
        <f>IFERROR(__xludf.DUMMYFUNCTION("""COMPUTED_VALUE"""),11.0)</f>
        <v>11</v>
      </c>
      <c r="G169" s="27" t="str">
        <f>IFERROR(__xludf.DUMMYFUNCTION("""COMPUTED_VALUE"""),"UNIT")</f>
        <v>UNIT</v>
      </c>
      <c r="H169" s="37">
        <f>IFERROR(__xludf.DUMMYFUNCTION("""COMPUTED_VALUE"""),46155.0)</f>
        <v>46155</v>
      </c>
      <c r="I169" s="36" t="str">
        <f>IFERROR(__xludf.DUMMYFUNCTION("""COMPUTED_VALUE"""),"A1B")</f>
        <v>A1B</v>
      </c>
      <c r="J169" s="30"/>
      <c r="K169" s="26"/>
      <c r="L169" s="30" t="str">
        <f>IFERROR(__xludf.DUMMYFUNCTION("""COMPUTED_VALUE"""),"DISPATCHED")</f>
        <v>DISPATCHED</v>
      </c>
      <c r="M169" s="26" t="str">
        <f>IFERROR(__xludf.DUMMYFUNCTION("""COMPUTED_VALUE"""),"STAN T.")</f>
        <v>STAN T.</v>
      </c>
      <c r="N169" s="26" t="str">
        <f>IFERROR(__xludf.DUMMYFUNCTION("""COMPUTED_VALUE"""),"GENERIC")</f>
        <v>GENERIC</v>
      </c>
      <c r="O169" s="26" t="str">
        <f>IFERROR(__xludf.DUMMYFUNCTION("""COMPUTED_VALUE"""),"SCREEN|||PAT SC17")</f>
        <v>SCREEN|||PAT SC17</v>
      </c>
      <c r="P169" s="26"/>
      <c r="Q169" s="26" t="str">
        <f>IFERROR(__xludf.DUMMYFUNCTION("""COMPUTED_VALUE"""),"jose@ox-glass.com")</f>
        <v>jose@ox-glass.com</v>
      </c>
      <c r="R169" s="26" t="str">
        <f>IFERROR(__xludf.DUMMYFUNCTION("""COMPUTED_VALUE"""),"PAT SC17")</f>
        <v>PAT SC17</v>
      </c>
      <c r="S169" s="26" t="str">
        <f>IFERROR(__xludf.DUMMYFUNCTION("""COMPUTED_VALUE"""),"EXIT")</f>
        <v>EXIT</v>
      </c>
    </row>
    <row r="170" ht="22.5" customHeight="1">
      <c r="A170" s="35">
        <f>IFERROR(__xludf.DUMMYFUNCTION("""COMPUTED_VALUE"""),46154.3705290625)</f>
        <v>46154.37053</v>
      </c>
      <c r="B170" s="36" t="str">
        <f>IFERROR(__xludf.DUMMYFUNCTION("""COMPUTED_VALUE"""),"SCREEN")</f>
        <v>SCREEN</v>
      </c>
      <c r="C170" s="26" t="str">
        <f>IFERROR(__xludf.DUMMYFUNCTION("""COMPUTED_VALUE"""),"LGI OQU183")</f>
        <v>LGI OQU183</v>
      </c>
      <c r="D170" s="27"/>
      <c r="E170" s="27" t="str">
        <f>IFERROR(__xludf.DUMMYFUNCTION("""COMPUTED_VALUE"""),"6939")</f>
        <v>6939</v>
      </c>
      <c r="F170" s="36">
        <f>IFERROR(__xludf.DUMMYFUNCTION("""COMPUTED_VALUE"""),4.0)</f>
        <v>4</v>
      </c>
      <c r="G170" s="27" t="str">
        <f>IFERROR(__xludf.DUMMYFUNCTION("""COMPUTED_VALUE"""),"UNIT")</f>
        <v>UNIT</v>
      </c>
      <c r="H170" s="37">
        <f>IFERROR(__xludf.DUMMYFUNCTION("""COMPUTED_VALUE"""),46150.0)</f>
        <v>46150</v>
      </c>
      <c r="I170" s="36"/>
      <c r="J170" s="30" t="str">
        <f>IFERROR(__xludf.DUMMYFUNCTION("""COMPUTED_VALUE"""),"ALSIDE")</f>
        <v>ALSIDE</v>
      </c>
      <c r="K170" s="26" t="str">
        <f>IFERROR(__xludf.DUMMYFUNCTION("""COMPUTED_VALUE"""),"WHITE WINDOW SCREENS")</f>
        <v>WHITE WINDOW SCREENS</v>
      </c>
      <c r="L170" s="30" t="str">
        <f>IFERROR(__xludf.DUMMYFUNCTION("""COMPUTED_VALUE"""),"IN STOCK")</f>
        <v>IN STOCK</v>
      </c>
      <c r="M170" s="26" t="str">
        <f>IFERROR(__xludf.DUMMYFUNCTION("""COMPUTED_VALUE"""),"JOSE C.")</f>
        <v>JOSE C.</v>
      </c>
      <c r="N170" s="26" t="str">
        <f>IFERROR(__xludf.DUMMYFUNCTION("""COMPUTED_VALUE"""),"LGI HOMES")</f>
        <v>LGI HOMES</v>
      </c>
      <c r="O170" s="26" t="str">
        <f>IFERROR(__xludf.DUMMYFUNCTION("""COMPUTED_VALUE"""),"SCREEN|||LGI OQU183")</f>
        <v>SCREEN|||LGI OQU183</v>
      </c>
      <c r="P170" s="26"/>
      <c r="Q170" s="26" t="str">
        <f>IFERROR(__xludf.DUMMYFUNCTION("""COMPUTED_VALUE"""),"jose@ox-glass.com")</f>
        <v>jose@ox-glass.com</v>
      </c>
      <c r="R170" s="26" t="str">
        <f>IFERROR(__xludf.DUMMYFUNCTION("""COMPUTED_VALUE"""),"A2B")</f>
        <v>A2B</v>
      </c>
      <c r="S170" s="26" t="str">
        <f>IFERROR(__xludf.DUMMYFUNCTION("""COMPUTED_VALUE"""),"ENTRY")</f>
        <v>ENTRY</v>
      </c>
      <c r="T170" s="26"/>
    </row>
    <row r="171" ht="22.5" customHeight="1">
      <c r="A171" s="35">
        <f>IFERROR(__xludf.DUMMYFUNCTION("""COMPUTED_VALUE"""),46154.36983506944)</f>
        <v>46154.36984</v>
      </c>
      <c r="B171" s="36" t="str">
        <f>IFERROR(__xludf.DUMMYFUNCTION("""COMPUTED_VALUE"""),"SCREEN")</f>
        <v>SCREEN</v>
      </c>
      <c r="C171" s="26" t="str">
        <f>IFERROR(__xludf.DUMMYFUNCTION("""COMPUTED_VALUE"""),"LGI OQU175")</f>
        <v>LGI OQU175</v>
      </c>
      <c r="D171" s="27" t="str">
        <f>IFERROR(__xludf.DUMMYFUNCTION("""COMPUTED_VALUE"""),"LGI")</f>
        <v>LGI</v>
      </c>
      <c r="E171" s="27" t="str">
        <f>IFERROR(__xludf.DUMMYFUNCTION("""COMPUTED_VALUE"""),"6938")</f>
        <v>6938</v>
      </c>
      <c r="F171" s="36">
        <f>IFERROR(__xludf.DUMMYFUNCTION("""COMPUTED_VALUE"""),4.0)</f>
        <v>4</v>
      </c>
      <c r="G171" s="27" t="str">
        <f>IFERROR(__xludf.DUMMYFUNCTION("""COMPUTED_VALUE"""),"UNIT")</f>
        <v>UNIT</v>
      </c>
      <c r="H171" s="37">
        <f>IFERROR(__xludf.DUMMYFUNCTION("""COMPUTED_VALUE"""),46150.0)</f>
        <v>46150</v>
      </c>
      <c r="I171" s="36"/>
      <c r="J171" s="30" t="str">
        <f>IFERROR(__xludf.DUMMYFUNCTION("""COMPUTED_VALUE"""),"ALSIDE")</f>
        <v>ALSIDE</v>
      </c>
      <c r="K171" s="26" t="str">
        <f>IFERROR(__xludf.DUMMYFUNCTION("""COMPUTED_VALUE"""),"WHITE WINDOW SCREENS")</f>
        <v>WHITE WINDOW SCREENS</v>
      </c>
      <c r="L171" s="30" t="str">
        <f>IFERROR(__xludf.DUMMYFUNCTION("""COMPUTED_VALUE"""),"In Stock")</f>
        <v>In Stock</v>
      </c>
      <c r="M171" s="26" t="str">
        <f>IFERROR(__xludf.DUMMYFUNCTION("""COMPUTED_VALUE"""),"JOSE")</f>
        <v>JOSE</v>
      </c>
      <c r="N171" s="26" t="str">
        <f>IFERROR(__xludf.DUMMYFUNCTION("""COMPUTED_VALUE"""),"LGI OQM175")</f>
        <v>LGI OQM175</v>
      </c>
      <c r="O171" s="26" t="str">
        <f>IFERROR(__xludf.DUMMYFUNCTION("""COMPUTED_VALUE"""),"SCREEN|||LGI OQU175")</f>
        <v>SCREEN|||LGI OQU175</v>
      </c>
      <c r="P171" s="26"/>
      <c r="Q171" s="26" t="str">
        <f>IFERROR(__xludf.DUMMYFUNCTION("""COMPUTED_VALUE"""),"jose@ox-glass.com")</f>
        <v>jose@ox-glass.com</v>
      </c>
      <c r="R171" s="26" t="str">
        <f>IFERROR(__xludf.DUMMYFUNCTION("""COMPUTED_VALUE"""),"A2B")</f>
        <v>A2B</v>
      </c>
      <c r="S171" s="26" t="str">
        <f>IFERROR(__xludf.DUMMYFUNCTION("""COMPUTED_VALUE"""),"ENTRY")</f>
        <v>ENTRY</v>
      </c>
      <c r="T171" s="26"/>
    </row>
    <row r="172" ht="22.5" customHeight="1">
      <c r="A172" s="35">
        <f>IFERROR(__xludf.DUMMYFUNCTION("""COMPUTED_VALUE"""),46154.36924518518)</f>
        <v>46154.36925</v>
      </c>
      <c r="B172" s="36" t="str">
        <f>IFERROR(__xludf.DUMMYFUNCTION("""COMPUTED_VALUE"""),"SCREEN")</f>
        <v>SCREEN</v>
      </c>
      <c r="C172" s="26" t="str">
        <f>IFERROR(__xludf.DUMMYFUNCTION("""COMPUTED_VALUE"""),"LGI OQU60")</f>
        <v>LGI OQU60</v>
      </c>
      <c r="D172" s="27"/>
      <c r="E172" s="27" t="str">
        <f>IFERROR(__xludf.DUMMYFUNCTION("""COMPUTED_VALUE"""),"6935")</f>
        <v>6935</v>
      </c>
      <c r="F172" s="36">
        <f>IFERROR(__xludf.DUMMYFUNCTION("""COMPUTED_VALUE"""),4.0)</f>
        <v>4</v>
      </c>
      <c r="G172" s="27" t="str">
        <f>IFERROR(__xludf.DUMMYFUNCTION("""COMPUTED_VALUE"""),"UNIT")</f>
        <v>UNIT</v>
      </c>
      <c r="H172" s="37">
        <f>IFERROR(__xludf.DUMMYFUNCTION("""COMPUTED_VALUE"""),46150.0)</f>
        <v>46150</v>
      </c>
      <c r="I172" s="36"/>
      <c r="J172" s="30" t="str">
        <f>IFERROR(__xludf.DUMMYFUNCTION("""COMPUTED_VALUE"""),"ALSIDE")</f>
        <v>ALSIDE</v>
      </c>
      <c r="K172" s="26" t="str">
        <f>IFERROR(__xludf.DUMMYFUNCTION("""COMPUTED_VALUE"""),"WHITE WINDOW SCREENS")</f>
        <v>WHITE WINDOW SCREENS</v>
      </c>
      <c r="L172" s="30" t="str">
        <f>IFERROR(__xludf.DUMMYFUNCTION("""COMPUTED_VALUE"""),"IN STOCK")</f>
        <v>IN STOCK</v>
      </c>
      <c r="M172" s="26" t="str">
        <f>IFERROR(__xludf.DUMMYFUNCTION("""COMPUTED_VALUE"""),"JOSE C.")</f>
        <v>JOSE C.</v>
      </c>
      <c r="N172" s="26" t="str">
        <f>IFERROR(__xludf.DUMMYFUNCTION("""COMPUTED_VALUE"""),"LGI HOMES")</f>
        <v>LGI HOMES</v>
      </c>
      <c r="O172" s="26" t="str">
        <f>IFERROR(__xludf.DUMMYFUNCTION("""COMPUTED_VALUE"""),"SCREEN|||LGI OQU60")</f>
        <v>SCREEN|||LGI OQU60</v>
      </c>
      <c r="P172" s="26"/>
      <c r="Q172" s="26" t="str">
        <f>IFERROR(__xludf.DUMMYFUNCTION("""COMPUTED_VALUE"""),"jose@ox-glass.com")</f>
        <v>jose@ox-glass.com</v>
      </c>
      <c r="R172" s="26" t="str">
        <f>IFERROR(__xludf.DUMMYFUNCTION("""COMPUTED_VALUE"""),"A2B")</f>
        <v>A2B</v>
      </c>
      <c r="S172" s="26" t="str">
        <f>IFERROR(__xludf.DUMMYFUNCTION("""COMPUTED_VALUE"""),"ENTRY")</f>
        <v>ENTRY</v>
      </c>
      <c r="T172" s="26"/>
    </row>
    <row r="173" ht="22.5" customHeight="1">
      <c r="A173" s="35">
        <f>IFERROR(__xludf.DUMMYFUNCTION("""COMPUTED_VALUE"""),46154.36873832176)</f>
        <v>46154.36874</v>
      </c>
      <c r="B173" s="36" t="str">
        <f>IFERROR(__xludf.DUMMYFUNCTION("""COMPUTED_VALUE"""),"SCREEN")</f>
        <v>SCREEN</v>
      </c>
      <c r="C173" s="26" t="str">
        <f>IFERROR(__xludf.DUMMYFUNCTION("""COMPUTED_VALUE"""),"LGI OQU66")</f>
        <v>LGI OQU66</v>
      </c>
      <c r="D173" s="27"/>
      <c r="E173" s="27" t="str">
        <f>IFERROR(__xludf.DUMMYFUNCTION("""COMPUTED_VALUE"""),"6936")</f>
        <v>6936</v>
      </c>
      <c r="F173" s="36">
        <f>IFERROR(__xludf.DUMMYFUNCTION("""COMPUTED_VALUE"""),4.0)</f>
        <v>4</v>
      </c>
      <c r="G173" s="27" t="str">
        <f>IFERROR(__xludf.DUMMYFUNCTION("""COMPUTED_VALUE"""),"UNIT")</f>
        <v>UNIT</v>
      </c>
      <c r="H173" s="37">
        <f>IFERROR(__xludf.DUMMYFUNCTION("""COMPUTED_VALUE"""),46150.0)</f>
        <v>46150</v>
      </c>
      <c r="I173" s="36"/>
      <c r="J173" s="30" t="str">
        <f>IFERROR(__xludf.DUMMYFUNCTION("""COMPUTED_VALUE"""),"ALSIDE")</f>
        <v>ALSIDE</v>
      </c>
      <c r="K173" s="26" t="str">
        <f>IFERROR(__xludf.DUMMYFUNCTION("""COMPUTED_VALUE"""),"WHITE WINDOW SCREENS")</f>
        <v>WHITE WINDOW SCREENS</v>
      </c>
      <c r="L173" s="30" t="str">
        <f>IFERROR(__xludf.DUMMYFUNCTION("""COMPUTED_VALUE"""),"IN STOCK")</f>
        <v>IN STOCK</v>
      </c>
      <c r="M173" s="26" t="str">
        <f>IFERROR(__xludf.DUMMYFUNCTION("""COMPUTED_VALUE"""),"JOSE C.")</f>
        <v>JOSE C.</v>
      </c>
      <c r="N173" s="26" t="str">
        <f>IFERROR(__xludf.DUMMYFUNCTION("""COMPUTED_VALUE"""),"LGI HOMES")</f>
        <v>LGI HOMES</v>
      </c>
      <c r="O173" s="26" t="str">
        <f>IFERROR(__xludf.DUMMYFUNCTION("""COMPUTED_VALUE"""),"SCREEN|||LGI OQU66")</f>
        <v>SCREEN|||LGI OQU66</v>
      </c>
      <c r="P173" s="26"/>
      <c r="Q173" s="26" t="str">
        <f>IFERROR(__xludf.DUMMYFUNCTION("""COMPUTED_VALUE"""),"jose@ox-glass.com")</f>
        <v>jose@ox-glass.com</v>
      </c>
      <c r="R173" s="26" t="str">
        <f>IFERROR(__xludf.DUMMYFUNCTION("""COMPUTED_VALUE"""),"A2B")</f>
        <v>A2B</v>
      </c>
      <c r="S173" s="26" t="str">
        <f>IFERROR(__xludf.DUMMYFUNCTION("""COMPUTED_VALUE"""),"ENTRY")</f>
        <v>ENTRY</v>
      </c>
      <c r="T173" s="26"/>
    </row>
    <row r="174" ht="22.5" customHeight="1">
      <c r="A174" s="35">
        <f>IFERROR(__xludf.DUMMYFUNCTION("""COMPUTED_VALUE"""),46154.367668506944)</f>
        <v>46154.36767</v>
      </c>
      <c r="B174" s="36" t="str">
        <f>IFERROR(__xludf.DUMMYFUNCTION("""COMPUTED_VALUE"""),"SCREEN")</f>
        <v>SCREEN</v>
      </c>
      <c r="C174" s="26" t="str">
        <f>IFERROR(__xludf.DUMMYFUNCTION("""COMPUTED_VALUE"""),"LGI44_49 REORDER")</f>
        <v>LGI44_49 REORDER</v>
      </c>
      <c r="D174" s="27"/>
      <c r="E174" s="27" t="str">
        <f>IFERROR(__xludf.DUMMYFUNCTION("""COMPUTED_VALUE"""),"6923")</f>
        <v>6923</v>
      </c>
      <c r="F174" s="36">
        <f>IFERROR(__xludf.DUMMYFUNCTION("""COMPUTED_VALUE"""),1.0)</f>
        <v>1</v>
      </c>
      <c r="G174" s="27" t="str">
        <f>IFERROR(__xludf.DUMMYFUNCTION("""COMPUTED_VALUE"""),"UNIT")</f>
        <v>UNIT</v>
      </c>
      <c r="H174" s="37">
        <f>IFERROR(__xludf.DUMMYFUNCTION("""COMPUTED_VALUE"""),46150.0)</f>
        <v>46150</v>
      </c>
      <c r="I174" s="36"/>
      <c r="J174" s="30" t="str">
        <f>IFERROR(__xludf.DUMMYFUNCTION("""COMPUTED_VALUE"""),"ALSIDE")</f>
        <v>ALSIDE</v>
      </c>
      <c r="K174" s="26" t="str">
        <f>IFERROR(__xludf.DUMMYFUNCTION("""COMPUTED_VALUE"""),"WHITE WINDOW SCREENS, REORDER FOR JOE L. LGI DE")</f>
        <v>WHITE WINDOW SCREENS, REORDER FOR JOE L. LGI DE</v>
      </c>
      <c r="L174" s="30" t="str">
        <f>IFERROR(__xludf.DUMMYFUNCTION("""COMPUTED_VALUE"""),"IN STOCK")</f>
        <v>IN STOCK</v>
      </c>
      <c r="M174" s="26" t="str">
        <f>IFERROR(__xludf.DUMMYFUNCTION("""COMPUTED_VALUE"""),"JOSE C.")</f>
        <v>JOSE C.</v>
      </c>
      <c r="N174" s="26" t="str">
        <f>IFERROR(__xludf.DUMMYFUNCTION("""COMPUTED_VALUE"""),"LGI")</f>
        <v>LGI</v>
      </c>
      <c r="O174" s="26" t="str">
        <f>IFERROR(__xludf.DUMMYFUNCTION("""COMPUTED_VALUE"""),"SCREEN|||LGI44_49 REORDER")</f>
        <v>SCREEN|||LGI44_49 REORDER</v>
      </c>
      <c r="P174" s="26"/>
      <c r="Q174" s="26" t="str">
        <f>IFERROR(__xludf.DUMMYFUNCTION("""COMPUTED_VALUE"""),"jose@ox-glass.com")</f>
        <v>jose@ox-glass.com</v>
      </c>
      <c r="R174" s="26" t="str">
        <f>IFERROR(__xludf.DUMMYFUNCTION("""COMPUTED_VALUE"""),"A2B")</f>
        <v>A2B</v>
      </c>
      <c r="S174" s="26" t="str">
        <f>IFERROR(__xludf.DUMMYFUNCTION("""COMPUTED_VALUE"""),"ENTRY")</f>
        <v>ENTRY</v>
      </c>
      <c r="T174" s="26"/>
    </row>
    <row r="175" ht="22.5" customHeight="1">
      <c r="A175" s="35">
        <f>IFERROR(__xludf.DUMMYFUNCTION("""COMPUTED_VALUE"""),46154.3666874537)</f>
        <v>46154.36669</v>
      </c>
      <c r="B175" s="36" t="str">
        <f>IFERROR(__xludf.DUMMYFUNCTION("""COMPUTED_VALUE"""),"SCREEN")</f>
        <v>SCREEN</v>
      </c>
      <c r="C175" s="26" t="str">
        <f>IFERROR(__xludf.DUMMYFUNCTION("""COMPUTED_VALUE"""),"LGI OQU67")</f>
        <v>LGI OQU67</v>
      </c>
      <c r="D175" s="27"/>
      <c r="E175" s="27" t="str">
        <f>IFERROR(__xludf.DUMMYFUNCTION("""COMPUTED_VALUE"""),"6937")</f>
        <v>6937</v>
      </c>
      <c r="F175" s="36">
        <f>IFERROR(__xludf.DUMMYFUNCTION("""COMPUTED_VALUE"""),4.0)</f>
        <v>4</v>
      </c>
      <c r="G175" s="27" t="str">
        <f>IFERROR(__xludf.DUMMYFUNCTION("""COMPUTED_VALUE"""),"UNIT")</f>
        <v>UNIT</v>
      </c>
      <c r="H175" s="37">
        <f>IFERROR(__xludf.DUMMYFUNCTION("""COMPUTED_VALUE"""),46150.0)</f>
        <v>46150</v>
      </c>
      <c r="I175" s="36"/>
      <c r="J175" s="30" t="str">
        <f>IFERROR(__xludf.DUMMYFUNCTION("""COMPUTED_VALUE"""),"ALSIDE")</f>
        <v>ALSIDE</v>
      </c>
      <c r="K175" s="26" t="str">
        <f>IFERROR(__xludf.DUMMYFUNCTION("""COMPUTED_VALUE"""),"WHITE WINDOW SCREENS")</f>
        <v>WHITE WINDOW SCREENS</v>
      </c>
      <c r="L175" s="30" t="str">
        <f>IFERROR(__xludf.DUMMYFUNCTION("""COMPUTED_VALUE"""),"IN STOCK")</f>
        <v>IN STOCK</v>
      </c>
      <c r="M175" s="26" t="str">
        <f>IFERROR(__xludf.DUMMYFUNCTION("""COMPUTED_VALUE"""),"JOSE C.")</f>
        <v>JOSE C.</v>
      </c>
      <c r="N175" s="26" t="str">
        <f>IFERROR(__xludf.DUMMYFUNCTION("""COMPUTED_VALUE"""),"LGI HOMES")</f>
        <v>LGI HOMES</v>
      </c>
      <c r="O175" s="26" t="str">
        <f>IFERROR(__xludf.DUMMYFUNCTION("""COMPUTED_VALUE"""),"SCREEN|||LGI OQU67")</f>
        <v>SCREEN|||LGI OQU67</v>
      </c>
      <c r="P175" s="26"/>
      <c r="Q175" s="26" t="str">
        <f>IFERROR(__xludf.DUMMYFUNCTION("""COMPUTED_VALUE"""),"jose@ox-glass.com")</f>
        <v>jose@ox-glass.com</v>
      </c>
      <c r="R175" s="26" t="str">
        <f>IFERROR(__xludf.DUMMYFUNCTION("""COMPUTED_VALUE"""),"A2B")</f>
        <v>A2B</v>
      </c>
      <c r="S175" s="26" t="str">
        <f>IFERROR(__xludf.DUMMYFUNCTION("""COMPUTED_VALUE"""),"ENTRY")</f>
        <v>ENTRY</v>
      </c>
      <c r="T175" s="26"/>
    </row>
    <row r="176" ht="22.5" customHeight="1">
      <c r="A176" s="35">
        <f>IFERROR(__xludf.DUMMYFUNCTION("""COMPUTED_VALUE"""),46154.344902523146)</f>
        <v>46154.3449</v>
      </c>
      <c r="B176" s="36" t="str">
        <f>IFERROR(__xludf.DUMMYFUNCTION("""COMPUTED_VALUE"""),"SCREEN")</f>
        <v>SCREEN</v>
      </c>
      <c r="C176" s="26" t="str">
        <f>IFERROR(__xludf.DUMMYFUNCTION("""COMPUTED_VALUE"""),"WASATCH SPRINGS")</f>
        <v>WASATCH SPRINGS</v>
      </c>
      <c r="D176" s="27"/>
      <c r="E176" s="27" t="str">
        <f>IFERROR(__xludf.DUMMYFUNCTION("""COMPUTED_VALUE"""),"E809")</f>
        <v>E809</v>
      </c>
      <c r="F176" s="36">
        <f>IFERROR(__xludf.DUMMYFUNCTION("""COMPUTED_VALUE"""),13.0)</f>
        <v>13</v>
      </c>
      <c r="G176" s="27" t="str">
        <f>IFERROR(__xludf.DUMMYFUNCTION("""COMPUTED_VALUE"""),"UNIT")</f>
        <v>UNIT</v>
      </c>
      <c r="H176" s="37">
        <f>IFERROR(__xludf.DUMMYFUNCTION("""COMPUTED_VALUE"""),46148.0)</f>
        <v>46148</v>
      </c>
      <c r="I176" s="36"/>
      <c r="J176" s="30" t="str">
        <f>IFERROR(__xludf.DUMMYFUNCTION("""COMPUTED_VALUE"""),"ALSIDE")</f>
        <v>ALSIDE</v>
      </c>
      <c r="K176" s="26" t="str">
        <f>IFERROR(__xludf.DUMMYFUNCTION("""COMPUTED_VALUE"""),"WHITE WINDOW SCREENS, 5@41 1/16 X 30 5/16,
8@35 1/16 X 30 5/16")</f>
        <v>WHITE WINDOW SCREENS, 5@41 1/16 X 30 5/16,
8@35 1/16 X 30 5/16</v>
      </c>
      <c r="L176" s="30" t="str">
        <f>IFERROR(__xludf.DUMMYFUNCTION("""COMPUTED_VALUE"""),"IN STOCK")</f>
        <v>IN STOCK</v>
      </c>
      <c r="M176" s="26" t="str">
        <f>IFERROR(__xludf.DUMMYFUNCTION("""COMPUTED_VALUE"""),"JOSE C.")</f>
        <v>JOSE C.</v>
      </c>
      <c r="N176" s="26" t="str">
        <f>IFERROR(__xludf.DUMMYFUNCTION("""COMPUTED_VALUE"""),"WASATCH SPRINGS")</f>
        <v>WASATCH SPRINGS</v>
      </c>
      <c r="O176" s="26" t="str">
        <f>IFERROR(__xludf.DUMMYFUNCTION("""COMPUTED_VALUE"""),"SCREEN|||WASATCH SPRINGS")</f>
        <v>SCREEN|||WASATCH SPRINGS</v>
      </c>
      <c r="P176" s="26"/>
      <c r="Q176" s="26" t="str">
        <f>IFERROR(__xludf.DUMMYFUNCTION("""COMPUTED_VALUE"""),"jose@ox-glass.com")</f>
        <v>jose@ox-glass.com</v>
      </c>
      <c r="R176" s="26" t="str">
        <f>IFERROR(__xludf.DUMMYFUNCTION("""COMPUTED_VALUE"""),"A2B")</f>
        <v>A2B</v>
      </c>
      <c r="S176" s="26" t="str">
        <f>IFERROR(__xludf.DUMMYFUNCTION("""COMPUTED_VALUE"""),"ENTRY")</f>
        <v>ENTRY</v>
      </c>
      <c r="T176" s="26"/>
    </row>
    <row r="177" ht="22.5" customHeight="1">
      <c r="A177" s="35">
        <f>IFERROR(__xludf.DUMMYFUNCTION("""COMPUTED_VALUE"""),46153.432814375)</f>
        <v>46153.43281</v>
      </c>
      <c r="B177" s="36" t="str">
        <f>IFERROR(__xludf.DUMMYFUNCTION("""COMPUTED_VALUE"""),"SCREEN")</f>
        <v>SCREEN</v>
      </c>
      <c r="C177" s="26" t="str">
        <f>IFERROR(__xludf.DUMMYFUNCTION("""COMPUTED_VALUE"""),"LGI OQU185")</f>
        <v>LGI OQU185</v>
      </c>
      <c r="D177" s="27" t="str">
        <f>IFERROR(__xludf.DUMMYFUNCTION("""COMPUTED_VALUE"""),"LGI")</f>
        <v>LGI</v>
      </c>
      <c r="E177" s="27" t="str">
        <f>IFERROR(__xludf.DUMMYFUNCTION("""COMPUTED_VALUE"""),"6940")</f>
        <v>6940</v>
      </c>
      <c r="F177" s="36">
        <f>IFERROR(__xludf.DUMMYFUNCTION("""COMPUTED_VALUE"""),4.0)</f>
        <v>4</v>
      </c>
      <c r="G177" s="27" t="str">
        <f>IFERROR(__xludf.DUMMYFUNCTION("""COMPUTED_VALUE"""),"UNIT")</f>
        <v>UNIT</v>
      </c>
      <c r="H177" s="37">
        <f>IFERROR(__xludf.DUMMYFUNCTION("""COMPUTED_VALUE"""),46150.0)</f>
        <v>46150</v>
      </c>
      <c r="I177" s="36"/>
      <c r="J177" s="30" t="str">
        <f>IFERROR(__xludf.DUMMYFUNCTION("""COMPUTED_VALUE"""),"ALSIDE")</f>
        <v>ALSIDE</v>
      </c>
      <c r="K177" s="26" t="str">
        <f>IFERROR(__xludf.DUMMYFUNCTION("""COMPUTED_VALUE"""),"2LGIOQU185-GLENWOOD, WHITE WINDOW SCREENS")</f>
        <v>2LGIOQU185-GLENWOOD, WHITE WINDOW SCREENS</v>
      </c>
      <c r="L177" s="30" t="str">
        <f>IFERROR(__xludf.DUMMYFUNCTION("""COMPUTED_VALUE"""),"IN STOCK")</f>
        <v>IN STOCK</v>
      </c>
      <c r="M177" s="26" t="str">
        <f>IFERROR(__xludf.DUMMYFUNCTION("""COMPUTED_VALUE"""),"JOSE C.")</f>
        <v>JOSE C.</v>
      </c>
      <c r="N177" s="26" t="str">
        <f>IFERROR(__xludf.DUMMYFUNCTION("""COMPUTED_VALUE"""),"LGI HOMES")</f>
        <v>LGI HOMES</v>
      </c>
      <c r="O177" s="26" t="str">
        <f>IFERROR(__xludf.DUMMYFUNCTION("""COMPUTED_VALUE"""),"SCREEN|||LGI OQU185")</f>
        <v>SCREEN|||LGI OQU185</v>
      </c>
      <c r="P177" s="26"/>
      <c r="Q177" s="26" t="str">
        <f>IFERROR(__xludf.DUMMYFUNCTION("""COMPUTED_VALUE"""),"jose@ox-glass.com")</f>
        <v>jose@ox-glass.com</v>
      </c>
      <c r="R177" s="26" t="str">
        <f>IFERROR(__xludf.DUMMYFUNCTION("""COMPUTED_VALUE"""),"A2B")</f>
        <v>A2B</v>
      </c>
      <c r="S177" s="26" t="str">
        <f>IFERROR(__xludf.DUMMYFUNCTION("""COMPUTED_VALUE"""),"ENTRY")</f>
        <v>ENTRY</v>
      </c>
      <c r="T177" s="26"/>
    </row>
    <row r="178" ht="22.5" customHeight="1">
      <c r="A178" s="35">
        <f>IFERROR(__xludf.DUMMYFUNCTION("""COMPUTED_VALUE"""),46153.393671157406)</f>
        <v>46153.39367</v>
      </c>
      <c r="B178" s="36" t="str">
        <f>IFERROR(__xludf.DUMMYFUNCTION("""COMPUTED_VALUE"""),"SCREEN")</f>
        <v>SCREEN</v>
      </c>
      <c r="C178" s="26" t="str">
        <f>IFERROR(__xludf.DUMMYFUNCTION("""COMPUTED_VALUE"""),"LGI OQU60")</f>
        <v>LGI OQU60</v>
      </c>
      <c r="D178" s="27" t="str">
        <f>IFERROR(__xludf.DUMMYFUNCTION("""COMPUTED_VALUE"""),"LGI")</f>
        <v>LGI</v>
      </c>
      <c r="E178" s="27" t="str">
        <f>IFERROR(__xludf.DUMMYFUNCTION("""COMPUTED_VALUE"""),"6935")</f>
        <v>6935</v>
      </c>
      <c r="F178" s="36">
        <f>IFERROR(__xludf.DUMMYFUNCTION("""COMPUTED_VALUE"""),1.0)</f>
        <v>1</v>
      </c>
      <c r="G178" s="27" t="str">
        <f>IFERROR(__xludf.DUMMYFUNCTION("""COMPUTED_VALUE"""),"UNIT")</f>
        <v>UNIT</v>
      </c>
      <c r="H178" s="37">
        <f>IFERROR(__xludf.DUMMYFUNCTION("""COMPUTED_VALUE"""),46150.0)</f>
        <v>46150</v>
      </c>
      <c r="I178" s="36"/>
      <c r="J178" s="30" t="str">
        <f>IFERROR(__xludf.DUMMYFUNCTION("""COMPUTED_VALUE"""),"ALSIDE")</f>
        <v>ALSIDE</v>
      </c>
      <c r="K178" s="26" t="str">
        <f>IFERROR(__xludf.DUMMYFUNCTION("""COMPUTED_VALUE"""),"WHITE DOOR SCREN")</f>
        <v>WHITE DOOR SCREN</v>
      </c>
      <c r="L178" s="30" t="str">
        <f>IFERROR(__xludf.DUMMYFUNCTION("""COMPUTED_VALUE"""),"IN STOCK")</f>
        <v>IN STOCK</v>
      </c>
      <c r="M178" s="26" t="str">
        <f>IFERROR(__xludf.DUMMYFUNCTION("""COMPUTED_VALUE"""),"JOSE C.")</f>
        <v>JOSE C.</v>
      </c>
      <c r="N178" s="26" t="str">
        <f>IFERROR(__xludf.DUMMYFUNCTION("""COMPUTED_VALUE"""),"LGI HOMES")</f>
        <v>LGI HOMES</v>
      </c>
      <c r="O178" s="26" t="str">
        <f>IFERROR(__xludf.DUMMYFUNCTION("""COMPUTED_VALUE"""),"SCREEN|||LGI OQU60")</f>
        <v>SCREEN|||LGI OQU60</v>
      </c>
      <c r="P178" s="26"/>
      <c r="Q178" s="26" t="str">
        <f>IFERROR(__xludf.DUMMYFUNCTION("""COMPUTED_VALUE"""),"jose@ox-glass.com")</f>
        <v>jose@ox-glass.com</v>
      </c>
      <c r="R178" s="26" t="str">
        <f>IFERROR(__xludf.DUMMYFUNCTION("""COMPUTED_VALUE"""),"P3C")</f>
        <v>P3C</v>
      </c>
      <c r="S178" s="26" t="str">
        <f>IFERROR(__xludf.DUMMYFUNCTION("""COMPUTED_VALUE"""),"ENTRY")</f>
        <v>ENTRY</v>
      </c>
      <c r="T178" s="26"/>
    </row>
    <row r="179" ht="22.5" customHeight="1">
      <c r="A179" s="35">
        <f>IFERROR(__xludf.DUMMYFUNCTION("""COMPUTED_VALUE"""),46153.39205387732)</f>
        <v>46153.39205</v>
      </c>
      <c r="B179" s="36" t="str">
        <f>IFERROR(__xludf.DUMMYFUNCTION("""COMPUTED_VALUE"""),"SCREEN")</f>
        <v>SCREEN</v>
      </c>
      <c r="C179" s="26" t="str">
        <f>IFERROR(__xludf.DUMMYFUNCTION("""COMPUTED_VALUE"""),"LGI OQU67")</f>
        <v>LGI OQU67</v>
      </c>
      <c r="D179" s="27" t="str">
        <f>IFERROR(__xludf.DUMMYFUNCTION("""COMPUTED_VALUE"""),"LGI")</f>
        <v>LGI</v>
      </c>
      <c r="E179" s="27" t="str">
        <f>IFERROR(__xludf.DUMMYFUNCTION("""COMPUTED_VALUE"""),"6937")</f>
        <v>6937</v>
      </c>
      <c r="F179" s="36">
        <f>IFERROR(__xludf.DUMMYFUNCTION("""COMPUTED_VALUE"""),1.0)</f>
        <v>1</v>
      </c>
      <c r="G179" s="27" t="str">
        <f>IFERROR(__xludf.DUMMYFUNCTION("""COMPUTED_VALUE"""),"UNIT")</f>
        <v>UNIT</v>
      </c>
      <c r="H179" s="37">
        <f>IFERROR(__xludf.DUMMYFUNCTION("""COMPUTED_VALUE"""),46150.0)</f>
        <v>46150</v>
      </c>
      <c r="I179" s="36"/>
      <c r="J179" s="30" t="str">
        <f>IFERROR(__xludf.DUMMYFUNCTION("""COMPUTED_VALUE"""),"ALSIDE")</f>
        <v>ALSIDE</v>
      </c>
      <c r="K179" s="26" t="str">
        <f>IFERROR(__xludf.DUMMYFUNCTION("""COMPUTED_VALUE"""),"WHITE DOOR SCREEN")</f>
        <v>WHITE DOOR SCREEN</v>
      </c>
      <c r="L179" s="30" t="str">
        <f>IFERROR(__xludf.DUMMYFUNCTION("""COMPUTED_VALUE"""),"IN STOCK")</f>
        <v>IN STOCK</v>
      </c>
      <c r="M179" s="26" t="str">
        <f>IFERROR(__xludf.DUMMYFUNCTION("""COMPUTED_VALUE"""),"JOSE C.")</f>
        <v>JOSE C.</v>
      </c>
      <c r="N179" s="26" t="str">
        <f>IFERROR(__xludf.DUMMYFUNCTION("""COMPUTED_VALUE"""),"LGI HOMES")</f>
        <v>LGI HOMES</v>
      </c>
      <c r="O179" s="26" t="str">
        <f>IFERROR(__xludf.DUMMYFUNCTION("""COMPUTED_VALUE"""),"SCREEN|||LGI OQU67")</f>
        <v>SCREEN|||LGI OQU67</v>
      </c>
      <c r="P179" s="26"/>
      <c r="Q179" s="26" t="str">
        <f>IFERROR(__xludf.DUMMYFUNCTION("""COMPUTED_VALUE"""),"jose@ox-glass.com")</f>
        <v>jose@ox-glass.com</v>
      </c>
      <c r="R179" s="26" t="str">
        <f>IFERROR(__xludf.DUMMYFUNCTION("""COMPUTED_VALUE"""),"P3C")</f>
        <v>P3C</v>
      </c>
      <c r="S179" s="26" t="str">
        <f>IFERROR(__xludf.DUMMYFUNCTION("""COMPUTED_VALUE"""),"ENTRY")</f>
        <v>ENTRY</v>
      </c>
      <c r="T179" s="26"/>
    </row>
    <row r="180" ht="22.5" customHeight="1">
      <c r="A180" s="35">
        <f>IFERROR(__xludf.DUMMYFUNCTION("""COMPUTED_VALUE"""),46153.39036534722)</f>
        <v>46153.39037</v>
      </c>
      <c r="B180" s="36" t="str">
        <f>IFERROR(__xludf.DUMMYFUNCTION("""COMPUTED_VALUE"""),"SCREEN")</f>
        <v>SCREEN</v>
      </c>
      <c r="C180" s="26" t="str">
        <f>IFERROR(__xludf.DUMMYFUNCTION("""COMPUTED_VALUE"""),"LGI OQU66")</f>
        <v>LGI OQU66</v>
      </c>
      <c r="D180" s="27" t="str">
        <f>IFERROR(__xludf.DUMMYFUNCTION("""COMPUTED_VALUE"""),"LGI")</f>
        <v>LGI</v>
      </c>
      <c r="E180" s="27" t="str">
        <f>IFERROR(__xludf.DUMMYFUNCTION("""COMPUTED_VALUE"""),"6936")</f>
        <v>6936</v>
      </c>
      <c r="F180" s="36">
        <f>IFERROR(__xludf.DUMMYFUNCTION("""COMPUTED_VALUE"""),1.0)</f>
        <v>1</v>
      </c>
      <c r="G180" s="27" t="str">
        <f>IFERROR(__xludf.DUMMYFUNCTION("""COMPUTED_VALUE"""),"UNIT")</f>
        <v>UNIT</v>
      </c>
      <c r="H180" s="37">
        <f>IFERROR(__xludf.DUMMYFUNCTION("""COMPUTED_VALUE"""),46150.0)</f>
        <v>46150</v>
      </c>
      <c r="I180" s="36"/>
      <c r="J180" s="30" t="str">
        <f>IFERROR(__xludf.DUMMYFUNCTION("""COMPUTED_VALUE"""),"ALSIDE")</f>
        <v>ALSIDE</v>
      </c>
      <c r="K180" s="26" t="str">
        <f>IFERROR(__xludf.DUMMYFUNCTION("""COMPUTED_VALUE"""),"WHITE DOOR SCREENS")</f>
        <v>WHITE DOOR SCREENS</v>
      </c>
      <c r="L180" s="30" t="str">
        <f>IFERROR(__xludf.DUMMYFUNCTION("""COMPUTED_VALUE"""),"IN STOCK")</f>
        <v>IN STOCK</v>
      </c>
      <c r="M180" s="26" t="str">
        <f>IFERROR(__xludf.DUMMYFUNCTION("""COMPUTED_VALUE"""),"JOSE C.")</f>
        <v>JOSE C.</v>
      </c>
      <c r="N180" s="26" t="str">
        <f>IFERROR(__xludf.DUMMYFUNCTION("""COMPUTED_VALUE"""),"LGI HOMES")</f>
        <v>LGI HOMES</v>
      </c>
      <c r="O180" s="26" t="str">
        <f>IFERROR(__xludf.DUMMYFUNCTION("""COMPUTED_VALUE"""),"SCREEN|||LGI OQU66")</f>
        <v>SCREEN|||LGI OQU66</v>
      </c>
      <c r="P180" s="26"/>
      <c r="Q180" s="26" t="str">
        <f>IFERROR(__xludf.DUMMYFUNCTION("""COMPUTED_VALUE"""),"jose@ox-glass.com")</f>
        <v>jose@ox-glass.com</v>
      </c>
      <c r="R180" s="26" t="str">
        <f>IFERROR(__xludf.DUMMYFUNCTION("""COMPUTED_VALUE"""),"P3C")</f>
        <v>P3C</v>
      </c>
      <c r="S180" s="26" t="str">
        <f>IFERROR(__xludf.DUMMYFUNCTION("""COMPUTED_VALUE"""),"ENTRY")</f>
        <v>ENTRY</v>
      </c>
      <c r="T180" s="26"/>
    </row>
    <row r="181" ht="22.5" customHeight="1">
      <c r="A181" s="35">
        <f>IFERROR(__xludf.DUMMYFUNCTION("""COMPUTED_VALUE"""),46153.37738334491)</f>
        <v>46153.37738</v>
      </c>
      <c r="B181" s="36" t="str">
        <f>IFERROR(__xludf.DUMMYFUNCTION("""COMPUTED_VALUE"""),"SCREEN")</f>
        <v>SCREEN</v>
      </c>
      <c r="C181" s="26" t="str">
        <f>IFERROR(__xludf.DUMMYFUNCTION("""COMPUTED_VALUE"""),"LGI OQU183")</f>
        <v>LGI OQU183</v>
      </c>
      <c r="D181" s="27" t="str">
        <f>IFERROR(__xludf.DUMMYFUNCTION("""COMPUTED_VALUE"""),"LGI")</f>
        <v>LGI</v>
      </c>
      <c r="E181" s="27" t="str">
        <f>IFERROR(__xludf.DUMMYFUNCTION("""COMPUTED_VALUE"""),"6939")</f>
        <v>6939</v>
      </c>
      <c r="F181" s="36">
        <f>IFERROR(__xludf.DUMMYFUNCTION("""COMPUTED_VALUE"""),1.0)</f>
        <v>1</v>
      </c>
      <c r="G181" s="27" t="str">
        <f>IFERROR(__xludf.DUMMYFUNCTION("""COMPUTED_VALUE"""),"UNIT")</f>
        <v>UNIT</v>
      </c>
      <c r="H181" s="37">
        <f>IFERROR(__xludf.DUMMYFUNCTION("""COMPUTED_VALUE"""),46150.0)</f>
        <v>46150</v>
      </c>
      <c r="I181" s="36"/>
      <c r="J181" s="30" t="str">
        <f>IFERROR(__xludf.DUMMYFUNCTION("""COMPUTED_VALUE"""),"ALSIDE")</f>
        <v>ALSIDE</v>
      </c>
      <c r="K181" s="26" t="str">
        <f>IFERROR(__xludf.DUMMYFUNCTION("""COMPUTED_VALUE"""),"WHITE DOOR SCREEN")</f>
        <v>WHITE DOOR SCREEN</v>
      </c>
      <c r="L181" s="30" t="str">
        <f>IFERROR(__xludf.DUMMYFUNCTION("""COMPUTED_VALUE"""),"IN STOCK")</f>
        <v>IN STOCK</v>
      </c>
      <c r="M181" s="26" t="str">
        <f>IFERROR(__xludf.DUMMYFUNCTION("""COMPUTED_VALUE"""),"JOSE C.")</f>
        <v>JOSE C.</v>
      </c>
      <c r="N181" s="26" t="str">
        <f>IFERROR(__xludf.DUMMYFUNCTION("""COMPUTED_VALUE"""),"LGI HOMES")</f>
        <v>LGI HOMES</v>
      </c>
      <c r="O181" s="26" t="str">
        <f>IFERROR(__xludf.DUMMYFUNCTION("""COMPUTED_VALUE"""),"SCREEN|||LGI OQU183")</f>
        <v>SCREEN|||LGI OQU183</v>
      </c>
      <c r="P181" s="26"/>
      <c r="Q181" s="26" t="str">
        <f>IFERROR(__xludf.DUMMYFUNCTION("""COMPUTED_VALUE"""),"jose@ox-glass.com")</f>
        <v>jose@ox-glass.com</v>
      </c>
      <c r="R181" s="26" t="str">
        <f>IFERROR(__xludf.DUMMYFUNCTION("""COMPUTED_VALUE"""),"P3C")</f>
        <v>P3C</v>
      </c>
      <c r="S181" s="26" t="str">
        <f>IFERROR(__xludf.DUMMYFUNCTION("""COMPUTED_VALUE"""),"ENTRY")</f>
        <v>ENTRY</v>
      </c>
      <c r="T181" s="26"/>
    </row>
    <row r="182" ht="22.5" customHeight="1">
      <c r="A182" s="35">
        <f>IFERROR(__xludf.DUMMYFUNCTION("""COMPUTED_VALUE"""),46153.37636616898)</f>
        <v>46153.37637</v>
      </c>
      <c r="B182" s="36" t="str">
        <f>IFERROR(__xludf.DUMMYFUNCTION("""COMPUTED_VALUE"""),"SCREEN")</f>
        <v>SCREEN</v>
      </c>
      <c r="C182" s="26" t="str">
        <f>IFERROR(__xludf.DUMMYFUNCTION("""COMPUTED_VALUE"""),"LGI OQU175")</f>
        <v>LGI OQU175</v>
      </c>
      <c r="D182" s="27" t="str">
        <f>IFERROR(__xludf.DUMMYFUNCTION("""COMPUTED_VALUE"""),"LGI")</f>
        <v>LGI</v>
      </c>
      <c r="E182" s="27" t="str">
        <f>IFERROR(__xludf.DUMMYFUNCTION("""COMPUTED_VALUE"""),"6938")</f>
        <v>6938</v>
      </c>
      <c r="F182" s="36">
        <f>IFERROR(__xludf.DUMMYFUNCTION("""COMPUTED_VALUE"""),1.0)</f>
        <v>1</v>
      </c>
      <c r="G182" s="27" t="str">
        <f>IFERROR(__xludf.DUMMYFUNCTION("""COMPUTED_VALUE"""),"UNIT")</f>
        <v>UNIT</v>
      </c>
      <c r="H182" s="37">
        <f>IFERROR(__xludf.DUMMYFUNCTION("""COMPUTED_VALUE"""),46150.0)</f>
        <v>46150</v>
      </c>
      <c r="I182" s="36"/>
      <c r="J182" s="30" t="str">
        <f>IFERROR(__xludf.DUMMYFUNCTION("""COMPUTED_VALUE"""),"ALSIDE")</f>
        <v>ALSIDE</v>
      </c>
      <c r="K182" s="26" t="str">
        <f>IFERROR(__xludf.DUMMYFUNCTION("""COMPUTED_VALUE"""),"WHITE DOOR SCRREN")</f>
        <v>WHITE DOOR SCRREN</v>
      </c>
      <c r="L182" s="30" t="str">
        <f>IFERROR(__xludf.DUMMYFUNCTION("""COMPUTED_VALUE"""),"In Stock")</f>
        <v>In Stock</v>
      </c>
      <c r="M182" s="26" t="str">
        <f>IFERROR(__xludf.DUMMYFUNCTION("""COMPUTED_VALUE"""),"JOSE")</f>
        <v>JOSE</v>
      </c>
      <c r="N182" s="26" t="str">
        <f>IFERROR(__xludf.DUMMYFUNCTION("""COMPUTED_VALUE"""),"LGI OQM175")</f>
        <v>LGI OQM175</v>
      </c>
      <c r="O182" s="26" t="str">
        <f>IFERROR(__xludf.DUMMYFUNCTION("""COMPUTED_VALUE"""),"SCREEN|||LGI OQU175")</f>
        <v>SCREEN|||LGI OQU175</v>
      </c>
      <c r="P182" s="26"/>
      <c r="Q182" s="26" t="str">
        <f>IFERROR(__xludf.DUMMYFUNCTION("""COMPUTED_VALUE"""),"jose@ox-glass.com")</f>
        <v>jose@ox-glass.com</v>
      </c>
      <c r="R182" s="26" t="str">
        <f>IFERROR(__xludf.DUMMYFUNCTION("""COMPUTED_VALUE"""),"P3C")</f>
        <v>P3C</v>
      </c>
      <c r="S182" s="26" t="str">
        <f>IFERROR(__xludf.DUMMYFUNCTION("""COMPUTED_VALUE"""),"ENTRY")</f>
        <v>ENTRY</v>
      </c>
      <c r="T182" s="26"/>
    </row>
    <row r="183" ht="22.5" customHeight="1">
      <c r="A183" s="35">
        <f>IFERROR(__xludf.DUMMYFUNCTION("""COMPUTED_VALUE"""),46153.3716928588)</f>
        <v>46153.37169</v>
      </c>
      <c r="B183" s="36" t="str">
        <f>IFERROR(__xludf.DUMMYFUNCTION("""COMPUTED_VALUE"""),"SCREEN")</f>
        <v>SCREEN</v>
      </c>
      <c r="C183" s="26" t="str">
        <f>IFERROR(__xludf.DUMMYFUNCTION("""COMPUTED_VALUE"""),"LGI OQU185")</f>
        <v>LGI OQU185</v>
      </c>
      <c r="D183" s="27" t="str">
        <f>IFERROR(__xludf.DUMMYFUNCTION("""COMPUTED_VALUE"""),"LGI")</f>
        <v>LGI</v>
      </c>
      <c r="E183" s="27" t="str">
        <f>IFERROR(__xludf.DUMMYFUNCTION("""COMPUTED_VALUE"""),"6940")</f>
        <v>6940</v>
      </c>
      <c r="F183" s="36">
        <f>IFERROR(__xludf.DUMMYFUNCTION("""COMPUTED_VALUE"""),1.0)</f>
        <v>1</v>
      </c>
      <c r="G183" s="27" t="str">
        <f>IFERROR(__xludf.DUMMYFUNCTION("""COMPUTED_VALUE"""),"UNIT")</f>
        <v>UNIT</v>
      </c>
      <c r="H183" s="37">
        <f>IFERROR(__xludf.DUMMYFUNCTION("""COMPUTED_VALUE"""),46150.0)</f>
        <v>46150</v>
      </c>
      <c r="I183" s="36"/>
      <c r="J183" s="30" t="str">
        <f>IFERROR(__xludf.DUMMYFUNCTION("""COMPUTED_VALUE"""),"ALSIDE")</f>
        <v>ALSIDE</v>
      </c>
      <c r="K183" s="26" t="str">
        <f>IFERROR(__xludf.DUMMYFUNCTION("""COMPUTED_VALUE"""),"2LGIOQU185-GLENWOOD, WHITE DOOR SCREEN")</f>
        <v>2LGIOQU185-GLENWOOD, WHITE DOOR SCREEN</v>
      </c>
      <c r="L183" s="30" t="str">
        <f>IFERROR(__xludf.DUMMYFUNCTION("""COMPUTED_VALUE"""),"IN STOCK")</f>
        <v>IN STOCK</v>
      </c>
      <c r="M183" s="26" t="str">
        <f>IFERROR(__xludf.DUMMYFUNCTION("""COMPUTED_VALUE"""),"JOSE C.")</f>
        <v>JOSE C.</v>
      </c>
      <c r="N183" s="26" t="str">
        <f>IFERROR(__xludf.DUMMYFUNCTION("""COMPUTED_VALUE"""),"LGI HOMES")</f>
        <v>LGI HOMES</v>
      </c>
      <c r="O183" s="26" t="str">
        <f>IFERROR(__xludf.DUMMYFUNCTION("""COMPUTED_VALUE"""),"SCREEN|||LGI OQU185")</f>
        <v>SCREEN|||LGI OQU185</v>
      </c>
      <c r="P183" s="26"/>
      <c r="Q183" s="26" t="str">
        <f>IFERROR(__xludf.DUMMYFUNCTION("""COMPUTED_VALUE"""),"jose@ox-glass.com")</f>
        <v>jose@ox-glass.com</v>
      </c>
      <c r="R183" s="26" t="str">
        <f>IFERROR(__xludf.DUMMYFUNCTION("""COMPUTED_VALUE"""),"P3C")</f>
        <v>P3C</v>
      </c>
      <c r="S183" s="26" t="str">
        <f>IFERROR(__xludf.DUMMYFUNCTION("""COMPUTED_VALUE"""),"ENTRY")</f>
        <v>ENTRY</v>
      </c>
      <c r="T183" s="26"/>
    </row>
    <row r="184" ht="22.5" customHeight="1">
      <c r="A184" s="35">
        <f>IFERROR(__xludf.DUMMYFUNCTION("""COMPUTED_VALUE"""),46150.696230879636)</f>
        <v>46150.69623</v>
      </c>
      <c r="B184" s="36" t="str">
        <f>IFERROR(__xludf.DUMMYFUNCTION("""COMPUTED_VALUE"""),"SCREEN")</f>
        <v>SCREEN</v>
      </c>
      <c r="C184" s="26" t="str">
        <f>IFERROR(__xludf.DUMMYFUNCTION("""COMPUTED_VALUE"""),"PAT BME2")</f>
        <v>PAT BME2</v>
      </c>
      <c r="D184" s="27" t="str">
        <f>IFERROR(__xludf.DUMMYFUNCTION("""COMPUTED_VALUE"""),"PAT")</f>
        <v>PAT</v>
      </c>
      <c r="E184" s="27" t="str">
        <f>IFERROR(__xludf.DUMMYFUNCTION("""COMPUTED_VALUE"""),"04-3944_17")</f>
        <v>04-3944_17</v>
      </c>
      <c r="F184" s="36">
        <f>IFERROR(__xludf.DUMMYFUNCTION("""COMPUTED_VALUE"""),12.0)</f>
        <v>12</v>
      </c>
      <c r="G184" s="27" t="str">
        <f>IFERROR(__xludf.DUMMYFUNCTION("""COMPUTED_VALUE"""),"UNIT")</f>
        <v>UNIT</v>
      </c>
      <c r="H184" s="37">
        <f>IFERROR(__xludf.DUMMYFUNCTION("""COMPUTED_VALUE"""),46150.0)</f>
        <v>46150</v>
      </c>
      <c r="I184" s="36"/>
      <c r="J184" s="30" t="str">
        <f>IFERROR(__xludf.DUMMYFUNCTION("""COMPUTED_VALUE"""),"AMSCO")</f>
        <v>AMSCO</v>
      </c>
      <c r="K184" s="26" t="str">
        <f>IFERROR(__xludf.DUMMYFUNCTION("""COMPUTED_VALUE"""),"WHITE WINDOW SCREENS")</f>
        <v>WHITE WINDOW SCREENS</v>
      </c>
      <c r="L184" s="30" t="str">
        <f>IFERROR(__xludf.DUMMYFUNCTION("""COMPUTED_VALUE"""),"IN STOCK")</f>
        <v>IN STOCK</v>
      </c>
      <c r="M184" s="26" t="str">
        <f>IFERROR(__xludf.DUMMYFUNCTION("""COMPUTED_VALUE"""),"JOSE C.")</f>
        <v>JOSE C.</v>
      </c>
      <c r="N184" s="26" t="str">
        <f>IFERROR(__xludf.DUMMYFUNCTION("""COMPUTED_VALUE""")," PATTERSON HOMES")</f>
        <v> PATTERSON HOMES</v>
      </c>
      <c r="O184" s="26" t="str">
        <f>IFERROR(__xludf.DUMMYFUNCTION("""COMPUTED_VALUE"""),"SCREEN|||PAT BME2")</f>
        <v>SCREEN|||PAT BME2</v>
      </c>
      <c r="P184" s="26"/>
      <c r="Q184" s="26" t="str">
        <f>IFERROR(__xludf.DUMMYFUNCTION("""COMPUTED_VALUE"""),"jose@ox-glass.com")</f>
        <v>jose@ox-glass.com</v>
      </c>
      <c r="R184" s="26" t="str">
        <f>IFERROR(__xludf.DUMMYFUNCTION("""COMPUTED_VALUE"""),"B2B")</f>
        <v>B2B</v>
      </c>
      <c r="S184" s="26" t="str">
        <f>IFERROR(__xludf.DUMMYFUNCTION("""COMPUTED_VALUE"""),"ENTRY")</f>
        <v>ENTRY</v>
      </c>
      <c r="T184" s="26"/>
    </row>
    <row r="185" ht="22.5" customHeight="1">
      <c r="A185" s="35">
        <f>IFERROR(__xludf.DUMMYFUNCTION("""COMPUTED_VALUE"""),46150.692210532405)</f>
        <v>46150.69221</v>
      </c>
      <c r="B185" s="36" t="str">
        <f>IFERROR(__xludf.DUMMYFUNCTION("""COMPUTED_VALUE"""),"SCREEN")</f>
        <v>SCREEN</v>
      </c>
      <c r="C185" s="26" t="str">
        <f>IFERROR(__xludf.DUMMYFUNCTION("""COMPUTED_VALUE"""),"PAT BMW 3")</f>
        <v>PAT BMW 3</v>
      </c>
      <c r="D185" s="27" t="str">
        <f>IFERROR(__xludf.DUMMYFUNCTION("""COMPUTED_VALUE"""),"PAT")</f>
        <v>PAT</v>
      </c>
      <c r="E185" s="27" t="str">
        <f>IFERROR(__xludf.DUMMYFUNCTION("""COMPUTED_VALUE"""),"04-3955")</f>
        <v>04-3955</v>
      </c>
      <c r="F185" s="36">
        <f>IFERROR(__xludf.DUMMYFUNCTION("""COMPUTED_VALUE"""),14.0)</f>
        <v>14</v>
      </c>
      <c r="G185" s="27" t="str">
        <f>IFERROR(__xludf.DUMMYFUNCTION("""COMPUTED_VALUE"""),"UNIT")</f>
        <v>UNIT</v>
      </c>
      <c r="H185" s="37">
        <f>IFERROR(__xludf.DUMMYFUNCTION("""COMPUTED_VALUE"""),46150.0)</f>
        <v>46150</v>
      </c>
      <c r="I185" s="36"/>
      <c r="J185" s="30" t="str">
        <f>IFERROR(__xludf.DUMMYFUNCTION("""COMPUTED_VALUE"""),"AMSCO")</f>
        <v>AMSCO</v>
      </c>
      <c r="K185" s="26" t="str">
        <f>IFERROR(__xludf.DUMMYFUNCTION("""COMPUTED_VALUE"""),"BLACK WINDOW SCREENS, DIFFERENT SIZES")</f>
        <v>BLACK WINDOW SCREENS, DIFFERENT SIZES</v>
      </c>
      <c r="L185" s="30" t="str">
        <f>IFERROR(__xludf.DUMMYFUNCTION("""COMPUTED_VALUE"""),"IN STOCK")</f>
        <v>IN STOCK</v>
      </c>
      <c r="M185" s="26" t="str">
        <f>IFERROR(__xludf.DUMMYFUNCTION("""COMPUTED_VALUE"""),"JOSE C.")</f>
        <v>JOSE C.</v>
      </c>
      <c r="N185" s="26" t="str">
        <f>IFERROR(__xludf.DUMMYFUNCTION("""COMPUTED_VALUE""")," PATTERSON HOMES")</f>
        <v> PATTERSON HOMES</v>
      </c>
      <c r="O185" s="26" t="str">
        <f>IFERROR(__xludf.DUMMYFUNCTION("""COMPUTED_VALUE"""),"SCREEN|||PAT BMW 3")</f>
        <v>SCREEN|||PAT BMW 3</v>
      </c>
      <c r="P185" s="26"/>
      <c r="Q185" s="26" t="str">
        <f>IFERROR(__xludf.DUMMYFUNCTION("""COMPUTED_VALUE"""),"jose@ox-glass.com")</f>
        <v>jose@ox-glass.com</v>
      </c>
      <c r="R185" s="26" t="str">
        <f>IFERROR(__xludf.DUMMYFUNCTION("""COMPUTED_VALUE"""),"B2B")</f>
        <v>B2B</v>
      </c>
      <c r="S185" s="26" t="str">
        <f>IFERROR(__xludf.DUMMYFUNCTION("""COMPUTED_VALUE"""),"ENTRY")</f>
        <v>ENTRY</v>
      </c>
      <c r="T185" s="26"/>
    </row>
    <row r="186" ht="22.5" customHeight="1">
      <c r="A186" s="35">
        <f>IFERROR(__xludf.DUMMYFUNCTION("""COMPUTED_VALUE"""),46150.68875170139)</f>
        <v>46150.68875</v>
      </c>
      <c r="B186" s="36" t="str">
        <f>IFERROR(__xludf.DUMMYFUNCTION("""COMPUTED_VALUE"""),"SCREEN")</f>
        <v>SCREEN</v>
      </c>
      <c r="C186" s="26" t="str">
        <f>IFERROR(__xludf.DUMMYFUNCTION("""COMPUTED_VALUE"""),"EPJ 420 JACKIE")</f>
        <v>EPJ 420 JACKIE</v>
      </c>
      <c r="D186" s="27"/>
      <c r="E186" s="27" t="str">
        <f>IFERROR(__xludf.DUMMYFUNCTION("""COMPUTED_VALUE"""),"04-4785_8")</f>
        <v>04-4785_8</v>
      </c>
      <c r="F186" s="36">
        <f>IFERROR(__xludf.DUMMYFUNCTION("""COMPUTED_VALUE"""),8.0)</f>
        <v>8</v>
      </c>
      <c r="G186" s="27" t="str">
        <f>IFERROR(__xludf.DUMMYFUNCTION("""COMPUTED_VALUE"""),"UNIT")</f>
        <v>UNIT</v>
      </c>
      <c r="H186" s="37">
        <f>IFERROR(__xludf.DUMMYFUNCTION("""COMPUTED_VALUE"""),46150.0)</f>
        <v>46150</v>
      </c>
      <c r="I186" s="36"/>
      <c r="J186" s="30" t="str">
        <f>IFERROR(__xludf.DUMMYFUNCTION("""COMPUTED_VALUE"""),"AMSCO")</f>
        <v>AMSCO</v>
      </c>
      <c r="K186" s="26" t="str">
        <f>IFERROR(__xludf.DUMMYFUNCTION("""COMPUTED_VALUE"""),"BLACK WINDOW SCREENS, DIFFERENT SIZEZ")</f>
        <v>BLACK WINDOW SCREENS, DIFFERENT SIZEZ</v>
      </c>
      <c r="L186" s="30" t="str">
        <f>IFERROR(__xludf.DUMMYFUNCTION("""COMPUTED_VALUE"""),"IN STOCK")</f>
        <v>IN STOCK</v>
      </c>
      <c r="M186" s="26" t="str">
        <f>IFERROR(__xludf.DUMMYFUNCTION("""COMPUTED_VALUE"""),"JOSE C.")</f>
        <v>JOSE C.</v>
      </c>
      <c r="N186" s="26" t="str">
        <f>IFERROR(__xludf.DUMMYFUNCTION("""COMPUTED_VALUE"""),"PATTERSON HOMES")</f>
        <v>PATTERSON HOMES</v>
      </c>
      <c r="O186" s="26" t="str">
        <f>IFERROR(__xludf.DUMMYFUNCTION("""COMPUTED_VALUE"""),"SCREEN|||EPJ 420 JACKIE")</f>
        <v>SCREEN|||EPJ 420 JACKIE</v>
      </c>
      <c r="P186" s="26"/>
      <c r="Q186" s="26" t="str">
        <f>IFERROR(__xludf.DUMMYFUNCTION("""COMPUTED_VALUE"""),"jose@ox-glass.com")</f>
        <v>jose@ox-glass.com</v>
      </c>
      <c r="R186" s="26" t="str">
        <f>IFERROR(__xludf.DUMMYFUNCTION("""COMPUTED_VALUE"""),"B2B")</f>
        <v>B2B</v>
      </c>
      <c r="S186" s="26" t="str">
        <f>IFERROR(__xludf.DUMMYFUNCTION("""COMPUTED_VALUE"""),"ENTRY")</f>
        <v>ENTRY</v>
      </c>
      <c r="T186" s="26"/>
    </row>
    <row r="187" ht="22.5" customHeight="1">
      <c r="A187" s="35">
        <f>IFERROR(__xludf.DUMMYFUNCTION("""COMPUTED_VALUE"""),46146.55270318287)</f>
        <v>46146.5527</v>
      </c>
      <c r="B187" s="36" t="str">
        <f>IFERROR(__xludf.DUMMYFUNCTION("""COMPUTED_VALUE"""),"SCREEN")</f>
        <v>SCREEN</v>
      </c>
      <c r="C187" s="26" t="str">
        <f>IFERROR(__xludf.DUMMYFUNCTION("""COMPUTED_VALUE"""),"ALVIN JENSON ADDITIONAL")</f>
        <v>ALVIN JENSON ADDITIONAL</v>
      </c>
      <c r="D187" s="27"/>
      <c r="E187" s="27" t="str">
        <f>IFERROR(__xludf.DUMMYFUNCTION("""COMPUTED_VALUE"""),"6906")</f>
        <v>6906</v>
      </c>
      <c r="F187" s="36">
        <f>IFERROR(__xludf.DUMMYFUNCTION("""COMPUTED_VALUE"""),1.0)</f>
        <v>1</v>
      </c>
      <c r="G187" s="27" t="str">
        <f>IFERROR(__xludf.DUMMYFUNCTION("""COMPUTED_VALUE"""),"UNIT")</f>
        <v>UNIT</v>
      </c>
      <c r="H187" s="37">
        <f>IFERROR(__xludf.DUMMYFUNCTION("""COMPUTED_VALUE"""),46146.0)</f>
        <v>46146</v>
      </c>
      <c r="I187" s="36" t="str">
        <f>IFERROR(__xludf.DUMMYFUNCTION("""COMPUTED_VALUE"""),"C1B")</f>
        <v>C1B</v>
      </c>
      <c r="J187" s="30" t="str">
        <f>IFERROR(__xludf.DUMMYFUNCTION("""COMPUTED_VALUE"""),"ALSIDE")</f>
        <v>ALSIDE</v>
      </c>
      <c r="K187" s="26" t="str">
        <f>IFERROR(__xludf.DUMMYFUNCTION("""COMPUTED_VALUE"""),"WHITE WINDOW SCREEN, 15 15/16 X 57 3/8")</f>
        <v>WHITE WINDOW SCREEN, 15 15/16 X 57 3/8</v>
      </c>
      <c r="L187" s="30" t="str">
        <f>IFERROR(__xludf.DUMMYFUNCTION("""COMPUTED_VALUE"""),"IN STOCK")</f>
        <v>IN STOCK</v>
      </c>
      <c r="M187" s="26" t="str">
        <f>IFERROR(__xludf.DUMMYFUNCTION("""COMPUTED_VALUE"""),"JOSE C.")</f>
        <v>JOSE C.</v>
      </c>
      <c r="N187" s="26" t="str">
        <f>IFERROR(__xludf.DUMMYFUNCTION("""COMPUTED_VALUE"""),"ALVIN JENSON")</f>
        <v>ALVIN JENSON</v>
      </c>
      <c r="O187" s="26" t="str">
        <f>IFERROR(__xludf.DUMMYFUNCTION("""COMPUTED_VALUE"""),"SCREEN|||ALVIN JENSON ADDITIONAL")</f>
        <v>SCREEN|||ALVIN JENSON ADDITIONAL</v>
      </c>
      <c r="P187" s="26"/>
      <c r="Q187" s="26" t="str">
        <f>IFERROR(__xludf.DUMMYFUNCTION("""COMPUTED_VALUE"""),"jose@ox-glass.com")</f>
        <v>jose@ox-glass.com</v>
      </c>
      <c r="R187" s="26" t="str">
        <f>IFERROR(__xludf.DUMMYFUNCTION("""COMPUTED_VALUE"""),"C1B")</f>
        <v>C1B</v>
      </c>
      <c r="S187" s="26" t="str">
        <f>IFERROR(__xludf.DUMMYFUNCTION("""COMPUTED_VALUE"""),"ENTRY")</f>
        <v>ENTRY</v>
      </c>
      <c r="T187" s="26"/>
    </row>
    <row r="188" ht="22.5" customHeight="1">
      <c r="A188" s="35">
        <f>IFERROR(__xludf.DUMMYFUNCTION("""COMPUTED_VALUE"""),46146.54350657407)</f>
        <v>46146.54351</v>
      </c>
      <c r="B188" s="36" t="str">
        <f>IFERROR(__xludf.DUMMYFUNCTION("""COMPUTED_VALUE"""),"SCREEN")</f>
        <v>SCREEN</v>
      </c>
      <c r="C188" s="26" t="str">
        <f>IFERROR(__xludf.DUMMYFUNCTION("""COMPUTED_VALUE"""),"ELKWOOD ADDITIONAL")</f>
        <v>ELKWOOD ADDITIONAL</v>
      </c>
      <c r="D188" s="27"/>
      <c r="E188" s="27" t="str">
        <f>IFERROR(__xludf.DUMMYFUNCTION("""COMPUTED_VALUE"""),"6853")</f>
        <v>6853</v>
      </c>
      <c r="F188" s="36">
        <f>IFERROR(__xludf.DUMMYFUNCTION("""COMPUTED_VALUE"""),2.0)</f>
        <v>2</v>
      </c>
      <c r="G188" s="27" t="str">
        <f>IFERROR(__xludf.DUMMYFUNCTION("""COMPUTED_VALUE"""),"UNIT")</f>
        <v>UNIT</v>
      </c>
      <c r="H188" s="37">
        <f>IFERROR(__xludf.DUMMYFUNCTION("""COMPUTED_VALUE"""),46146.0)</f>
        <v>46146</v>
      </c>
      <c r="I188" s="36" t="str">
        <f>IFERROR(__xludf.DUMMYFUNCTION("""COMPUTED_VALUE"""),"P2C")</f>
        <v>P2C</v>
      </c>
      <c r="J188" s="30" t="str">
        <f>IFERROR(__xludf.DUMMYFUNCTION("""COMPUTED_VALUE"""),"ALSIDE")</f>
        <v>ALSIDE</v>
      </c>
      <c r="K188" s="26" t="str">
        <f>IFERROR(__xludf.DUMMYFUNCTION("""COMPUTED_VALUE"""),"BRONZE DOOR SCREEN, 2@48X77 3/4")</f>
        <v>BRONZE DOOR SCREEN, 2@48X77 3/4</v>
      </c>
      <c r="L188" s="30" t="str">
        <f>IFERROR(__xludf.DUMMYFUNCTION("""COMPUTED_VALUE"""),"IN STOCK")</f>
        <v>IN STOCK</v>
      </c>
      <c r="M188" s="26" t="str">
        <f>IFERROR(__xludf.DUMMYFUNCTION("""COMPUTED_VALUE"""),"JOSE C.")</f>
        <v>JOSE C.</v>
      </c>
      <c r="N188" s="26" t="str">
        <f>IFERROR(__xludf.DUMMYFUNCTION("""COMPUTED_VALUE"""),"ELKWOOD")</f>
        <v>ELKWOOD</v>
      </c>
      <c r="O188" s="26" t="str">
        <f>IFERROR(__xludf.DUMMYFUNCTION("""COMPUTED_VALUE"""),"SCREEN|||ELKWOOD ADDITIONAL")</f>
        <v>SCREEN|||ELKWOOD ADDITIONAL</v>
      </c>
      <c r="P188" s="26"/>
      <c r="Q188" s="26" t="str">
        <f>IFERROR(__xludf.DUMMYFUNCTION("""COMPUTED_VALUE"""),"jose@ox-glass.com")</f>
        <v>jose@ox-glass.com</v>
      </c>
      <c r="R188" s="26" t="str">
        <f>IFERROR(__xludf.DUMMYFUNCTION("""COMPUTED_VALUE"""),"P2C")</f>
        <v>P2C</v>
      </c>
      <c r="S188" s="26" t="str">
        <f>IFERROR(__xludf.DUMMYFUNCTION("""COMPUTED_VALUE"""),"ENTRY")</f>
        <v>ENTRY</v>
      </c>
      <c r="T188" s="26"/>
    </row>
    <row r="189" ht="22.5" customHeight="1">
      <c r="A189" s="35">
        <f>IFERROR(__xludf.DUMMYFUNCTION("""COMPUTED_VALUE"""),46143.45857682871)</f>
        <v>46143.45858</v>
      </c>
      <c r="B189" s="36" t="str">
        <f>IFERROR(__xludf.DUMMYFUNCTION("""COMPUTED_VALUE"""),"SCREEN")</f>
        <v>SCREEN</v>
      </c>
      <c r="C189" s="26" t="str">
        <f>IFERROR(__xludf.DUMMYFUNCTION("""COMPUTED_VALUE"""),"HIGHLAND A&amp;R")</f>
        <v>HIGHLAND A&amp;R</v>
      </c>
      <c r="D189" s="27" t="str">
        <f>IFERROR(__xludf.DUMMYFUNCTION("""COMPUTED_VALUE"""),"SWE")</f>
        <v>SWE</v>
      </c>
      <c r="E189" s="27" t="str">
        <f>IFERROR(__xludf.DUMMYFUNCTION("""COMPUTED_VALUE"""),"04-2884*16")</f>
        <v>04-2884*16</v>
      </c>
      <c r="F189" s="36">
        <f>IFERROR(__xludf.DUMMYFUNCTION("""COMPUTED_VALUE"""),10.0)</f>
        <v>10</v>
      </c>
      <c r="G189" s="27" t="str">
        <f>IFERROR(__xludf.DUMMYFUNCTION("""COMPUTED_VALUE"""),"UNIT")</f>
        <v>UNIT</v>
      </c>
      <c r="H189" s="37">
        <f>IFERROR(__xludf.DUMMYFUNCTION("""COMPUTED_VALUE"""),46143.0)</f>
        <v>46143</v>
      </c>
      <c r="I189" s="36" t="str">
        <f>IFERROR(__xludf.DUMMYFUNCTION("""COMPUTED_VALUE"""),"B2B")</f>
        <v>B2B</v>
      </c>
      <c r="J189" s="30" t="str">
        <f>IFERROR(__xludf.DUMMYFUNCTION("""COMPUTED_VALUE"""),"AMSCO")</f>
        <v>AMSCO</v>
      </c>
      <c r="K189" s="26" t="str">
        <f>IFERROR(__xludf.DUMMYFUNCTION("""COMPUTED_VALUE"""),"WHITE WINDOW SCREENS")</f>
        <v>WHITE WINDOW SCREENS</v>
      </c>
      <c r="L189" s="30" t="str">
        <f>IFERROR(__xludf.DUMMYFUNCTION("""COMPUTED_VALUE"""),"IN STOCK")</f>
        <v>IN STOCK</v>
      </c>
      <c r="M189" s="26" t="str">
        <f>IFERROR(__xludf.DUMMYFUNCTION("""COMPUTED_VALUE"""),"JOSE C.")</f>
        <v>JOSE C.</v>
      </c>
      <c r="N189" s="26" t="str">
        <f>IFERROR(__xludf.DUMMYFUNCTION("""COMPUTED_VALUE"""),"HIGHLAND A&amp;R")</f>
        <v>HIGHLAND A&amp;R</v>
      </c>
      <c r="O189" s="26" t="str">
        <f>IFERROR(__xludf.DUMMYFUNCTION("""COMPUTED_VALUE"""),"SCREEN|||HIGHLAND A&amp;R")</f>
        <v>SCREEN|||HIGHLAND A&amp;R</v>
      </c>
      <c r="P189" s="26"/>
      <c r="Q189" s="26" t="str">
        <f>IFERROR(__xludf.DUMMYFUNCTION("""COMPUTED_VALUE"""),"jose@ox-glass.com")</f>
        <v>jose@ox-glass.com</v>
      </c>
      <c r="R189" s="26" t="str">
        <f>IFERROR(__xludf.DUMMYFUNCTION("""COMPUTED_VALUE"""),"B2B")</f>
        <v>B2B</v>
      </c>
      <c r="S189" s="26" t="str">
        <f>IFERROR(__xludf.DUMMYFUNCTION("""COMPUTED_VALUE"""),"ENTRY")</f>
        <v>ENTRY</v>
      </c>
      <c r="T189" s="26"/>
    </row>
    <row r="190">
      <c r="A190" s="35">
        <f>IFERROR(__xludf.DUMMYFUNCTION("""COMPUTED_VALUE"""),46143.41789650463)</f>
        <v>46143.4179</v>
      </c>
      <c r="B190" s="36" t="str">
        <f>IFERROR(__xludf.DUMMYFUNCTION("""COMPUTED_VALUE"""),"SCREEN")</f>
        <v>SCREEN</v>
      </c>
      <c r="C190" s="26" t="str">
        <f>IFERROR(__xludf.DUMMYFUNCTION("""COMPUTED_VALUE"""),"SPRING CANYON 2")</f>
        <v>SPRING CANYON 2</v>
      </c>
      <c r="D190" s="27" t="str">
        <f>IFERROR(__xludf.DUMMYFUNCTION("""COMPUTED_VALUE"""),"SWE")</f>
        <v>SWE</v>
      </c>
      <c r="E190" s="27" t="str">
        <f>IFERROR(__xludf.DUMMYFUNCTION("""COMPUTED_VALUE"""),"04-3205*33")</f>
        <v>04-3205*33</v>
      </c>
      <c r="F190" s="36">
        <f>IFERROR(__xludf.DUMMYFUNCTION("""COMPUTED_VALUE"""),26.0)</f>
        <v>26</v>
      </c>
      <c r="G190" s="27" t="str">
        <f>IFERROR(__xludf.DUMMYFUNCTION("""COMPUTED_VALUE"""),"UNIT")</f>
        <v>UNIT</v>
      </c>
      <c r="H190" s="37">
        <f>IFERROR(__xludf.DUMMYFUNCTION("""COMPUTED_VALUE"""),46143.0)</f>
        <v>46143</v>
      </c>
      <c r="I190" s="36" t="str">
        <f>IFERROR(__xludf.DUMMYFUNCTION("""COMPUTED_VALUE"""),"B2B")</f>
        <v>B2B</v>
      </c>
      <c r="J190" s="30" t="str">
        <f>IFERROR(__xludf.DUMMYFUNCTION("""COMPUTED_VALUE"""),"AMSCO")</f>
        <v>AMSCO</v>
      </c>
      <c r="K190" s="26" t="str">
        <f>IFERROR(__xludf.DUMMYFUNCTION("""COMPUTED_VALUE"""),"WHITE WINDOW SCREENS, DIFFERENT SIZES")</f>
        <v>WHITE WINDOW SCREENS, DIFFERENT SIZES</v>
      </c>
      <c r="L190" s="30" t="str">
        <f>IFERROR(__xludf.DUMMYFUNCTION("""COMPUTED_VALUE"""),"IN STOCK")</f>
        <v>IN STOCK</v>
      </c>
      <c r="M190" s="26" t="str">
        <f>IFERROR(__xludf.DUMMYFUNCTION("""COMPUTED_VALUE"""),"JOSE C.")</f>
        <v>JOSE C.</v>
      </c>
      <c r="N190" s="26" t="str">
        <f>IFERROR(__xludf.DUMMYFUNCTION("""COMPUTED_VALUE"""),"SPRING CANYON 2")</f>
        <v>SPRING CANYON 2</v>
      </c>
      <c r="O190" s="26" t="str">
        <f>IFERROR(__xludf.DUMMYFUNCTION("""COMPUTED_VALUE"""),"SCREEN|||SPRING CANYON 2")</f>
        <v>SCREEN|||SPRING CANYON 2</v>
      </c>
      <c r="P190" s="26"/>
      <c r="Q190" s="26" t="str">
        <f>IFERROR(__xludf.DUMMYFUNCTION("""COMPUTED_VALUE"""),"jose@ox-glass.com")</f>
        <v>jose@ox-glass.com</v>
      </c>
      <c r="R190" s="26" t="str">
        <f>IFERROR(__xludf.DUMMYFUNCTION("""COMPUTED_VALUE"""),"B2B")</f>
        <v>B2B</v>
      </c>
      <c r="S190" s="26" t="str">
        <f>IFERROR(__xludf.DUMMYFUNCTION("""COMPUTED_VALUE"""),"ENTRY")</f>
        <v>ENTRY</v>
      </c>
      <c r="T190" s="26"/>
    </row>
    <row r="191">
      <c r="A191" s="35">
        <f>IFERROR(__xludf.DUMMYFUNCTION("""COMPUTED_VALUE"""),46143.40757443287)</f>
        <v>46143.40757</v>
      </c>
      <c r="B191" s="36" t="str">
        <f>IFERROR(__xludf.DUMMYFUNCTION("""COMPUTED_VALUE"""),"SCREEN")</f>
        <v>SCREEN</v>
      </c>
      <c r="C191" s="26" t="str">
        <f>IFERROR(__xludf.DUMMYFUNCTION("""COMPUTED_VALUE"""),"JACKLING WAY")</f>
        <v>JACKLING WAY</v>
      </c>
      <c r="D191" s="27" t="str">
        <f>IFERROR(__xludf.DUMMYFUNCTION("""COMPUTED_VALUE"""),"FOX")</f>
        <v>FOX</v>
      </c>
      <c r="E191" s="27" t="str">
        <f>IFERROR(__xludf.DUMMYFUNCTION("""COMPUTED_VALUE"""),"04-3192*13")</f>
        <v>04-3192*13</v>
      </c>
      <c r="F191" s="36">
        <f>IFERROR(__xludf.DUMMYFUNCTION("""COMPUTED_VALUE"""),12.0)</f>
        <v>12</v>
      </c>
      <c r="G191" s="27" t="str">
        <f>IFERROR(__xludf.DUMMYFUNCTION("""COMPUTED_VALUE"""),"UNIT")</f>
        <v>UNIT</v>
      </c>
      <c r="H191" s="37">
        <f>IFERROR(__xludf.DUMMYFUNCTION("""COMPUTED_VALUE"""),46143.0)</f>
        <v>46143</v>
      </c>
      <c r="I191" s="36" t="str">
        <f>IFERROR(__xludf.DUMMYFUNCTION("""COMPUTED_VALUE"""),"B2B")</f>
        <v>B2B</v>
      </c>
      <c r="J191" s="30" t="str">
        <f>IFERROR(__xludf.DUMMYFUNCTION("""COMPUTED_VALUE"""),"AMSCO")</f>
        <v>AMSCO</v>
      </c>
      <c r="K191" s="26" t="str">
        <f>IFERROR(__xludf.DUMMYFUNCTION("""COMPUTED_VALUE"""),"WHITE WINDOW SCREENS, DIFFERENT SIZES.")</f>
        <v>WHITE WINDOW SCREENS, DIFFERENT SIZES.</v>
      </c>
      <c r="L191" s="30" t="str">
        <f>IFERROR(__xludf.DUMMYFUNCTION("""COMPUTED_VALUE"""),"IN STOCK")</f>
        <v>IN STOCK</v>
      </c>
      <c r="M191" s="26" t="str">
        <f>IFERROR(__xludf.DUMMYFUNCTION("""COMPUTED_VALUE"""),"JOSE C.")</f>
        <v>JOSE C.</v>
      </c>
      <c r="N191" s="26" t="str">
        <f>IFERROR(__xludf.DUMMYFUNCTION("""COMPUTED_VALUE"""),"JACKLING WAY")</f>
        <v>JACKLING WAY</v>
      </c>
      <c r="O191" s="26" t="str">
        <f>IFERROR(__xludf.DUMMYFUNCTION("""COMPUTED_VALUE"""),"SCREEN|||JACKLING WAY")</f>
        <v>SCREEN|||JACKLING WAY</v>
      </c>
      <c r="P191" s="26"/>
      <c r="Q191" s="26" t="str">
        <f>IFERROR(__xludf.DUMMYFUNCTION("""COMPUTED_VALUE"""),"jose@ox-glass.com")</f>
        <v>jose@ox-glass.com</v>
      </c>
      <c r="R191" s="26" t="str">
        <f>IFERROR(__xludf.DUMMYFUNCTION("""COMPUTED_VALUE"""),"B2B")</f>
        <v>B2B</v>
      </c>
      <c r="S191" s="26" t="str">
        <f>IFERROR(__xludf.DUMMYFUNCTION("""COMPUTED_VALUE"""),"ENTRY")</f>
        <v>ENTRY</v>
      </c>
      <c r="T191" s="26"/>
    </row>
    <row r="192">
      <c r="A192" s="35">
        <f>IFERROR(__xludf.DUMMYFUNCTION("""COMPUTED_VALUE"""),46142.61083215277)</f>
        <v>46142.61083</v>
      </c>
      <c r="B192" s="36" t="str">
        <f>IFERROR(__xludf.DUMMYFUNCTION("""COMPUTED_VALUE"""),"SCREEN")</f>
        <v>SCREEN</v>
      </c>
      <c r="C192" s="26" t="str">
        <f>IFERROR(__xludf.DUMMYFUNCTION("""COMPUTED_VALUE"""),"JEFF WATSON")</f>
        <v>JEFF WATSON</v>
      </c>
      <c r="D192" s="27"/>
      <c r="E192" s="27" t="str">
        <f>IFERROR(__xludf.DUMMYFUNCTION("""COMPUTED_VALUE"""),"6884")</f>
        <v>6884</v>
      </c>
      <c r="F192" s="36">
        <f>IFERROR(__xludf.DUMMYFUNCTION("""COMPUTED_VALUE"""),11.0)</f>
        <v>11</v>
      </c>
      <c r="G192" s="27" t="str">
        <f>IFERROR(__xludf.DUMMYFUNCTION("""COMPUTED_VALUE"""),"UNIT")</f>
        <v>UNIT</v>
      </c>
      <c r="H192" s="37">
        <f>IFERROR(__xludf.DUMMYFUNCTION("""COMPUTED_VALUE"""),46142.0)</f>
        <v>46142</v>
      </c>
      <c r="I192" s="36" t="str">
        <f>IFERROR(__xludf.DUMMYFUNCTION("""COMPUTED_VALUE"""),"C1B")</f>
        <v>C1B</v>
      </c>
      <c r="J192" s="30" t="str">
        <f>IFERROR(__xludf.DUMMYFUNCTION("""COMPUTED_VALUE"""),"ALSIDE")</f>
        <v>ALSIDE</v>
      </c>
      <c r="K192" s="26" t="str">
        <f>IFERROR(__xludf.DUMMYFUNCTION("""COMPUTED_VALUE"""),"WHITE WINDOW SCREEN, DIFERENT SIZES")</f>
        <v>WHITE WINDOW SCREEN, DIFERENT SIZES</v>
      </c>
      <c r="L192" s="30" t="str">
        <f>IFERROR(__xludf.DUMMYFUNCTION("""COMPUTED_VALUE"""),"IN STOCK")</f>
        <v>IN STOCK</v>
      </c>
      <c r="M192" s="26" t="str">
        <f>IFERROR(__xludf.DUMMYFUNCTION("""COMPUTED_VALUE"""),"TERRY T.")</f>
        <v>TERRY T.</v>
      </c>
      <c r="N192" s="26" t="str">
        <f>IFERROR(__xludf.DUMMYFUNCTION("""COMPUTED_VALUE"""),"JEFF WATSON")</f>
        <v>JEFF WATSON</v>
      </c>
      <c r="O192" s="26" t="str">
        <f>IFERROR(__xludf.DUMMYFUNCTION("""COMPUTED_VALUE"""),"SCREEN|||JEFF WATSON")</f>
        <v>SCREEN|||JEFF WATSON</v>
      </c>
      <c r="P192" s="26"/>
      <c r="Q192" s="26" t="str">
        <f>IFERROR(__xludf.DUMMYFUNCTION("""COMPUTED_VALUE"""),"jose@ox-glass.com")</f>
        <v>jose@ox-glass.com</v>
      </c>
      <c r="R192" s="26" t="str">
        <f>IFERROR(__xludf.DUMMYFUNCTION("""COMPUTED_VALUE"""),"C1B")</f>
        <v>C1B</v>
      </c>
      <c r="S192" s="26" t="str">
        <f>IFERROR(__xludf.DUMMYFUNCTION("""COMPUTED_VALUE"""),"ENTRY")</f>
        <v>ENTRY</v>
      </c>
      <c r="T192" s="26"/>
    </row>
    <row r="193">
      <c r="A193" s="35">
        <f>IFERROR(__xludf.DUMMYFUNCTION("""COMPUTED_VALUE"""),46142.534767928235)</f>
        <v>46142.53477</v>
      </c>
      <c r="B193" s="36" t="str">
        <f>IFERROR(__xludf.DUMMYFUNCTION("""COMPUTED_VALUE"""),"SCREEN")</f>
        <v>SCREEN</v>
      </c>
      <c r="C193" s="26" t="str">
        <f>IFERROR(__xludf.DUMMYFUNCTION("""COMPUTED_VALUE"""),"MARCUS LUNT WIN")</f>
        <v>MARCUS LUNT WIN</v>
      </c>
      <c r="D193" s="27"/>
      <c r="E193" s="27"/>
      <c r="F193" s="36">
        <f>IFERROR(__xludf.DUMMYFUNCTION("""COMPUTED_VALUE"""),-12.0)</f>
        <v>-12</v>
      </c>
      <c r="G193" s="27" t="str">
        <f>IFERROR(__xludf.DUMMYFUNCTION("""COMPUTED_VALUE"""),"UNIT")</f>
        <v>UNIT</v>
      </c>
      <c r="H193" s="37">
        <f>IFERROR(__xludf.DUMMYFUNCTION("""COMPUTED_VALUE"""),46142.0)</f>
        <v>46142</v>
      </c>
      <c r="I193" s="36" t="str">
        <f>IFERROR(__xludf.DUMMYFUNCTION("""COMPUTED_VALUE"""),"C1B")</f>
        <v>C1B</v>
      </c>
      <c r="J193" s="30"/>
      <c r="K193" s="26"/>
      <c r="L193" s="30" t="str">
        <f>IFERROR(__xludf.DUMMYFUNCTION("""COMPUTED_VALUE"""),"DISPATCHED")</f>
        <v>DISPATCHED</v>
      </c>
      <c r="M193" s="26" t="str">
        <f>IFERROR(__xludf.DUMMYFUNCTION("""COMPUTED_VALUE"""),"PRESTON")</f>
        <v>PRESTON</v>
      </c>
      <c r="N193" s="26" t="str">
        <f>IFERROR(__xludf.DUMMYFUNCTION("""COMPUTED_VALUE"""),"MARCUS LUNT WIN")</f>
        <v>MARCUS LUNT WIN</v>
      </c>
      <c r="O193" s="26" t="str">
        <f>IFERROR(__xludf.DUMMYFUNCTION("""COMPUTED_VALUE"""),"SCREEN|||MARCUS LUNT WIN")</f>
        <v>SCREEN|||MARCUS LUNT WIN</v>
      </c>
      <c r="P193" s="26"/>
      <c r="Q193" s="26" t="str">
        <f>IFERROR(__xludf.DUMMYFUNCTION("""COMPUTED_VALUE"""),"jose@ox-glass.com")</f>
        <v>jose@ox-glass.com</v>
      </c>
      <c r="R193" s="26" t="str">
        <f>IFERROR(__xludf.DUMMYFUNCTION("""COMPUTED_VALUE"""),"C1B")</f>
        <v>C1B</v>
      </c>
      <c r="S193" s="26" t="str">
        <f>IFERROR(__xludf.DUMMYFUNCTION("""COMPUTED_VALUE"""),"EXIT")</f>
        <v>EXIT</v>
      </c>
      <c r="T193" s="26"/>
    </row>
    <row r="194">
      <c r="A194" s="35">
        <f>IFERROR(__xludf.DUMMYFUNCTION("""COMPUTED_VALUE"""),46136.41543288194)</f>
        <v>46136.41543</v>
      </c>
      <c r="B194" s="36" t="str">
        <f>IFERROR(__xludf.DUMMYFUNCTION("""COMPUTED_VALUE"""),"SCREEN")</f>
        <v>SCREEN</v>
      </c>
      <c r="C194" s="26" t="str">
        <f>IFERROR(__xludf.DUMMYFUNCTION("""COMPUTED_VALUE"""),"ANDREW AAGARD")</f>
        <v>ANDREW AAGARD</v>
      </c>
      <c r="D194" s="27"/>
      <c r="E194" s="27" t="str">
        <f>IFERROR(__xludf.DUMMYFUNCTION("""COMPUTED_VALUE"""),"6852")</f>
        <v>6852</v>
      </c>
      <c r="F194" s="36">
        <f>IFERROR(__xludf.DUMMYFUNCTION("""COMPUTED_VALUE"""),1.0)</f>
        <v>1</v>
      </c>
      <c r="G194" s="27" t="str">
        <f>IFERROR(__xludf.DUMMYFUNCTION("""COMPUTED_VALUE"""),"UNIT")</f>
        <v>UNIT</v>
      </c>
      <c r="H194" s="37">
        <f>IFERROR(__xludf.DUMMYFUNCTION("""COMPUTED_VALUE"""),46136.0)</f>
        <v>46136</v>
      </c>
      <c r="I194" s="36" t="str">
        <f>IFERROR(__xludf.DUMMYFUNCTION("""COMPUTED_VALUE"""),"C1B")</f>
        <v>C1B</v>
      </c>
      <c r="J194" s="30" t="str">
        <f>IFERROR(__xludf.DUMMYFUNCTION("""COMPUTED_VALUE"""),"ALSIDE")</f>
        <v>ALSIDE</v>
      </c>
      <c r="K194" s="26" t="str">
        <f>IFERROR(__xludf.DUMMYFUNCTION("""COMPUTED_VALUE"""),"WHITE WINDOW SCREEN, 21 15/16 X 45 3/8")</f>
        <v>WHITE WINDOW SCREEN, 21 15/16 X 45 3/8</v>
      </c>
      <c r="L194" s="30" t="str">
        <f>IFERROR(__xludf.DUMMYFUNCTION("""COMPUTED_VALUE"""),"IN STOCK")</f>
        <v>IN STOCK</v>
      </c>
      <c r="M194" s="26"/>
      <c r="N194" s="26" t="str">
        <f>IFERROR(__xludf.DUMMYFUNCTION("""COMPUTED_VALUE"""),"ANDREW AAGARD")</f>
        <v>ANDREW AAGARD</v>
      </c>
      <c r="O194" s="26" t="str">
        <f>IFERROR(__xludf.DUMMYFUNCTION("""COMPUTED_VALUE"""),"SCREEN|||ANDREW AAGARD")</f>
        <v>SCREEN|||ANDREW AAGARD</v>
      </c>
      <c r="P194" s="26"/>
      <c r="Q194" s="26" t="str">
        <f>IFERROR(__xludf.DUMMYFUNCTION("""COMPUTED_VALUE"""),"jose@ox-glass.com")</f>
        <v>jose@ox-glass.com</v>
      </c>
      <c r="R194" s="26" t="str">
        <f>IFERROR(__xludf.DUMMYFUNCTION("""COMPUTED_VALUE"""),"C1B")</f>
        <v>C1B</v>
      </c>
      <c r="S194" s="26" t="str">
        <f>IFERROR(__xludf.DUMMYFUNCTION("""COMPUTED_VALUE"""),"ENTRY")</f>
        <v>ENTRY</v>
      </c>
      <c r="T194" s="26"/>
    </row>
    <row r="195">
      <c r="A195" s="35">
        <f>IFERROR(__xludf.DUMMYFUNCTION("""COMPUTED_VALUE"""),46136.41229752315)</f>
        <v>46136.4123</v>
      </c>
      <c r="B195" s="36" t="str">
        <f>IFERROR(__xludf.DUMMYFUNCTION("""COMPUTED_VALUE"""),"SCREEN")</f>
        <v>SCREEN</v>
      </c>
      <c r="C195" s="26" t="str">
        <f>IFERROR(__xludf.DUMMYFUNCTION("""COMPUTED_VALUE"""),"KENT KAY")</f>
        <v>KENT KAY</v>
      </c>
      <c r="D195" s="27" t="str">
        <f>IFERROR(__xludf.DUMMYFUNCTION("""COMPUTED_VALUE"""),"MISC")</f>
        <v>MISC</v>
      </c>
      <c r="E195" s="27" t="str">
        <f>IFERROR(__xludf.DUMMYFUNCTION("""COMPUTED_VALUE"""),"04-2207*8")</f>
        <v>04-2207*8</v>
      </c>
      <c r="F195" s="36">
        <f>IFERROR(__xludf.DUMMYFUNCTION("""COMPUTED_VALUE"""),7.0)</f>
        <v>7</v>
      </c>
      <c r="G195" s="27" t="str">
        <f>IFERROR(__xludf.DUMMYFUNCTION("""COMPUTED_VALUE"""),"UNIT")</f>
        <v>UNIT</v>
      </c>
      <c r="H195" s="37">
        <f>IFERROR(__xludf.DUMMYFUNCTION("""COMPUTED_VALUE"""),46136.0)</f>
        <v>46136</v>
      </c>
      <c r="I195" s="36" t="str">
        <f>IFERROR(__xludf.DUMMYFUNCTION("""COMPUTED_VALUE"""),"B2B")</f>
        <v>B2B</v>
      </c>
      <c r="J195" s="30" t="str">
        <f>IFERROR(__xludf.DUMMYFUNCTION("""COMPUTED_VALUE"""),"AMSCO")</f>
        <v>AMSCO</v>
      </c>
      <c r="K195" s="26" t="str">
        <f>IFERROR(__xludf.DUMMYFUNCTION("""COMPUTED_VALUE"""),"TAUPE COLOR SCREENS, DIFFERENT SIZES. ")</f>
        <v>TAUPE COLOR SCREENS, DIFFERENT SIZES. </v>
      </c>
      <c r="L195" s="30" t="str">
        <f>IFERROR(__xludf.DUMMYFUNCTION("""COMPUTED_VALUE"""),"IN STOCK")</f>
        <v>IN STOCK</v>
      </c>
      <c r="M195" s="26" t="str">
        <f>IFERROR(__xludf.DUMMYFUNCTION("""COMPUTED_VALUE"""),"JOSE C.")</f>
        <v>JOSE C.</v>
      </c>
      <c r="N195" s="26" t="str">
        <f>IFERROR(__xludf.DUMMYFUNCTION("""COMPUTED_VALUE"""),"KENT KAY ")</f>
        <v>KENT KAY </v>
      </c>
      <c r="O195" s="26" t="str">
        <f>IFERROR(__xludf.DUMMYFUNCTION("""COMPUTED_VALUE"""),"SCREEN|||KENT KAY")</f>
        <v>SCREEN|||KENT KAY</v>
      </c>
      <c r="P195" s="26"/>
      <c r="Q195" s="26" t="str">
        <f>IFERROR(__xludf.DUMMYFUNCTION("""COMPUTED_VALUE"""),"jose@ox-glass.com")</f>
        <v>jose@ox-glass.com</v>
      </c>
      <c r="R195" s="26" t="str">
        <f>IFERROR(__xludf.DUMMYFUNCTION("""COMPUTED_VALUE"""),"B2B")</f>
        <v>B2B</v>
      </c>
      <c r="S195" s="26" t="str">
        <f>IFERROR(__xludf.DUMMYFUNCTION("""COMPUTED_VALUE"""),"ENTRY")</f>
        <v>ENTRY</v>
      </c>
      <c r="T195" s="26"/>
    </row>
    <row r="196">
      <c r="A196" s="35">
        <f>IFERROR(__xludf.DUMMYFUNCTION("""COMPUTED_VALUE"""),46135.55269109954)</f>
        <v>46135.55269</v>
      </c>
      <c r="B196" s="36" t="str">
        <f>IFERROR(__xludf.DUMMYFUNCTION("""COMPUTED_VALUE"""),"SCREEN")</f>
        <v>SCREEN</v>
      </c>
      <c r="C196" s="26" t="str">
        <f>IFERROR(__xludf.DUMMYFUNCTION("""COMPUTED_VALUE"""),"DRIVE BY")</f>
        <v>DRIVE BY</v>
      </c>
      <c r="D196" s="27"/>
      <c r="E196" s="27" t="str">
        <f>IFERROR(__xludf.DUMMYFUNCTION("""COMPUTED_VALUE"""),"02-2137*2")</f>
        <v>02-2137*2</v>
      </c>
      <c r="F196" s="36">
        <f>IFERROR(__xludf.DUMMYFUNCTION("""COMPUTED_VALUE"""),1.0)</f>
        <v>1</v>
      </c>
      <c r="G196" s="27" t="str">
        <f>IFERROR(__xludf.DUMMYFUNCTION("""COMPUTED_VALUE"""),"UNIT")</f>
        <v>UNIT</v>
      </c>
      <c r="H196" s="37">
        <f>IFERROR(__xludf.DUMMYFUNCTION("""COMPUTED_VALUE"""),46091.0)</f>
        <v>46091</v>
      </c>
      <c r="I196" s="36" t="str">
        <f>IFERROR(__xludf.DUMMYFUNCTION("""COMPUTED_VALUE"""),"C2B")</f>
        <v>C2B</v>
      </c>
      <c r="J196" s="30" t="str">
        <f>IFERROR(__xludf.DUMMYFUNCTION("""COMPUTED_VALUE"""),"AMSCO")</f>
        <v>AMSCO</v>
      </c>
      <c r="K196" s="26" t="str">
        <f>IFERROR(__xludf.DUMMYFUNCTION("""COMPUTED_VALUE"""),"WHITE WINDOW SCREEN, 22 3/4 X 40 5/16")</f>
        <v>WHITE WINDOW SCREEN, 22 3/4 X 40 5/16</v>
      </c>
      <c r="L196" s="30" t="str">
        <f>IFERROR(__xludf.DUMMYFUNCTION("""COMPUTED_VALUE"""),"IN STOCK")</f>
        <v>IN STOCK</v>
      </c>
      <c r="M196" s="26"/>
      <c r="N196" s="26" t="str">
        <f>IFERROR(__xludf.DUMMYFUNCTION("""COMPUTED_VALUE"""),"DRIVE BY")</f>
        <v>DRIVE BY</v>
      </c>
      <c r="O196" s="26" t="str">
        <f>IFERROR(__xludf.DUMMYFUNCTION("""COMPUTED_VALUE"""),"SCREEN|||DRIVE BY")</f>
        <v>SCREEN|||DRIVE BY</v>
      </c>
      <c r="P196" s="26"/>
      <c r="Q196" s="26" t="str">
        <f>IFERROR(__xludf.DUMMYFUNCTION("""COMPUTED_VALUE"""),"jose@ox-glass.com")</f>
        <v>jose@ox-glass.com</v>
      </c>
      <c r="R196" s="26" t="str">
        <f>IFERROR(__xludf.DUMMYFUNCTION("""COMPUTED_VALUE"""),"C2B")</f>
        <v>C2B</v>
      </c>
      <c r="S196" s="26" t="str">
        <f>IFERROR(__xludf.DUMMYFUNCTION("""COMPUTED_VALUE"""),"ENTRY")</f>
        <v>ENTRY</v>
      </c>
      <c r="T196" s="26"/>
    </row>
    <row r="197">
      <c r="A197" s="35">
        <f>IFERROR(__xludf.DUMMYFUNCTION("""COMPUTED_VALUE"""),46135.535618298614)</f>
        <v>46135.53562</v>
      </c>
      <c r="B197" s="36" t="str">
        <f>IFERROR(__xludf.DUMMYFUNCTION("""COMPUTED_VALUE"""),"SCREEN")</f>
        <v>SCREEN</v>
      </c>
      <c r="C197" s="26" t="str">
        <f>IFERROR(__xludf.DUMMYFUNCTION("""COMPUTED_VALUE"""),"MARCUS LUNT WIN")</f>
        <v>MARCUS LUNT WIN</v>
      </c>
      <c r="D197" s="27" t="str">
        <f>IFERROR(__xludf.DUMMYFUNCTION("""COMPUTED_VALUE"""),"MISC ")</f>
        <v>MISC </v>
      </c>
      <c r="E197" s="27" t="str">
        <f>IFERROR(__xludf.DUMMYFUNCTION("""COMPUTED_VALUE"""),"D005")</f>
        <v>D005</v>
      </c>
      <c r="F197" s="36">
        <f>IFERROR(__xludf.DUMMYFUNCTION("""COMPUTED_VALUE"""),12.0)</f>
        <v>12</v>
      </c>
      <c r="G197" s="27" t="str">
        <f>IFERROR(__xludf.DUMMYFUNCTION("""COMPUTED_VALUE"""),"UNIT")</f>
        <v>UNIT</v>
      </c>
      <c r="H197" s="37">
        <f>IFERROR(__xludf.DUMMYFUNCTION("""COMPUTED_VALUE"""),46135.0)</f>
        <v>46135</v>
      </c>
      <c r="I197" s="36" t="str">
        <f>IFERROR(__xludf.DUMMYFUNCTION("""COMPUTED_VALUE"""),"C1B")</f>
        <v>C1B</v>
      </c>
      <c r="J197" s="30" t="str">
        <f>IFERROR(__xludf.DUMMYFUNCTION("""COMPUTED_VALUE"""),"ALSIDE")</f>
        <v>ALSIDE</v>
      </c>
      <c r="K197" s="26" t="str">
        <f>IFERROR(__xludf.DUMMYFUNCTION("""COMPUTED_VALUE"""),"BRONZE WINDOW SCREEN, DIFFERENT SIZES
")</f>
        <v>BRONZE WINDOW SCREEN, DIFFERENT SIZES
</v>
      </c>
      <c r="L197" s="30" t="str">
        <f>IFERROR(__xludf.DUMMYFUNCTION("""COMPUTED_VALUE"""),"IN STOCK")</f>
        <v>IN STOCK</v>
      </c>
      <c r="M197" s="26"/>
      <c r="N197" s="26" t="str">
        <f>IFERROR(__xludf.DUMMYFUNCTION("""COMPUTED_VALUE"""),"MARCUS LUNT WIN")</f>
        <v>MARCUS LUNT WIN</v>
      </c>
      <c r="O197" s="26" t="str">
        <f>IFERROR(__xludf.DUMMYFUNCTION("""COMPUTED_VALUE"""),"SCREEN|||MARCUS LUNT WIN")</f>
        <v>SCREEN|||MARCUS LUNT WIN</v>
      </c>
      <c r="P197" s="26"/>
      <c r="Q197" s="26" t="str">
        <f>IFERROR(__xludf.DUMMYFUNCTION("""COMPUTED_VALUE"""),"jose@ox-glass.com")</f>
        <v>jose@ox-glass.com</v>
      </c>
      <c r="R197" s="26" t="str">
        <f>IFERROR(__xludf.DUMMYFUNCTION("""COMPUTED_VALUE"""),"C1B")</f>
        <v>C1B</v>
      </c>
      <c r="S197" s="26" t="str">
        <f>IFERROR(__xludf.DUMMYFUNCTION("""COMPUTED_VALUE"""),"ENTRY")</f>
        <v>ENTRY</v>
      </c>
      <c r="T197" s="26"/>
    </row>
    <row r="198">
      <c r="A198" s="35">
        <f>IFERROR(__xludf.DUMMYFUNCTION("""COMPUTED_VALUE"""),46135.352044432875)</f>
        <v>46135.35204</v>
      </c>
      <c r="B198" s="36" t="str">
        <f>IFERROR(__xludf.DUMMYFUNCTION("""COMPUTED_VALUE"""),"SCREEN")</f>
        <v>SCREEN</v>
      </c>
      <c r="C198" s="26" t="str">
        <f>IFERROR(__xludf.DUMMYFUNCTION("""COMPUTED_VALUE"""),"LGI DESERT EDGE TOWNHOMES B1")</f>
        <v>LGI DESERT EDGE TOWNHOMES B1</v>
      </c>
      <c r="D198" s="27"/>
      <c r="E198" s="27"/>
      <c r="F198" s="36">
        <f>IFERROR(__xludf.DUMMYFUNCTION("""COMPUTED_VALUE"""),22.0)</f>
        <v>22</v>
      </c>
      <c r="G198" s="27" t="str">
        <f>IFERROR(__xludf.DUMMYFUNCTION("""COMPUTED_VALUE"""),"UNIT")</f>
        <v>UNIT</v>
      </c>
      <c r="H198" s="37">
        <f>IFERROR(__xludf.DUMMYFUNCTION("""COMPUTED_VALUE"""),46135.0)</f>
        <v>46135</v>
      </c>
      <c r="I198" s="36" t="str">
        <f>IFERROR(__xludf.DUMMYFUNCTION("""COMPUTED_VALUE"""),"C2B")</f>
        <v>C2B</v>
      </c>
      <c r="J198" s="30" t="str">
        <f>IFERROR(__xludf.DUMMYFUNCTION("""COMPUTED_VALUE"""),"ALSIDE")</f>
        <v>ALSIDE</v>
      </c>
      <c r="K198" s="26"/>
      <c r="L198" s="30" t="str">
        <f>IFERROR(__xludf.DUMMYFUNCTION("""COMPUTED_VALUE"""),"DISPATCHED")</f>
        <v>DISPATCHED</v>
      </c>
      <c r="M198" s="26" t="str">
        <f>IFERROR(__xludf.DUMMYFUNCTION("""COMPUTED_VALUE"""),"JOSE C.")</f>
        <v>JOSE C.</v>
      </c>
      <c r="N198" s="26" t="str">
        <f>IFERROR(__xludf.DUMMYFUNCTION("""COMPUTED_VALUE"""),"LGI DESERT EDGE TOWNHOMES")</f>
        <v>LGI DESERT EDGE TOWNHOMES</v>
      </c>
      <c r="O198" s="26" t="str">
        <f>IFERROR(__xludf.DUMMYFUNCTION("""COMPUTED_VALUE"""),"SCREEN|||LGI DESERT EDGE TOWNHOMES B1")</f>
        <v>SCREEN|||LGI DESERT EDGE TOWNHOMES B1</v>
      </c>
      <c r="P198" s="26"/>
      <c r="Q198" s="26" t="str">
        <f>IFERROR(__xludf.DUMMYFUNCTION("""COMPUTED_VALUE"""),"jose@ox-glass.com")</f>
        <v>jose@ox-glass.com</v>
      </c>
      <c r="R198" s="26" t="str">
        <f>IFERROR(__xludf.DUMMYFUNCTION("""COMPUTED_VALUE"""),"JOE L. BAY")</f>
        <v>JOE L. BAY</v>
      </c>
      <c r="S198" s="26" t="str">
        <f>IFERROR(__xludf.DUMMYFUNCTION("""COMPUTED_VALUE"""),"TRANSFER")</f>
        <v>TRANSFER</v>
      </c>
      <c r="T198" s="26"/>
    </row>
    <row r="199">
      <c r="A199" s="35">
        <f>IFERROR(__xludf.DUMMYFUNCTION("""COMPUTED_VALUE"""),46135.34733016204)</f>
        <v>46135.34733</v>
      </c>
      <c r="B199" s="36" t="str">
        <f>IFERROR(__xludf.DUMMYFUNCTION("""COMPUTED_VALUE"""),"SCREEN")</f>
        <v>SCREEN</v>
      </c>
      <c r="C199" s="26" t="str">
        <f>IFERROR(__xludf.DUMMYFUNCTION("""COMPUTED_VALUE"""),"LGILOT1001-2W")</f>
        <v>LGILOT1001-2W</v>
      </c>
      <c r="D199" s="27"/>
      <c r="E199" s="27"/>
      <c r="F199" s="36">
        <f>IFERROR(__xludf.DUMMYFUNCTION("""COMPUTED_VALUE"""),2.0)</f>
        <v>2</v>
      </c>
      <c r="G199" s="27" t="str">
        <f>IFERROR(__xludf.DUMMYFUNCTION("""COMPUTED_VALUE"""),"UNIT")</f>
        <v>UNIT</v>
      </c>
      <c r="H199" s="37">
        <f>IFERROR(__xludf.DUMMYFUNCTION("""COMPUTED_VALUE"""),46135.0)</f>
        <v>46135</v>
      </c>
      <c r="I199" s="36" t="str">
        <f>IFERROR(__xludf.DUMMYFUNCTION("""COMPUTED_VALUE"""),"JOE LUMUS BAY")</f>
        <v>JOE LUMUS BAY</v>
      </c>
      <c r="J199" s="30" t="str">
        <f>IFERROR(__xludf.DUMMYFUNCTION("""COMPUTED_VALUE"""),"ALSIDE")</f>
        <v>ALSIDE</v>
      </c>
      <c r="K199" s="26"/>
      <c r="L199" s="30" t="str">
        <f>IFERROR(__xludf.DUMMYFUNCTION("""COMPUTED_VALUE"""),"DISPATCHED")</f>
        <v>DISPATCHED</v>
      </c>
      <c r="M199" s="26" t="str">
        <f>IFERROR(__xludf.DUMMYFUNCTION("""COMPUTED_VALUE"""),"JOSE C.")</f>
        <v>JOSE C.</v>
      </c>
      <c r="N199" s="26" t="str">
        <f>IFERROR(__xludf.DUMMYFUNCTION("""COMPUTED_VALUE"""),"LGILOT1001-2W")</f>
        <v>LGILOT1001-2W</v>
      </c>
      <c r="O199" s="26" t="str">
        <f>IFERROR(__xludf.DUMMYFUNCTION("""COMPUTED_VALUE"""),"SCREEN|||LGILOT1001 2W")</f>
        <v>SCREEN|||LGILOT1001 2W</v>
      </c>
      <c r="P199" s="26"/>
      <c r="Q199" s="26" t="str">
        <f>IFERROR(__xludf.DUMMYFUNCTION("""COMPUTED_VALUE"""),"jose@ox-glass.com")</f>
        <v>jose@ox-glass.com</v>
      </c>
      <c r="R199" s="26" t="str">
        <f>IFERROR(__xludf.DUMMYFUNCTION("""COMPUTED_VALUE"""),"JOE L. BAY")</f>
        <v>JOE L. BAY</v>
      </c>
      <c r="S199" s="26" t="str">
        <f>IFERROR(__xludf.DUMMYFUNCTION("""COMPUTED_VALUE"""),"TRANSFER")</f>
        <v>TRANSFER</v>
      </c>
      <c r="T199" s="26"/>
    </row>
    <row r="200">
      <c r="A200" s="35">
        <f>IFERROR(__xludf.DUMMYFUNCTION("""COMPUTED_VALUE"""),46133.362796273155)</f>
        <v>46133.3628</v>
      </c>
      <c r="B200" s="36" t="str">
        <f>IFERROR(__xludf.DUMMYFUNCTION("""COMPUTED_VALUE"""),"SCREEN")</f>
        <v>SCREEN</v>
      </c>
      <c r="C200" s="26" t="str">
        <f>IFERROR(__xludf.DUMMYFUNCTION("""COMPUTED_VALUE"""),"LANE ALLRED HOME")</f>
        <v>LANE ALLRED HOME</v>
      </c>
      <c r="D200" s="27"/>
      <c r="E200" s="27" t="str">
        <f>IFERROR(__xludf.DUMMYFUNCTION("""COMPUTED_VALUE"""),"02-1833*12")</f>
        <v>02-1833*12</v>
      </c>
      <c r="F200" s="36">
        <f>IFERROR(__xludf.DUMMYFUNCTION("""COMPUTED_VALUE"""),17.0)</f>
        <v>17</v>
      </c>
      <c r="G200" s="27" t="str">
        <f>IFERROR(__xludf.DUMMYFUNCTION("""COMPUTED_VALUE"""),"UNIT")</f>
        <v>UNIT</v>
      </c>
      <c r="H200" s="37">
        <f>IFERROR(__xludf.DUMMYFUNCTION("""COMPUTED_VALUE"""),46091.0)</f>
        <v>46091</v>
      </c>
      <c r="I200" s="36" t="str">
        <f>IFERROR(__xludf.DUMMYFUNCTION("""COMPUTED_VALUE"""),"B1B")</f>
        <v>B1B</v>
      </c>
      <c r="J200" s="30" t="str">
        <f>IFERROR(__xludf.DUMMYFUNCTION("""COMPUTED_VALUE"""),"AMSCO")</f>
        <v>AMSCO</v>
      </c>
      <c r="K200" s="26" t="str">
        <f>IFERROR(__xludf.DUMMYFUNCTION("""COMPUTED_VALUE"""),"WHITE WINDOW SCREENS, DIFFERENT SIZES")</f>
        <v>WHITE WINDOW SCREENS, DIFFERENT SIZES</v>
      </c>
      <c r="L200" s="30" t="str">
        <f>IFERROR(__xludf.DUMMYFUNCTION("""COMPUTED_VALUE"""),"IN STOCK")</f>
        <v>IN STOCK</v>
      </c>
      <c r="M200" s="26" t="str">
        <f>IFERROR(__xludf.DUMMYFUNCTION("""COMPUTED_VALUE"""),"JOSE C.")</f>
        <v>JOSE C.</v>
      </c>
      <c r="N200" s="26" t="str">
        <f>IFERROR(__xludf.DUMMYFUNCTION("""COMPUTED_VALUE"""),"LANE ALLRED HOME")</f>
        <v>LANE ALLRED HOME</v>
      </c>
      <c r="O200" s="26" t="str">
        <f>IFERROR(__xludf.DUMMYFUNCTION("""COMPUTED_VALUE"""),"SCREEN|||LANE ALLRED HOME")</f>
        <v>SCREEN|||LANE ALLRED HOME</v>
      </c>
      <c r="P200" s="26"/>
      <c r="Q200" s="26" t="str">
        <f>IFERROR(__xludf.DUMMYFUNCTION("""COMPUTED_VALUE"""),"jose@ox-glass.com")</f>
        <v>jose@ox-glass.com</v>
      </c>
      <c r="R200" s="26" t="str">
        <f>IFERROR(__xludf.DUMMYFUNCTION("""COMPUTED_VALUE"""),"B1B")</f>
        <v>B1B</v>
      </c>
      <c r="S200" s="26" t="str">
        <f>IFERROR(__xludf.DUMMYFUNCTION("""COMPUTED_VALUE"""),"ENTRY")</f>
        <v>ENTRY</v>
      </c>
      <c r="T200" s="26"/>
    </row>
    <row r="201">
      <c r="A201" s="35">
        <f>IFERROR(__xludf.DUMMYFUNCTION("""COMPUTED_VALUE"""),46132.4301971875)</f>
        <v>46132.4302</v>
      </c>
      <c r="B201" s="36" t="str">
        <f>IFERROR(__xludf.DUMMYFUNCTION("""COMPUTED_VALUE"""),"SCREEN")</f>
        <v>SCREEN</v>
      </c>
      <c r="C201" s="26" t="str">
        <f>IFERROR(__xludf.DUMMYFUNCTION("""COMPUTED_VALUE"""),"HIG CANNON RESIDENCE")</f>
        <v>HIG CANNON RESIDENCE</v>
      </c>
      <c r="D201" s="27" t="str">
        <f>IFERROR(__xludf.DUMMYFUNCTION("""COMPUTED_VALUE"""),"HIG")</f>
        <v>HIG</v>
      </c>
      <c r="E201" s="27"/>
      <c r="F201" s="36">
        <f>IFERROR(__xludf.DUMMYFUNCTION("""COMPUTED_VALUE"""),1.0)</f>
        <v>1</v>
      </c>
      <c r="G201" s="27" t="str">
        <f>IFERROR(__xludf.DUMMYFUNCTION("""COMPUTED_VALUE"""),"UNIT")</f>
        <v>UNIT</v>
      </c>
      <c r="H201" s="37">
        <f>IFERROR(__xludf.DUMMYFUNCTION("""COMPUTED_VALUE"""),46132.0)</f>
        <v>46132</v>
      </c>
      <c r="I201" s="36" t="str">
        <f>IFERROR(__xludf.DUMMYFUNCTION("""COMPUTED_VALUE"""),"P2C")</f>
        <v>P2C</v>
      </c>
      <c r="J201" s="30" t="str">
        <f>IFERROR(__xludf.DUMMYFUNCTION("""COMPUTED_VALUE"""),"AMSCO")</f>
        <v>AMSCO</v>
      </c>
      <c r="K201" s="26" t="str">
        <f>IFERROR(__xludf.DUMMYFUNCTION("""COMPUTED_VALUE"""),"BLACK DOOR SCREEN, 36 3/8 X 93 3/4")</f>
        <v>BLACK DOOR SCREEN, 36 3/8 X 93 3/4</v>
      </c>
      <c r="L201" s="30" t="str">
        <f>IFERROR(__xludf.DUMMYFUNCTION("""COMPUTED_VALUE"""),"IN STOCK")</f>
        <v>IN STOCK</v>
      </c>
      <c r="M201" s="26" t="str">
        <f>IFERROR(__xludf.DUMMYFUNCTION("""COMPUTED_VALUE"""),"JOSE C.")</f>
        <v>JOSE C.</v>
      </c>
      <c r="N201" s="26" t="str">
        <f>IFERROR(__xludf.DUMMYFUNCTION("""COMPUTED_VALUE"""),"HIG CANNON RESIDENCE")</f>
        <v>HIG CANNON RESIDENCE</v>
      </c>
      <c r="O201" s="26" t="str">
        <f>IFERROR(__xludf.DUMMYFUNCTION("""COMPUTED_VALUE"""),"SCREEN|||HIG CANNON RESIDENCE")</f>
        <v>SCREEN|||HIG CANNON RESIDENCE</v>
      </c>
      <c r="P201" s="26"/>
      <c r="Q201" s="26" t="str">
        <f>IFERROR(__xludf.DUMMYFUNCTION("""COMPUTED_VALUE"""),"jose@ox-glass.com")</f>
        <v>jose@ox-glass.com</v>
      </c>
      <c r="R201" s="26" t="str">
        <f>IFERROR(__xludf.DUMMYFUNCTION("""COMPUTED_VALUE"""),"P2C")</f>
        <v>P2C</v>
      </c>
      <c r="S201" s="26" t="str">
        <f>IFERROR(__xludf.DUMMYFUNCTION("""COMPUTED_VALUE"""),"ENTRY")</f>
        <v>ENTRY</v>
      </c>
      <c r="T201" s="26"/>
    </row>
    <row r="202">
      <c r="A202" s="35">
        <f>IFERROR(__xludf.DUMMYFUNCTION("""COMPUTED_VALUE"""),46132.429067592595)</f>
        <v>46132.42907</v>
      </c>
      <c r="B202" s="36" t="str">
        <f>IFERROR(__xludf.DUMMYFUNCTION("""COMPUTED_VALUE"""),"SCREEN")</f>
        <v>SCREEN</v>
      </c>
      <c r="C202" s="26" t="str">
        <f>IFERROR(__xludf.DUMMYFUNCTION("""COMPUTED_VALUE"""),"WHI STRATTON MEADOWS LOT216")</f>
        <v>WHI STRATTON MEADOWS LOT216</v>
      </c>
      <c r="D202" s="27" t="str">
        <f>IFERROR(__xludf.DUMMYFUNCTION("""COMPUTED_VALUE"""),"WHI")</f>
        <v>WHI</v>
      </c>
      <c r="E202" s="27"/>
      <c r="F202" s="36">
        <f>IFERROR(__xludf.DUMMYFUNCTION("""COMPUTED_VALUE"""),1.0)</f>
        <v>1</v>
      </c>
      <c r="G202" s="27" t="str">
        <f>IFERROR(__xludf.DUMMYFUNCTION("""COMPUTED_VALUE"""),"UNIT")</f>
        <v>UNIT</v>
      </c>
      <c r="H202" s="37">
        <f>IFERROR(__xludf.DUMMYFUNCTION("""COMPUTED_VALUE"""),46132.0)</f>
        <v>46132</v>
      </c>
      <c r="I202" s="36" t="str">
        <f>IFERROR(__xludf.DUMMYFUNCTION("""COMPUTED_VALUE"""),"P2C")</f>
        <v>P2C</v>
      </c>
      <c r="J202" s="30" t="str">
        <f>IFERROR(__xludf.DUMMYFUNCTION("""COMPUTED_VALUE"""),"AMSCO")</f>
        <v>AMSCO</v>
      </c>
      <c r="K202" s="26" t="str">
        <f>IFERROR(__xludf.DUMMYFUNCTION("""COMPUTED_VALUE"""),"WHITE DOOR SCREEN, 36 3/8 X 77 3/4")</f>
        <v>WHITE DOOR SCREEN, 36 3/8 X 77 3/4</v>
      </c>
      <c r="L202" s="30" t="str">
        <f>IFERROR(__xludf.DUMMYFUNCTION("""COMPUTED_VALUE"""),"IN STOCK")</f>
        <v>IN STOCK</v>
      </c>
      <c r="M202" s="26" t="str">
        <f>IFERROR(__xludf.DUMMYFUNCTION("""COMPUTED_VALUE"""),"JOSE C.")</f>
        <v>JOSE C.</v>
      </c>
      <c r="N202" s="26" t="str">
        <f>IFERROR(__xludf.DUMMYFUNCTION("""COMPUTED_VALUE"""),"WHI STRATTON MEADOWS")</f>
        <v>WHI STRATTON MEADOWS</v>
      </c>
      <c r="O202" s="26" t="str">
        <f>IFERROR(__xludf.DUMMYFUNCTION("""COMPUTED_VALUE"""),"SCREEN|||WHI STRATTON MEADOWS LOT216")</f>
        <v>SCREEN|||WHI STRATTON MEADOWS LOT216</v>
      </c>
      <c r="P202" s="26"/>
      <c r="Q202" s="26" t="str">
        <f>IFERROR(__xludf.DUMMYFUNCTION("""COMPUTED_VALUE"""),"jose@ox-glass.com")</f>
        <v>jose@ox-glass.com</v>
      </c>
      <c r="R202" s="26" t="str">
        <f>IFERROR(__xludf.DUMMYFUNCTION("""COMPUTED_VALUE"""),"P2C")</f>
        <v>P2C</v>
      </c>
      <c r="S202" s="26" t="str">
        <f>IFERROR(__xludf.DUMMYFUNCTION("""COMPUTED_VALUE"""),"ENTRY")</f>
        <v>ENTRY</v>
      </c>
      <c r="T202" s="26"/>
    </row>
    <row r="203">
      <c r="A203" s="35">
        <f>IFERROR(__xludf.DUMMYFUNCTION("""COMPUTED_VALUE"""),46132.42796773148)</f>
        <v>46132.42797</v>
      </c>
      <c r="B203" s="36" t="str">
        <f>IFERROR(__xludf.DUMMYFUNCTION("""COMPUTED_VALUE"""),"SCREEN")</f>
        <v>SCREEN</v>
      </c>
      <c r="C203" s="26" t="str">
        <f>IFERROR(__xludf.DUMMYFUNCTION("""COMPUTED_VALUE"""),"WHI STRATTON MEADOWS LOT214")</f>
        <v>WHI STRATTON MEADOWS LOT214</v>
      </c>
      <c r="D203" s="27" t="str">
        <f>IFERROR(__xludf.DUMMYFUNCTION("""COMPUTED_VALUE"""),"WHI")</f>
        <v>WHI</v>
      </c>
      <c r="E203" s="27"/>
      <c r="F203" s="36">
        <f>IFERROR(__xludf.DUMMYFUNCTION("""COMPUTED_VALUE"""),1.0)</f>
        <v>1</v>
      </c>
      <c r="G203" s="27" t="str">
        <f>IFERROR(__xludf.DUMMYFUNCTION("""COMPUTED_VALUE"""),"UNIT")</f>
        <v>UNIT</v>
      </c>
      <c r="H203" s="37">
        <f>IFERROR(__xludf.DUMMYFUNCTION("""COMPUTED_VALUE"""),46132.0)</f>
        <v>46132</v>
      </c>
      <c r="I203" s="36" t="str">
        <f>IFERROR(__xludf.DUMMYFUNCTION("""COMPUTED_VALUE"""),"P2C")</f>
        <v>P2C</v>
      </c>
      <c r="J203" s="30" t="str">
        <f>IFERROR(__xludf.DUMMYFUNCTION("""COMPUTED_VALUE"""),"AMSCO")</f>
        <v>AMSCO</v>
      </c>
      <c r="K203" s="26" t="str">
        <f>IFERROR(__xludf.DUMMYFUNCTION("""COMPUTED_VALUE"""),"WHITE DOOR SCREEN, 36 3/8 X 77 3/4")</f>
        <v>WHITE DOOR SCREEN, 36 3/8 X 77 3/4</v>
      </c>
      <c r="L203" s="30" t="str">
        <f>IFERROR(__xludf.DUMMYFUNCTION("""COMPUTED_VALUE"""),"IN STOCK")</f>
        <v>IN STOCK</v>
      </c>
      <c r="M203" s="26" t="str">
        <f>IFERROR(__xludf.DUMMYFUNCTION("""COMPUTED_VALUE"""),"JOSE C.")</f>
        <v>JOSE C.</v>
      </c>
      <c r="N203" s="26" t="str">
        <f>IFERROR(__xludf.DUMMYFUNCTION("""COMPUTED_VALUE"""),"WHI STRATTON MEADOWS")</f>
        <v>WHI STRATTON MEADOWS</v>
      </c>
      <c r="O203" s="26" t="str">
        <f>IFERROR(__xludf.DUMMYFUNCTION("""COMPUTED_VALUE"""),"SCREEN|||WHI STRATTON MEADOWS LOT214")</f>
        <v>SCREEN|||WHI STRATTON MEADOWS LOT214</v>
      </c>
      <c r="P203" s="26"/>
      <c r="Q203" s="26" t="str">
        <f>IFERROR(__xludf.DUMMYFUNCTION("""COMPUTED_VALUE"""),"jose@ox-glass.com")</f>
        <v>jose@ox-glass.com</v>
      </c>
      <c r="R203" s="26" t="str">
        <f>IFERROR(__xludf.DUMMYFUNCTION("""COMPUTED_VALUE"""),"P2C")</f>
        <v>P2C</v>
      </c>
      <c r="S203" s="26" t="str">
        <f>IFERROR(__xludf.DUMMYFUNCTION("""COMPUTED_VALUE"""),"ENTRY")</f>
        <v>ENTRY</v>
      </c>
      <c r="T203" s="26"/>
    </row>
    <row r="204">
      <c r="A204" s="35">
        <f>IFERROR(__xludf.DUMMYFUNCTION("""COMPUTED_VALUE"""),46132.37890375)</f>
        <v>46132.3789</v>
      </c>
      <c r="B204" s="36" t="str">
        <f>IFERROR(__xludf.DUMMYFUNCTION("""COMPUTED_VALUE"""),"SCREEN")</f>
        <v>SCREEN</v>
      </c>
      <c r="C204" s="26" t="str">
        <f>IFERROR(__xludf.DUMMYFUNCTION("""COMPUTED_VALUE"""),"HIG CANNON RESIDENCE")</f>
        <v>HIG CANNON RESIDENCE</v>
      </c>
      <c r="D204" s="27" t="str">
        <f>IFERROR(__xludf.DUMMYFUNCTION("""COMPUTED_VALUE"""),"HIG")</f>
        <v>HIG</v>
      </c>
      <c r="E204" s="27" t="str">
        <f>IFERROR(__xludf.DUMMYFUNCTION("""COMPUTED_VALUE"""),"04-502*19")</f>
        <v>04-502*19</v>
      </c>
      <c r="F204" s="36">
        <f>IFERROR(__xludf.DUMMYFUNCTION("""COMPUTED_VALUE"""),14.0)</f>
        <v>14</v>
      </c>
      <c r="G204" s="27" t="str">
        <f>IFERROR(__xludf.DUMMYFUNCTION("""COMPUTED_VALUE"""),"UNIT")</f>
        <v>UNIT</v>
      </c>
      <c r="H204" s="37">
        <f>IFERROR(__xludf.DUMMYFUNCTION("""COMPUTED_VALUE"""),46132.0)</f>
        <v>46132</v>
      </c>
      <c r="I204" s="36" t="str">
        <f>IFERROR(__xludf.DUMMYFUNCTION("""COMPUTED_VALUE"""),"B1B")</f>
        <v>B1B</v>
      </c>
      <c r="J204" s="30" t="str">
        <f>IFERROR(__xludf.DUMMYFUNCTION("""COMPUTED_VALUE"""),"AMSCO")</f>
        <v>AMSCO</v>
      </c>
      <c r="K204" s="26" t="str">
        <f>IFERROR(__xludf.DUMMYFUNCTION("""COMPUTED_VALUE"""),"BLACK AND WHITE WINDOW SCREENS, DIFFERENT SIZES")</f>
        <v>BLACK AND WHITE WINDOW SCREENS, DIFFERENT SIZES</v>
      </c>
      <c r="L204" s="30" t="str">
        <f>IFERROR(__xludf.DUMMYFUNCTION("""COMPUTED_VALUE"""),"IN STOCK")</f>
        <v>IN STOCK</v>
      </c>
      <c r="M204" s="26" t="str">
        <f>IFERROR(__xludf.DUMMYFUNCTION("""COMPUTED_VALUE"""),"JOSE C.")</f>
        <v>JOSE C.</v>
      </c>
      <c r="N204" s="26" t="str">
        <f>IFERROR(__xludf.DUMMYFUNCTION("""COMPUTED_VALUE"""),"HIG CANNON RESIDENCE")</f>
        <v>HIG CANNON RESIDENCE</v>
      </c>
      <c r="O204" s="26" t="str">
        <f>IFERROR(__xludf.DUMMYFUNCTION("""COMPUTED_VALUE"""),"SCREEN|||HIG CANNON RESIDENCE")</f>
        <v>SCREEN|||HIG CANNON RESIDENCE</v>
      </c>
      <c r="P204" s="26"/>
      <c r="Q204" s="26" t="str">
        <f>IFERROR(__xludf.DUMMYFUNCTION("""COMPUTED_VALUE"""),"jose@ox-glass.com")</f>
        <v>jose@ox-glass.com</v>
      </c>
      <c r="R204" s="26" t="str">
        <f>IFERROR(__xludf.DUMMYFUNCTION("""COMPUTED_VALUE"""),"B1B")</f>
        <v>B1B</v>
      </c>
      <c r="S204" s="26" t="str">
        <f>IFERROR(__xludf.DUMMYFUNCTION("""COMPUTED_VALUE"""),"ENTRY")</f>
        <v>ENTRY</v>
      </c>
      <c r="T204" s="26"/>
    </row>
    <row r="205">
      <c r="A205" s="35">
        <f>IFERROR(__xludf.DUMMYFUNCTION("""COMPUTED_VALUE"""),46132.36246978009)</f>
        <v>46132.36247</v>
      </c>
      <c r="B205" s="36" t="str">
        <f>IFERROR(__xludf.DUMMYFUNCTION("""COMPUTED_VALUE"""),"SCREEN")</f>
        <v>SCREEN</v>
      </c>
      <c r="C205" s="26" t="str">
        <f>IFERROR(__xludf.DUMMYFUNCTION("""COMPUTED_VALUE"""),"WHI STRATTON MEADOWS LOT214")</f>
        <v>WHI STRATTON MEADOWS LOT214</v>
      </c>
      <c r="D205" s="27" t="str">
        <f>IFERROR(__xludf.DUMMYFUNCTION("""COMPUTED_VALUE"""),"WHI")</f>
        <v>WHI</v>
      </c>
      <c r="E205" s="27" t="str">
        <f>IFERROR(__xludf.DUMMYFUNCTION("""COMPUTED_VALUE"""),"03-5686*10")</f>
        <v>03-5686*10</v>
      </c>
      <c r="F205" s="36">
        <f>IFERROR(__xludf.DUMMYFUNCTION("""COMPUTED_VALUE"""),12.0)</f>
        <v>12</v>
      </c>
      <c r="G205" s="27" t="str">
        <f>IFERROR(__xludf.DUMMYFUNCTION("""COMPUTED_VALUE"""),"UNIT")</f>
        <v>UNIT</v>
      </c>
      <c r="H205" s="37">
        <f>IFERROR(__xludf.DUMMYFUNCTION("""COMPUTED_VALUE"""),46132.0)</f>
        <v>46132</v>
      </c>
      <c r="I205" s="36" t="str">
        <f>IFERROR(__xludf.DUMMYFUNCTION("""COMPUTED_VALUE"""),"B1B")</f>
        <v>B1B</v>
      </c>
      <c r="J205" s="30" t="str">
        <f>IFERROR(__xludf.DUMMYFUNCTION("""COMPUTED_VALUE"""),"AMSCO")</f>
        <v>AMSCO</v>
      </c>
      <c r="K205" s="26" t="str">
        <f>IFERROR(__xludf.DUMMYFUNCTION("""COMPUTED_VALUE"""),"WHITE WINDOW SCREENS, DIFFERENT SIZES.")</f>
        <v>WHITE WINDOW SCREENS, DIFFERENT SIZES.</v>
      </c>
      <c r="L205" s="30" t="str">
        <f>IFERROR(__xludf.DUMMYFUNCTION("""COMPUTED_VALUE"""),"IN STOCK")</f>
        <v>IN STOCK</v>
      </c>
      <c r="M205" s="26" t="str">
        <f>IFERROR(__xludf.DUMMYFUNCTION("""COMPUTED_VALUE"""),"JOSE C.")</f>
        <v>JOSE C.</v>
      </c>
      <c r="N205" s="26" t="str">
        <f>IFERROR(__xludf.DUMMYFUNCTION("""COMPUTED_VALUE"""),"WHI STRATTON MEADOWS")</f>
        <v>WHI STRATTON MEADOWS</v>
      </c>
      <c r="O205" s="26" t="str">
        <f>IFERROR(__xludf.DUMMYFUNCTION("""COMPUTED_VALUE"""),"SCREEN|||WHI STRATTON MEADOWS LOT214")</f>
        <v>SCREEN|||WHI STRATTON MEADOWS LOT214</v>
      </c>
      <c r="P205" s="26"/>
      <c r="Q205" s="26" t="str">
        <f>IFERROR(__xludf.DUMMYFUNCTION("""COMPUTED_VALUE"""),"jose@ox-glass.com")</f>
        <v>jose@ox-glass.com</v>
      </c>
      <c r="R205" s="26" t="str">
        <f>IFERROR(__xludf.DUMMYFUNCTION("""COMPUTED_VALUE"""),"B1B")</f>
        <v>B1B</v>
      </c>
      <c r="S205" s="26" t="str">
        <f>IFERROR(__xludf.DUMMYFUNCTION("""COMPUTED_VALUE"""),"ENTRY")</f>
        <v>ENTRY</v>
      </c>
      <c r="T205" s="26"/>
    </row>
    <row r="206">
      <c r="A206" s="35">
        <f>IFERROR(__xludf.DUMMYFUNCTION("""COMPUTED_VALUE"""),46132.35781207176)</f>
        <v>46132.35781</v>
      </c>
      <c r="B206" s="36" t="str">
        <f>IFERROR(__xludf.DUMMYFUNCTION("""COMPUTED_VALUE"""),"SCREEN")</f>
        <v>SCREEN</v>
      </c>
      <c r="C206" s="26" t="str">
        <f>IFERROR(__xludf.DUMMYFUNCTION("""COMPUTED_VALUE"""),"WHI STRATTON MEADOWS LOT216")</f>
        <v>WHI STRATTON MEADOWS LOT216</v>
      </c>
      <c r="D206" s="27" t="str">
        <f>IFERROR(__xludf.DUMMYFUNCTION("""COMPUTED_VALUE"""),"WHI")</f>
        <v>WHI</v>
      </c>
      <c r="E206" s="27" t="str">
        <f>IFERROR(__xludf.DUMMYFUNCTION("""COMPUTED_VALUE"""),"03-5685*10")</f>
        <v>03-5685*10</v>
      </c>
      <c r="F206" s="36">
        <f>IFERROR(__xludf.DUMMYFUNCTION("""COMPUTED_VALUE"""),12.0)</f>
        <v>12</v>
      </c>
      <c r="G206" s="27" t="str">
        <f>IFERROR(__xludf.DUMMYFUNCTION("""COMPUTED_VALUE"""),"UNIT")</f>
        <v>UNIT</v>
      </c>
      <c r="H206" s="37">
        <f>IFERROR(__xludf.DUMMYFUNCTION("""COMPUTED_VALUE"""),46129.0)</f>
        <v>46129</v>
      </c>
      <c r="I206" s="36" t="str">
        <f>IFERROR(__xludf.DUMMYFUNCTION("""COMPUTED_VALUE"""),"B1B")</f>
        <v>B1B</v>
      </c>
      <c r="J206" s="30" t="str">
        <f>IFERROR(__xludf.DUMMYFUNCTION("""COMPUTED_VALUE"""),"AMSCO")</f>
        <v>AMSCO</v>
      </c>
      <c r="K206" s="26" t="str">
        <f>IFERROR(__xludf.DUMMYFUNCTION("""COMPUTED_VALUE"""),"WHITE WINDOW SCREENS, DIFFERENT SIZES.")</f>
        <v>WHITE WINDOW SCREENS, DIFFERENT SIZES.</v>
      </c>
      <c r="L206" s="30" t="str">
        <f>IFERROR(__xludf.DUMMYFUNCTION("""COMPUTED_VALUE"""),"IN STOCK")</f>
        <v>IN STOCK</v>
      </c>
      <c r="M206" s="26" t="str">
        <f>IFERROR(__xludf.DUMMYFUNCTION("""COMPUTED_VALUE"""),"JOSE C.")</f>
        <v>JOSE C.</v>
      </c>
      <c r="N206" s="26" t="str">
        <f>IFERROR(__xludf.DUMMYFUNCTION("""COMPUTED_VALUE"""),"WHI STRATTON MEADOWS")</f>
        <v>WHI STRATTON MEADOWS</v>
      </c>
      <c r="O206" s="26" t="str">
        <f>IFERROR(__xludf.DUMMYFUNCTION("""COMPUTED_VALUE"""),"SCREEN|||WHI STRATTON MEADOWS LOT216")</f>
        <v>SCREEN|||WHI STRATTON MEADOWS LOT216</v>
      </c>
      <c r="P206" s="26"/>
      <c r="Q206" s="26" t="str">
        <f>IFERROR(__xludf.DUMMYFUNCTION("""COMPUTED_VALUE"""),"jose@ox-glass.com")</f>
        <v>jose@ox-glass.com</v>
      </c>
      <c r="R206" s="26" t="str">
        <f>IFERROR(__xludf.DUMMYFUNCTION("""COMPUTED_VALUE"""),"B1B")</f>
        <v>B1B</v>
      </c>
      <c r="S206" s="26" t="str">
        <f>IFERROR(__xludf.DUMMYFUNCTION("""COMPUTED_VALUE"""),"ENTRY")</f>
        <v>ENTRY</v>
      </c>
      <c r="T206" s="26"/>
    </row>
    <row r="207">
      <c r="A207" s="35">
        <f>IFERROR(__xludf.DUMMYFUNCTION("""COMPUTED_VALUE"""),46132.35551043981)</f>
        <v>46132.35551</v>
      </c>
      <c r="B207" s="36" t="str">
        <f>IFERROR(__xludf.DUMMYFUNCTION("""COMPUTED_VALUE"""),"SCREEN")</f>
        <v>SCREEN</v>
      </c>
      <c r="C207" s="26" t="str">
        <f>IFERROR(__xludf.DUMMYFUNCTION("""COMPUTED_VALUE"""),"SAL BUSHMAN FARMS")</f>
        <v>SAL BUSHMAN FARMS</v>
      </c>
      <c r="D207" s="27"/>
      <c r="E207" s="27" t="str">
        <f>IFERROR(__xludf.DUMMYFUNCTION("""COMPUTED_VALUE"""),"04-519*15")</f>
        <v>04-519*15</v>
      </c>
      <c r="F207" s="36">
        <f>IFERROR(__xludf.DUMMYFUNCTION("""COMPUTED_VALUE"""),15.0)</f>
        <v>15</v>
      </c>
      <c r="G207" s="27" t="str">
        <f>IFERROR(__xludf.DUMMYFUNCTION("""COMPUTED_VALUE"""),"UNIT")</f>
        <v>UNIT</v>
      </c>
      <c r="H207" s="37">
        <f>IFERROR(__xludf.DUMMYFUNCTION("""COMPUTED_VALUE"""),46129.0)</f>
        <v>46129</v>
      </c>
      <c r="I207" s="36" t="str">
        <f>IFERROR(__xludf.DUMMYFUNCTION("""COMPUTED_VALUE"""),"B1B")</f>
        <v>B1B</v>
      </c>
      <c r="J207" s="30" t="str">
        <f>IFERROR(__xludf.DUMMYFUNCTION("""COMPUTED_VALUE"""),"AMSCO")</f>
        <v>AMSCO</v>
      </c>
      <c r="K207" s="26" t="str">
        <f>IFERROR(__xludf.DUMMYFUNCTION("""COMPUTED_VALUE"""),"WHITE WINDOW SCREENS, DIFFERENT SIZES")</f>
        <v>WHITE WINDOW SCREENS, DIFFERENT SIZES</v>
      </c>
      <c r="L207" s="30" t="str">
        <f>IFERROR(__xludf.DUMMYFUNCTION("""COMPUTED_VALUE"""),"IN STOCK")</f>
        <v>IN STOCK</v>
      </c>
      <c r="M207" s="26" t="str">
        <f>IFERROR(__xludf.DUMMYFUNCTION("""COMPUTED_VALUE"""),"JOSE C.")</f>
        <v>JOSE C.</v>
      </c>
      <c r="N207" s="26" t="str">
        <f>IFERROR(__xludf.DUMMYFUNCTION("""COMPUTED_VALUE"""),"SAL BUSHMAN FARMS")</f>
        <v>SAL BUSHMAN FARMS</v>
      </c>
      <c r="O207" s="26" t="str">
        <f>IFERROR(__xludf.DUMMYFUNCTION("""COMPUTED_VALUE"""),"SCREEN|||SAL BUSHMAN FARMS")</f>
        <v>SCREEN|||SAL BUSHMAN FARMS</v>
      </c>
      <c r="P207" s="26"/>
      <c r="Q207" s="26" t="str">
        <f>IFERROR(__xludf.DUMMYFUNCTION("""COMPUTED_VALUE"""),"jose@ox-glass.com")</f>
        <v>jose@ox-glass.com</v>
      </c>
      <c r="R207" s="26" t="str">
        <f>IFERROR(__xludf.DUMMYFUNCTION("""COMPUTED_VALUE"""),"B1B")</f>
        <v>B1B</v>
      </c>
      <c r="S207" s="26" t="str">
        <f>IFERROR(__xludf.DUMMYFUNCTION("""COMPUTED_VALUE"""),"ENTRY")</f>
        <v>ENTRY</v>
      </c>
      <c r="T207" s="26"/>
    </row>
    <row r="208">
      <c r="A208" s="35">
        <f>IFERROR(__xludf.DUMMYFUNCTION("""COMPUTED_VALUE"""),46132.346881076395)</f>
        <v>46132.34688</v>
      </c>
      <c r="B208" s="36" t="str">
        <f>IFERROR(__xludf.DUMMYFUNCTION("""COMPUTED_VALUE"""),"SCREEN")</f>
        <v>SCREEN</v>
      </c>
      <c r="C208" s="26" t="str">
        <f>IFERROR(__xludf.DUMMYFUNCTION("""COMPUTED_VALUE"""),"BYRON ALLRED")</f>
        <v>BYRON ALLRED</v>
      </c>
      <c r="D208" s="27" t="str">
        <f>IFERROR(__xludf.DUMMYFUNCTION("""COMPUTED_VALUE"""),"DEL")</f>
        <v>DEL</v>
      </c>
      <c r="E208" s="27" t="str">
        <f>IFERROR(__xludf.DUMMYFUNCTION("""COMPUTED_VALUE"""),"03-6761*9")</f>
        <v>03-6761*9</v>
      </c>
      <c r="F208" s="36">
        <f>IFERROR(__xludf.DUMMYFUNCTION("""COMPUTED_VALUE"""),14.0)</f>
        <v>14</v>
      </c>
      <c r="G208" s="27" t="str">
        <f>IFERROR(__xludf.DUMMYFUNCTION("""COMPUTED_VALUE"""),"UNIT")</f>
        <v>UNIT</v>
      </c>
      <c r="H208" s="37">
        <f>IFERROR(__xludf.DUMMYFUNCTION("""COMPUTED_VALUE"""),46129.0)</f>
        <v>46129</v>
      </c>
      <c r="I208" s="36" t="str">
        <f>IFERROR(__xludf.DUMMYFUNCTION("""COMPUTED_VALUE"""),"B1B")</f>
        <v>B1B</v>
      </c>
      <c r="J208" s="30" t="str">
        <f>IFERROR(__xludf.DUMMYFUNCTION("""COMPUTED_VALUE"""),"AMSCO")</f>
        <v>AMSCO</v>
      </c>
      <c r="K208" s="26" t="str">
        <f>IFERROR(__xludf.DUMMYFUNCTION("""COMPUTED_VALUE"""),"WHITE WINDOW SCREENS, DIFFERENT SIZES")</f>
        <v>WHITE WINDOW SCREENS, DIFFERENT SIZES</v>
      </c>
      <c r="L208" s="30" t="str">
        <f>IFERROR(__xludf.DUMMYFUNCTION("""COMPUTED_VALUE"""),"IN STOCK")</f>
        <v>IN STOCK</v>
      </c>
      <c r="M208" s="26" t="str">
        <f>IFERROR(__xludf.DUMMYFUNCTION("""COMPUTED_VALUE"""),"JOSE  C.")</f>
        <v>JOSE  C.</v>
      </c>
      <c r="N208" s="26" t="str">
        <f>IFERROR(__xludf.DUMMYFUNCTION("""COMPUTED_VALUE"""),"BYRON ALLRED")</f>
        <v>BYRON ALLRED</v>
      </c>
      <c r="O208" s="26" t="str">
        <f>IFERROR(__xludf.DUMMYFUNCTION("""COMPUTED_VALUE"""),"SCREEN|||BYRON ALLRED")</f>
        <v>SCREEN|||BYRON ALLRED</v>
      </c>
      <c r="P208" s="26"/>
      <c r="Q208" s="26" t="str">
        <f>IFERROR(__xludf.DUMMYFUNCTION("""COMPUTED_VALUE"""),"jose@ox-glass.com")</f>
        <v>jose@ox-glass.com</v>
      </c>
      <c r="R208" s="26" t="str">
        <f>IFERROR(__xludf.DUMMYFUNCTION("""COMPUTED_VALUE"""),"B1B")</f>
        <v>B1B</v>
      </c>
      <c r="S208" s="26" t="str">
        <f>IFERROR(__xludf.DUMMYFUNCTION("""COMPUTED_VALUE"""),"ENTRY")</f>
        <v>ENTRY</v>
      </c>
      <c r="T208" s="26"/>
    </row>
    <row r="209">
      <c r="A209" s="35">
        <f>IFERROR(__xludf.DUMMYFUNCTION("""COMPUTED_VALUE"""),46128.35963181713)</f>
        <v>46128.35963</v>
      </c>
      <c r="B209" s="36" t="str">
        <f>IFERROR(__xludf.DUMMYFUNCTION("""COMPUTED_VALUE"""),"SCREEN")</f>
        <v>SCREEN</v>
      </c>
      <c r="C209" s="26" t="str">
        <f>IFERROR(__xludf.DUMMYFUNCTION("""COMPUTED_VALUE"""),"Maxwell")</f>
        <v>Maxwell</v>
      </c>
      <c r="D209" s="27"/>
      <c r="E209" s="27"/>
      <c r="F209" s="36">
        <f>IFERROR(__xludf.DUMMYFUNCTION("""COMPUTED_VALUE"""),-2.0)</f>
        <v>-2</v>
      </c>
      <c r="G209" s="27" t="str">
        <f>IFERROR(__xludf.DUMMYFUNCTION("""COMPUTED_VALUE"""),"UNIT")</f>
        <v>UNIT</v>
      </c>
      <c r="H209" s="37">
        <f>IFERROR(__xludf.DUMMYFUNCTION("""COMPUTED_VALUE"""),46128.0)</f>
        <v>46128</v>
      </c>
      <c r="I209" s="36" t="str">
        <f>IFERROR(__xludf.DUMMYFUNCTION("""COMPUTED_VALUE"""),"C2B")</f>
        <v>C2B</v>
      </c>
      <c r="J209" s="30" t="str">
        <f>IFERROR(__xludf.DUMMYFUNCTION("""COMPUTED_VALUE"""),"AMSCO")</f>
        <v>AMSCO</v>
      </c>
      <c r="K209" s="26" t="str">
        <f>IFERROR(__xludf.DUMMYFUNCTION("""COMPUTED_VALUE"""),"DOOR SCREENS")</f>
        <v>DOOR SCREENS</v>
      </c>
      <c r="L209" s="30" t="str">
        <f>IFERROR(__xludf.DUMMYFUNCTION("""COMPUTED_VALUE"""),"DISPATCHED")</f>
        <v>DISPATCHED</v>
      </c>
      <c r="M209" s="26" t="str">
        <f>IFERROR(__xludf.DUMMYFUNCTION("""COMPUTED_VALUE"""),"ALEX AND BRANDON")</f>
        <v>ALEX AND BRANDON</v>
      </c>
      <c r="N209" s="26" t="str">
        <f>IFERROR(__xludf.DUMMYFUNCTION("""COMPUTED_VALUE"""),"MAXWELL")</f>
        <v>MAXWELL</v>
      </c>
      <c r="O209" s="26" t="str">
        <f>IFERROR(__xludf.DUMMYFUNCTION("""COMPUTED_VALUE"""),"SCREEN|||MAXWELL")</f>
        <v>SCREEN|||MAXWELL</v>
      </c>
      <c r="P209" s="26"/>
      <c r="Q209" s="26" t="str">
        <f>IFERROR(__xludf.DUMMYFUNCTION("""COMPUTED_VALUE"""),"jose@ox-glass.com")</f>
        <v>jose@ox-glass.com</v>
      </c>
      <c r="R209" s="26" t="str">
        <f>IFERROR(__xludf.DUMMYFUNCTION("""COMPUTED_VALUE"""),"MAXWELL")</f>
        <v>MAXWELL</v>
      </c>
      <c r="S209" s="26" t="str">
        <f>IFERROR(__xludf.DUMMYFUNCTION("""COMPUTED_VALUE"""),"EXIT")</f>
        <v>EXIT</v>
      </c>
      <c r="T209" s="26"/>
    </row>
    <row r="210">
      <c r="A210" s="35">
        <f>IFERROR(__xludf.DUMMYFUNCTION("""COMPUTED_VALUE"""),46128.354022604166)</f>
        <v>46128.35402</v>
      </c>
      <c r="B210" s="36" t="str">
        <f>IFERROR(__xludf.DUMMYFUNCTION("""COMPUTED_VALUE"""),"SCREEN")</f>
        <v>SCREEN</v>
      </c>
      <c r="C210" s="26" t="str">
        <f>IFERROR(__xludf.DUMMYFUNCTION("""COMPUTED_VALUE"""),"LGI DESERT EDGE TOWNHOMES B1")</f>
        <v>LGI DESERT EDGE TOWNHOMES B1</v>
      </c>
      <c r="D210" s="27"/>
      <c r="E210" s="27"/>
      <c r="F210" s="36">
        <f>IFERROR(__xludf.DUMMYFUNCTION("""COMPUTED_VALUE"""),22.0)</f>
        <v>22</v>
      </c>
      <c r="G210" s="27" t="str">
        <f>IFERROR(__xludf.DUMMYFUNCTION("""COMPUTED_VALUE"""),"UNIT")</f>
        <v>UNIT</v>
      </c>
      <c r="H210" s="37">
        <f>IFERROR(__xludf.DUMMYFUNCTION("""COMPUTED_VALUE"""),46128.0)</f>
        <v>46128</v>
      </c>
      <c r="I210" s="36" t="str">
        <f>IFERROR(__xludf.DUMMYFUNCTION("""COMPUTED_VALUE"""),"C2B")</f>
        <v>C2B</v>
      </c>
      <c r="J210" s="30" t="str">
        <f>IFERROR(__xludf.DUMMYFUNCTION("""COMPUTED_VALUE"""),"ALSIDE")</f>
        <v>ALSIDE</v>
      </c>
      <c r="K210" s="26" t="str">
        <f>IFERROR(__xludf.DUMMYFUNCTION("""COMPUTED_VALUE"""),"WINDOW SCREENS:20@27 15/16 X 57 3/8, 2@15 15/16 X 33 3/8")</f>
        <v>WINDOW SCREENS:20@27 15/16 X 57 3/8, 2@15 15/16 X 33 3/8</v>
      </c>
      <c r="L210" s="30" t="str">
        <f>IFERROR(__xludf.DUMMYFUNCTION("""COMPUTED_VALUE"""),"IN STOCK")</f>
        <v>IN STOCK</v>
      </c>
      <c r="M210" s="26" t="str">
        <f>IFERROR(__xludf.DUMMYFUNCTION("""COMPUTED_VALUE"""),"JOSE C.")</f>
        <v>JOSE C.</v>
      </c>
      <c r="N210" s="26" t="str">
        <f>IFERROR(__xludf.DUMMYFUNCTION("""COMPUTED_VALUE"""),"LGI DESERT EDGE TOWNHOMES")</f>
        <v>LGI DESERT EDGE TOWNHOMES</v>
      </c>
      <c r="O210" s="26" t="str">
        <f>IFERROR(__xludf.DUMMYFUNCTION("""COMPUTED_VALUE"""),"SCREEN|||LGI DESERT EDGE TOWNHOMES B1")</f>
        <v>SCREEN|||LGI DESERT EDGE TOWNHOMES B1</v>
      </c>
      <c r="P210" s="26"/>
      <c r="Q210" s="26" t="str">
        <f>IFERROR(__xludf.DUMMYFUNCTION("""COMPUTED_VALUE"""),"jose@ox-glass.com")</f>
        <v>jose@ox-glass.com</v>
      </c>
      <c r="R210" s="26" t="str">
        <f>IFERROR(__xludf.DUMMYFUNCTION("""COMPUTED_VALUE"""),"C2B")</f>
        <v>C2B</v>
      </c>
      <c r="S210" s="26" t="str">
        <f>IFERROR(__xludf.DUMMYFUNCTION("""COMPUTED_VALUE"""),"ENTRY")</f>
        <v>ENTRY</v>
      </c>
      <c r="T210" s="26"/>
    </row>
    <row r="211">
      <c r="A211" s="35">
        <f>IFERROR(__xludf.DUMMYFUNCTION("""COMPUTED_VALUE"""),46127.371868553244)</f>
        <v>46127.37187</v>
      </c>
      <c r="B211" s="36" t="str">
        <f>IFERROR(__xludf.DUMMYFUNCTION("""COMPUTED_VALUE"""),"SCREEN")</f>
        <v>SCREEN</v>
      </c>
      <c r="C211" s="26" t="str">
        <f>IFERROR(__xludf.DUMMYFUNCTION("""COMPUTED_VALUE"""),"HIGHLAND ROW TOWNHOMES")</f>
        <v>HIGHLAND ROW TOWNHOMES</v>
      </c>
      <c r="D211" s="27"/>
      <c r="E211" s="27"/>
      <c r="F211" s="36">
        <f>IFERROR(__xludf.DUMMYFUNCTION("""COMPUTED_VALUE"""),-15.0)</f>
        <v>-15</v>
      </c>
      <c r="G211" s="27" t="str">
        <f>IFERROR(__xludf.DUMMYFUNCTION("""COMPUTED_VALUE"""),"UNIT")</f>
        <v>UNIT</v>
      </c>
      <c r="H211" s="37">
        <f>IFERROR(__xludf.DUMMYFUNCTION("""COMPUTED_VALUE"""),46127.0)</f>
        <v>46127</v>
      </c>
      <c r="I211" s="36" t="str">
        <f>IFERROR(__xludf.DUMMYFUNCTION("""COMPUTED_VALUE"""),"HIGHLAND ROW, SALT LAKE CITY")</f>
        <v>HIGHLAND ROW, SALT LAKE CITY</v>
      </c>
      <c r="J211" s="30" t="str">
        <f>IFERROR(__xludf.DUMMYFUNCTION("""COMPUTED_VALUE"""),"ALSIDE")</f>
        <v>ALSIDE</v>
      </c>
      <c r="K211" s="26" t="str">
        <f>IFERROR(__xludf.DUMMYFUNCTION("""COMPUTED_VALUE"""),"WINDOW SCREENS")</f>
        <v>WINDOW SCREENS</v>
      </c>
      <c r="L211" s="30" t="str">
        <f>IFERROR(__xludf.DUMMYFUNCTION("""COMPUTED_VALUE"""),"DISPATCHED")</f>
        <v>DISPATCHED</v>
      </c>
      <c r="M211" s="26" t="str">
        <f>IFERROR(__xludf.DUMMYFUNCTION("""COMPUTED_VALUE"""),"BRANDON AND ALEX")</f>
        <v>BRANDON AND ALEX</v>
      </c>
      <c r="N211" s="26" t="str">
        <f>IFERROR(__xludf.DUMMYFUNCTION("""COMPUTED_VALUE"""),"HIGHLAND ROW TOWNHOMES")</f>
        <v>HIGHLAND ROW TOWNHOMES</v>
      </c>
      <c r="O211" s="26" t="str">
        <f>IFERROR(__xludf.DUMMYFUNCTION("""COMPUTED_VALUE"""),"SCREEN|||HIGHLAND ROW TOWNHOMES")</f>
        <v>SCREEN|||HIGHLAND ROW TOWNHOMES</v>
      </c>
      <c r="P211" s="26"/>
      <c r="Q211" s="26" t="str">
        <f>IFERROR(__xludf.DUMMYFUNCTION("""COMPUTED_VALUE"""),"jose@ox-glass.com")</f>
        <v>jose@ox-glass.com</v>
      </c>
      <c r="R211" s="26" t="str">
        <f>IFERROR(__xludf.DUMMYFUNCTION("""COMPUTED_VALUE"""),"HIGHLAND ROW TOWNHOMES")</f>
        <v>HIGHLAND ROW TOWNHOMES</v>
      </c>
      <c r="S211" s="26" t="str">
        <f>IFERROR(__xludf.DUMMYFUNCTION("""COMPUTED_VALUE"""),"EXIT")</f>
        <v>EXIT</v>
      </c>
      <c r="T211" s="26"/>
    </row>
    <row r="212">
      <c r="A212" s="35">
        <f>IFERROR(__xludf.DUMMYFUNCTION("""COMPUTED_VALUE"""),46127.37133003472)</f>
        <v>46127.37133</v>
      </c>
      <c r="B212" s="36" t="str">
        <f>IFERROR(__xludf.DUMMYFUNCTION("""COMPUTED_VALUE"""),"SCREEN")</f>
        <v>SCREEN</v>
      </c>
      <c r="C212" s="26" t="str">
        <f>IFERROR(__xludf.DUMMYFUNCTION("""COMPUTED_VALUE"""),"HIGHLAND ROW TOWNHOMES")</f>
        <v>HIGHLAND ROW TOWNHOMES</v>
      </c>
      <c r="D212" s="27"/>
      <c r="E212" s="27"/>
      <c r="F212" s="36">
        <f>IFERROR(__xludf.DUMMYFUNCTION("""COMPUTED_VALUE"""),-34.0)</f>
        <v>-34</v>
      </c>
      <c r="G212" s="27" t="str">
        <f>IFERROR(__xludf.DUMMYFUNCTION("""COMPUTED_VALUE"""),"UNIT")</f>
        <v>UNIT</v>
      </c>
      <c r="H212" s="37">
        <f>IFERROR(__xludf.DUMMYFUNCTION("""COMPUTED_VALUE"""),46127.0)</f>
        <v>46127</v>
      </c>
      <c r="I212" s="36" t="str">
        <f>IFERROR(__xludf.DUMMYFUNCTION("""COMPUTED_VALUE"""),"HIGHLAND ROW, SALT LAKE CITY")</f>
        <v>HIGHLAND ROW, SALT LAKE CITY</v>
      </c>
      <c r="J212" s="30" t="str">
        <f>IFERROR(__xludf.DUMMYFUNCTION("""COMPUTED_VALUE"""),"ALSIDE")</f>
        <v>ALSIDE</v>
      </c>
      <c r="K212" s="26" t="str">
        <f>IFERROR(__xludf.DUMMYFUNCTION("""COMPUTED_VALUE"""),"DOOR SCREENS")</f>
        <v>DOOR SCREENS</v>
      </c>
      <c r="L212" s="30" t="str">
        <f>IFERROR(__xludf.DUMMYFUNCTION("""COMPUTED_VALUE"""),"DISPATCHED")</f>
        <v>DISPATCHED</v>
      </c>
      <c r="M212" s="26" t="str">
        <f>IFERROR(__xludf.DUMMYFUNCTION("""COMPUTED_VALUE"""),"BRANDON AND ALEX")</f>
        <v>BRANDON AND ALEX</v>
      </c>
      <c r="N212" s="26" t="str">
        <f>IFERROR(__xludf.DUMMYFUNCTION("""COMPUTED_VALUE"""),"HIGHLAND ROW TOWNHOMES")</f>
        <v>HIGHLAND ROW TOWNHOMES</v>
      </c>
      <c r="O212" s="26" t="str">
        <f>IFERROR(__xludf.DUMMYFUNCTION("""COMPUTED_VALUE"""),"SCREEN|||HIGHLAND ROW TOWNHOMES")</f>
        <v>SCREEN|||HIGHLAND ROW TOWNHOMES</v>
      </c>
      <c r="P212" s="26"/>
      <c r="Q212" s="26" t="str">
        <f>IFERROR(__xludf.DUMMYFUNCTION("""COMPUTED_VALUE"""),"jose@ox-glass.com")</f>
        <v>jose@ox-glass.com</v>
      </c>
      <c r="R212" s="26" t="str">
        <f>IFERROR(__xludf.DUMMYFUNCTION("""COMPUTED_VALUE"""),"HIGHLAND ROW TOWNHOMES")</f>
        <v>HIGHLAND ROW TOWNHOMES</v>
      </c>
      <c r="S212" s="26" t="str">
        <f>IFERROR(__xludf.DUMMYFUNCTION("""COMPUTED_VALUE"""),"EXIT")</f>
        <v>EXIT</v>
      </c>
      <c r="T212" s="26"/>
    </row>
    <row r="213">
      <c r="A213" s="35">
        <f>IFERROR(__xludf.DUMMYFUNCTION("""COMPUTED_VALUE"""),46122.51962706018)</f>
        <v>46122.51963</v>
      </c>
      <c r="B213" s="36" t="str">
        <f>IFERROR(__xludf.DUMMYFUNCTION("""COMPUTED_VALUE"""),"SCREEN")</f>
        <v>SCREEN</v>
      </c>
      <c r="C213" s="26" t="str">
        <f>IFERROR(__xludf.DUMMYFUNCTION("""COMPUTED_VALUE"""),"WHILOT219")</f>
        <v>WHILOT219</v>
      </c>
      <c r="D213" s="27"/>
      <c r="E213" s="27"/>
      <c r="F213" s="36">
        <f>IFERROR(__xludf.DUMMYFUNCTION("""COMPUTED_VALUE"""),1.0)</f>
        <v>1</v>
      </c>
      <c r="G213" s="27" t="str">
        <f>IFERROR(__xludf.DUMMYFUNCTION("""COMPUTED_VALUE"""),"UNIT")</f>
        <v>UNIT</v>
      </c>
      <c r="H213" s="37">
        <f>IFERROR(__xludf.DUMMYFUNCTION("""COMPUTED_VALUE"""),46115.0)</f>
        <v>46115</v>
      </c>
      <c r="I213" s="36" t="str">
        <f>IFERROR(__xludf.DUMMYFUNCTION("""COMPUTED_VALUE"""),"P1C")</f>
        <v>P1C</v>
      </c>
      <c r="J213" s="30" t="str">
        <f>IFERROR(__xludf.DUMMYFUNCTION("""COMPUTED_VALUE"""),"AMSCO")</f>
        <v>AMSCO</v>
      </c>
      <c r="K213" s="26" t="str">
        <f>IFERROR(__xludf.DUMMYFUNCTION("""COMPUTED_VALUE"""),"WHITE DOOR SCREEN, 36 3/8 X 77 3/4")</f>
        <v>WHITE DOOR SCREEN, 36 3/8 X 77 3/4</v>
      </c>
      <c r="L213" s="30" t="str">
        <f>IFERROR(__xludf.DUMMYFUNCTION("""COMPUTED_VALUE"""),"IN STOCK")</f>
        <v>IN STOCK</v>
      </c>
      <c r="M213" s="26"/>
      <c r="N213" s="26" t="str">
        <f>IFERROR(__xludf.DUMMYFUNCTION("""COMPUTED_VALUE"""),"WHITE STAR")</f>
        <v>WHITE STAR</v>
      </c>
      <c r="O213" s="26" t="str">
        <f>IFERROR(__xludf.DUMMYFUNCTION("""COMPUTED_VALUE"""),"SCREEN|||WHILOT219")</f>
        <v>SCREEN|||WHILOT219</v>
      </c>
      <c r="P213" s="26" t="str">
        <f>IFERROR(__xludf.DUMMYFUNCTION("""COMPUTED_VALUE"""),"  ")</f>
        <v>  </v>
      </c>
      <c r="Q213" s="26" t="str">
        <f>IFERROR(__xludf.DUMMYFUNCTION("""COMPUTED_VALUE"""),"jose@ox-glass.com")</f>
        <v>jose@ox-glass.com</v>
      </c>
      <c r="R213" s="26" t="str">
        <f>IFERROR(__xludf.DUMMYFUNCTION("""COMPUTED_VALUE"""),"P1C")</f>
        <v>P1C</v>
      </c>
      <c r="S213" s="26" t="str">
        <f>IFERROR(__xludf.DUMMYFUNCTION("""COMPUTED_VALUE"""),"ENTRY")</f>
        <v>ENTRY</v>
      </c>
      <c r="T213" s="26"/>
    </row>
    <row r="214">
      <c r="A214" s="35">
        <f>IFERROR(__xludf.DUMMYFUNCTION("""COMPUTED_VALUE"""),46122.487693449075)</f>
        <v>46122.48769</v>
      </c>
      <c r="B214" s="36" t="str">
        <f>IFERROR(__xludf.DUMMYFUNCTION("""COMPUTED_VALUE"""),"SCREEN")</f>
        <v>SCREEN</v>
      </c>
      <c r="C214" s="26" t="str">
        <f>IFERROR(__xludf.DUMMYFUNCTION("""COMPUTED_VALUE"""),"WHILOT224POPPY")</f>
        <v>WHILOT224POPPY</v>
      </c>
      <c r="D214" s="27"/>
      <c r="E214" s="27"/>
      <c r="F214" s="36">
        <f>IFERROR(__xludf.DUMMYFUNCTION("""COMPUTED_VALUE"""),1.0)</f>
        <v>1</v>
      </c>
      <c r="G214" s="27" t="str">
        <f>IFERROR(__xludf.DUMMYFUNCTION("""COMPUTED_VALUE"""),"UNIT")</f>
        <v>UNIT</v>
      </c>
      <c r="H214" s="37">
        <f>IFERROR(__xludf.DUMMYFUNCTION("""COMPUTED_VALUE"""),46122.0)</f>
        <v>46122</v>
      </c>
      <c r="I214" s="36" t="str">
        <f>IFERROR(__xludf.DUMMYFUNCTION("""COMPUTED_VALUE"""),"P1C")</f>
        <v>P1C</v>
      </c>
      <c r="J214" s="30" t="str">
        <f>IFERROR(__xludf.DUMMYFUNCTION("""COMPUTED_VALUE"""),"AMSCO")</f>
        <v>AMSCO</v>
      </c>
      <c r="K214" s="26" t="str">
        <f>IFERROR(__xludf.DUMMYFUNCTION("""COMPUTED_VALUE"""),"WHITE DOOR SCREEN, 36 3/8 X 77 3/4")</f>
        <v>WHITE DOOR SCREEN, 36 3/8 X 77 3/4</v>
      </c>
      <c r="L214" s="30" t="str">
        <f>IFERROR(__xludf.DUMMYFUNCTION("""COMPUTED_VALUE"""),"IN STOCK")</f>
        <v>IN STOCK</v>
      </c>
      <c r="M214" s="26"/>
      <c r="N214" s="26" t="str">
        <f>IFERROR(__xludf.DUMMYFUNCTION("""COMPUTED_VALUE"""),"WHITE STAR")</f>
        <v>WHITE STAR</v>
      </c>
      <c r="O214" s="26" t="str">
        <f>IFERROR(__xludf.DUMMYFUNCTION("""COMPUTED_VALUE"""),"SCREEN|||WHILOT224POPPY")</f>
        <v>SCREEN|||WHILOT224POPPY</v>
      </c>
      <c r="P214" s="26"/>
      <c r="Q214" s="26" t="str">
        <f>IFERROR(__xludf.DUMMYFUNCTION("""COMPUTED_VALUE"""),"jose@ox-glass.com")</f>
        <v>jose@ox-glass.com</v>
      </c>
      <c r="R214" s="26" t="str">
        <f>IFERROR(__xludf.DUMMYFUNCTION("""COMPUTED_VALUE"""),"P1C")</f>
        <v>P1C</v>
      </c>
      <c r="S214" s="26" t="str">
        <f>IFERROR(__xludf.DUMMYFUNCTION("""COMPUTED_VALUE"""),"ENTRY")</f>
        <v>ENTRY</v>
      </c>
      <c r="T214" s="26"/>
    </row>
    <row r="215">
      <c r="A215" s="35">
        <f>IFERROR(__xludf.DUMMYFUNCTION("""COMPUTED_VALUE"""),46121.59674261574)</f>
        <v>46121.59674</v>
      </c>
      <c r="B215" s="36" t="str">
        <f>IFERROR(__xludf.DUMMYFUNCTION("""COMPUTED_VALUE"""),"SCREEN")</f>
        <v>SCREEN</v>
      </c>
      <c r="C215" s="26" t="str">
        <f>IFERROR(__xludf.DUMMYFUNCTION("""COMPUTED_VALUE"""),"BRADY ")</f>
        <v>BRADY </v>
      </c>
      <c r="D215" s="27"/>
      <c r="E215" s="27"/>
      <c r="F215" s="36">
        <f>IFERROR(__xludf.DUMMYFUNCTION("""COMPUTED_VALUE"""),4.0)</f>
        <v>4</v>
      </c>
      <c r="G215" s="27" t="str">
        <f>IFERROR(__xludf.DUMMYFUNCTION("""COMPUTED_VALUE"""),"UNIT")</f>
        <v>UNIT</v>
      </c>
      <c r="H215" s="37"/>
      <c r="I215" s="36" t="str">
        <f>IFERROR(__xludf.DUMMYFUNCTION("""COMPUTED_VALUE"""),"C1B")</f>
        <v>C1B</v>
      </c>
      <c r="J215" s="30"/>
      <c r="K215" s="26" t="str">
        <f>IFERROR(__xludf.DUMMYFUNCTION("""COMPUTED_VALUE"""),"WINDOW SCREENS, DIFFERENT SIZES")</f>
        <v>WINDOW SCREENS, DIFFERENT SIZES</v>
      </c>
      <c r="L215" s="30" t="str">
        <f>IFERROR(__xludf.DUMMYFUNCTION("""COMPUTED_VALUE"""),"IN STOCK")</f>
        <v>IN STOCK</v>
      </c>
      <c r="M215" s="26"/>
      <c r="N215" s="26"/>
      <c r="O215" s="26" t="str">
        <f>IFERROR(__xludf.DUMMYFUNCTION("""COMPUTED_VALUE"""),"SCREEN|||BRADY")</f>
        <v>SCREEN|||BRADY</v>
      </c>
      <c r="P215" s="26"/>
      <c r="Q215" s="26"/>
      <c r="R215" s="26" t="str">
        <f>IFERROR(__xludf.DUMMYFUNCTION("""COMPUTED_VALUE"""),"C1B")</f>
        <v>C1B</v>
      </c>
      <c r="S215" s="26" t="str">
        <f>IFERROR(__xludf.DUMMYFUNCTION("""COMPUTED_VALUE"""),"ENTRY")</f>
        <v>ENTRY</v>
      </c>
      <c r="T215" s="26"/>
    </row>
    <row r="216">
      <c r="A216" s="35">
        <f>IFERROR(__xludf.DUMMYFUNCTION("""COMPUTED_VALUE"""),46118.428505034724)</f>
        <v>46118.42851</v>
      </c>
      <c r="B216" s="36" t="str">
        <f>IFERROR(__xludf.DUMMYFUNCTION("""COMPUTED_VALUE"""),"SCREEN")</f>
        <v>SCREEN</v>
      </c>
      <c r="C216" s="26" t="str">
        <f>IFERROR(__xludf.DUMMYFUNCTION("""COMPUTED_VALUE"""),"WHILOT219")</f>
        <v>WHILOT219</v>
      </c>
      <c r="D216" s="27"/>
      <c r="E216" s="27"/>
      <c r="F216" s="36">
        <f>IFERROR(__xludf.DUMMYFUNCTION("""COMPUTED_VALUE"""),12.0)</f>
        <v>12</v>
      </c>
      <c r="G216" s="27" t="str">
        <f>IFERROR(__xludf.DUMMYFUNCTION("""COMPUTED_VALUE"""),"UNIT")</f>
        <v>UNIT</v>
      </c>
      <c r="H216" s="37">
        <f>IFERROR(__xludf.DUMMYFUNCTION("""COMPUTED_VALUE"""),46115.0)</f>
        <v>46115</v>
      </c>
      <c r="I216" s="36" t="str">
        <f>IFERROR(__xludf.DUMMYFUNCTION("""COMPUTED_VALUE"""),"B1B")</f>
        <v>B1B</v>
      </c>
      <c r="J216" s="30" t="str">
        <f>IFERROR(__xludf.DUMMYFUNCTION("""COMPUTED_VALUE"""),"ALSIDE")</f>
        <v>ALSIDE</v>
      </c>
      <c r="K216" s="26" t="str">
        <f>IFERROR(__xludf.DUMMYFUNCTION("""COMPUTED_VALUE"""),"WHITE WINDOW SCREEN, DIFFERENTE SIZES")</f>
        <v>WHITE WINDOW SCREEN, DIFFERENTE SIZES</v>
      </c>
      <c r="L216" s="30" t="str">
        <f>IFERROR(__xludf.DUMMYFUNCTION("""COMPUTED_VALUE"""),"IN STOCK")</f>
        <v>IN STOCK</v>
      </c>
      <c r="M216" s="26"/>
      <c r="N216" s="26" t="str">
        <f>IFERROR(__xludf.DUMMYFUNCTION("""COMPUTED_VALUE"""),"WHITE STAR")</f>
        <v>WHITE STAR</v>
      </c>
      <c r="O216" s="26" t="str">
        <f>IFERROR(__xludf.DUMMYFUNCTION("""COMPUTED_VALUE"""),"SCREEN|||WHILOT219")</f>
        <v>SCREEN|||WHILOT219</v>
      </c>
      <c r="P216" s="26"/>
      <c r="Q216" s="26" t="str">
        <f>IFERROR(__xludf.DUMMYFUNCTION("""COMPUTED_VALUE"""),"jose@ox-glass.com")</f>
        <v>jose@ox-glass.com</v>
      </c>
      <c r="R216" s="26" t="str">
        <f>IFERROR(__xludf.DUMMYFUNCTION("""COMPUTED_VALUE"""),"B1B")</f>
        <v>B1B</v>
      </c>
      <c r="S216" s="26" t="str">
        <f>IFERROR(__xludf.DUMMYFUNCTION("""COMPUTED_VALUE"""),"ENTRY")</f>
        <v>ENTRY</v>
      </c>
      <c r="T216" s="26"/>
    </row>
    <row r="217">
      <c r="A217" s="35">
        <f>IFERROR(__xludf.DUMMYFUNCTION("""COMPUTED_VALUE"""),46118.42718186343)</f>
        <v>46118.42718</v>
      </c>
      <c r="B217" s="36" t="str">
        <f>IFERROR(__xludf.DUMMYFUNCTION("""COMPUTED_VALUE"""),"SCREEN")</f>
        <v>SCREEN</v>
      </c>
      <c r="C217" s="26" t="str">
        <f>IFERROR(__xludf.DUMMYFUNCTION("""COMPUTED_VALUE"""),"WHILOT224POPPY")</f>
        <v>WHILOT224POPPY</v>
      </c>
      <c r="D217" s="27"/>
      <c r="E217" s="27" t="str">
        <f>IFERROR(__xludf.DUMMYFUNCTION("""COMPUTED_VALUE"""),"03-2822*10")</f>
        <v>03-2822*10</v>
      </c>
      <c r="F217" s="36">
        <f>IFERROR(__xludf.DUMMYFUNCTION("""COMPUTED_VALUE"""),12.0)</f>
        <v>12</v>
      </c>
      <c r="G217" s="27" t="str">
        <f>IFERROR(__xludf.DUMMYFUNCTION("""COMPUTED_VALUE"""),"UNIT")</f>
        <v>UNIT</v>
      </c>
      <c r="H217" s="37">
        <f>IFERROR(__xludf.DUMMYFUNCTION("""COMPUTED_VALUE"""),46115.0)</f>
        <v>46115</v>
      </c>
      <c r="I217" s="36" t="str">
        <f>IFERROR(__xludf.DUMMYFUNCTION("""COMPUTED_VALUE"""),"B1B")</f>
        <v>B1B</v>
      </c>
      <c r="J217" s="30" t="str">
        <f>IFERROR(__xludf.DUMMYFUNCTION("""COMPUTED_VALUE"""),"ALSIDE")</f>
        <v>ALSIDE</v>
      </c>
      <c r="K217" s="26" t="str">
        <f>IFERROR(__xludf.DUMMYFUNCTION("""COMPUTED_VALUE"""),"WHITE WINDOW SCREEN, DIFFERENTE SIZES")</f>
        <v>WHITE WINDOW SCREEN, DIFFERENTE SIZES</v>
      </c>
      <c r="L217" s="30" t="str">
        <f>IFERROR(__xludf.DUMMYFUNCTION("""COMPUTED_VALUE"""),"IN STOCK")</f>
        <v>IN STOCK</v>
      </c>
      <c r="M217" s="26"/>
      <c r="N217" s="26" t="str">
        <f>IFERROR(__xludf.DUMMYFUNCTION("""COMPUTED_VALUE"""),"WHITE STAR")</f>
        <v>WHITE STAR</v>
      </c>
      <c r="O217" s="26" t="str">
        <f>IFERROR(__xludf.DUMMYFUNCTION("""COMPUTED_VALUE"""),"SCREEN|||WHILOT224POPPY")</f>
        <v>SCREEN|||WHILOT224POPPY</v>
      </c>
      <c r="P217" s="26"/>
      <c r="Q217" s="26" t="str">
        <f>IFERROR(__xludf.DUMMYFUNCTION("""COMPUTED_VALUE"""),"jose@ox-glass.com")</f>
        <v>jose@ox-glass.com</v>
      </c>
      <c r="R217" s="26" t="str">
        <f>IFERROR(__xludf.DUMMYFUNCTION("""COMPUTED_VALUE"""),"B1B")</f>
        <v>B1B</v>
      </c>
      <c r="S217" s="26" t="str">
        <f>IFERROR(__xludf.DUMMYFUNCTION("""COMPUTED_VALUE"""),"ENTRY")</f>
        <v>ENTRY</v>
      </c>
      <c r="T217" s="26"/>
    </row>
    <row r="218">
      <c r="A218" s="35">
        <f>IFERROR(__xludf.DUMMYFUNCTION("""COMPUTED_VALUE"""),46118.424919398145)</f>
        <v>46118.42492</v>
      </c>
      <c r="B218" s="36" t="str">
        <f>IFERROR(__xludf.DUMMYFUNCTION("""COMPUTED_VALUE"""),"SCREEN")</f>
        <v>SCREEN</v>
      </c>
      <c r="C218" s="26" t="str">
        <f>IFERROR(__xludf.DUMMYFUNCTION("""COMPUTED_VALUE"""),"WHIASPEN")</f>
        <v>WHIASPEN</v>
      </c>
      <c r="D218" s="27"/>
      <c r="E218" s="27" t="str">
        <f>IFERROR(__xludf.DUMMYFUNCTION("""COMPUTED_VALUE"""),"03-2782*10")</f>
        <v>03-2782*10</v>
      </c>
      <c r="F218" s="36">
        <f>IFERROR(__xludf.DUMMYFUNCTION("""COMPUTED_VALUE"""),12.0)</f>
        <v>12</v>
      </c>
      <c r="G218" s="27" t="str">
        <f>IFERROR(__xludf.DUMMYFUNCTION("""COMPUTED_VALUE"""),"UNIT")</f>
        <v>UNIT</v>
      </c>
      <c r="H218" s="37">
        <f>IFERROR(__xludf.DUMMYFUNCTION("""COMPUTED_VALUE"""),46115.0)</f>
        <v>46115</v>
      </c>
      <c r="I218" s="36" t="str">
        <f>IFERROR(__xludf.DUMMYFUNCTION("""COMPUTED_VALUE"""),"B1B")</f>
        <v>B1B</v>
      </c>
      <c r="J218" s="30" t="str">
        <f>IFERROR(__xludf.DUMMYFUNCTION("""COMPUTED_VALUE"""),"AMSCO")</f>
        <v>AMSCO</v>
      </c>
      <c r="K218" s="26" t="str">
        <f>IFERROR(__xludf.DUMMYFUNCTION("""COMPUTED_VALUE"""),"LOT 211, WHITE WINDOW SCREEN, DIFFERENTE SIZES")</f>
        <v>LOT 211, WHITE WINDOW SCREEN, DIFFERENTE SIZES</v>
      </c>
      <c r="L218" s="30" t="str">
        <f>IFERROR(__xludf.DUMMYFUNCTION("""COMPUTED_VALUE"""),"IN STOCK")</f>
        <v>IN STOCK</v>
      </c>
      <c r="M218" s="26"/>
      <c r="N218" s="26" t="str">
        <f>IFERROR(__xludf.DUMMYFUNCTION("""COMPUTED_VALUE"""),"WHIASPEN")</f>
        <v>WHIASPEN</v>
      </c>
      <c r="O218" s="26" t="str">
        <f>IFERROR(__xludf.DUMMYFUNCTION("""COMPUTED_VALUE"""),"SCREEN|||WHIASPEN")</f>
        <v>SCREEN|||WHIASPEN</v>
      </c>
      <c r="P218" s="26"/>
      <c r="Q218" s="26"/>
      <c r="R218" s="26" t="str">
        <f>IFERROR(__xludf.DUMMYFUNCTION("""COMPUTED_VALUE"""),"B1B")</f>
        <v>B1B</v>
      </c>
      <c r="S218" s="26" t="str">
        <f>IFERROR(__xludf.DUMMYFUNCTION("""COMPUTED_VALUE"""),"ENTRY")</f>
        <v>ENTRY</v>
      </c>
      <c r="T218" s="26"/>
    </row>
    <row r="219">
      <c r="A219" s="35">
        <f>IFERROR(__xludf.DUMMYFUNCTION("""COMPUTED_VALUE"""),46118.412707256946)</f>
        <v>46118.41271</v>
      </c>
      <c r="B219" s="36" t="str">
        <f>IFERROR(__xludf.DUMMYFUNCTION("""COMPUTED_VALUE"""),"SCREEN")</f>
        <v>SCREEN</v>
      </c>
      <c r="C219" s="26" t="str">
        <f>IFERROR(__xludf.DUMMYFUNCTION("""COMPUTED_VALUE"""),"PV138")</f>
        <v>PV138</v>
      </c>
      <c r="D219" s="27"/>
      <c r="E219" s="27"/>
      <c r="F219" s="36">
        <f>IFERROR(__xludf.DUMMYFUNCTION("""COMPUTED_VALUE"""),13.0)</f>
        <v>13</v>
      </c>
      <c r="G219" s="27" t="str">
        <f>IFERROR(__xludf.DUMMYFUNCTION("""COMPUTED_VALUE"""),"UNIT")</f>
        <v>UNIT</v>
      </c>
      <c r="H219" s="37"/>
      <c r="I219" s="36" t="str">
        <f>IFERROR(__xludf.DUMMYFUNCTION("""COMPUTED_VALUE"""),"C2B")</f>
        <v>C2B</v>
      </c>
      <c r="J219" s="30" t="str">
        <f>IFERROR(__xludf.DUMMYFUNCTION("""COMPUTED_VALUE"""),"ALSIDE")</f>
        <v>ALSIDE</v>
      </c>
      <c r="K219" s="26" t="str">
        <f>IFERROR(__xludf.DUMMYFUNCTION("""COMPUTED_VALUE"""),"WHITE WINDOW SCREEN, DIFFERENTE SIZES")</f>
        <v>WHITE WINDOW SCREEN, DIFFERENTE SIZES</v>
      </c>
      <c r="L219" s="30" t="str">
        <f>IFERROR(__xludf.DUMMYFUNCTION("""COMPUTED_VALUE"""),"IN STOCK")</f>
        <v>IN STOCK</v>
      </c>
      <c r="M219" s="26"/>
      <c r="N219" s="26" t="str">
        <f>IFERROR(__xludf.DUMMYFUNCTION("""COMPUTED_VALUE"""),"PV138")</f>
        <v>PV138</v>
      </c>
      <c r="O219" s="26" t="str">
        <f>IFERROR(__xludf.DUMMYFUNCTION("""COMPUTED_VALUE"""),"SCREEN|||PV138")</f>
        <v>SCREEN|||PV138</v>
      </c>
      <c r="P219" s="26"/>
      <c r="Q219" s="26"/>
      <c r="R219" s="26" t="str">
        <f>IFERROR(__xludf.DUMMYFUNCTION("""COMPUTED_VALUE"""),"C2B")</f>
        <v>C2B</v>
      </c>
      <c r="S219" s="26" t="str">
        <f>IFERROR(__xludf.DUMMYFUNCTION("""COMPUTED_VALUE"""),"ENTRY")</f>
        <v>ENTRY</v>
      </c>
      <c r="T219" s="26"/>
    </row>
    <row r="220">
      <c r="A220" s="35">
        <f>IFERROR(__xludf.DUMMYFUNCTION("""COMPUTED_VALUE"""),46115.38498430556)</f>
        <v>46115.38498</v>
      </c>
      <c r="B220" s="36" t="str">
        <f>IFERROR(__xludf.DUMMYFUNCTION("""COMPUTED_VALUE"""),"SCREEN")</f>
        <v>SCREEN</v>
      </c>
      <c r="C220" s="26" t="str">
        <f>IFERROR(__xludf.DUMMYFUNCTION("""COMPUTED_VALUE"""),"VUE")</f>
        <v>VUE</v>
      </c>
      <c r="D220" s="27"/>
      <c r="E220" s="27" t="str">
        <f>IFERROR(__xludf.DUMMYFUNCTION("""COMPUTED_VALUE"""),"K754")</f>
        <v>K754</v>
      </c>
      <c r="F220" s="36">
        <f>IFERROR(__xludf.DUMMYFUNCTION("""COMPUTED_VALUE"""),10.0)</f>
        <v>10</v>
      </c>
      <c r="G220" s="27" t="str">
        <f>IFERROR(__xludf.DUMMYFUNCTION("""COMPUTED_VALUE"""),"UNIT")</f>
        <v>UNIT</v>
      </c>
      <c r="H220" s="37"/>
      <c r="I220" s="36" t="str">
        <f>IFERROR(__xludf.DUMMYFUNCTION("""COMPUTED_VALUE"""),"C1B")</f>
        <v>C1B</v>
      </c>
      <c r="J220" s="30" t="str">
        <f>IFERROR(__xludf.DUMMYFUNCTION("""COMPUTED_VALUE"""),"ALSIDE")</f>
        <v>ALSIDE</v>
      </c>
      <c r="K220" s="26" t="str">
        <f>IFERROR(__xludf.DUMMYFUNCTION("""COMPUTED_VALUE"""),"WHITE, DIFFERENT SIZES - ALTA VUE")</f>
        <v>WHITE, DIFFERENT SIZES - ALTA VUE</v>
      </c>
      <c r="L220" s="30" t="str">
        <f>IFERROR(__xludf.DUMMYFUNCTION("""COMPUTED_VALUE"""),"IN STOCK")</f>
        <v>IN STOCK</v>
      </c>
      <c r="M220" s="26"/>
      <c r="N220" s="26" t="str">
        <f>IFERROR(__xludf.DUMMYFUNCTION("""COMPUTED_VALUE"""),"VUE")</f>
        <v>VUE</v>
      </c>
      <c r="O220" s="26" t="str">
        <f>IFERROR(__xludf.DUMMYFUNCTION("""COMPUTED_VALUE"""),"SCREEN|||VUE")</f>
        <v>SCREEN|||VUE</v>
      </c>
      <c r="P220" s="26"/>
      <c r="Q220" s="26"/>
      <c r="R220" s="26" t="str">
        <f>IFERROR(__xludf.DUMMYFUNCTION("""COMPUTED_VALUE"""),"C1B")</f>
        <v>C1B</v>
      </c>
      <c r="S220" s="26" t="str">
        <f>IFERROR(__xludf.DUMMYFUNCTION("""COMPUTED_VALUE"""),"ENTRY")</f>
        <v>ENTRY</v>
      </c>
      <c r="T220" s="26"/>
    </row>
    <row r="221">
      <c r="A221" s="35">
        <f>IFERROR(__xludf.DUMMYFUNCTION("""COMPUTED_VALUE"""),46115.38063920139)</f>
        <v>46115.38064</v>
      </c>
      <c r="B221" s="36" t="str">
        <f>IFERROR(__xludf.DUMMYFUNCTION("""COMPUTED_VALUE"""),"SCREEN")</f>
        <v>SCREEN</v>
      </c>
      <c r="C221" s="26" t="str">
        <f>IFERROR(__xludf.DUMMYFUNCTION("""COMPUTED_VALUE"""),"RIVER MEADOWS W2")</f>
        <v>RIVER MEADOWS W2</v>
      </c>
      <c r="D221" s="27"/>
      <c r="E221" s="27" t="str">
        <f>IFERROR(__xludf.DUMMYFUNCTION("""COMPUTED_VALUE"""),"4384")</f>
        <v>4384</v>
      </c>
      <c r="F221" s="36">
        <f>IFERROR(__xludf.DUMMYFUNCTION("""COMPUTED_VALUE"""),5.0)</f>
        <v>5</v>
      </c>
      <c r="G221" s="27" t="str">
        <f>IFERROR(__xludf.DUMMYFUNCTION("""COMPUTED_VALUE"""),"UNIT")</f>
        <v>UNIT</v>
      </c>
      <c r="H221" s="37"/>
      <c r="I221" s="36" t="str">
        <f>IFERROR(__xludf.DUMMYFUNCTION("""COMPUTED_VALUE"""),"C2B")</f>
        <v>C2B</v>
      </c>
      <c r="J221" s="30" t="str">
        <f>IFERROR(__xludf.DUMMYFUNCTION("""COMPUTED_VALUE"""),"ALSIDE")</f>
        <v>ALSIDE</v>
      </c>
      <c r="K221" s="26" t="str">
        <f>IFERROR(__xludf.DUMMYFUNCTION("""COMPUTED_VALUE"""),"WHITE, 27 15/15 X 57 3/8")</f>
        <v>WHITE, 27 15/15 X 57 3/8</v>
      </c>
      <c r="L221" s="30" t="str">
        <f>IFERROR(__xludf.DUMMYFUNCTION("""COMPUTED_VALUE"""),"IN STOCK")</f>
        <v>IN STOCK</v>
      </c>
      <c r="M221" s="26"/>
      <c r="N221" s="26" t="str">
        <f>IFERROR(__xludf.DUMMYFUNCTION("""COMPUTED_VALUE"""),"RIVER MEADOWS W2")</f>
        <v>RIVER MEADOWS W2</v>
      </c>
      <c r="O221" s="26" t="str">
        <f>IFERROR(__xludf.DUMMYFUNCTION("""COMPUTED_VALUE"""),"SCREEN|||RIVER MEADOWS W2")</f>
        <v>SCREEN|||RIVER MEADOWS W2</v>
      </c>
      <c r="P221" s="26"/>
      <c r="Q221" s="26"/>
      <c r="R221" s="26" t="str">
        <f>IFERROR(__xludf.DUMMYFUNCTION("""COMPUTED_VALUE"""),"C2B")</f>
        <v>C2B</v>
      </c>
      <c r="S221" s="26" t="str">
        <f>IFERROR(__xludf.DUMMYFUNCTION("""COMPUTED_VALUE"""),"ENTRY")</f>
        <v>ENTRY</v>
      </c>
      <c r="T221" s="26"/>
    </row>
    <row r="222">
      <c r="A222" s="35">
        <f>IFERROR(__xludf.DUMMYFUNCTION("""COMPUTED_VALUE"""),46115.37808362269)</f>
        <v>46115.37808</v>
      </c>
      <c r="B222" s="36" t="str">
        <f>IFERROR(__xludf.DUMMYFUNCTION("""COMPUTED_VALUE"""),"SCREEN")</f>
        <v>SCREEN</v>
      </c>
      <c r="C222" s="26" t="str">
        <f>IFERROR(__xludf.DUMMYFUNCTION("""COMPUTED_VALUE"""),"RIVER MEADOWS CLUBHO")</f>
        <v>RIVER MEADOWS CLUBHO</v>
      </c>
      <c r="D222" s="27"/>
      <c r="E222" s="27" t="str">
        <f>IFERROR(__xludf.DUMMYFUNCTION("""COMPUTED_VALUE"""),"5019")</f>
        <v>5019</v>
      </c>
      <c r="F222" s="36">
        <f>IFERROR(__xludf.DUMMYFUNCTION("""COMPUTED_VALUE"""),3.0)</f>
        <v>3</v>
      </c>
      <c r="G222" s="27" t="str">
        <f>IFERROR(__xludf.DUMMYFUNCTION("""COMPUTED_VALUE"""),"UNIT")</f>
        <v>UNIT</v>
      </c>
      <c r="H222" s="37"/>
      <c r="I222" s="36" t="str">
        <f>IFERROR(__xludf.DUMMYFUNCTION("""COMPUTED_VALUE"""),"C2B")</f>
        <v>C2B</v>
      </c>
      <c r="J222" s="30" t="str">
        <f>IFERROR(__xludf.DUMMYFUNCTION("""COMPUTED_VALUE"""),"ALSIDE")</f>
        <v>ALSIDE</v>
      </c>
      <c r="K222" s="26" t="str">
        <f>IFERROR(__xludf.DUMMYFUNCTION("""COMPUTED_VALUE"""),"WHITE, 27 15/16 X 69 3/8")</f>
        <v>WHITE, 27 15/16 X 69 3/8</v>
      </c>
      <c r="L222" s="30" t="str">
        <f>IFERROR(__xludf.DUMMYFUNCTION("""COMPUTED_VALUE"""),"IN STOCK")</f>
        <v>IN STOCK</v>
      </c>
      <c r="M222" s="26"/>
      <c r="N222" s="26" t="str">
        <f>IFERROR(__xludf.DUMMYFUNCTION("""COMPUTED_VALUE"""),"RIVER MEADOWS CLUBHO")</f>
        <v>RIVER MEADOWS CLUBHO</v>
      </c>
      <c r="O222" s="26" t="str">
        <f>IFERROR(__xludf.DUMMYFUNCTION("""COMPUTED_VALUE"""),"SCREEN|||RIVER MEADOWS CLUBHO")</f>
        <v>SCREEN|||RIVER MEADOWS CLUBHO</v>
      </c>
      <c r="P222" s="26"/>
      <c r="Q222" s="26"/>
      <c r="R222" s="26" t="str">
        <f>IFERROR(__xludf.DUMMYFUNCTION("""COMPUTED_VALUE"""),"C2B")</f>
        <v>C2B</v>
      </c>
      <c r="S222" s="26" t="str">
        <f>IFERROR(__xludf.DUMMYFUNCTION("""COMPUTED_VALUE"""),"ENTRY")</f>
        <v>ENTRY</v>
      </c>
      <c r="T222" s="26"/>
    </row>
    <row r="223">
      <c r="A223" s="35">
        <f>IFERROR(__xludf.DUMMYFUNCTION("""COMPUTED_VALUE"""),46115.376039166666)</f>
        <v>46115.37604</v>
      </c>
      <c r="B223" s="36" t="str">
        <f>IFERROR(__xludf.DUMMYFUNCTION("""COMPUTED_VALUE"""),"SCREEN")</f>
        <v>SCREEN</v>
      </c>
      <c r="C223" s="26" t="str">
        <f>IFERROR(__xludf.DUMMYFUNCTION("""COMPUTED_VALUE"""),"WES HOGAN")</f>
        <v>WES HOGAN</v>
      </c>
      <c r="D223" s="27" t="str">
        <f>IFERROR(__xludf.DUMMYFUNCTION("""COMPUTED_VALUE"""),"MISC")</f>
        <v>MISC</v>
      </c>
      <c r="E223" s="27" t="str">
        <f>IFERROR(__xludf.DUMMYFUNCTION("""COMPUTED_VALUE"""),"5004")</f>
        <v>5004</v>
      </c>
      <c r="F223" s="36">
        <f>IFERROR(__xludf.DUMMYFUNCTION("""COMPUTED_VALUE"""),8.0)</f>
        <v>8</v>
      </c>
      <c r="G223" s="27" t="str">
        <f>IFERROR(__xludf.DUMMYFUNCTION("""COMPUTED_VALUE"""),"UNIT")</f>
        <v>UNIT</v>
      </c>
      <c r="H223" s="37"/>
      <c r="I223" s="36" t="str">
        <f>IFERROR(__xludf.DUMMYFUNCTION("""COMPUTED_VALUE"""),"C2B")</f>
        <v>C2B</v>
      </c>
      <c r="J223" s="30" t="str">
        <f>IFERROR(__xludf.DUMMYFUNCTION("""COMPUTED_VALUE"""),"ALSIDE")</f>
        <v>ALSIDE</v>
      </c>
      <c r="K223" s="26" t="str">
        <f>IFERROR(__xludf.DUMMYFUNCTION("""COMPUTED_VALUE"""),"CLAY, DIFFERENT SIZES")</f>
        <v>CLAY, DIFFERENT SIZES</v>
      </c>
      <c r="L223" s="30" t="str">
        <f>IFERROR(__xludf.DUMMYFUNCTION("""COMPUTED_VALUE"""),"IN STOCK")</f>
        <v>IN STOCK</v>
      </c>
      <c r="M223" s="26"/>
      <c r="N223" s="26" t="str">
        <f>IFERROR(__xludf.DUMMYFUNCTION("""COMPUTED_VALUE"""),"WES HOGAN")</f>
        <v>WES HOGAN</v>
      </c>
      <c r="O223" s="26" t="str">
        <f>IFERROR(__xludf.DUMMYFUNCTION("""COMPUTED_VALUE"""),"SCREEN|||WES HOGAN")</f>
        <v>SCREEN|||WES HOGAN</v>
      </c>
      <c r="P223" s="26"/>
      <c r="Q223" s="26"/>
      <c r="R223" s="26" t="str">
        <f>IFERROR(__xludf.DUMMYFUNCTION("""COMPUTED_VALUE"""),"C2B")</f>
        <v>C2B</v>
      </c>
      <c r="S223" s="26" t="str">
        <f>IFERROR(__xludf.DUMMYFUNCTION("""COMPUTED_VALUE"""),"ENTRY")</f>
        <v>ENTRY</v>
      </c>
      <c r="T223" s="26"/>
    </row>
    <row r="224">
      <c r="A224" s="35">
        <f>IFERROR(__xludf.DUMMYFUNCTION("""COMPUTED_VALUE"""),46115.36915953704)</f>
        <v>46115.36916</v>
      </c>
      <c r="B224" s="36" t="str">
        <f>IFERROR(__xludf.DUMMYFUNCTION("""COMPUTED_VALUE"""),"SCREEN")</f>
        <v>SCREEN</v>
      </c>
      <c r="C224" s="26" t="str">
        <f>IFERROR(__xludf.DUMMYFUNCTION("""COMPUTED_VALUE"""),"CLOUDVEIL A")</f>
        <v>CLOUDVEIL A</v>
      </c>
      <c r="D224" s="27"/>
      <c r="E224" s="27" t="str">
        <f>IFERROR(__xludf.DUMMYFUNCTION("""COMPUTED_VALUE"""),"1072")</f>
        <v>1072</v>
      </c>
      <c r="F224" s="36">
        <f>IFERROR(__xludf.DUMMYFUNCTION("""COMPUTED_VALUE"""),1.0)</f>
        <v>1</v>
      </c>
      <c r="G224" s="27" t="str">
        <f>IFERROR(__xludf.DUMMYFUNCTION("""COMPUTED_VALUE"""),"UNIT")</f>
        <v>UNIT</v>
      </c>
      <c r="H224" s="37"/>
      <c r="I224" s="36" t="str">
        <f>IFERROR(__xludf.DUMMYFUNCTION("""COMPUTED_VALUE"""),"P1C")</f>
        <v>P1C</v>
      </c>
      <c r="J224" s="30" t="str">
        <f>IFERROR(__xludf.DUMMYFUNCTION("""COMPUTED_VALUE"""),"ALSIDE")</f>
        <v>ALSIDE</v>
      </c>
      <c r="K224" s="26" t="str">
        <f>IFERROR(__xludf.DUMMYFUNCTION("""COMPUTED_VALUE"""),"BLACK DOOR SCREEN, 36X79 3/4")</f>
        <v>BLACK DOOR SCREEN, 36X79 3/4</v>
      </c>
      <c r="L224" s="30" t="str">
        <f>IFERROR(__xludf.DUMMYFUNCTION("""COMPUTED_VALUE"""),"IN STOCK")</f>
        <v>IN STOCK</v>
      </c>
      <c r="M224" s="26"/>
      <c r="N224" s="26" t="str">
        <f>IFERROR(__xludf.DUMMYFUNCTION("""COMPUTED_VALUE"""),"CLOUDVEIL A")</f>
        <v>CLOUDVEIL A</v>
      </c>
      <c r="O224" s="26" t="str">
        <f>IFERROR(__xludf.DUMMYFUNCTION("""COMPUTED_VALUE"""),"SCREEN|||CLOUDVEIL A")</f>
        <v>SCREEN|||CLOUDVEIL A</v>
      </c>
      <c r="P224" s="26"/>
      <c r="Q224" s="26"/>
      <c r="R224" s="26" t="str">
        <f>IFERROR(__xludf.DUMMYFUNCTION("""COMPUTED_VALUE"""),"P1C")</f>
        <v>P1C</v>
      </c>
      <c r="S224" s="26" t="str">
        <f>IFERROR(__xludf.DUMMYFUNCTION("""COMPUTED_VALUE"""),"ENTRY")</f>
        <v>ENTRY</v>
      </c>
      <c r="T224" s="26"/>
    </row>
    <row r="225">
      <c r="A225" s="35">
        <f>IFERROR(__xludf.DUMMYFUNCTION("""COMPUTED_VALUE"""),46115.3637541551)</f>
        <v>46115.36375</v>
      </c>
      <c r="B225" s="36" t="str">
        <f>IFERROR(__xludf.DUMMYFUNCTION("""COMPUTED_VALUE"""),"SCREEN")</f>
        <v>SCREEN</v>
      </c>
      <c r="C225" s="26" t="str">
        <f>IFERROR(__xludf.DUMMYFUNCTION("""COMPUTED_VALUE"""),"CENTRAL 9 LOFTS")</f>
        <v>CENTRAL 9 LOFTS</v>
      </c>
      <c r="D225" s="27"/>
      <c r="E225" s="27" t="str">
        <f>IFERROR(__xludf.DUMMYFUNCTION("""COMPUTED_VALUE"""),"X954")</f>
        <v>X954</v>
      </c>
      <c r="F225" s="36">
        <f>IFERROR(__xludf.DUMMYFUNCTION("""COMPUTED_VALUE"""),1.0)</f>
        <v>1</v>
      </c>
      <c r="G225" s="27" t="str">
        <f>IFERROR(__xludf.DUMMYFUNCTION("""COMPUTED_VALUE"""),"UNIT")</f>
        <v>UNIT</v>
      </c>
      <c r="H225" s="37"/>
      <c r="I225" s="36" t="str">
        <f>IFERROR(__xludf.DUMMYFUNCTION("""COMPUTED_VALUE"""),"P2C")</f>
        <v>P2C</v>
      </c>
      <c r="J225" s="30" t="str">
        <f>IFERROR(__xludf.DUMMYFUNCTION("""COMPUTED_VALUE"""),"ALSIDE")</f>
        <v>ALSIDE</v>
      </c>
      <c r="K225" s="26" t="str">
        <f>IFERROR(__xludf.DUMMYFUNCTION("""COMPUTED_VALUE"""),"BLACK DOOR SCREEN, 36X93 3/4")</f>
        <v>BLACK DOOR SCREEN, 36X93 3/4</v>
      </c>
      <c r="L225" s="30" t="str">
        <f>IFERROR(__xludf.DUMMYFUNCTION("""COMPUTED_VALUE"""),"IN STOCK")</f>
        <v>IN STOCK</v>
      </c>
      <c r="M225" s="26"/>
      <c r="N225" s="26" t="str">
        <f>IFERROR(__xludf.DUMMYFUNCTION("""COMPUTED_VALUE"""),"CENTRAL 9 LOFTS")</f>
        <v>CENTRAL 9 LOFTS</v>
      </c>
      <c r="O225" s="26" t="str">
        <f>IFERROR(__xludf.DUMMYFUNCTION("""COMPUTED_VALUE"""),"SCREEN|||CENTRAL 9 LOFTS")</f>
        <v>SCREEN|||CENTRAL 9 LOFTS</v>
      </c>
      <c r="P225" s="26"/>
      <c r="Q225" s="26"/>
      <c r="R225" s="26" t="str">
        <f>IFERROR(__xludf.DUMMYFUNCTION("""COMPUTED_VALUE"""),"P2C")</f>
        <v>P2C</v>
      </c>
      <c r="S225" s="26" t="str">
        <f>IFERROR(__xludf.DUMMYFUNCTION("""COMPUTED_VALUE"""),"ENTRY")</f>
        <v>ENTRY</v>
      </c>
      <c r="T225" s="26"/>
    </row>
    <row r="226">
      <c r="A226" s="35">
        <f>IFERROR(__xludf.DUMMYFUNCTION("""COMPUTED_VALUE"""),46115.355616782406)</f>
        <v>46115.35562</v>
      </c>
      <c r="B226" s="36" t="str">
        <f>IFERROR(__xludf.DUMMYFUNCTION("""COMPUTED_VALUE"""),"SCREEN")</f>
        <v>SCREEN</v>
      </c>
      <c r="C226" s="26" t="str">
        <f>IFERROR(__xludf.DUMMYFUNCTION("""COMPUTED_VALUE"""),"CLOUDVEIL D")</f>
        <v>CLOUDVEIL D</v>
      </c>
      <c r="D226" s="27"/>
      <c r="E226" s="27" t="str">
        <f>IFERROR(__xludf.DUMMYFUNCTION("""COMPUTED_VALUE"""),"1629")</f>
        <v>1629</v>
      </c>
      <c r="F226" s="36">
        <f>IFERROR(__xludf.DUMMYFUNCTION("""COMPUTED_VALUE"""),1.0)</f>
        <v>1</v>
      </c>
      <c r="G226" s="27" t="str">
        <f>IFERROR(__xludf.DUMMYFUNCTION("""COMPUTED_VALUE"""),"UNIT")</f>
        <v>UNIT</v>
      </c>
      <c r="H226" s="37"/>
      <c r="I226" s="36" t="str">
        <f>IFERROR(__xludf.DUMMYFUNCTION("""COMPUTED_VALUE"""),"P1C")</f>
        <v>P1C</v>
      </c>
      <c r="J226" s="30" t="str">
        <f>IFERROR(__xludf.DUMMYFUNCTION("""COMPUTED_VALUE"""),"ALSIDE")</f>
        <v>ALSIDE</v>
      </c>
      <c r="K226" s="26" t="str">
        <f>IFERROR(__xludf.DUMMYFUNCTION("""COMPUTED_VALUE"""),"BLACK DOOR SCREEN, 36X79 3/4")</f>
        <v>BLACK DOOR SCREEN, 36X79 3/4</v>
      </c>
      <c r="L226" s="30" t="str">
        <f>IFERROR(__xludf.DUMMYFUNCTION("""COMPUTED_VALUE"""),"IN STOCK")</f>
        <v>IN STOCK</v>
      </c>
      <c r="M226" s="26"/>
      <c r="N226" s="26" t="str">
        <f>IFERROR(__xludf.DUMMYFUNCTION("""COMPUTED_VALUE"""),"CLOUDVEIL D")</f>
        <v>CLOUDVEIL D</v>
      </c>
      <c r="O226" s="26" t="str">
        <f>IFERROR(__xludf.DUMMYFUNCTION("""COMPUTED_VALUE"""),"SCREEN|||CLOUDVEIL D")</f>
        <v>SCREEN|||CLOUDVEIL D</v>
      </c>
      <c r="P226" s="26"/>
      <c r="Q226" s="26"/>
      <c r="R226" s="26" t="str">
        <f>IFERROR(__xludf.DUMMYFUNCTION("""COMPUTED_VALUE"""),"P1C")</f>
        <v>P1C</v>
      </c>
      <c r="S226" s="26" t="str">
        <f>IFERROR(__xludf.DUMMYFUNCTION("""COMPUTED_VALUE"""),"ENTRY")</f>
        <v>ENTRY</v>
      </c>
      <c r="T226" s="26"/>
    </row>
    <row r="227">
      <c r="A227" s="35">
        <f>IFERROR(__xludf.DUMMYFUNCTION("""COMPUTED_VALUE"""),46115.35468550926)</f>
        <v>46115.35469</v>
      </c>
      <c r="B227" s="36" t="str">
        <f>IFERROR(__xludf.DUMMYFUNCTION("""COMPUTED_VALUE"""),"SCREEN")</f>
        <v>SCREEN</v>
      </c>
      <c r="C227" s="26" t="str">
        <f>IFERROR(__xludf.DUMMYFUNCTION("""COMPUTED_VALUE"""),"CLOUDVEIL WARPED")</f>
        <v>CLOUDVEIL WARPED</v>
      </c>
      <c r="D227" s="27"/>
      <c r="E227" s="27" t="str">
        <f>IFERROR(__xludf.DUMMYFUNCTION("""COMPUTED_VALUE"""),"3240")</f>
        <v>3240</v>
      </c>
      <c r="F227" s="36">
        <f>IFERROR(__xludf.DUMMYFUNCTION("""COMPUTED_VALUE"""),2.0)</f>
        <v>2</v>
      </c>
      <c r="G227" s="27" t="str">
        <f>IFERROR(__xludf.DUMMYFUNCTION("""COMPUTED_VALUE"""),"UNIT")</f>
        <v>UNIT</v>
      </c>
      <c r="H227" s="37"/>
      <c r="I227" s="36" t="str">
        <f>IFERROR(__xludf.DUMMYFUNCTION("""COMPUTED_VALUE"""),"P1C")</f>
        <v>P1C</v>
      </c>
      <c r="J227" s="30" t="str">
        <f>IFERROR(__xludf.DUMMYFUNCTION("""COMPUTED_VALUE"""),"ALSIDE")</f>
        <v>ALSIDE</v>
      </c>
      <c r="K227" s="26" t="str">
        <f>IFERROR(__xludf.DUMMYFUNCTION("""COMPUTED_VALUE"""),"BLACK DOOR SCREEN, 36X79 3/4")</f>
        <v>BLACK DOOR SCREEN, 36X79 3/4</v>
      </c>
      <c r="L227" s="30" t="str">
        <f>IFERROR(__xludf.DUMMYFUNCTION("""COMPUTED_VALUE"""),"IN STOCK")</f>
        <v>IN STOCK</v>
      </c>
      <c r="M227" s="26"/>
      <c r="N227" s="26" t="str">
        <f>IFERROR(__xludf.DUMMYFUNCTION("""COMPUTED_VALUE"""),"CLOUDVEIL WARPED")</f>
        <v>CLOUDVEIL WARPED</v>
      </c>
      <c r="O227" s="26" t="str">
        <f>IFERROR(__xludf.DUMMYFUNCTION("""COMPUTED_VALUE"""),"SCREEN|||CLOUDVEIL WARPED")</f>
        <v>SCREEN|||CLOUDVEIL WARPED</v>
      </c>
      <c r="P227" s="26"/>
      <c r="Q227" s="26"/>
      <c r="R227" s="26" t="str">
        <f>IFERROR(__xludf.DUMMYFUNCTION("""COMPUTED_VALUE"""),"P1C")</f>
        <v>P1C</v>
      </c>
      <c r="S227" s="26" t="str">
        <f>IFERROR(__xludf.DUMMYFUNCTION("""COMPUTED_VALUE"""),"ENTRY")</f>
        <v>ENTRY</v>
      </c>
      <c r="T227" s="26"/>
    </row>
    <row r="228">
      <c r="A228" s="35">
        <f>IFERROR(__xludf.DUMMYFUNCTION("""COMPUTED_VALUE"""),46115.353820543976)</f>
        <v>46115.35382</v>
      </c>
      <c r="B228" s="36" t="str">
        <f>IFERROR(__xludf.DUMMYFUNCTION("""COMPUTED_VALUE"""),"SCREEN")</f>
        <v>SCREEN</v>
      </c>
      <c r="C228" s="26" t="str">
        <f>IFERROR(__xludf.DUMMYFUNCTION("""COMPUTED_VALUE"""),"CLOUDVEIL C")</f>
        <v>CLOUDVEIL C</v>
      </c>
      <c r="D228" s="27"/>
      <c r="E228" s="27" t="str">
        <f>IFERROR(__xludf.DUMMYFUNCTION("""COMPUTED_VALUE"""),"1628")</f>
        <v>1628</v>
      </c>
      <c r="F228" s="36">
        <f>IFERROR(__xludf.DUMMYFUNCTION("""COMPUTED_VALUE"""),1.0)</f>
        <v>1</v>
      </c>
      <c r="G228" s="27" t="str">
        <f>IFERROR(__xludf.DUMMYFUNCTION("""COMPUTED_VALUE"""),"UNIT")</f>
        <v>UNIT</v>
      </c>
      <c r="H228" s="37"/>
      <c r="I228" s="36" t="str">
        <f>IFERROR(__xludf.DUMMYFUNCTION("""COMPUTED_VALUE"""),"P1C")</f>
        <v>P1C</v>
      </c>
      <c r="J228" s="30" t="str">
        <f>IFERROR(__xludf.DUMMYFUNCTION("""COMPUTED_VALUE"""),"ALSIDE")</f>
        <v>ALSIDE</v>
      </c>
      <c r="K228" s="26" t="str">
        <f>IFERROR(__xludf.DUMMYFUNCTION("""COMPUTED_VALUE"""),"BLACK DOOR SCREEN, 36X79 3/4")</f>
        <v>BLACK DOOR SCREEN, 36X79 3/4</v>
      </c>
      <c r="L228" s="30" t="str">
        <f>IFERROR(__xludf.DUMMYFUNCTION("""COMPUTED_VALUE"""),"IN STOCK")</f>
        <v>IN STOCK</v>
      </c>
      <c r="M228" s="26"/>
      <c r="N228" s="26" t="str">
        <f>IFERROR(__xludf.DUMMYFUNCTION("""COMPUTED_VALUE"""),"CLOUDVEIL C")</f>
        <v>CLOUDVEIL C</v>
      </c>
      <c r="O228" s="26" t="str">
        <f>IFERROR(__xludf.DUMMYFUNCTION("""COMPUTED_VALUE"""),"SCREEN|||CLOUDVEIL C")</f>
        <v>SCREEN|||CLOUDVEIL C</v>
      </c>
      <c r="P228" s="26"/>
      <c r="Q228" s="26"/>
      <c r="R228" s="26" t="str">
        <f>IFERROR(__xludf.DUMMYFUNCTION("""COMPUTED_VALUE"""),"P1C")</f>
        <v>P1C</v>
      </c>
      <c r="S228" s="26" t="str">
        <f>IFERROR(__xludf.DUMMYFUNCTION("""COMPUTED_VALUE"""),"ENTRY")</f>
        <v>ENTRY</v>
      </c>
      <c r="T228" s="26"/>
    </row>
    <row r="229">
      <c r="A229" s="35">
        <f>IFERROR(__xludf.DUMMYFUNCTION("""COMPUTED_VALUE"""),46115.35042011574)</f>
        <v>46115.35042</v>
      </c>
      <c r="B229" s="36" t="str">
        <f>IFERROR(__xludf.DUMMYFUNCTION("""COMPUTED_VALUE"""),"SCREEN")</f>
        <v>SCREEN</v>
      </c>
      <c r="C229" s="26" t="str">
        <f>IFERROR(__xludf.DUMMYFUNCTION("""COMPUTED_VALUE"""),"CLOUDVEIL B")</f>
        <v>CLOUDVEIL B</v>
      </c>
      <c r="D229" s="27"/>
      <c r="E229" s="27" t="str">
        <f>IFERROR(__xludf.DUMMYFUNCTION("""COMPUTED_VALUE"""),"1073")</f>
        <v>1073</v>
      </c>
      <c r="F229" s="36">
        <f>IFERROR(__xludf.DUMMYFUNCTION("""COMPUTED_VALUE"""),3.0)</f>
        <v>3</v>
      </c>
      <c r="G229" s="27" t="str">
        <f>IFERROR(__xludf.DUMMYFUNCTION("""COMPUTED_VALUE"""),"UNIT")</f>
        <v>UNIT</v>
      </c>
      <c r="H229" s="37"/>
      <c r="I229" s="36" t="str">
        <f>IFERROR(__xludf.DUMMYFUNCTION("""COMPUTED_VALUE"""),"P1C")</f>
        <v>P1C</v>
      </c>
      <c r="J229" s="30" t="str">
        <f>IFERROR(__xludf.DUMMYFUNCTION("""COMPUTED_VALUE"""),"ALSIDE")</f>
        <v>ALSIDE</v>
      </c>
      <c r="K229" s="26" t="str">
        <f>IFERROR(__xludf.DUMMYFUNCTION("""COMPUTED_VALUE"""),"BLACK DOOR SCREEN, 36X79 3/4")</f>
        <v>BLACK DOOR SCREEN, 36X79 3/4</v>
      </c>
      <c r="L229" s="30" t="str">
        <f>IFERROR(__xludf.DUMMYFUNCTION("""COMPUTED_VALUE"""),"IN STOCK")</f>
        <v>IN STOCK</v>
      </c>
      <c r="M229" s="26"/>
      <c r="N229" s="26" t="str">
        <f>IFERROR(__xludf.DUMMYFUNCTION("""COMPUTED_VALUE"""),"CLOUDVEIL B")</f>
        <v>CLOUDVEIL B</v>
      </c>
      <c r="O229" s="26" t="str">
        <f>IFERROR(__xludf.DUMMYFUNCTION("""COMPUTED_VALUE"""),"SCREEN|||CLOUDVEIL B")</f>
        <v>SCREEN|||CLOUDVEIL B</v>
      </c>
      <c r="P229" s="26"/>
      <c r="Q229" s="26"/>
      <c r="R229" s="26" t="str">
        <f>IFERROR(__xludf.DUMMYFUNCTION("""COMPUTED_VALUE"""),"P1C")</f>
        <v>P1C</v>
      </c>
      <c r="S229" s="26" t="str">
        <f>IFERROR(__xludf.DUMMYFUNCTION("""COMPUTED_VALUE"""),"ENTRY")</f>
        <v>ENTRY</v>
      </c>
      <c r="T229" s="26"/>
    </row>
    <row r="230">
      <c r="A230" s="35">
        <f>IFERROR(__xludf.DUMMYFUNCTION("""COMPUTED_VALUE"""),46115.34641913194)</f>
        <v>46115.34642</v>
      </c>
      <c r="B230" s="36" t="str">
        <f>IFERROR(__xludf.DUMMYFUNCTION("""COMPUTED_VALUE"""),"SCREEN")</f>
        <v>SCREEN</v>
      </c>
      <c r="C230" s="26" t="str">
        <f>IFERROR(__xludf.DUMMYFUNCTION("""COMPUTED_VALUE"""),"SNYDER")</f>
        <v>SNYDER</v>
      </c>
      <c r="D230" s="27" t="str">
        <f>IFERROR(__xludf.DUMMYFUNCTION("""COMPUTED_VALUE"""),"RWK")</f>
        <v>RWK</v>
      </c>
      <c r="E230" s="27" t="str">
        <f>IFERROR(__xludf.DUMMYFUNCTION("""COMPUTED_VALUE"""),"Y942")</f>
        <v>Y942</v>
      </c>
      <c r="F230" s="36">
        <f>IFERROR(__xludf.DUMMYFUNCTION("""COMPUTED_VALUE"""),1.0)</f>
        <v>1</v>
      </c>
      <c r="G230" s="27" t="str">
        <f>IFERROR(__xludf.DUMMYFUNCTION("""COMPUTED_VALUE"""),"UNIT")</f>
        <v>UNIT</v>
      </c>
      <c r="H230" s="37"/>
      <c r="I230" s="36" t="str">
        <f>IFERROR(__xludf.DUMMYFUNCTION("""COMPUTED_VALUE"""),"P1C")</f>
        <v>P1C</v>
      </c>
      <c r="J230" s="30" t="str">
        <f>IFERROR(__xludf.DUMMYFUNCTION("""COMPUTED_VALUE"""),"ALSIDE")</f>
        <v>ALSIDE</v>
      </c>
      <c r="K230" s="26" t="str">
        <f>IFERROR(__xludf.DUMMYFUNCTION("""COMPUTED_VALUE"""),"BLACK DOOR SCREEN, 36X79 3/4")</f>
        <v>BLACK DOOR SCREEN, 36X79 3/4</v>
      </c>
      <c r="L230" s="30" t="str">
        <f>IFERROR(__xludf.DUMMYFUNCTION("""COMPUTED_VALUE"""),"IN STOCK")</f>
        <v>IN STOCK</v>
      </c>
      <c r="M230" s="26"/>
      <c r="N230" s="26" t="str">
        <f>IFERROR(__xludf.DUMMYFUNCTION("""COMPUTED_VALUE"""),"SNYDER")</f>
        <v>SNYDER</v>
      </c>
      <c r="O230" s="26" t="str">
        <f>IFERROR(__xludf.DUMMYFUNCTION("""COMPUTED_VALUE"""),"SCREEN|||SNYDER")</f>
        <v>SCREEN|||SNYDER</v>
      </c>
      <c r="P230" s="26"/>
      <c r="Q230" s="26"/>
      <c r="R230" s="26" t="str">
        <f>IFERROR(__xludf.DUMMYFUNCTION("""COMPUTED_VALUE"""),"P1C")</f>
        <v>P1C</v>
      </c>
      <c r="S230" s="26" t="str">
        <f>IFERROR(__xludf.DUMMYFUNCTION("""COMPUTED_VALUE"""),"ENTRY")</f>
        <v>ENTRY</v>
      </c>
      <c r="T230" s="26"/>
    </row>
    <row r="231">
      <c r="A231" s="35">
        <f>IFERROR(__xludf.DUMMYFUNCTION("""COMPUTED_VALUE"""),46115.34465491898)</f>
        <v>46115.34465</v>
      </c>
      <c r="B231" s="36" t="str">
        <f>IFERROR(__xludf.DUMMYFUNCTION("""COMPUTED_VALUE"""),"SCREEN")</f>
        <v>SCREEN</v>
      </c>
      <c r="C231" s="26" t="str">
        <f>IFERROR(__xludf.DUMMYFUNCTION("""COMPUTED_VALUE"""),"CC12")</f>
        <v>CC12</v>
      </c>
      <c r="D231" s="27" t="str">
        <f>IFERROR(__xludf.DUMMYFUNCTION("""COMPUTED_VALUE"""),"PAT")</f>
        <v>PAT</v>
      </c>
      <c r="E231" s="27" t="str">
        <f>IFERROR(__xludf.DUMMYFUNCTION("""COMPUTED_VALUE"""),"2855")</f>
        <v>2855</v>
      </c>
      <c r="F231" s="36">
        <f>IFERROR(__xludf.DUMMYFUNCTION("""COMPUTED_VALUE"""),1.0)</f>
        <v>1</v>
      </c>
      <c r="G231" s="27" t="str">
        <f>IFERROR(__xludf.DUMMYFUNCTION("""COMPUTED_VALUE"""),"UNIT")</f>
        <v>UNIT</v>
      </c>
      <c r="H231" s="37"/>
      <c r="I231" s="36" t="str">
        <f>IFERROR(__xludf.DUMMYFUNCTION("""COMPUTED_VALUE"""),"P1C")</f>
        <v>P1C</v>
      </c>
      <c r="J231" s="30" t="str">
        <f>IFERROR(__xludf.DUMMYFUNCTION("""COMPUTED_VALUE"""),"ALSIDE")</f>
        <v>ALSIDE</v>
      </c>
      <c r="K231" s="26" t="str">
        <f>IFERROR(__xludf.DUMMYFUNCTION("""COMPUTED_VALUE"""),"BLACK DOOR SCREEN, 36X77 3/4")</f>
        <v>BLACK DOOR SCREEN, 36X77 3/4</v>
      </c>
      <c r="L231" s="30" t="str">
        <f>IFERROR(__xludf.DUMMYFUNCTION("""COMPUTED_VALUE"""),"IN STOCK")</f>
        <v>IN STOCK</v>
      </c>
      <c r="M231" s="26"/>
      <c r="N231" s="26" t="str">
        <f>IFERROR(__xludf.DUMMYFUNCTION("""COMPUTED_VALUE"""),"CC12")</f>
        <v>CC12</v>
      </c>
      <c r="O231" s="26" t="str">
        <f>IFERROR(__xludf.DUMMYFUNCTION("""COMPUTED_VALUE"""),"SCREEN|||CC12")</f>
        <v>SCREEN|||CC12</v>
      </c>
      <c r="P231" s="26"/>
      <c r="Q231" s="26"/>
      <c r="R231" s="26" t="str">
        <f>IFERROR(__xludf.DUMMYFUNCTION("""COMPUTED_VALUE"""),"P1C")</f>
        <v>P1C</v>
      </c>
      <c r="S231" s="26" t="str">
        <f>IFERROR(__xludf.DUMMYFUNCTION("""COMPUTED_VALUE"""),"ENTRY")</f>
        <v>ENTRY</v>
      </c>
      <c r="T231" s="26"/>
    </row>
    <row r="232">
      <c r="A232" s="35">
        <f>IFERROR(__xludf.DUMMYFUNCTION("""COMPUTED_VALUE"""),46115.34356172454)</f>
        <v>46115.34356</v>
      </c>
      <c r="B232" s="36" t="str">
        <f>IFERROR(__xludf.DUMMYFUNCTION("""COMPUTED_VALUE"""),"SCREEN")</f>
        <v>SCREEN</v>
      </c>
      <c r="C232" s="26" t="str">
        <f>IFERROR(__xludf.DUMMYFUNCTION("""COMPUTED_VALUE"""),"CLOUDVEIL A")</f>
        <v>CLOUDVEIL A</v>
      </c>
      <c r="D232" s="27"/>
      <c r="E232" s="27" t="str">
        <f>IFERROR(__xludf.DUMMYFUNCTION("""COMPUTED_VALUE"""),"1072")</f>
        <v>1072</v>
      </c>
      <c r="F232" s="36">
        <f>IFERROR(__xludf.DUMMYFUNCTION("""COMPUTED_VALUE"""),1.0)</f>
        <v>1</v>
      </c>
      <c r="G232" s="27" t="str">
        <f>IFERROR(__xludf.DUMMYFUNCTION("""COMPUTED_VALUE"""),"UNIT")</f>
        <v>UNIT</v>
      </c>
      <c r="H232" s="37"/>
      <c r="I232" s="36" t="str">
        <f>IFERROR(__xludf.DUMMYFUNCTION("""COMPUTED_VALUE"""),"P1C")</f>
        <v>P1C</v>
      </c>
      <c r="J232" s="30" t="str">
        <f>IFERROR(__xludf.DUMMYFUNCTION("""COMPUTED_VALUE"""),"ALSIDE")</f>
        <v>ALSIDE</v>
      </c>
      <c r="K232" s="26" t="str">
        <f>IFERROR(__xludf.DUMMYFUNCTION("""COMPUTED_VALUE"""),"BLACK SCREEN DOOR, 36X79 3/4")</f>
        <v>BLACK SCREEN DOOR, 36X79 3/4</v>
      </c>
      <c r="L232" s="30" t="str">
        <f>IFERROR(__xludf.DUMMYFUNCTION("""COMPUTED_VALUE"""),"IN STOCK")</f>
        <v>IN STOCK</v>
      </c>
      <c r="M232" s="26"/>
      <c r="N232" s="26" t="str">
        <f>IFERROR(__xludf.DUMMYFUNCTION("""COMPUTED_VALUE"""),"CLOUDVEIL A")</f>
        <v>CLOUDVEIL A</v>
      </c>
      <c r="O232" s="26" t="str">
        <f>IFERROR(__xludf.DUMMYFUNCTION("""COMPUTED_VALUE"""),"SCREEN|||CLOUDVEIL A")</f>
        <v>SCREEN|||CLOUDVEIL A</v>
      </c>
      <c r="P232" s="26"/>
      <c r="Q232" s="26"/>
      <c r="R232" s="26" t="str">
        <f>IFERROR(__xludf.DUMMYFUNCTION("""COMPUTED_VALUE"""),"P1C")</f>
        <v>P1C</v>
      </c>
      <c r="S232" s="26" t="str">
        <f>IFERROR(__xludf.DUMMYFUNCTION("""COMPUTED_VALUE"""),"ENTRY")</f>
        <v>ENTRY</v>
      </c>
      <c r="T232" s="26"/>
    </row>
    <row r="233">
      <c r="A233" s="35">
        <f>IFERROR(__xludf.DUMMYFUNCTION("""COMPUTED_VALUE"""),46115.342529155096)</f>
        <v>46115.34253</v>
      </c>
      <c r="B233" s="36" t="str">
        <f>IFERROR(__xludf.DUMMYFUNCTION("""COMPUTED_VALUE"""),"SCREEN")</f>
        <v>SCREEN</v>
      </c>
      <c r="C233" s="26" t="str">
        <f>IFERROR(__xludf.DUMMYFUNCTION("""COMPUTED_VALUE"""),"CLOUDVEIL ADDITTIONAL")</f>
        <v>CLOUDVEIL ADDITTIONAL</v>
      </c>
      <c r="D233" s="27"/>
      <c r="E233" s="27" t="str">
        <f>IFERROR(__xludf.DUMMYFUNCTION("""COMPUTED_VALUE"""),"2950")</f>
        <v>2950</v>
      </c>
      <c r="F233" s="36">
        <f>IFERROR(__xludf.DUMMYFUNCTION("""COMPUTED_VALUE"""),1.0)</f>
        <v>1</v>
      </c>
      <c r="G233" s="27" t="str">
        <f>IFERROR(__xludf.DUMMYFUNCTION("""COMPUTED_VALUE"""),"UNIT")</f>
        <v>UNIT</v>
      </c>
      <c r="H233" s="37"/>
      <c r="I233" s="36" t="str">
        <f>IFERROR(__xludf.DUMMYFUNCTION("""COMPUTED_VALUE"""),"P1C")</f>
        <v>P1C</v>
      </c>
      <c r="J233" s="30" t="str">
        <f>IFERROR(__xludf.DUMMYFUNCTION("""COMPUTED_VALUE"""),"ALSIDE")</f>
        <v>ALSIDE</v>
      </c>
      <c r="K233" s="26" t="str">
        <f>IFERROR(__xludf.DUMMYFUNCTION("""COMPUTED_VALUE"""),"BLACK DOOR SCREEN, 36X79 3/4")</f>
        <v>BLACK DOOR SCREEN, 36X79 3/4</v>
      </c>
      <c r="L233" s="30" t="str">
        <f>IFERROR(__xludf.DUMMYFUNCTION("""COMPUTED_VALUE"""),"IN STOCK")</f>
        <v>IN STOCK</v>
      </c>
      <c r="M233" s="26"/>
      <c r="N233" s="26" t="str">
        <f>IFERROR(__xludf.DUMMYFUNCTION("""COMPUTED_VALUE"""),"CLOUDVEIL ADDITTIONAL")</f>
        <v>CLOUDVEIL ADDITTIONAL</v>
      </c>
      <c r="O233" s="26" t="str">
        <f>IFERROR(__xludf.DUMMYFUNCTION("""COMPUTED_VALUE"""),"SCREEN|||CLOUDVEIL ADDITTIONAL")</f>
        <v>SCREEN|||CLOUDVEIL ADDITTIONAL</v>
      </c>
      <c r="P233" s="26"/>
      <c r="Q233" s="26"/>
      <c r="R233" s="26" t="str">
        <f>IFERROR(__xludf.DUMMYFUNCTION("""COMPUTED_VALUE"""),"P1C")</f>
        <v>P1C</v>
      </c>
      <c r="S233" s="26" t="str">
        <f>IFERROR(__xludf.DUMMYFUNCTION("""COMPUTED_VALUE"""),"ENTRY")</f>
        <v>ENTRY</v>
      </c>
      <c r="T233" s="26"/>
    </row>
    <row r="234">
      <c r="A234" s="35">
        <f>IFERROR(__xludf.DUMMYFUNCTION("""COMPUTED_VALUE"""),46115.340209236114)</f>
        <v>46115.34021</v>
      </c>
      <c r="B234" s="36" t="str">
        <f>IFERROR(__xludf.DUMMYFUNCTION("""COMPUTED_VALUE"""),"SCREEN")</f>
        <v>SCREEN</v>
      </c>
      <c r="C234" s="26" t="str">
        <f>IFERROR(__xludf.DUMMYFUNCTION("""COMPUTED_VALUE"""),"CLOUDVEIL B")</f>
        <v>CLOUDVEIL B</v>
      </c>
      <c r="D234" s="27"/>
      <c r="E234" s="27" t="str">
        <f>IFERROR(__xludf.DUMMYFUNCTION("""COMPUTED_VALUE"""),"1073")</f>
        <v>1073</v>
      </c>
      <c r="F234" s="36">
        <f>IFERROR(__xludf.DUMMYFUNCTION("""COMPUTED_VALUE"""),3.0)</f>
        <v>3</v>
      </c>
      <c r="G234" s="27" t="str">
        <f>IFERROR(__xludf.DUMMYFUNCTION("""COMPUTED_VALUE"""),"UNIT")</f>
        <v>UNIT</v>
      </c>
      <c r="H234" s="37"/>
      <c r="I234" s="36" t="str">
        <f>IFERROR(__xludf.DUMMYFUNCTION("""COMPUTED_VALUE"""),"P1C")</f>
        <v>P1C</v>
      </c>
      <c r="J234" s="30" t="str">
        <f>IFERROR(__xludf.DUMMYFUNCTION("""COMPUTED_VALUE"""),"ALSIDE")</f>
        <v>ALSIDE</v>
      </c>
      <c r="K234" s="26" t="str">
        <f>IFERROR(__xludf.DUMMYFUNCTION("""COMPUTED_VALUE"""),"BLACK DOOR SCREEN, 36X79 3/4")</f>
        <v>BLACK DOOR SCREEN, 36X79 3/4</v>
      </c>
      <c r="L234" s="30" t="str">
        <f>IFERROR(__xludf.DUMMYFUNCTION("""COMPUTED_VALUE"""),"IN STOCK")</f>
        <v>IN STOCK</v>
      </c>
      <c r="M234" s="26"/>
      <c r="N234" s="26" t="str">
        <f>IFERROR(__xludf.DUMMYFUNCTION("""COMPUTED_VALUE"""),"CLOUDVEIL B")</f>
        <v>CLOUDVEIL B</v>
      </c>
      <c r="O234" s="26" t="str">
        <f>IFERROR(__xludf.DUMMYFUNCTION("""COMPUTED_VALUE"""),"SCREEN|||CLOUDVEIL B")</f>
        <v>SCREEN|||CLOUDVEIL B</v>
      </c>
      <c r="P234" s="26"/>
      <c r="Q234" s="26"/>
      <c r="R234" s="26" t="str">
        <f>IFERROR(__xludf.DUMMYFUNCTION("""COMPUTED_VALUE"""),"P1C")</f>
        <v>P1C</v>
      </c>
      <c r="S234" s="26" t="str">
        <f>IFERROR(__xludf.DUMMYFUNCTION("""COMPUTED_VALUE"""),"ENTRY")</f>
        <v>ENTRY</v>
      </c>
      <c r="T234" s="26"/>
    </row>
    <row r="235">
      <c r="A235" s="35">
        <f>IFERROR(__xludf.DUMMYFUNCTION("""COMPUTED_VALUE"""),46115.33834787037)</f>
        <v>46115.33835</v>
      </c>
      <c r="B235" s="36" t="str">
        <f>IFERROR(__xludf.DUMMYFUNCTION("""COMPUTED_VALUE"""),"SCREEN")</f>
        <v>SCREEN</v>
      </c>
      <c r="C235" s="26" t="str">
        <f>IFERROR(__xludf.DUMMYFUNCTION("""COMPUTED_VALUE"""),"CLOUDVEIL H")</f>
        <v>CLOUDVEIL H</v>
      </c>
      <c r="D235" s="27"/>
      <c r="E235" s="27" t="str">
        <f>IFERROR(__xludf.DUMMYFUNCTION("""COMPUTED_VALUE"""),"3650")</f>
        <v>3650</v>
      </c>
      <c r="F235" s="36">
        <f>IFERROR(__xludf.DUMMYFUNCTION("""COMPUTED_VALUE"""),3.0)</f>
        <v>3</v>
      </c>
      <c r="G235" s="27" t="str">
        <f>IFERROR(__xludf.DUMMYFUNCTION("""COMPUTED_VALUE"""),"UNIT")</f>
        <v>UNIT</v>
      </c>
      <c r="H235" s="37"/>
      <c r="I235" s="36" t="str">
        <f>IFERROR(__xludf.DUMMYFUNCTION("""COMPUTED_VALUE"""),"P1C")</f>
        <v>P1C</v>
      </c>
      <c r="J235" s="30" t="str">
        <f>IFERROR(__xludf.DUMMYFUNCTION("""COMPUTED_VALUE"""),"ALSIDE")</f>
        <v>ALSIDE</v>
      </c>
      <c r="K235" s="26" t="str">
        <f>IFERROR(__xludf.DUMMYFUNCTION("""COMPUTED_VALUE"""),"BLACK DOOR SCREEN, 36X79 3/4")</f>
        <v>BLACK DOOR SCREEN, 36X79 3/4</v>
      </c>
      <c r="L235" s="30" t="str">
        <f>IFERROR(__xludf.DUMMYFUNCTION("""COMPUTED_VALUE"""),"IN STOCK")</f>
        <v>IN STOCK</v>
      </c>
      <c r="M235" s="26"/>
      <c r="N235" s="26" t="str">
        <f>IFERROR(__xludf.DUMMYFUNCTION("""COMPUTED_VALUE"""),"CLOUDVEIL H")</f>
        <v>CLOUDVEIL H</v>
      </c>
      <c r="O235" s="26" t="str">
        <f>IFERROR(__xludf.DUMMYFUNCTION("""COMPUTED_VALUE"""),"SCREEN|||CLOUDVEIL H")</f>
        <v>SCREEN|||CLOUDVEIL H</v>
      </c>
      <c r="P235" s="26"/>
      <c r="Q235" s="26"/>
      <c r="R235" s="26" t="str">
        <f>IFERROR(__xludf.DUMMYFUNCTION("""COMPUTED_VALUE"""),"P1C")</f>
        <v>P1C</v>
      </c>
      <c r="S235" s="26" t="str">
        <f>IFERROR(__xludf.DUMMYFUNCTION("""COMPUTED_VALUE"""),"ENTRY")</f>
        <v>ENTRY</v>
      </c>
      <c r="T235" s="26"/>
    </row>
    <row r="236">
      <c r="A236" s="35">
        <f>IFERROR(__xludf.DUMMYFUNCTION("""COMPUTED_VALUE"""),46115.33833993055)</f>
        <v>46115.33834</v>
      </c>
      <c r="B236" s="36" t="str">
        <f>IFERROR(__xludf.DUMMYFUNCTION("""COMPUTED_VALUE"""),"SCREEN")</f>
        <v>SCREEN</v>
      </c>
      <c r="C236" s="26" t="str">
        <f>IFERROR(__xludf.DUMMYFUNCTION("""COMPUTED_VALUE"""),"CLOUDVEIL H")</f>
        <v>CLOUDVEIL H</v>
      </c>
      <c r="D236" s="27"/>
      <c r="E236" s="27" t="str">
        <f>IFERROR(__xludf.DUMMYFUNCTION("""COMPUTED_VALUE"""),"3650")</f>
        <v>3650</v>
      </c>
      <c r="F236" s="36">
        <f>IFERROR(__xludf.DUMMYFUNCTION("""COMPUTED_VALUE"""),3.0)</f>
        <v>3</v>
      </c>
      <c r="G236" s="27" t="str">
        <f>IFERROR(__xludf.DUMMYFUNCTION("""COMPUTED_VALUE"""),"UNIT")</f>
        <v>UNIT</v>
      </c>
      <c r="H236" s="37"/>
      <c r="I236" s="36" t="str">
        <f>IFERROR(__xludf.DUMMYFUNCTION("""COMPUTED_VALUE"""),"P1C")</f>
        <v>P1C</v>
      </c>
      <c r="J236" s="30" t="str">
        <f>IFERROR(__xludf.DUMMYFUNCTION("""COMPUTED_VALUE"""),"ALSIDE")</f>
        <v>ALSIDE</v>
      </c>
      <c r="K236" s="26" t="str">
        <f>IFERROR(__xludf.DUMMYFUNCTION("""COMPUTED_VALUE"""),"BLACK DOOR SCREEN, 36X79 3/4")</f>
        <v>BLACK DOOR SCREEN, 36X79 3/4</v>
      </c>
      <c r="L236" s="30" t="str">
        <f>IFERROR(__xludf.DUMMYFUNCTION("""COMPUTED_VALUE"""),"IN STOCK")</f>
        <v>IN STOCK</v>
      </c>
      <c r="M236" s="26"/>
      <c r="N236" s="26" t="str">
        <f>IFERROR(__xludf.DUMMYFUNCTION("""COMPUTED_VALUE"""),"CLOUDVEIL H")</f>
        <v>CLOUDVEIL H</v>
      </c>
      <c r="O236" s="26" t="str">
        <f>IFERROR(__xludf.DUMMYFUNCTION("""COMPUTED_VALUE"""),"SCREEN|||CLOUDVEIL H")</f>
        <v>SCREEN|||CLOUDVEIL H</v>
      </c>
      <c r="P236" s="26"/>
      <c r="Q236" s="26"/>
      <c r="R236" s="26" t="str">
        <f>IFERROR(__xludf.DUMMYFUNCTION("""COMPUTED_VALUE"""),"P1C")</f>
        <v>P1C</v>
      </c>
      <c r="S236" s="26" t="str">
        <f>IFERROR(__xludf.DUMMYFUNCTION("""COMPUTED_VALUE"""),"ENTRY")</f>
        <v>ENTRY</v>
      </c>
      <c r="T236" s="26"/>
    </row>
    <row r="237">
      <c r="A237" s="35">
        <f>IFERROR(__xludf.DUMMYFUNCTION("""COMPUTED_VALUE"""),46115.33489211806)</f>
        <v>46115.33489</v>
      </c>
      <c r="B237" s="36" t="str">
        <f>IFERROR(__xludf.DUMMYFUNCTION("""COMPUTED_VALUE"""),"SCREEN")</f>
        <v>SCREEN</v>
      </c>
      <c r="C237" s="26" t="str">
        <f>IFERROR(__xludf.DUMMYFUNCTION("""COMPUTED_VALUE"""),"CLOUDVEIL C")</f>
        <v>CLOUDVEIL C</v>
      </c>
      <c r="D237" s="27"/>
      <c r="E237" s="27" t="str">
        <f>IFERROR(__xludf.DUMMYFUNCTION("""COMPUTED_VALUE"""),"1628")</f>
        <v>1628</v>
      </c>
      <c r="F237" s="36">
        <f>IFERROR(__xludf.DUMMYFUNCTION("""COMPUTED_VALUE"""),2.0)</f>
        <v>2</v>
      </c>
      <c r="G237" s="27" t="str">
        <f>IFERROR(__xludf.DUMMYFUNCTION("""COMPUTED_VALUE"""),"UNIT")</f>
        <v>UNIT</v>
      </c>
      <c r="H237" s="37"/>
      <c r="I237" s="36" t="str">
        <f>IFERROR(__xludf.DUMMYFUNCTION("""COMPUTED_VALUE"""),"P1C")</f>
        <v>P1C</v>
      </c>
      <c r="J237" s="30" t="str">
        <f>IFERROR(__xludf.DUMMYFUNCTION("""COMPUTED_VALUE"""),"ALSIDE")</f>
        <v>ALSIDE</v>
      </c>
      <c r="K237" s="26" t="str">
        <f>IFERROR(__xludf.DUMMYFUNCTION("""COMPUTED_VALUE"""),"BLACK DOOR SCREEN, 36X79 3/4")</f>
        <v>BLACK DOOR SCREEN, 36X79 3/4</v>
      </c>
      <c r="L237" s="30" t="str">
        <f>IFERROR(__xludf.DUMMYFUNCTION("""COMPUTED_VALUE"""),"IN STOCK")</f>
        <v>IN STOCK</v>
      </c>
      <c r="M237" s="26"/>
      <c r="N237" s="26" t="str">
        <f>IFERROR(__xludf.DUMMYFUNCTION("""COMPUTED_VALUE"""),"CLOUDVEIL C")</f>
        <v>CLOUDVEIL C</v>
      </c>
      <c r="O237" s="26" t="str">
        <f>IFERROR(__xludf.DUMMYFUNCTION("""COMPUTED_VALUE"""),"SCREEN|||CLOUDVEIL C")</f>
        <v>SCREEN|||CLOUDVEIL C</v>
      </c>
      <c r="P237" s="26"/>
      <c r="Q237" s="26"/>
      <c r="R237" s="26" t="str">
        <f>IFERROR(__xludf.DUMMYFUNCTION("""COMPUTED_VALUE"""),"P1C")</f>
        <v>P1C</v>
      </c>
      <c r="S237" s="26" t="str">
        <f>IFERROR(__xludf.DUMMYFUNCTION("""COMPUTED_VALUE"""),"ENTRY")</f>
        <v>ENTRY</v>
      </c>
      <c r="T237" s="26"/>
    </row>
    <row r="238">
      <c r="A238" s="35">
        <f>IFERROR(__xludf.DUMMYFUNCTION("""COMPUTED_VALUE"""),46115.3308690162)</f>
        <v>46115.33087</v>
      </c>
      <c r="B238" s="36" t="str">
        <f>IFERROR(__xludf.DUMMYFUNCTION("""COMPUTED_VALUE"""),"SCREEN")</f>
        <v>SCREEN</v>
      </c>
      <c r="C238" s="26" t="str">
        <f>IFERROR(__xludf.DUMMYFUNCTION("""COMPUTED_VALUE"""),"CLOUDVEIL D")</f>
        <v>CLOUDVEIL D</v>
      </c>
      <c r="D238" s="27"/>
      <c r="E238" s="27" t="str">
        <f>IFERROR(__xludf.DUMMYFUNCTION("""COMPUTED_VALUE"""),"1629")</f>
        <v>1629</v>
      </c>
      <c r="F238" s="36">
        <f>IFERROR(__xludf.DUMMYFUNCTION("""COMPUTED_VALUE"""),1.0)</f>
        <v>1</v>
      </c>
      <c r="G238" s="27" t="str">
        <f>IFERROR(__xludf.DUMMYFUNCTION("""COMPUTED_VALUE"""),"UNIT")</f>
        <v>UNIT</v>
      </c>
      <c r="H238" s="37"/>
      <c r="I238" s="36" t="str">
        <f>IFERROR(__xludf.DUMMYFUNCTION("""COMPUTED_VALUE"""),"P1C")</f>
        <v>P1C</v>
      </c>
      <c r="J238" s="30" t="str">
        <f>IFERROR(__xludf.DUMMYFUNCTION("""COMPUTED_VALUE"""),"ALSIDE")</f>
        <v>ALSIDE</v>
      </c>
      <c r="K238" s="26" t="str">
        <f>IFERROR(__xludf.DUMMYFUNCTION("""COMPUTED_VALUE"""),"BLACK DOOR SCREEN, 36X79 3/4")</f>
        <v>BLACK DOOR SCREEN, 36X79 3/4</v>
      </c>
      <c r="L238" s="30" t="str">
        <f>IFERROR(__xludf.DUMMYFUNCTION("""COMPUTED_VALUE"""),"IN STOCK")</f>
        <v>IN STOCK</v>
      </c>
      <c r="M238" s="26"/>
      <c r="N238" s="26" t="str">
        <f>IFERROR(__xludf.DUMMYFUNCTION("""COMPUTED_VALUE"""),"CLOUDVEIL D")</f>
        <v>CLOUDVEIL D</v>
      </c>
      <c r="O238" s="26" t="str">
        <f>IFERROR(__xludf.DUMMYFUNCTION("""COMPUTED_VALUE"""),"SCREEN|||CLOUDVEIL D")</f>
        <v>SCREEN|||CLOUDVEIL D</v>
      </c>
      <c r="P238" s="26"/>
      <c r="Q238" s="26"/>
      <c r="R238" s="26" t="str">
        <f>IFERROR(__xludf.DUMMYFUNCTION("""COMPUTED_VALUE"""),"P1C")</f>
        <v>P1C</v>
      </c>
      <c r="S238" s="26" t="str">
        <f>IFERROR(__xludf.DUMMYFUNCTION("""COMPUTED_VALUE"""),"ENTRY")</f>
        <v>ENTRY</v>
      </c>
      <c r="T238" s="26"/>
    </row>
    <row r="239">
      <c r="A239" s="35">
        <f>IFERROR(__xludf.DUMMYFUNCTION("""COMPUTED_VALUE"""),46115.32974820602)</f>
        <v>46115.32975</v>
      </c>
      <c r="B239" s="36" t="str">
        <f>IFERROR(__xludf.DUMMYFUNCTION("""COMPUTED_VALUE"""),"SCREEN")</f>
        <v>SCREEN</v>
      </c>
      <c r="C239" s="26" t="str">
        <f>IFERROR(__xludf.DUMMYFUNCTION("""COMPUTED_VALUE"""),"CLOUDVEIL ADDITTIONAL")</f>
        <v>CLOUDVEIL ADDITTIONAL</v>
      </c>
      <c r="D239" s="27"/>
      <c r="E239" s="27" t="str">
        <f>IFERROR(__xludf.DUMMYFUNCTION("""COMPUTED_VALUE"""),"2950")</f>
        <v>2950</v>
      </c>
      <c r="F239" s="36">
        <f>IFERROR(__xludf.DUMMYFUNCTION("""COMPUTED_VALUE"""),1.0)</f>
        <v>1</v>
      </c>
      <c r="G239" s="27" t="str">
        <f>IFERROR(__xludf.DUMMYFUNCTION("""COMPUTED_VALUE"""),"UNIT")</f>
        <v>UNIT</v>
      </c>
      <c r="H239" s="37"/>
      <c r="I239" s="36" t="str">
        <f>IFERROR(__xludf.DUMMYFUNCTION("""COMPUTED_VALUE"""),"P1C")</f>
        <v>P1C</v>
      </c>
      <c r="J239" s="30" t="str">
        <f>IFERROR(__xludf.DUMMYFUNCTION("""COMPUTED_VALUE"""),"ALSIDE")</f>
        <v>ALSIDE</v>
      </c>
      <c r="K239" s="26" t="str">
        <f>IFERROR(__xludf.DUMMYFUNCTION("""COMPUTED_VALUE"""),"BLACK DOOR SCREEN, ")</f>
        <v>BLACK DOOR SCREEN, </v>
      </c>
      <c r="L239" s="30" t="str">
        <f>IFERROR(__xludf.DUMMYFUNCTION("""COMPUTED_VALUE"""),"IN STOCK")</f>
        <v>IN STOCK</v>
      </c>
      <c r="M239" s="26"/>
      <c r="N239" s="26" t="str">
        <f>IFERROR(__xludf.DUMMYFUNCTION("""COMPUTED_VALUE"""),"CLOUDVEIL ADDITTIONAL")</f>
        <v>CLOUDVEIL ADDITTIONAL</v>
      </c>
      <c r="O239" s="26" t="str">
        <f>IFERROR(__xludf.DUMMYFUNCTION("""COMPUTED_VALUE"""),"SCREEN|||CLOUDVEIL ADDITTIONAL")</f>
        <v>SCREEN|||CLOUDVEIL ADDITTIONAL</v>
      </c>
      <c r="P239" s="26"/>
      <c r="Q239" s="26"/>
      <c r="R239" s="26" t="str">
        <f>IFERROR(__xludf.DUMMYFUNCTION("""COMPUTED_VALUE"""),"P1C")</f>
        <v>P1C</v>
      </c>
      <c r="S239" s="26" t="str">
        <f>IFERROR(__xludf.DUMMYFUNCTION("""COMPUTED_VALUE"""),"ENTRY")</f>
        <v>ENTRY</v>
      </c>
      <c r="T239" s="26"/>
    </row>
    <row r="240">
      <c r="A240" s="35">
        <f>IFERROR(__xludf.DUMMYFUNCTION("""COMPUTED_VALUE"""),46115.31353788194)</f>
        <v>46115.31354</v>
      </c>
      <c r="B240" s="36" t="str">
        <f>IFERROR(__xludf.DUMMYFUNCTION("""COMPUTED_VALUE"""),"SCREEN")</f>
        <v>SCREEN</v>
      </c>
      <c r="C240" s="26" t="str">
        <f>IFERROR(__xludf.DUMMYFUNCTION("""COMPUTED_VALUE"""),"HIGHLAND ROW TOWNHOMES")</f>
        <v>HIGHLAND ROW TOWNHOMES</v>
      </c>
      <c r="D240" s="27"/>
      <c r="E240" s="27" t="str">
        <f>IFERROR(__xludf.DUMMYFUNCTION("""COMPUTED_VALUE"""),"3087C")</f>
        <v>3087C</v>
      </c>
      <c r="F240" s="36">
        <f>IFERROR(__xludf.DUMMYFUNCTION("""COMPUTED_VALUE"""),7.0)</f>
        <v>7</v>
      </c>
      <c r="G240" s="27" t="str">
        <f>IFERROR(__xludf.DUMMYFUNCTION("""COMPUTED_VALUE"""),"UNIT")</f>
        <v>UNIT</v>
      </c>
      <c r="H240" s="37"/>
      <c r="I240" s="36" t="str">
        <f>IFERROR(__xludf.DUMMYFUNCTION("""COMPUTED_VALUE"""),"C2B")</f>
        <v>C2B</v>
      </c>
      <c r="J240" s="30" t="str">
        <f>IFERROR(__xludf.DUMMYFUNCTION("""COMPUTED_VALUE"""),"ALSIDE")</f>
        <v>ALSIDE</v>
      </c>
      <c r="K240" s="26" t="str">
        <f>IFERROR(__xludf.DUMMYFUNCTION("""COMPUTED_VALUE"""),"BLACK, 33 3/4 X 45 1/8")</f>
        <v>BLACK, 33 3/4 X 45 1/8</v>
      </c>
      <c r="L240" s="30" t="str">
        <f>IFERROR(__xludf.DUMMYFUNCTION("""COMPUTED_VALUE"""),"IN STOCK")</f>
        <v>IN STOCK</v>
      </c>
      <c r="M240" s="26"/>
      <c r="N240" s="26" t="str">
        <f>IFERROR(__xludf.DUMMYFUNCTION("""COMPUTED_VALUE"""),"HIGHLAND ROW TOWNHOMES")</f>
        <v>HIGHLAND ROW TOWNHOMES</v>
      </c>
      <c r="O240" s="26" t="str">
        <f>IFERROR(__xludf.DUMMYFUNCTION("""COMPUTED_VALUE"""),"SCREEN|||HIGHLAND ROW TOWNHOMES")</f>
        <v>SCREEN|||HIGHLAND ROW TOWNHOMES</v>
      </c>
      <c r="P240" s="26"/>
      <c r="Q240" s="26"/>
      <c r="R240" s="26" t="str">
        <f>IFERROR(__xludf.DUMMYFUNCTION("""COMPUTED_VALUE"""),"C2B")</f>
        <v>C2B</v>
      </c>
      <c r="S240" s="26" t="str">
        <f>IFERROR(__xludf.DUMMYFUNCTION("""COMPUTED_VALUE"""),"ENTRY")</f>
        <v>ENTRY</v>
      </c>
      <c r="T240" s="26"/>
    </row>
    <row r="241">
      <c r="A241" s="35">
        <f>IFERROR(__xludf.DUMMYFUNCTION("""COMPUTED_VALUE"""),46115.31207731482)</f>
        <v>46115.31208</v>
      </c>
      <c r="B241" s="36" t="str">
        <f>IFERROR(__xludf.DUMMYFUNCTION("""COMPUTED_VALUE"""),"SCREEN")</f>
        <v>SCREEN</v>
      </c>
      <c r="C241" s="26" t="str">
        <f>IFERROR(__xludf.DUMMYFUNCTION("""COMPUTED_VALUE"""),"HIGHLAND ROW TOWNHOMES")</f>
        <v>HIGHLAND ROW TOWNHOMES</v>
      </c>
      <c r="D241" s="27"/>
      <c r="E241" s="27" t="str">
        <f>IFERROR(__xludf.DUMMYFUNCTION("""COMPUTED_VALUE"""),"3087A")</f>
        <v>3087A</v>
      </c>
      <c r="F241" s="36">
        <f>IFERROR(__xludf.DUMMYFUNCTION("""COMPUTED_VALUE"""),8.0)</f>
        <v>8</v>
      </c>
      <c r="G241" s="27" t="str">
        <f>IFERROR(__xludf.DUMMYFUNCTION("""COMPUTED_VALUE"""),"UNIT")</f>
        <v>UNIT</v>
      </c>
      <c r="H241" s="37"/>
      <c r="I241" s="36" t="str">
        <f>IFERROR(__xludf.DUMMYFUNCTION("""COMPUTED_VALUE"""),"C2B")</f>
        <v>C2B</v>
      </c>
      <c r="J241" s="30" t="str">
        <f>IFERROR(__xludf.DUMMYFUNCTION("""COMPUTED_VALUE"""),"ALSIDE")</f>
        <v>ALSIDE</v>
      </c>
      <c r="K241" s="26" t="str">
        <f>IFERROR(__xludf.DUMMYFUNCTION("""COMPUTED_VALUE"""),"BLACK, 21 1/8 X 33 3/4")</f>
        <v>BLACK, 21 1/8 X 33 3/4</v>
      </c>
      <c r="L241" s="30" t="str">
        <f>IFERROR(__xludf.DUMMYFUNCTION("""COMPUTED_VALUE"""),"IN STOCK")</f>
        <v>IN STOCK</v>
      </c>
      <c r="M241" s="26"/>
      <c r="N241" s="26" t="str">
        <f>IFERROR(__xludf.DUMMYFUNCTION("""COMPUTED_VALUE"""),"HIGHLAND ROW TOWNHOMES")</f>
        <v>HIGHLAND ROW TOWNHOMES</v>
      </c>
      <c r="O241" s="26" t="str">
        <f>IFERROR(__xludf.DUMMYFUNCTION("""COMPUTED_VALUE"""),"SCREEN|||HIGHLAND ROW TOWNHOMES")</f>
        <v>SCREEN|||HIGHLAND ROW TOWNHOMES</v>
      </c>
      <c r="P241" s="26"/>
      <c r="Q241" s="26"/>
      <c r="R241" s="26" t="str">
        <f>IFERROR(__xludf.DUMMYFUNCTION("""COMPUTED_VALUE"""),"C2B")</f>
        <v>C2B</v>
      </c>
      <c r="S241" s="26" t="str">
        <f>IFERROR(__xludf.DUMMYFUNCTION("""COMPUTED_VALUE"""),"ENTRY")</f>
        <v>ENTRY</v>
      </c>
      <c r="T241" s="26"/>
    </row>
    <row r="242">
      <c r="A242" s="35">
        <f>IFERROR(__xludf.DUMMYFUNCTION("""COMPUTED_VALUE"""),46114.56803645833)</f>
        <v>46114.56804</v>
      </c>
      <c r="B242" s="36" t="str">
        <f>IFERROR(__xludf.DUMMYFUNCTION("""COMPUTED_VALUE"""),"SCREEN")</f>
        <v>SCREEN</v>
      </c>
      <c r="C242" s="26" t="str">
        <f>IFERROR(__xludf.DUMMYFUNCTION("""COMPUTED_VALUE"""),"HIGHLAND ROW TOWNHOMES")</f>
        <v>HIGHLAND ROW TOWNHOMES</v>
      </c>
      <c r="D242" s="27"/>
      <c r="E242" s="27" t="str">
        <f>IFERROR(__xludf.DUMMYFUNCTION("""COMPUTED_VALUE"""),"3087")</f>
        <v>3087</v>
      </c>
      <c r="F242" s="36">
        <f>IFERROR(__xludf.DUMMYFUNCTION("""COMPUTED_VALUE"""),9.0)</f>
        <v>9</v>
      </c>
      <c r="G242" s="27" t="str">
        <f>IFERROR(__xludf.DUMMYFUNCTION("""COMPUTED_VALUE"""),"UNIT")</f>
        <v>UNIT</v>
      </c>
      <c r="H242" s="37"/>
      <c r="I242" s="36" t="str">
        <f>IFERROR(__xludf.DUMMYFUNCTION("""COMPUTED_VALUE"""),"P2C")</f>
        <v>P2C</v>
      </c>
      <c r="J242" s="30" t="str">
        <f>IFERROR(__xludf.DUMMYFUNCTION("""COMPUTED_VALUE"""),"ALSIDE")</f>
        <v>ALSIDE</v>
      </c>
      <c r="K242" s="26" t="str">
        <f>IFERROR(__xludf.DUMMYFUNCTION("""COMPUTED_VALUE"""),"BLACK DOOR SCREENS, 36X93 3/4")</f>
        <v>BLACK DOOR SCREENS, 36X93 3/4</v>
      </c>
      <c r="L242" s="30" t="str">
        <f>IFERROR(__xludf.DUMMYFUNCTION("""COMPUTED_VALUE"""),"IN STOCK")</f>
        <v>IN STOCK</v>
      </c>
      <c r="M242" s="26"/>
      <c r="N242" s="26" t="str">
        <f>IFERROR(__xludf.DUMMYFUNCTION("""COMPUTED_VALUE"""),"HIGHLAND ROW TOWNHOMES")</f>
        <v>HIGHLAND ROW TOWNHOMES</v>
      </c>
      <c r="O242" s="26" t="str">
        <f>IFERROR(__xludf.DUMMYFUNCTION("""COMPUTED_VALUE"""),"SCREEN|||HIGHLAND ROW TOWNHOMES")</f>
        <v>SCREEN|||HIGHLAND ROW TOWNHOMES</v>
      </c>
      <c r="P242" s="26"/>
      <c r="Q242" s="26"/>
      <c r="R242" s="26" t="str">
        <f>IFERROR(__xludf.DUMMYFUNCTION("""COMPUTED_VALUE"""),"P2C")</f>
        <v>P2C</v>
      </c>
      <c r="S242" s="26" t="str">
        <f>IFERROR(__xludf.DUMMYFUNCTION("""COMPUTED_VALUE"""),"ENTRY")</f>
        <v>ENTRY</v>
      </c>
      <c r="T242" s="26"/>
    </row>
    <row r="243">
      <c r="A243" s="35">
        <f>IFERROR(__xludf.DUMMYFUNCTION("""COMPUTED_VALUE"""),46114.56748837963)</f>
        <v>46114.56749</v>
      </c>
      <c r="B243" s="36" t="str">
        <f>IFERROR(__xludf.DUMMYFUNCTION("""COMPUTED_VALUE"""),"SCREEN")</f>
        <v>SCREEN</v>
      </c>
      <c r="C243" s="26" t="str">
        <f>IFERROR(__xludf.DUMMYFUNCTION("""COMPUTED_VALUE"""),"HIGHLAND ROW TOWNHOMES")</f>
        <v>HIGHLAND ROW TOWNHOMES</v>
      </c>
      <c r="D243" s="27"/>
      <c r="E243" s="27" t="str">
        <f>IFERROR(__xludf.DUMMYFUNCTION("""COMPUTED_VALUE"""),"3087")</f>
        <v>3087</v>
      </c>
      <c r="F243" s="36">
        <f>IFERROR(__xludf.DUMMYFUNCTION("""COMPUTED_VALUE"""),4.0)</f>
        <v>4</v>
      </c>
      <c r="G243" s="27" t="str">
        <f>IFERROR(__xludf.DUMMYFUNCTION("""COMPUTED_VALUE"""),"UNIT")</f>
        <v>UNIT</v>
      </c>
      <c r="H243" s="37"/>
      <c r="I243" s="36" t="str">
        <f>IFERROR(__xludf.DUMMYFUNCTION("""COMPUTED_VALUE"""),"P2C")</f>
        <v>P2C</v>
      </c>
      <c r="J243" s="30" t="str">
        <f>IFERROR(__xludf.DUMMYFUNCTION("""COMPUTED_VALUE"""),"ALSIDE")</f>
        <v>ALSIDE</v>
      </c>
      <c r="K243" s="26" t="str">
        <f>IFERROR(__xludf.DUMMYFUNCTION("""COMPUTED_VALUE"""),"BLACK DOOR SCREENS, 30X77 3/4")</f>
        <v>BLACK DOOR SCREENS, 30X77 3/4</v>
      </c>
      <c r="L243" s="30" t="str">
        <f>IFERROR(__xludf.DUMMYFUNCTION("""COMPUTED_VALUE"""),"IN STOCK")</f>
        <v>IN STOCK</v>
      </c>
      <c r="M243" s="26"/>
      <c r="N243" s="26" t="str">
        <f>IFERROR(__xludf.DUMMYFUNCTION("""COMPUTED_VALUE"""),"HIGHLAND ROW TOWNHOMES")</f>
        <v>HIGHLAND ROW TOWNHOMES</v>
      </c>
      <c r="O243" s="26" t="str">
        <f>IFERROR(__xludf.DUMMYFUNCTION("""COMPUTED_VALUE"""),"SCREEN|||HIGHLAND ROW TOWNHOMES")</f>
        <v>SCREEN|||HIGHLAND ROW TOWNHOMES</v>
      </c>
      <c r="P243" s="26"/>
      <c r="Q243" s="26"/>
      <c r="R243" s="26" t="str">
        <f>IFERROR(__xludf.DUMMYFUNCTION("""COMPUTED_VALUE"""),"P2C")</f>
        <v>P2C</v>
      </c>
      <c r="S243" s="26" t="str">
        <f>IFERROR(__xludf.DUMMYFUNCTION("""COMPUTED_VALUE"""),"ENTRY")</f>
        <v>ENTRY</v>
      </c>
      <c r="T243" s="26"/>
    </row>
    <row r="244">
      <c r="A244" s="35">
        <f>IFERROR(__xludf.DUMMYFUNCTION("""COMPUTED_VALUE"""),46114.56666274306)</f>
        <v>46114.56666</v>
      </c>
      <c r="B244" s="36" t="str">
        <f>IFERROR(__xludf.DUMMYFUNCTION("""COMPUTED_VALUE"""),"SCREEN")</f>
        <v>SCREEN</v>
      </c>
      <c r="C244" s="26" t="str">
        <f>IFERROR(__xludf.DUMMYFUNCTION("""COMPUTED_VALUE"""),"HIGHLAND ROW TOWNHOMES")</f>
        <v>HIGHLAND ROW TOWNHOMES</v>
      </c>
      <c r="D244" s="27"/>
      <c r="E244" s="27" t="str">
        <f>IFERROR(__xludf.DUMMYFUNCTION("""COMPUTED_VALUE"""),"3087B")</f>
        <v>3087B</v>
      </c>
      <c r="F244" s="36">
        <f>IFERROR(__xludf.DUMMYFUNCTION("""COMPUTED_VALUE"""),8.0)</f>
        <v>8</v>
      </c>
      <c r="G244" s="27" t="str">
        <f>IFERROR(__xludf.DUMMYFUNCTION("""COMPUTED_VALUE"""),"UNIT")</f>
        <v>UNIT</v>
      </c>
      <c r="H244" s="37"/>
      <c r="I244" s="36" t="str">
        <f>IFERROR(__xludf.DUMMYFUNCTION("""COMPUTED_VALUE"""),"P2C")</f>
        <v>P2C</v>
      </c>
      <c r="J244" s="30" t="str">
        <f>IFERROR(__xludf.DUMMYFUNCTION("""COMPUTED_VALUE"""),"ALSIDE")</f>
        <v>ALSIDE</v>
      </c>
      <c r="K244" s="26" t="str">
        <f>IFERROR(__xludf.DUMMYFUNCTION("""COMPUTED_VALUE"""),"BLACK DOOR SCREENS, 30X77 3/4")</f>
        <v>BLACK DOOR SCREENS, 30X77 3/4</v>
      </c>
      <c r="L244" s="30" t="str">
        <f>IFERROR(__xludf.DUMMYFUNCTION("""COMPUTED_VALUE"""),"IN STOCK")</f>
        <v>IN STOCK</v>
      </c>
      <c r="M244" s="26"/>
      <c r="N244" s="26" t="str">
        <f>IFERROR(__xludf.DUMMYFUNCTION("""COMPUTED_VALUE"""),"HIGHLAND ROW TOWNHOMES")</f>
        <v>HIGHLAND ROW TOWNHOMES</v>
      </c>
      <c r="O244" s="26" t="str">
        <f>IFERROR(__xludf.DUMMYFUNCTION("""COMPUTED_VALUE"""),"SCREEN|||HIGHLAND ROW TOWNHOMES")</f>
        <v>SCREEN|||HIGHLAND ROW TOWNHOMES</v>
      </c>
      <c r="P244" s="26"/>
      <c r="Q244" s="26"/>
      <c r="R244" s="26" t="str">
        <f>IFERROR(__xludf.DUMMYFUNCTION("""COMPUTED_VALUE"""),"P2C")</f>
        <v>P2C</v>
      </c>
      <c r="S244" s="26" t="str">
        <f>IFERROR(__xludf.DUMMYFUNCTION("""COMPUTED_VALUE"""),"ENTRY")</f>
        <v>ENTRY</v>
      </c>
      <c r="T244" s="26"/>
    </row>
    <row r="245">
      <c r="A245" s="35">
        <f>IFERROR(__xludf.DUMMYFUNCTION("""COMPUTED_VALUE"""),46114.5585665625)</f>
        <v>46114.55857</v>
      </c>
      <c r="B245" s="36" t="str">
        <f>IFERROR(__xludf.DUMMYFUNCTION("""COMPUTED_VALUE"""),"SCREEN")</f>
        <v>SCREEN</v>
      </c>
      <c r="C245" s="26" t="str">
        <f>IFERROR(__xludf.DUMMYFUNCTION("""COMPUTED_VALUE"""),"HIGHLAND ROW TOWNHOMES")</f>
        <v>HIGHLAND ROW TOWNHOMES</v>
      </c>
      <c r="D245" s="27"/>
      <c r="E245" s="27" t="str">
        <f>IFERROR(__xludf.DUMMYFUNCTION("""COMPUTED_VALUE"""),"3087")</f>
        <v>3087</v>
      </c>
      <c r="F245" s="36">
        <f>IFERROR(__xludf.DUMMYFUNCTION("""COMPUTED_VALUE"""),18.0)</f>
        <v>18</v>
      </c>
      <c r="G245" s="27" t="str">
        <f>IFERROR(__xludf.DUMMYFUNCTION("""COMPUTED_VALUE"""),"UNIT")</f>
        <v>UNIT</v>
      </c>
      <c r="H245" s="37"/>
      <c r="I245" s="36" t="str">
        <f>IFERROR(__xludf.DUMMYFUNCTION("""COMPUTED_VALUE"""),"P3C")</f>
        <v>P3C</v>
      </c>
      <c r="J245" s="30" t="str">
        <f>IFERROR(__xludf.DUMMYFUNCTION("""COMPUTED_VALUE"""),"ALSIDE")</f>
        <v>ALSIDE</v>
      </c>
      <c r="K245" s="26" t="str">
        <f>IFERROR(__xludf.DUMMYFUNCTION("""COMPUTED_VALUE"""),"BLACK DOOR SCREENS, 30X77 3/4")</f>
        <v>BLACK DOOR SCREENS, 30X77 3/4</v>
      </c>
      <c r="L245" s="30" t="str">
        <f>IFERROR(__xludf.DUMMYFUNCTION("""COMPUTED_VALUE"""),"IN STOCK")</f>
        <v>IN STOCK</v>
      </c>
      <c r="M245" s="26"/>
      <c r="N245" s="26" t="str">
        <f>IFERROR(__xludf.DUMMYFUNCTION("""COMPUTED_VALUE"""),"HIGHLAND ROW TOWNHOMES")</f>
        <v>HIGHLAND ROW TOWNHOMES</v>
      </c>
      <c r="O245" s="26" t="str">
        <f>IFERROR(__xludf.DUMMYFUNCTION("""COMPUTED_VALUE"""),"SCREEN|||HIGHLAND ROW TOWNHOMES")</f>
        <v>SCREEN|||HIGHLAND ROW TOWNHOMES</v>
      </c>
      <c r="P245" s="26"/>
      <c r="Q245" s="26"/>
      <c r="R245" s="26" t="str">
        <f>IFERROR(__xludf.DUMMYFUNCTION("""COMPUTED_VALUE"""),"P3C")</f>
        <v>P3C</v>
      </c>
      <c r="S245" s="26" t="str">
        <f>IFERROR(__xludf.DUMMYFUNCTION("""COMPUTED_VALUE"""),"ENTRY")</f>
        <v>ENTRY</v>
      </c>
      <c r="T245" s="26"/>
    </row>
    <row r="246">
      <c r="A246" s="35">
        <f>IFERROR(__xludf.DUMMYFUNCTION("""COMPUTED_VALUE"""),46114.55713710648)</f>
        <v>46114.55714</v>
      </c>
      <c r="B246" s="36" t="str">
        <f>IFERROR(__xludf.DUMMYFUNCTION("""COMPUTED_VALUE"""),"SCREEN")</f>
        <v>SCREEN</v>
      </c>
      <c r="C246" s="26" t="str">
        <f>IFERROR(__xludf.DUMMYFUNCTION("""COMPUTED_VALUE"""),"HIGHLAND ROW TOWNHOMES")</f>
        <v>HIGHLAND ROW TOWNHOMES</v>
      </c>
      <c r="D246" s="27"/>
      <c r="E246" s="27" t="str">
        <f>IFERROR(__xludf.DUMMYFUNCTION("""COMPUTED_VALUE"""),"3087")</f>
        <v>3087</v>
      </c>
      <c r="F246" s="36">
        <f>IFERROR(__xludf.DUMMYFUNCTION("""COMPUTED_VALUE"""),8.0)</f>
        <v>8</v>
      </c>
      <c r="G246" s="27" t="str">
        <f>IFERROR(__xludf.DUMMYFUNCTION("""COMPUTED_VALUE"""),"UNIT")</f>
        <v>UNIT</v>
      </c>
      <c r="H246" s="37"/>
      <c r="I246" s="36" t="str">
        <f>IFERROR(__xludf.DUMMYFUNCTION("""COMPUTED_VALUE"""),"P3C")</f>
        <v>P3C</v>
      </c>
      <c r="J246" s="30" t="str">
        <f>IFERROR(__xludf.DUMMYFUNCTION("""COMPUTED_VALUE"""),"ALSIDE")</f>
        <v>ALSIDE</v>
      </c>
      <c r="K246" s="26" t="str">
        <f>IFERROR(__xludf.DUMMYFUNCTION("""COMPUTED_VALUE"""),"BLACK DOOR SCREENS, 36X77 3/4")</f>
        <v>BLACK DOOR SCREENS, 36X77 3/4</v>
      </c>
      <c r="L246" s="30" t="str">
        <f>IFERROR(__xludf.DUMMYFUNCTION("""COMPUTED_VALUE"""),"IN STOCK")</f>
        <v>IN STOCK</v>
      </c>
      <c r="M246" s="26"/>
      <c r="N246" s="26" t="str">
        <f>IFERROR(__xludf.DUMMYFUNCTION("""COMPUTED_VALUE"""),"HIGHLAND ROW TOWNHOMES")</f>
        <v>HIGHLAND ROW TOWNHOMES</v>
      </c>
      <c r="O246" s="26" t="str">
        <f>IFERROR(__xludf.DUMMYFUNCTION("""COMPUTED_VALUE"""),"SCREEN|||HIGHLAND ROW TOWNHOMES")</f>
        <v>SCREEN|||HIGHLAND ROW TOWNHOMES</v>
      </c>
      <c r="P246" s="26"/>
      <c r="Q246" s="26"/>
      <c r="R246" s="26" t="str">
        <f>IFERROR(__xludf.DUMMYFUNCTION("""COMPUTED_VALUE"""),"P3C")</f>
        <v>P3C</v>
      </c>
      <c r="S246" s="26" t="str">
        <f>IFERROR(__xludf.DUMMYFUNCTION("""COMPUTED_VALUE"""),"ENTRY")</f>
        <v>ENTRY</v>
      </c>
      <c r="T246" s="26"/>
    </row>
    <row r="247">
      <c r="A247" s="35">
        <f>IFERROR(__xludf.DUMMYFUNCTION("""COMPUTED_VALUE"""),46114.54870898148)</f>
        <v>46114.54871</v>
      </c>
      <c r="B247" s="36" t="str">
        <f>IFERROR(__xludf.DUMMYFUNCTION("""COMPUTED_VALUE"""),"SCREEN")</f>
        <v>SCREEN</v>
      </c>
      <c r="C247" s="26" t="str">
        <f>IFERROR(__xludf.DUMMYFUNCTION("""COMPUTED_VALUE"""),"HIGHLAND ROW TOWNHOMES")</f>
        <v>HIGHLAND ROW TOWNHOMES</v>
      </c>
      <c r="D247" s="27"/>
      <c r="E247" s="27" t="str">
        <f>IFERROR(__xludf.DUMMYFUNCTION("""COMPUTED_VALUE"""),"3087")</f>
        <v>3087</v>
      </c>
      <c r="F247" s="36">
        <f>IFERROR(__xludf.DUMMYFUNCTION("""COMPUTED_VALUE"""),26.0)</f>
        <v>26</v>
      </c>
      <c r="G247" s="27" t="str">
        <f>IFERROR(__xludf.DUMMYFUNCTION("""COMPUTED_VALUE"""),"UNIT")</f>
        <v>UNIT</v>
      </c>
      <c r="H247" s="37"/>
      <c r="I247" s="36" t="str">
        <f>IFERROR(__xludf.DUMMYFUNCTION("""COMPUTED_VALUE"""),"P3C")</f>
        <v>P3C</v>
      </c>
      <c r="J247" s="30" t="str">
        <f>IFERROR(__xludf.DUMMYFUNCTION("""COMPUTED_VALUE"""),"ALSIDE")</f>
        <v>ALSIDE</v>
      </c>
      <c r="K247" s="26" t="str">
        <f>IFERROR(__xludf.DUMMYFUNCTION("""COMPUTED_VALUE"""),"BLACK DOOR SCREENS, 30X77 3/4")</f>
        <v>BLACK DOOR SCREENS, 30X77 3/4</v>
      </c>
      <c r="L247" s="30" t="str">
        <f>IFERROR(__xludf.DUMMYFUNCTION("""COMPUTED_VALUE"""),"IN STOCK")</f>
        <v>IN STOCK</v>
      </c>
      <c r="M247" s="26"/>
      <c r="N247" s="26" t="str">
        <f>IFERROR(__xludf.DUMMYFUNCTION("""COMPUTED_VALUE"""),"HIGHLAND ROW TOWNHOMES")</f>
        <v>HIGHLAND ROW TOWNHOMES</v>
      </c>
      <c r="O247" s="26" t="str">
        <f>IFERROR(__xludf.DUMMYFUNCTION("""COMPUTED_VALUE"""),"SCREEN|||HIGHLAND ROW TOWNHOMES")</f>
        <v>SCREEN|||HIGHLAND ROW TOWNHOMES</v>
      </c>
      <c r="P247" s="26"/>
      <c r="Q247" s="26"/>
      <c r="R247" s="26" t="str">
        <f>IFERROR(__xludf.DUMMYFUNCTION("""COMPUTED_VALUE"""),"P3C")</f>
        <v>P3C</v>
      </c>
      <c r="S247" s="26" t="str">
        <f>IFERROR(__xludf.DUMMYFUNCTION("""COMPUTED_VALUE"""),"ENTRY")</f>
        <v>ENTRY</v>
      </c>
      <c r="T247" s="26"/>
    </row>
    <row r="248">
      <c r="A248" s="35">
        <f>IFERROR(__xludf.DUMMYFUNCTION("""COMPUTED_VALUE"""),46114.39696893519)</f>
        <v>46114.39697</v>
      </c>
      <c r="B248" s="36" t="str">
        <f>IFERROR(__xludf.DUMMYFUNCTION("""COMPUTED_VALUE"""),"SCREEN")</f>
        <v>SCREEN</v>
      </c>
      <c r="C248" s="26" t="str">
        <f>IFERROR(__xludf.DUMMYFUNCTION("""COMPUTED_VALUE"""),"BME8")</f>
        <v>BME8</v>
      </c>
      <c r="D248" s="27" t="str">
        <f>IFERROR(__xludf.DUMMYFUNCTION("""COMPUTED_VALUE"""),"PAT")</f>
        <v>PAT</v>
      </c>
      <c r="E248" s="27" t="str">
        <f>IFERROR(__xludf.DUMMYFUNCTION("""COMPUTED_VALUE"""),"12-2179*16")</f>
        <v>12-2179*16</v>
      </c>
      <c r="F248" s="36">
        <f>IFERROR(__xludf.DUMMYFUNCTION("""COMPUTED_VALUE"""),16.0)</f>
        <v>16</v>
      </c>
      <c r="G248" s="27" t="str">
        <f>IFERROR(__xludf.DUMMYFUNCTION("""COMPUTED_VALUE"""),"UNIT")</f>
        <v>UNIT</v>
      </c>
      <c r="H248" s="37"/>
      <c r="I248" s="36" t="str">
        <f>IFERROR(__xludf.DUMMYFUNCTION("""COMPUTED_VALUE"""),"B1B")</f>
        <v>B1B</v>
      </c>
      <c r="J248" s="30" t="str">
        <f>IFERROR(__xludf.DUMMYFUNCTION("""COMPUTED_VALUE"""),"AMSCO")</f>
        <v>AMSCO</v>
      </c>
      <c r="K248" s="26" t="str">
        <f>IFERROR(__xludf.DUMMYFUNCTION("""COMPUTED_VALUE"""),"BLACK, DIFFERENT SIZES")</f>
        <v>BLACK, DIFFERENT SIZES</v>
      </c>
      <c r="L248" s="30" t="str">
        <f>IFERROR(__xludf.DUMMYFUNCTION("""COMPUTED_VALUE"""),"IN STOCK")</f>
        <v>IN STOCK</v>
      </c>
      <c r="M248" s="26"/>
      <c r="N248" s="26" t="str">
        <f>IFERROR(__xludf.DUMMYFUNCTION("""COMPUTED_VALUE"""),"BME8")</f>
        <v>BME8</v>
      </c>
      <c r="O248" s="26" t="str">
        <f>IFERROR(__xludf.DUMMYFUNCTION("""COMPUTED_VALUE"""),"SCREEN|||BME8")</f>
        <v>SCREEN|||BME8</v>
      </c>
      <c r="P248" s="26"/>
      <c r="Q248" s="26"/>
      <c r="R248" s="26" t="str">
        <f>IFERROR(__xludf.DUMMYFUNCTION("""COMPUTED_VALUE"""),"B1B")</f>
        <v>B1B</v>
      </c>
      <c r="S248" s="26" t="str">
        <f>IFERROR(__xludf.DUMMYFUNCTION("""COMPUTED_VALUE"""),"ENTRY")</f>
        <v>ENTRY</v>
      </c>
      <c r="T248" s="26"/>
    </row>
    <row r="249">
      <c r="A249" s="35">
        <f>IFERROR(__xludf.DUMMYFUNCTION("""COMPUTED_VALUE"""),46114.382784733796)</f>
        <v>46114.38278</v>
      </c>
      <c r="B249" s="36" t="str">
        <f>IFERROR(__xludf.DUMMYFUNCTION("""COMPUTED_VALUE"""),"SCREEN")</f>
        <v>SCREEN</v>
      </c>
      <c r="C249" s="26" t="str">
        <f>IFERROR(__xludf.DUMMYFUNCTION("""COMPUTED_VALUE"""),"PV126")</f>
        <v>PV126</v>
      </c>
      <c r="D249" s="27" t="str">
        <f>IFERROR(__xludf.DUMMYFUNCTION("""COMPUTED_VALUE"""),"PAT")</f>
        <v>PAT</v>
      </c>
      <c r="E249" s="27" t="str">
        <f>IFERROR(__xludf.DUMMYFUNCTION("""COMPUTED_VALUE"""),"10-2948*50")</f>
        <v>10-2948*50</v>
      </c>
      <c r="F249" s="36">
        <f>IFERROR(__xludf.DUMMYFUNCTION("""COMPUTED_VALUE"""),18.0)</f>
        <v>18</v>
      </c>
      <c r="G249" s="27" t="str">
        <f>IFERROR(__xludf.DUMMYFUNCTION("""COMPUTED_VALUE"""),"UNIT")</f>
        <v>UNIT</v>
      </c>
      <c r="H249" s="37"/>
      <c r="I249" s="36" t="str">
        <f>IFERROR(__xludf.DUMMYFUNCTION("""COMPUTED_VALUE"""),"A1B")</f>
        <v>A1B</v>
      </c>
      <c r="J249" s="30" t="str">
        <f>IFERROR(__xludf.DUMMYFUNCTION("""COMPUTED_VALUE"""),"AMSCO")</f>
        <v>AMSCO</v>
      </c>
      <c r="K249" s="26" t="str">
        <f>IFERROR(__xludf.DUMMYFUNCTION("""COMPUTED_VALUE"""),"BLACK, 1 BAG")</f>
        <v>BLACK, 1 BAG</v>
      </c>
      <c r="L249" s="30" t="str">
        <f>IFERROR(__xludf.DUMMYFUNCTION("""COMPUTED_VALUE"""),"IN STOCK")</f>
        <v>IN STOCK</v>
      </c>
      <c r="M249" s="26"/>
      <c r="N249" s="26" t="str">
        <f>IFERROR(__xludf.DUMMYFUNCTION("""COMPUTED_VALUE"""),"PATTERNSON HOMES")</f>
        <v>PATTERNSON HOMES</v>
      </c>
      <c r="O249" s="26" t="str">
        <f>IFERROR(__xludf.DUMMYFUNCTION("""COMPUTED_VALUE"""),"SCREEN|||PV126")</f>
        <v>SCREEN|||PV126</v>
      </c>
      <c r="P249" s="26"/>
      <c r="Q249" s="26" t="str">
        <f>IFERROR(__xludf.DUMMYFUNCTION("""COMPUTED_VALUE"""),"jose@ox-glass.com")</f>
        <v>jose@ox-glass.com</v>
      </c>
      <c r="R249" s="26" t="str">
        <f>IFERROR(__xludf.DUMMYFUNCTION("""COMPUTED_VALUE"""),"B1B")</f>
        <v>B1B</v>
      </c>
      <c r="S249" s="26" t="str">
        <f>IFERROR(__xludf.DUMMYFUNCTION("""COMPUTED_VALUE"""),"ENTRY")</f>
        <v>ENTRY</v>
      </c>
      <c r="T249" s="26"/>
    </row>
    <row r="250">
      <c r="A250" s="35">
        <f>IFERROR(__xludf.DUMMYFUNCTION("""COMPUTED_VALUE"""),46114.378663564814)</f>
        <v>46114.37866</v>
      </c>
      <c r="B250" s="36" t="str">
        <f>IFERROR(__xludf.DUMMYFUNCTION("""COMPUTED_VALUE"""),"SCREEN")</f>
        <v>SCREEN</v>
      </c>
      <c r="C250" s="26" t="str">
        <f>IFERROR(__xludf.DUMMYFUNCTION("""COMPUTED_VALUE"""),"BMW5")</f>
        <v>BMW5</v>
      </c>
      <c r="D250" s="27" t="str">
        <f>IFERROR(__xludf.DUMMYFUNCTION("""COMPUTED_VALUE"""),"PAT")</f>
        <v>PAT</v>
      </c>
      <c r="E250" s="27" t="str">
        <f>IFERROR(__xludf.DUMMYFUNCTION("""COMPUTED_VALUE"""),"12-970*26")</f>
        <v>12-970*26</v>
      </c>
      <c r="F250" s="36">
        <f>IFERROR(__xludf.DUMMYFUNCTION("""COMPUTED_VALUE"""),17.0)</f>
        <v>17</v>
      </c>
      <c r="G250" s="27" t="str">
        <f>IFERROR(__xludf.DUMMYFUNCTION("""COMPUTED_VALUE"""),"UNIT")</f>
        <v>UNIT</v>
      </c>
      <c r="H250" s="37"/>
      <c r="I250" s="36" t="str">
        <f>IFERROR(__xludf.DUMMYFUNCTION("""COMPUTED_VALUE"""),"A1B")</f>
        <v>A1B</v>
      </c>
      <c r="J250" s="30" t="str">
        <f>IFERROR(__xludf.DUMMYFUNCTION("""COMPUTED_VALUE"""),"AMSCO")</f>
        <v>AMSCO</v>
      </c>
      <c r="K250" s="26" t="str">
        <f>IFERROR(__xludf.DUMMYFUNCTION("""COMPUTED_VALUE"""),"1 BAG, 1 WHITE WINDOW, 16 BLACK WINDOWS")</f>
        <v>1 BAG, 1 WHITE WINDOW, 16 BLACK WINDOWS</v>
      </c>
      <c r="L250" s="30" t="str">
        <f>IFERROR(__xludf.DUMMYFUNCTION("""COMPUTED_VALUE"""),"IN STOCK")</f>
        <v>IN STOCK</v>
      </c>
      <c r="M250" s="26"/>
      <c r="N250" s="26" t="str">
        <f>IFERROR(__xludf.DUMMYFUNCTION("""COMPUTED_VALUE"""),"BMW5")</f>
        <v>BMW5</v>
      </c>
      <c r="O250" s="26" t="str">
        <f>IFERROR(__xludf.DUMMYFUNCTION("""COMPUTED_VALUE"""),"SCREEN|||BMW5")</f>
        <v>SCREEN|||BMW5</v>
      </c>
      <c r="P250" s="26"/>
      <c r="Q250" s="26"/>
      <c r="R250" s="26" t="str">
        <f>IFERROR(__xludf.DUMMYFUNCTION("""COMPUTED_VALUE"""),"A1B")</f>
        <v>A1B</v>
      </c>
      <c r="S250" s="26" t="str">
        <f>IFERROR(__xludf.DUMMYFUNCTION("""COMPUTED_VALUE"""),"ENTRY")</f>
        <v>ENTRY</v>
      </c>
      <c r="T250" s="26"/>
    </row>
    <row r="251">
      <c r="A251" s="35">
        <f>IFERROR(__xludf.DUMMYFUNCTION("""COMPUTED_VALUE"""),46114.369880833336)</f>
        <v>46114.36988</v>
      </c>
      <c r="B251" s="36" t="str">
        <f>IFERROR(__xludf.DUMMYFUNCTION("""COMPUTED_VALUE"""),"SCREEN")</f>
        <v>SCREEN</v>
      </c>
      <c r="C251" s="26" t="str">
        <f>IFERROR(__xludf.DUMMYFUNCTION("""COMPUTED_VALUE"""),"PV137")</f>
        <v>PV137</v>
      </c>
      <c r="D251" s="27"/>
      <c r="E251" s="27" t="str">
        <f>IFERROR(__xludf.DUMMYFUNCTION("""COMPUTED_VALUE"""),"02-3605*19")</f>
        <v>02-3605*19</v>
      </c>
      <c r="F251" s="36">
        <f>IFERROR(__xludf.DUMMYFUNCTION("""COMPUTED_VALUE"""),22.0)</f>
        <v>22</v>
      </c>
      <c r="G251" s="27" t="str">
        <f>IFERROR(__xludf.DUMMYFUNCTION("""COMPUTED_VALUE"""),"UNIT")</f>
        <v>UNIT</v>
      </c>
      <c r="H251" s="37"/>
      <c r="I251" s="36" t="str">
        <f>IFERROR(__xludf.DUMMYFUNCTION("""COMPUTED_VALUE"""),"B1B")</f>
        <v>B1B</v>
      </c>
      <c r="J251" s="30" t="str">
        <f>IFERROR(__xludf.DUMMYFUNCTION("""COMPUTED_VALUE"""),"AMSCO")</f>
        <v>AMSCO</v>
      </c>
      <c r="K251" s="26" t="str">
        <f>IFERROR(__xludf.DUMMYFUNCTION("""COMPUTED_VALUE"""),"BLACK, DIFFERENT SIZES, 2 BAGS")</f>
        <v>BLACK, DIFFERENT SIZES, 2 BAGS</v>
      </c>
      <c r="L251" s="30" t="str">
        <f>IFERROR(__xludf.DUMMYFUNCTION("""COMPUTED_VALUE"""),"IN STOCK")</f>
        <v>IN STOCK</v>
      </c>
      <c r="M251" s="26"/>
      <c r="N251" s="26" t="str">
        <f>IFERROR(__xludf.DUMMYFUNCTION("""COMPUTED_VALUE"""),"PV137")</f>
        <v>PV137</v>
      </c>
      <c r="O251" s="26" t="str">
        <f>IFERROR(__xludf.DUMMYFUNCTION("""COMPUTED_VALUE"""),"SCREEN|||PV137")</f>
        <v>SCREEN|||PV137</v>
      </c>
      <c r="P251" s="26"/>
      <c r="Q251" s="26"/>
      <c r="R251" s="26" t="str">
        <f>IFERROR(__xludf.DUMMYFUNCTION("""COMPUTED_VALUE"""),"B1B")</f>
        <v>B1B</v>
      </c>
      <c r="S251" s="26" t="str">
        <f>IFERROR(__xludf.DUMMYFUNCTION("""COMPUTED_VALUE"""),"ENTRY")</f>
        <v>ENTRY</v>
      </c>
      <c r="T251" s="26"/>
    </row>
    <row r="252">
      <c r="A252" s="35">
        <f>IFERROR(__xludf.DUMMYFUNCTION("""COMPUTED_VALUE"""),46114.3657138426)</f>
        <v>46114.36571</v>
      </c>
      <c r="B252" s="36" t="str">
        <f>IFERROR(__xludf.DUMMYFUNCTION("""COMPUTED_VALUE"""),"SCREEN")</f>
        <v>SCREEN</v>
      </c>
      <c r="C252" s="26" t="str">
        <f>IFERROR(__xludf.DUMMYFUNCTION("""COMPUTED_VALUE"""),"OLAYAN")</f>
        <v>OLAYAN</v>
      </c>
      <c r="D252" s="27"/>
      <c r="E252" s="27" t="str">
        <f>IFERROR(__xludf.DUMMYFUNCTION("""COMPUTED_VALUE"""),"02-3595*30")</f>
        <v>02-3595*30</v>
      </c>
      <c r="F252" s="36">
        <f>IFERROR(__xludf.DUMMYFUNCTION("""COMPUTED_VALUE"""),21.0)</f>
        <v>21</v>
      </c>
      <c r="G252" s="27" t="str">
        <f>IFERROR(__xludf.DUMMYFUNCTION("""COMPUTED_VALUE"""),"UNIT")</f>
        <v>UNIT</v>
      </c>
      <c r="H252" s="37"/>
      <c r="I252" s="36" t="str">
        <f>IFERROR(__xludf.DUMMYFUNCTION("""COMPUTED_VALUE"""),"A1B")</f>
        <v>A1B</v>
      </c>
      <c r="J252" s="30" t="str">
        <f>IFERROR(__xludf.DUMMYFUNCTION("""COMPUTED_VALUE"""),"AMSCO")</f>
        <v>AMSCO</v>
      </c>
      <c r="K252" s="26" t="str">
        <f>IFERROR(__xludf.DUMMYFUNCTION("""COMPUTED_VALUE"""),"21 WINDOWS, 6 WHITE, 15 BLACK")</f>
        <v>21 WINDOWS, 6 WHITE, 15 BLACK</v>
      </c>
      <c r="L252" s="30" t="str">
        <f>IFERROR(__xludf.DUMMYFUNCTION("""COMPUTED_VALUE"""),"IN STOCK")</f>
        <v>IN STOCK</v>
      </c>
      <c r="M252" s="26"/>
      <c r="N252" s="26" t="str">
        <f>IFERROR(__xludf.DUMMYFUNCTION("""COMPUTED_VALUE"""),"OLAYAN")</f>
        <v>OLAYAN</v>
      </c>
      <c r="O252" s="26" t="str">
        <f>IFERROR(__xludf.DUMMYFUNCTION("""COMPUTED_VALUE"""),"SCREEN|||OLAYAN")</f>
        <v>SCREEN|||OLAYAN</v>
      </c>
      <c r="P252" s="26"/>
      <c r="Q252" s="26" t="str">
        <f>IFERROR(__xludf.DUMMYFUNCTION("""COMPUTED_VALUE"""),"jose@ox-glass.com")</f>
        <v>jose@ox-glass.com</v>
      </c>
      <c r="R252" s="26" t="str">
        <f>IFERROR(__xludf.DUMMYFUNCTION("""COMPUTED_VALUE"""),"A1B")</f>
        <v>A1B</v>
      </c>
      <c r="S252" s="26" t="str">
        <f>IFERROR(__xludf.DUMMYFUNCTION("""COMPUTED_VALUE"""),"ENTRY")</f>
        <v>ENTRY</v>
      </c>
      <c r="T252" s="26"/>
    </row>
    <row r="253">
      <c r="A253" s="35">
        <f>IFERROR(__xludf.DUMMYFUNCTION("""COMPUTED_VALUE"""),46114.36038668981)</f>
        <v>46114.36039</v>
      </c>
      <c r="B253" s="36" t="str">
        <f>IFERROR(__xludf.DUMMYFUNCTION("""COMPUTED_VALUE"""),"SCREEN")</f>
        <v>SCREEN</v>
      </c>
      <c r="C253" s="26" t="str">
        <f>IFERROR(__xludf.DUMMYFUNCTION("""COMPUTED_VALUE"""),"WESTERLY W 15 T")</f>
        <v>WESTERLY W 15 T</v>
      </c>
      <c r="D253" s="27"/>
      <c r="E253" s="27" t="str">
        <f>IFERROR(__xludf.DUMMYFUNCTION("""COMPUTED_VALUE"""),"5275")</f>
        <v>5275</v>
      </c>
      <c r="F253" s="36">
        <f>IFERROR(__xludf.DUMMYFUNCTION("""COMPUTED_VALUE"""),1.0)</f>
        <v>1</v>
      </c>
      <c r="G253" s="27" t="str">
        <f>IFERROR(__xludf.DUMMYFUNCTION("""COMPUTED_VALUE"""),"UNIT")</f>
        <v>UNIT</v>
      </c>
      <c r="H253" s="37"/>
      <c r="I253" s="36" t="str">
        <f>IFERROR(__xludf.DUMMYFUNCTION("""COMPUTED_VALUE"""),"C2B")</f>
        <v>C2B</v>
      </c>
      <c r="J253" s="30" t="str">
        <f>IFERROR(__xludf.DUMMYFUNCTION("""COMPUTED_VALUE"""),"ALSIDE")</f>
        <v>ALSIDE</v>
      </c>
      <c r="K253" s="26" t="str">
        <f>IFERROR(__xludf.DUMMYFUNCTION("""COMPUTED_VALUE"""),"WHITE, 34 9/16 X 18 5/16")</f>
        <v>WHITE, 34 9/16 X 18 5/16</v>
      </c>
      <c r="L253" s="30" t="str">
        <f>IFERROR(__xludf.DUMMYFUNCTION("""COMPUTED_VALUE"""),"IN STOCK")</f>
        <v>IN STOCK</v>
      </c>
      <c r="M253" s="26"/>
      <c r="N253" s="26" t="str">
        <f>IFERROR(__xludf.DUMMYFUNCTION("""COMPUTED_VALUE"""),"WESTERLY W 15 T")</f>
        <v>WESTERLY W 15 T</v>
      </c>
      <c r="O253" s="26" t="str">
        <f>IFERROR(__xludf.DUMMYFUNCTION("""COMPUTED_VALUE"""),"SCREEN|||WESTERLY W 15 T")</f>
        <v>SCREEN|||WESTERLY W 15 T</v>
      </c>
      <c r="P253" s="26"/>
      <c r="Q253" s="26"/>
      <c r="R253" s="26" t="str">
        <f>IFERROR(__xludf.DUMMYFUNCTION("""COMPUTED_VALUE"""),"C2B")</f>
        <v>C2B</v>
      </c>
      <c r="S253" s="26" t="str">
        <f>IFERROR(__xludf.DUMMYFUNCTION("""COMPUTED_VALUE"""),"ENTRY")</f>
        <v>ENTRY</v>
      </c>
      <c r="T253" s="26"/>
    </row>
    <row r="254">
      <c r="A254" s="35">
        <f>IFERROR(__xludf.DUMMYFUNCTION("""COMPUTED_VALUE"""),46114.35238041667)</f>
        <v>46114.35238</v>
      </c>
      <c r="B254" s="36" t="str">
        <f>IFERROR(__xludf.DUMMYFUNCTION("""COMPUTED_VALUE"""),"SCREEN")</f>
        <v>SCREEN</v>
      </c>
      <c r="C254" s="26" t="str">
        <f>IFERROR(__xludf.DUMMYFUNCTION("""COMPUTED_VALUE"""),"W8 WEST")</f>
        <v>W8 WEST</v>
      </c>
      <c r="D254" s="27"/>
      <c r="E254" s="27" t="str">
        <f>IFERROR(__xludf.DUMMYFUNCTION("""COMPUTED_VALUE"""),"4353")</f>
        <v>4353</v>
      </c>
      <c r="F254" s="36">
        <f>IFERROR(__xludf.DUMMYFUNCTION("""COMPUTED_VALUE"""),8.0)</f>
        <v>8</v>
      </c>
      <c r="G254" s="27" t="str">
        <f>IFERROR(__xludf.DUMMYFUNCTION("""COMPUTED_VALUE"""),"UNIT")</f>
        <v>UNIT</v>
      </c>
      <c r="H254" s="37"/>
      <c r="I254" s="36" t="str">
        <f>IFERROR(__xludf.DUMMYFUNCTION("""COMPUTED_VALUE"""),"C2B")</f>
        <v>C2B</v>
      </c>
      <c r="J254" s="30" t="str">
        <f>IFERROR(__xludf.DUMMYFUNCTION("""COMPUTED_VALUE"""),"ALSIDE")</f>
        <v>ALSIDE</v>
      </c>
      <c r="K254" s="26" t="str">
        <f>IFERROR(__xludf.DUMMYFUNCTION("""COMPUTED_VALUE"""),"WHITE, 24 5/16 X 15 13/16")</f>
        <v>WHITE, 24 5/16 X 15 13/16</v>
      </c>
      <c r="L254" s="30" t="str">
        <f>IFERROR(__xludf.DUMMYFUNCTION("""COMPUTED_VALUE"""),"IN STOCK")</f>
        <v>IN STOCK</v>
      </c>
      <c r="M254" s="26"/>
      <c r="N254" s="26" t="str">
        <f>IFERROR(__xludf.DUMMYFUNCTION("""COMPUTED_VALUE"""),"W8 WEST")</f>
        <v>W8 WEST</v>
      </c>
      <c r="O254" s="26" t="str">
        <f>IFERROR(__xludf.DUMMYFUNCTION("""COMPUTED_VALUE"""),"SCREEN|||W8 WEST")</f>
        <v>SCREEN|||W8 WEST</v>
      </c>
      <c r="P254" s="26"/>
      <c r="Q254" s="26"/>
      <c r="R254" s="26" t="str">
        <f>IFERROR(__xludf.DUMMYFUNCTION("""COMPUTED_VALUE"""),"C2B")</f>
        <v>C2B</v>
      </c>
      <c r="S254" s="26" t="str">
        <f>IFERROR(__xludf.DUMMYFUNCTION("""COMPUTED_VALUE"""),"ENTRY")</f>
        <v>ENTRY</v>
      </c>
      <c r="T254" s="26"/>
    </row>
    <row r="255">
      <c r="A255" s="35">
        <f>IFERROR(__xludf.DUMMYFUNCTION("""COMPUTED_VALUE"""),46114.327786354166)</f>
        <v>46114.32779</v>
      </c>
      <c r="B255" s="36" t="str">
        <f>IFERROR(__xludf.DUMMYFUNCTION("""COMPUTED_VALUE"""),"SCREEN")</f>
        <v>SCREEN</v>
      </c>
      <c r="C255" s="26" t="str">
        <f>IFERROR(__xludf.DUMMYFUNCTION("""COMPUTED_VALUE"""),"WESTERLY")</f>
        <v>WESTERLY</v>
      </c>
      <c r="D255" s="27"/>
      <c r="E255" s="27" t="str">
        <f>IFERROR(__xludf.DUMMYFUNCTION("""COMPUTED_VALUE"""),"4351")</f>
        <v>4351</v>
      </c>
      <c r="F255" s="36">
        <f>IFERROR(__xludf.DUMMYFUNCTION("""COMPUTED_VALUE"""),7.0)</f>
        <v>7</v>
      </c>
      <c r="G255" s="27" t="str">
        <f>IFERROR(__xludf.DUMMYFUNCTION("""COMPUTED_VALUE"""),"UNIT")</f>
        <v>UNIT</v>
      </c>
      <c r="H255" s="37"/>
      <c r="I255" s="36" t="str">
        <f>IFERROR(__xludf.DUMMYFUNCTION("""COMPUTED_VALUE"""),"C2B")</f>
        <v>C2B</v>
      </c>
      <c r="J255" s="30" t="str">
        <f>IFERROR(__xludf.DUMMYFUNCTION("""COMPUTED_VALUE"""),"ALSIDE")</f>
        <v>ALSIDE</v>
      </c>
      <c r="K255" s="26" t="str">
        <f>IFERROR(__xludf.DUMMYFUNCTION("""COMPUTED_VALUE"""),"BLACK, 21 5/8 X 33 3/4")</f>
        <v>BLACK, 21 5/8 X 33 3/4</v>
      </c>
      <c r="L255" s="30" t="str">
        <f>IFERROR(__xludf.DUMMYFUNCTION("""COMPUTED_VALUE"""),"IN STOCK")</f>
        <v>IN STOCK</v>
      </c>
      <c r="M255" s="26"/>
      <c r="N255" s="26" t="str">
        <f>IFERROR(__xludf.DUMMYFUNCTION("""COMPUTED_VALUE"""),"WESTERLY")</f>
        <v>WESTERLY</v>
      </c>
      <c r="O255" s="26" t="str">
        <f>IFERROR(__xludf.DUMMYFUNCTION("""COMPUTED_VALUE"""),"SCREEN|||WESTERLY")</f>
        <v>SCREEN|||WESTERLY</v>
      </c>
      <c r="P255" s="26"/>
      <c r="Q255" s="26"/>
      <c r="R255" s="26" t="str">
        <f>IFERROR(__xludf.DUMMYFUNCTION("""COMPUTED_VALUE"""),"C2B")</f>
        <v>C2B</v>
      </c>
      <c r="S255" s="26" t="str">
        <f>IFERROR(__xludf.DUMMYFUNCTION("""COMPUTED_VALUE"""),"ENTRY")</f>
        <v>ENTRY</v>
      </c>
      <c r="T255" s="26"/>
    </row>
    <row r="256">
      <c r="A256" s="35">
        <f>IFERROR(__xludf.DUMMYFUNCTION("""COMPUTED_VALUE"""),46114.32648109954)</f>
        <v>46114.32648</v>
      </c>
      <c r="B256" s="36" t="str">
        <f>IFERROR(__xludf.DUMMYFUNCTION("""COMPUTED_VALUE"""),"SCREEN")</f>
        <v>SCREEN</v>
      </c>
      <c r="C256" s="26" t="str">
        <f>IFERROR(__xludf.DUMMYFUNCTION("""COMPUTED_VALUE"""),"WESTERLY")</f>
        <v>WESTERLY</v>
      </c>
      <c r="D256" s="27"/>
      <c r="E256" s="27" t="str">
        <f>IFERROR(__xludf.DUMMYFUNCTION("""COMPUTED_VALUE"""),"4351")</f>
        <v>4351</v>
      </c>
      <c r="F256" s="36">
        <f>IFERROR(__xludf.DUMMYFUNCTION("""COMPUTED_VALUE"""),26.0)</f>
        <v>26</v>
      </c>
      <c r="G256" s="27" t="str">
        <f>IFERROR(__xludf.DUMMYFUNCTION("""COMPUTED_VALUE"""),"UNIT")</f>
        <v>UNIT</v>
      </c>
      <c r="H256" s="37"/>
      <c r="I256" s="36" t="str">
        <f>IFERROR(__xludf.DUMMYFUNCTION("""COMPUTED_VALUE"""),"C2B")</f>
        <v>C2B</v>
      </c>
      <c r="J256" s="30" t="str">
        <f>IFERROR(__xludf.DUMMYFUNCTION("""COMPUTED_VALUE"""),"ALSIDE")</f>
        <v>ALSIDE</v>
      </c>
      <c r="K256" s="26" t="str">
        <f>IFERROR(__xludf.DUMMYFUNCTION("""COMPUTED_VALUE"""),"WHITE, 21 5/8 X 33 3/4")</f>
        <v>WHITE, 21 5/8 X 33 3/4</v>
      </c>
      <c r="L256" s="30" t="str">
        <f>IFERROR(__xludf.DUMMYFUNCTION("""COMPUTED_VALUE"""),"IN STOCK")</f>
        <v>IN STOCK</v>
      </c>
      <c r="M256" s="26"/>
      <c r="N256" s="26" t="str">
        <f>IFERROR(__xludf.DUMMYFUNCTION("""COMPUTED_VALUE"""),"WESTERLY")</f>
        <v>WESTERLY</v>
      </c>
      <c r="O256" s="26" t="str">
        <f>IFERROR(__xludf.DUMMYFUNCTION("""COMPUTED_VALUE"""),"SCREEN|||WESTERLY")</f>
        <v>SCREEN|||WESTERLY</v>
      </c>
      <c r="P256" s="26"/>
      <c r="Q256" s="26"/>
      <c r="R256" s="26" t="str">
        <f>IFERROR(__xludf.DUMMYFUNCTION("""COMPUTED_VALUE"""),"C2B")</f>
        <v>C2B</v>
      </c>
      <c r="S256" s="26" t="str">
        <f>IFERROR(__xludf.DUMMYFUNCTION("""COMPUTED_VALUE"""),"ENTRY")</f>
        <v>ENTRY</v>
      </c>
      <c r="T256" s="26"/>
    </row>
    <row r="257">
      <c r="A257" s="35">
        <f>IFERROR(__xludf.DUMMYFUNCTION("""COMPUTED_VALUE"""),46114.31565040509)</f>
        <v>46114.31565</v>
      </c>
      <c r="B257" s="36" t="str">
        <f>IFERROR(__xludf.DUMMYFUNCTION("""COMPUTED_VALUE"""),"SCREEN")</f>
        <v>SCREEN</v>
      </c>
      <c r="C257" s="26" t="str">
        <f>IFERROR(__xludf.DUMMYFUNCTION("""COMPUTED_VALUE"""),"WESTERLY")</f>
        <v>WESTERLY</v>
      </c>
      <c r="D257" s="27"/>
      <c r="E257" s="27" t="str">
        <f>IFERROR(__xludf.DUMMYFUNCTION("""COMPUTED_VALUE"""),"4351")</f>
        <v>4351</v>
      </c>
      <c r="F257" s="36">
        <f>IFERROR(__xludf.DUMMYFUNCTION("""COMPUTED_VALUE"""),13.0)</f>
        <v>13</v>
      </c>
      <c r="G257" s="27" t="str">
        <f>IFERROR(__xludf.DUMMYFUNCTION("""COMPUTED_VALUE"""),"UNIT")</f>
        <v>UNIT</v>
      </c>
      <c r="H257" s="37"/>
      <c r="I257" s="36" t="str">
        <f>IFERROR(__xludf.DUMMYFUNCTION("""COMPUTED_VALUE"""),"C2B")</f>
        <v>C2B</v>
      </c>
      <c r="J257" s="30" t="str">
        <f>IFERROR(__xludf.DUMMYFUNCTION("""COMPUTED_VALUE"""),"ALSIDE")</f>
        <v>ALSIDE</v>
      </c>
      <c r="K257" s="26" t="str">
        <f>IFERROR(__xludf.DUMMYFUNCTION("""COMPUTED_VALUE"""),"WHITE, 21 5/8 X 33 3/4")</f>
        <v>WHITE, 21 5/8 X 33 3/4</v>
      </c>
      <c r="L257" s="30" t="str">
        <f>IFERROR(__xludf.DUMMYFUNCTION("""COMPUTED_VALUE"""),"IN STOCK")</f>
        <v>IN STOCK</v>
      </c>
      <c r="M257" s="26"/>
      <c r="N257" s="26" t="str">
        <f>IFERROR(__xludf.DUMMYFUNCTION("""COMPUTED_VALUE"""),"WESTERLY")</f>
        <v>WESTERLY</v>
      </c>
      <c r="O257" s="26" t="str">
        <f>IFERROR(__xludf.DUMMYFUNCTION("""COMPUTED_VALUE"""),"SCREEN|||WESTERLY")</f>
        <v>SCREEN|||WESTERLY</v>
      </c>
      <c r="P257" s="26"/>
      <c r="Q257" s="26"/>
      <c r="R257" s="26" t="str">
        <f>IFERROR(__xludf.DUMMYFUNCTION("""COMPUTED_VALUE"""),"C2B")</f>
        <v>C2B</v>
      </c>
      <c r="S257" s="26" t="str">
        <f>IFERROR(__xludf.DUMMYFUNCTION("""COMPUTED_VALUE"""),"ENTRY")</f>
        <v>ENTRY</v>
      </c>
      <c r="T257" s="26"/>
    </row>
    <row r="258">
      <c r="A258" s="35">
        <f>IFERROR(__xludf.DUMMYFUNCTION("""COMPUTED_VALUE"""),46114.30918758102)</f>
        <v>46114.30919</v>
      </c>
      <c r="B258" s="36" t="str">
        <f>IFERROR(__xludf.DUMMYFUNCTION("""COMPUTED_VALUE"""),"SCREEN")</f>
        <v>SCREEN</v>
      </c>
      <c r="C258" s="26" t="str">
        <f>IFERROR(__xludf.DUMMYFUNCTION("""COMPUTED_VALUE"""),"RIVER MEADOWS 3060 S")</f>
        <v>RIVER MEADOWS 3060 S</v>
      </c>
      <c r="D258" s="27"/>
      <c r="E258" s="27" t="str">
        <f>IFERROR(__xludf.DUMMYFUNCTION("""COMPUTED_VALUE"""),"4402")</f>
        <v>4402</v>
      </c>
      <c r="F258" s="36">
        <f>IFERROR(__xludf.DUMMYFUNCTION("""COMPUTED_VALUE"""),13.0)</f>
        <v>13</v>
      </c>
      <c r="G258" s="27" t="str">
        <f>IFERROR(__xludf.DUMMYFUNCTION("""COMPUTED_VALUE"""),"UNIT")</f>
        <v>UNIT</v>
      </c>
      <c r="H258" s="37"/>
      <c r="I258" s="36" t="str">
        <f>IFERROR(__xludf.DUMMYFUNCTION("""COMPUTED_VALUE"""),"C2B")</f>
        <v>C2B</v>
      </c>
      <c r="J258" s="30" t="str">
        <f>IFERROR(__xludf.DUMMYFUNCTION("""COMPUTED_VALUE"""),"ALSIDE")</f>
        <v>ALSIDE</v>
      </c>
      <c r="K258" s="26" t="str">
        <f>IFERROR(__xludf.DUMMYFUNCTION("""COMPUTED_VALUE"""),"WHITE, 33 3/8 X 33 15/16")</f>
        <v>WHITE, 33 3/8 X 33 15/16</v>
      </c>
      <c r="L258" s="30" t="str">
        <f>IFERROR(__xludf.DUMMYFUNCTION("""COMPUTED_VALUE"""),"IN STOCK")</f>
        <v>IN STOCK</v>
      </c>
      <c r="M258" s="26"/>
      <c r="N258" s="26" t="str">
        <f>IFERROR(__xludf.DUMMYFUNCTION("""COMPUTED_VALUE"""),"RIVER MEADOWS 3060 S")</f>
        <v>RIVER MEADOWS 3060 S</v>
      </c>
      <c r="O258" s="26" t="str">
        <f>IFERROR(__xludf.DUMMYFUNCTION("""COMPUTED_VALUE"""),"SCREEN|||RIVER MEADOWS 3060 S")</f>
        <v>SCREEN|||RIVER MEADOWS 3060 S</v>
      </c>
      <c r="P258" s="26"/>
      <c r="Q258" s="26"/>
      <c r="R258" s="26" t="str">
        <f>IFERROR(__xludf.DUMMYFUNCTION("""COMPUTED_VALUE"""),"C2B")</f>
        <v>C2B</v>
      </c>
      <c r="S258" s="26" t="str">
        <f>IFERROR(__xludf.DUMMYFUNCTION("""COMPUTED_VALUE"""),"ENTRY")</f>
        <v>ENTRY</v>
      </c>
      <c r="T258" s="26"/>
    </row>
    <row r="259">
      <c r="A259" s="35">
        <f>IFERROR(__xludf.DUMMYFUNCTION("""COMPUTED_VALUE"""),46114.30808258102)</f>
        <v>46114.30808</v>
      </c>
      <c r="B259" s="36" t="str">
        <f>IFERROR(__xludf.DUMMYFUNCTION("""COMPUTED_VALUE"""),"SCREEN")</f>
        <v>SCREEN</v>
      </c>
      <c r="C259" s="26" t="str">
        <f>IFERROR(__xludf.DUMMYFUNCTION("""COMPUTED_VALUE"""),"RIVER MEADOWS 3060 S")</f>
        <v>RIVER MEADOWS 3060 S</v>
      </c>
      <c r="D259" s="27"/>
      <c r="E259" s="27" t="str">
        <f>IFERROR(__xludf.DUMMYFUNCTION("""COMPUTED_VALUE"""),"4402")</f>
        <v>4402</v>
      </c>
      <c r="F259" s="36">
        <f>IFERROR(__xludf.DUMMYFUNCTION("""COMPUTED_VALUE"""),6.0)</f>
        <v>6</v>
      </c>
      <c r="G259" s="27" t="str">
        <f>IFERROR(__xludf.DUMMYFUNCTION("""COMPUTED_VALUE"""),"UNIT")</f>
        <v>UNIT</v>
      </c>
      <c r="H259" s="37"/>
      <c r="I259" s="36" t="str">
        <f>IFERROR(__xludf.DUMMYFUNCTION("""COMPUTED_VALUE"""),"C2B")</f>
        <v>C2B</v>
      </c>
      <c r="J259" s="30" t="str">
        <f>IFERROR(__xludf.DUMMYFUNCTION("""COMPUTED_VALUE"""),"ALSIDE")</f>
        <v>ALSIDE</v>
      </c>
      <c r="K259" s="26" t="str">
        <f>IFERROR(__xludf.DUMMYFUNCTION("""COMPUTED_VALUE"""),"WHITE, 33 3/8 X 33 15/16")</f>
        <v>WHITE, 33 3/8 X 33 15/16</v>
      </c>
      <c r="L259" s="30" t="str">
        <f>IFERROR(__xludf.DUMMYFUNCTION("""COMPUTED_VALUE"""),"IN STOCK")</f>
        <v>IN STOCK</v>
      </c>
      <c r="M259" s="26"/>
      <c r="N259" s="26" t="str">
        <f>IFERROR(__xludf.DUMMYFUNCTION("""COMPUTED_VALUE"""),"RIVER MEADOWS 3060 S")</f>
        <v>RIVER MEADOWS 3060 S</v>
      </c>
      <c r="O259" s="26" t="str">
        <f>IFERROR(__xludf.DUMMYFUNCTION("""COMPUTED_VALUE"""),"SCREEN|||RIVER MEADOWS 3060 S")</f>
        <v>SCREEN|||RIVER MEADOWS 3060 S</v>
      </c>
      <c r="P259" s="26"/>
      <c r="Q259" s="26"/>
      <c r="R259" s="26" t="str">
        <f>IFERROR(__xludf.DUMMYFUNCTION("""COMPUTED_VALUE"""),"C2B")</f>
        <v>C2B</v>
      </c>
      <c r="S259" s="26" t="str">
        <f>IFERROR(__xludf.DUMMYFUNCTION("""COMPUTED_VALUE"""),"ENTRY")</f>
        <v>ENTRY</v>
      </c>
      <c r="T259" s="26"/>
    </row>
    <row r="260">
      <c r="A260" s="35">
        <f>IFERROR(__xludf.DUMMYFUNCTION("""COMPUTED_VALUE"""),46114.2999202662)</f>
        <v>46114.29992</v>
      </c>
      <c r="B260" s="36" t="str">
        <f>IFERROR(__xludf.DUMMYFUNCTION("""COMPUTED_VALUE"""),"SCREEN")</f>
        <v>SCREEN</v>
      </c>
      <c r="C260" s="26" t="str">
        <f>IFERROR(__xludf.DUMMYFUNCTION("""COMPUTED_VALUE"""),"REDD HANGER")</f>
        <v>REDD HANGER</v>
      </c>
      <c r="D260" s="27"/>
      <c r="E260" s="27"/>
      <c r="F260" s="36">
        <f>IFERROR(__xludf.DUMMYFUNCTION("""COMPUTED_VALUE"""),3.0)</f>
        <v>3</v>
      </c>
      <c r="G260" s="27" t="str">
        <f>IFERROR(__xludf.DUMMYFUNCTION("""COMPUTED_VALUE"""),"UNIT")</f>
        <v>UNIT</v>
      </c>
      <c r="H260" s="37"/>
      <c r="I260" s="36" t="str">
        <f>IFERROR(__xludf.DUMMYFUNCTION("""COMPUTED_VALUE"""),"C2B")</f>
        <v>C2B</v>
      </c>
      <c r="J260" s="30"/>
      <c r="K260" s="26"/>
      <c r="L260" s="30" t="str">
        <f>IFERROR(__xludf.DUMMYFUNCTION("""COMPUTED_VALUE"""),"IN STOCK")</f>
        <v>IN STOCK</v>
      </c>
      <c r="M260" s="26"/>
      <c r="N260" s="26" t="str">
        <f>IFERROR(__xludf.DUMMYFUNCTION("""COMPUTED_VALUE"""),"REDD HANGER")</f>
        <v>REDD HANGER</v>
      </c>
      <c r="O260" s="26" t="str">
        <f>IFERROR(__xludf.DUMMYFUNCTION("""COMPUTED_VALUE"""),"SCREEN|||REDD HANGER")</f>
        <v>SCREEN|||REDD HANGER</v>
      </c>
      <c r="P260" s="26"/>
      <c r="Q260" s="26"/>
      <c r="R260" s="26" t="str">
        <f>IFERROR(__xludf.DUMMYFUNCTION("""COMPUTED_VALUE"""),"C2B")</f>
        <v>C2B</v>
      </c>
      <c r="S260" s="26" t="str">
        <f>IFERROR(__xludf.DUMMYFUNCTION("""COMPUTED_VALUE"""),"ENTRY")</f>
        <v>ENTRY</v>
      </c>
      <c r="T260" s="26"/>
    </row>
    <row r="261">
      <c r="A261" s="35">
        <f>IFERROR(__xludf.DUMMYFUNCTION("""COMPUTED_VALUE"""),46113.616434965275)</f>
        <v>46113.61643</v>
      </c>
      <c r="B261" s="36" t="str">
        <f>IFERROR(__xludf.DUMMYFUNCTION("""COMPUTED_VALUE"""),"SCREEN")</f>
        <v>SCREEN</v>
      </c>
      <c r="C261" s="26" t="str">
        <f>IFERROR(__xludf.DUMMYFUNCTION("""COMPUTED_VALUE"""),"RIVER MEADOWS 3060 S ")</f>
        <v>RIVER MEADOWS 3060 S </v>
      </c>
      <c r="D261" s="27"/>
      <c r="E261" s="27" t="str">
        <f>IFERROR(__xludf.DUMMYFUNCTION("""COMPUTED_VALUE"""),"4402")</f>
        <v>4402</v>
      </c>
      <c r="F261" s="36">
        <f>IFERROR(__xludf.DUMMYFUNCTION("""COMPUTED_VALUE"""),5.0)</f>
        <v>5</v>
      </c>
      <c r="G261" s="27" t="str">
        <f>IFERROR(__xludf.DUMMYFUNCTION("""COMPUTED_VALUE"""),"UNIT")</f>
        <v>UNIT</v>
      </c>
      <c r="H261" s="37"/>
      <c r="I261" s="36" t="str">
        <f>IFERROR(__xludf.DUMMYFUNCTION("""COMPUTED_VALUE"""),"C2B")</f>
        <v>C2B</v>
      </c>
      <c r="J261" s="30" t="str">
        <f>IFERROR(__xludf.DUMMYFUNCTION("""COMPUTED_VALUE"""),"ALSIDE")</f>
        <v>ALSIDE</v>
      </c>
      <c r="K261" s="26" t="str">
        <f>IFERROR(__xludf.DUMMYFUNCTION("""COMPUTED_VALUE"""),"WHITE, 33 3/8 X 33 15/16")</f>
        <v>WHITE, 33 3/8 X 33 15/16</v>
      </c>
      <c r="L261" s="30" t="str">
        <f>IFERROR(__xludf.DUMMYFUNCTION("""COMPUTED_VALUE"""),"IN STOCK")</f>
        <v>IN STOCK</v>
      </c>
      <c r="M261" s="26"/>
      <c r="N261" s="26" t="str">
        <f>IFERROR(__xludf.DUMMYFUNCTION("""COMPUTED_VALUE"""),"RIVER MEADOWS 3060 S ")</f>
        <v>RIVER MEADOWS 3060 S </v>
      </c>
      <c r="O261" s="26" t="str">
        <f>IFERROR(__xludf.DUMMYFUNCTION("""COMPUTED_VALUE"""),"SCREEN|||RIVER MEADOWS 3060 S")</f>
        <v>SCREEN|||RIVER MEADOWS 3060 S</v>
      </c>
      <c r="P261" s="26"/>
      <c r="Q261" s="26"/>
      <c r="R261" s="26" t="str">
        <f>IFERROR(__xludf.DUMMYFUNCTION("""COMPUTED_VALUE"""),"C2B")</f>
        <v>C2B</v>
      </c>
      <c r="S261" s="26" t="str">
        <f>IFERROR(__xludf.DUMMYFUNCTION("""COMPUTED_VALUE"""),"ENTRY")</f>
        <v>ENTRY</v>
      </c>
      <c r="T261" s="26"/>
    </row>
    <row r="262">
      <c r="A262" s="35">
        <f>IFERROR(__xludf.DUMMYFUNCTION("""COMPUTED_VALUE"""),46113.599836608795)</f>
        <v>46113.59984</v>
      </c>
      <c r="B262" s="36" t="str">
        <f>IFERROR(__xludf.DUMMYFUNCTION("""COMPUTED_VALUE"""),"SCREEN")</f>
        <v>SCREEN</v>
      </c>
      <c r="C262" s="26" t="str">
        <f>IFERROR(__xludf.DUMMYFUNCTION("""COMPUTED_VALUE"""),"EDAN")</f>
        <v>EDAN</v>
      </c>
      <c r="D262" s="27"/>
      <c r="E262" s="27" t="str">
        <f>IFERROR(__xludf.DUMMYFUNCTION("""COMPUTED_VALUE"""),"J712Z")</f>
        <v>J712Z</v>
      </c>
      <c r="F262" s="36">
        <f>IFERROR(__xludf.DUMMYFUNCTION("""COMPUTED_VALUE"""),2.0)</f>
        <v>2</v>
      </c>
      <c r="G262" s="27" t="str">
        <f>IFERROR(__xludf.DUMMYFUNCTION("""COMPUTED_VALUE"""),"UNIT")</f>
        <v>UNIT</v>
      </c>
      <c r="H262" s="37"/>
      <c r="I262" s="36" t="str">
        <f>IFERROR(__xludf.DUMMYFUNCTION("""COMPUTED_VALUE"""),"C3B")</f>
        <v>C3B</v>
      </c>
      <c r="J262" s="30" t="str">
        <f>IFERROR(__xludf.DUMMYFUNCTION("""COMPUTED_VALUE"""),"ALSIDE")</f>
        <v>ALSIDE</v>
      </c>
      <c r="K262" s="26" t="str">
        <f>IFERROR(__xludf.DUMMYFUNCTION("""COMPUTED_VALUE"""),"WHITE, 34 9/16 X 37 1/16")</f>
        <v>WHITE, 34 9/16 X 37 1/16</v>
      </c>
      <c r="L262" s="30" t="str">
        <f>IFERROR(__xludf.DUMMYFUNCTION("""COMPUTED_VALUE"""),"IN STOCK")</f>
        <v>IN STOCK</v>
      </c>
      <c r="M262" s="26"/>
      <c r="N262" s="26" t="str">
        <f>IFERROR(__xludf.DUMMYFUNCTION("""COMPUTED_VALUE"""),"EDAN")</f>
        <v>EDAN</v>
      </c>
      <c r="O262" s="26" t="str">
        <f>IFERROR(__xludf.DUMMYFUNCTION("""COMPUTED_VALUE"""),"SCREEN|||EDAN")</f>
        <v>SCREEN|||EDAN</v>
      </c>
      <c r="P262" s="26"/>
      <c r="Q262" s="26"/>
      <c r="R262" s="26" t="str">
        <f>IFERROR(__xludf.DUMMYFUNCTION("""COMPUTED_VALUE"""),"C3B")</f>
        <v>C3B</v>
      </c>
      <c r="S262" s="26" t="str">
        <f>IFERROR(__xludf.DUMMYFUNCTION("""COMPUTED_VALUE"""),"ENTRY")</f>
        <v>ENTRY</v>
      </c>
      <c r="T262" s="26"/>
    </row>
    <row r="263">
      <c r="A263" s="35">
        <f>IFERROR(__xludf.DUMMYFUNCTION("""COMPUTED_VALUE"""),46113.59686707176)</f>
        <v>46113.59687</v>
      </c>
      <c r="B263" s="36" t="str">
        <f>IFERROR(__xludf.DUMMYFUNCTION("""COMPUTED_VALUE"""),"SCREEN")</f>
        <v>SCREEN</v>
      </c>
      <c r="C263" s="26" t="str">
        <f>IFERROR(__xludf.DUMMYFUNCTION("""COMPUTED_VALUE"""),"TIM MOLINE SIL")</f>
        <v>TIM MOLINE SIL</v>
      </c>
      <c r="D263" s="27" t="str">
        <f>IFERROR(__xludf.DUMMYFUNCTION("""COMPUTED_VALUE"""),"MISC")</f>
        <v>MISC</v>
      </c>
      <c r="E263" s="27" t="str">
        <f>IFERROR(__xludf.DUMMYFUNCTION("""COMPUTED_VALUE"""),"5233")</f>
        <v>5233</v>
      </c>
      <c r="F263" s="36">
        <f>IFERROR(__xludf.DUMMYFUNCTION("""COMPUTED_VALUE"""),1.0)</f>
        <v>1</v>
      </c>
      <c r="G263" s="27" t="str">
        <f>IFERROR(__xludf.DUMMYFUNCTION("""COMPUTED_VALUE"""),"UNIT")</f>
        <v>UNIT</v>
      </c>
      <c r="H263" s="37"/>
      <c r="I263" s="36" t="str">
        <f>IFERROR(__xludf.DUMMYFUNCTION("""COMPUTED_VALUE"""),"C3B")</f>
        <v>C3B</v>
      </c>
      <c r="J263" s="30" t="str">
        <f>IFERROR(__xludf.DUMMYFUNCTION("""COMPUTED_VALUE"""),"ALSIDE")</f>
        <v>ALSIDE</v>
      </c>
      <c r="K263" s="26" t="str">
        <f>IFERROR(__xludf.DUMMYFUNCTION("""COMPUTED_VALUE"""),"WHITE, 13 7/16 X 37 7/8")</f>
        <v>WHITE, 13 7/16 X 37 7/8</v>
      </c>
      <c r="L263" s="30" t="str">
        <f>IFERROR(__xludf.DUMMYFUNCTION("""COMPUTED_VALUE"""),"IN STOCK")</f>
        <v>IN STOCK</v>
      </c>
      <c r="M263" s="26"/>
      <c r="N263" s="26" t="str">
        <f>IFERROR(__xludf.DUMMYFUNCTION("""COMPUTED_VALUE"""),"TIM MOLINE SIL")</f>
        <v>TIM MOLINE SIL</v>
      </c>
      <c r="O263" s="26" t="str">
        <f>IFERROR(__xludf.DUMMYFUNCTION("""COMPUTED_VALUE"""),"SCREEN|||TIM MOLINE SIL")</f>
        <v>SCREEN|||TIM MOLINE SIL</v>
      </c>
      <c r="P263" s="26"/>
      <c r="Q263" s="26"/>
      <c r="R263" s="26" t="str">
        <f>IFERROR(__xludf.DUMMYFUNCTION("""COMPUTED_VALUE"""),"C3B")</f>
        <v>C3B</v>
      </c>
      <c r="S263" s="26" t="str">
        <f>IFERROR(__xludf.DUMMYFUNCTION("""COMPUTED_VALUE"""),"ENTRY")</f>
        <v>ENTRY</v>
      </c>
      <c r="T263" s="26"/>
    </row>
    <row r="264">
      <c r="A264" s="35">
        <f>IFERROR(__xludf.DUMMYFUNCTION("""COMPUTED_VALUE"""),46113.56604958333)</f>
        <v>46113.56605</v>
      </c>
      <c r="B264" s="36" t="str">
        <f>IFERROR(__xludf.DUMMYFUNCTION("""COMPUTED_VALUE"""),"SCREEN")</f>
        <v>SCREEN</v>
      </c>
      <c r="C264" s="26" t="str">
        <f>IFERROR(__xludf.DUMMYFUNCTION("""COMPUTED_VALUE"""),"MARVEL ")</f>
        <v>MARVEL </v>
      </c>
      <c r="D264" s="27" t="str">
        <f>IFERROR(__xludf.DUMMYFUNCTION("""COMPUTED_VALUE"""),"MISC")</f>
        <v>MISC</v>
      </c>
      <c r="E264" s="27" t="str">
        <f>IFERROR(__xludf.DUMMYFUNCTION("""COMPUTED_VALUE"""),"4719")</f>
        <v>4719</v>
      </c>
      <c r="F264" s="36">
        <f>IFERROR(__xludf.DUMMYFUNCTION("""COMPUTED_VALUE"""),1.0)</f>
        <v>1</v>
      </c>
      <c r="G264" s="27" t="str">
        <f>IFERROR(__xludf.DUMMYFUNCTION("""COMPUTED_VALUE"""),"UNIT")</f>
        <v>UNIT</v>
      </c>
      <c r="H264" s="37"/>
      <c r="I264" s="36" t="str">
        <f>IFERROR(__xludf.DUMMYFUNCTION("""COMPUTED_VALUE"""),"C3B")</f>
        <v>C3B</v>
      </c>
      <c r="J264" s="30" t="str">
        <f>IFERROR(__xludf.DUMMYFUNCTION("""COMPUTED_VALUE"""),"ALSIDE")</f>
        <v>ALSIDE</v>
      </c>
      <c r="K264" s="26" t="str">
        <f>IFERROR(__xludf.DUMMYFUNCTION("""COMPUTED_VALUE"""),"WHITE, 21 15/16 X 33 3/8")</f>
        <v>WHITE, 21 15/16 X 33 3/8</v>
      </c>
      <c r="L264" s="30" t="str">
        <f>IFERROR(__xludf.DUMMYFUNCTION("""COMPUTED_VALUE"""),"IN STOCK")</f>
        <v>IN STOCK</v>
      </c>
      <c r="M264" s="26"/>
      <c r="N264" s="26" t="str">
        <f>IFERROR(__xludf.DUMMYFUNCTION("""COMPUTED_VALUE"""),"MARVEL ")</f>
        <v>MARVEL </v>
      </c>
      <c r="O264" s="26" t="str">
        <f>IFERROR(__xludf.DUMMYFUNCTION("""COMPUTED_VALUE"""),"SCREEN|||MARVEL")</f>
        <v>SCREEN|||MARVEL</v>
      </c>
      <c r="P264" s="26"/>
      <c r="Q264" s="26"/>
      <c r="R264" s="26" t="str">
        <f>IFERROR(__xludf.DUMMYFUNCTION("""COMPUTED_VALUE"""),"C3B")</f>
        <v>C3B</v>
      </c>
      <c r="S264" s="26" t="str">
        <f>IFERROR(__xludf.DUMMYFUNCTION("""COMPUTED_VALUE"""),"ENTRY")</f>
        <v>ENTRY</v>
      </c>
      <c r="T264" s="26"/>
    </row>
    <row r="265">
      <c r="A265" s="35">
        <f>IFERROR(__xludf.DUMMYFUNCTION("""COMPUTED_VALUE"""),46113.563670312506)</f>
        <v>46113.56367</v>
      </c>
      <c r="B265" s="36" t="str">
        <f>IFERROR(__xludf.DUMMYFUNCTION("""COMPUTED_VALUE"""),"SCREEN")</f>
        <v>SCREEN</v>
      </c>
      <c r="C265" s="26" t="str">
        <f>IFERROR(__xludf.DUMMYFUNCTION("""COMPUTED_VALUE"""),"MADIGAN RES")</f>
        <v>MADIGAN RES</v>
      </c>
      <c r="D265" s="27"/>
      <c r="E265" s="27" t="str">
        <f>IFERROR(__xludf.DUMMYFUNCTION("""COMPUTED_VALUE"""),"P596")</f>
        <v>P596</v>
      </c>
      <c r="F265" s="36">
        <f>IFERROR(__xludf.DUMMYFUNCTION("""COMPUTED_VALUE"""),1.0)</f>
        <v>1</v>
      </c>
      <c r="G265" s="27" t="str">
        <f>IFERROR(__xludf.DUMMYFUNCTION("""COMPUTED_VALUE"""),"UNIT")</f>
        <v>UNIT</v>
      </c>
      <c r="H265" s="37"/>
      <c r="I265" s="36" t="str">
        <f>IFERROR(__xludf.DUMMYFUNCTION("""COMPUTED_VALUE"""),"C3B")</f>
        <v>C3B</v>
      </c>
      <c r="J265" s="30" t="str">
        <f>IFERROR(__xludf.DUMMYFUNCTION("""COMPUTED_VALUE"""),"ALSIDE")</f>
        <v>ALSIDE</v>
      </c>
      <c r="K265" s="26" t="str">
        <f>IFERROR(__xludf.DUMMYFUNCTION("""COMPUTED_VALUE"""),"WHITE, 33 1/8 X 27 3/4")</f>
        <v>WHITE, 33 1/8 X 27 3/4</v>
      </c>
      <c r="L265" s="30" t="str">
        <f>IFERROR(__xludf.DUMMYFUNCTION("""COMPUTED_VALUE"""),"IN STOCK")</f>
        <v>IN STOCK</v>
      </c>
      <c r="M265" s="26"/>
      <c r="N265" s="26" t="str">
        <f>IFERROR(__xludf.DUMMYFUNCTION("""COMPUTED_VALUE"""),"MADIGAN RES")</f>
        <v>MADIGAN RES</v>
      </c>
      <c r="O265" s="26" t="str">
        <f>IFERROR(__xludf.DUMMYFUNCTION("""COMPUTED_VALUE"""),"SCREEN|||MADIGAN RES")</f>
        <v>SCREEN|||MADIGAN RES</v>
      </c>
      <c r="P265" s="26"/>
      <c r="Q265" s="26"/>
      <c r="R265" s="26" t="str">
        <f>IFERROR(__xludf.DUMMYFUNCTION("""COMPUTED_VALUE"""),"C3B")</f>
        <v>C3B</v>
      </c>
      <c r="S265" s="26" t="str">
        <f>IFERROR(__xludf.DUMMYFUNCTION("""COMPUTED_VALUE"""),"ENTRY")</f>
        <v>ENTRY</v>
      </c>
      <c r="T265" s="26"/>
    </row>
    <row r="266">
      <c r="A266" s="35">
        <f>IFERROR(__xludf.DUMMYFUNCTION("""COMPUTED_VALUE"""),46113.56133109953)</f>
        <v>46113.56133</v>
      </c>
      <c r="B266" s="36" t="str">
        <f>IFERROR(__xludf.DUMMYFUNCTION("""COMPUTED_VALUE"""),"SCREEN")</f>
        <v>SCREEN</v>
      </c>
      <c r="C266" s="26" t="str">
        <f>IFERROR(__xludf.DUMMYFUNCTION("""COMPUTED_VALUE"""),"CANYON VIEW CROSSING")</f>
        <v>CANYON VIEW CROSSING</v>
      </c>
      <c r="D266" s="27"/>
      <c r="E266" s="27" t="str">
        <f>IFERROR(__xludf.DUMMYFUNCTION("""COMPUTED_VALUE"""),"4478")</f>
        <v>4478</v>
      </c>
      <c r="F266" s="36">
        <f>IFERROR(__xludf.DUMMYFUNCTION("""COMPUTED_VALUE"""),1.0)</f>
        <v>1</v>
      </c>
      <c r="G266" s="27" t="str">
        <f>IFERROR(__xludf.DUMMYFUNCTION("""COMPUTED_VALUE"""),"UNIT")</f>
        <v>UNIT</v>
      </c>
      <c r="H266" s="37"/>
      <c r="I266" s="36" t="str">
        <f>IFERROR(__xludf.DUMMYFUNCTION("""COMPUTED_VALUE"""),"C3A")</f>
        <v>C3A</v>
      </c>
      <c r="J266" s="30" t="str">
        <f>IFERROR(__xludf.DUMMYFUNCTION("""COMPUTED_VALUE"""),"ALSIDE")</f>
        <v>ALSIDE</v>
      </c>
      <c r="K266" s="26" t="str">
        <f>IFERROR(__xludf.DUMMYFUNCTION("""COMPUTED_VALUE"""),"WHITE, 15 15/16 X 33 3/8")</f>
        <v>WHITE, 15 15/16 X 33 3/8</v>
      </c>
      <c r="L266" s="30" t="str">
        <f>IFERROR(__xludf.DUMMYFUNCTION("""COMPUTED_VALUE"""),"IN STOCK")</f>
        <v>IN STOCK</v>
      </c>
      <c r="M266" s="26"/>
      <c r="N266" s="26" t="str">
        <f>IFERROR(__xludf.DUMMYFUNCTION("""COMPUTED_VALUE"""),"CANYON VIEW CROSSING")</f>
        <v>CANYON VIEW CROSSING</v>
      </c>
      <c r="O266" s="26" t="str">
        <f>IFERROR(__xludf.DUMMYFUNCTION("""COMPUTED_VALUE"""),"SCREEN|||CANYON VIEW CROSSING")</f>
        <v>SCREEN|||CANYON VIEW CROSSING</v>
      </c>
      <c r="P266" s="26"/>
      <c r="Q266" s="26"/>
      <c r="R266" s="26" t="str">
        <f>IFERROR(__xludf.DUMMYFUNCTION("""COMPUTED_VALUE"""),"C3B")</f>
        <v>C3B</v>
      </c>
      <c r="S266" s="26" t="str">
        <f>IFERROR(__xludf.DUMMYFUNCTION("""COMPUTED_VALUE"""),"ENTRY")</f>
        <v>ENTRY</v>
      </c>
      <c r="T266" s="26"/>
    </row>
    <row r="267">
      <c r="A267" s="35">
        <f>IFERROR(__xludf.DUMMYFUNCTION("""COMPUTED_VALUE"""),46113.54241248843)</f>
        <v>46113.54241</v>
      </c>
      <c r="B267" s="36" t="str">
        <f>IFERROR(__xludf.DUMMYFUNCTION("""COMPUTED_VALUE"""),"SCREEN")</f>
        <v>SCREEN</v>
      </c>
      <c r="C267" s="26" t="str">
        <f>IFERROR(__xludf.DUMMYFUNCTION("""COMPUTED_VALUE"""),"CLOUDVEIL F")</f>
        <v>CLOUDVEIL F</v>
      </c>
      <c r="D267" s="27"/>
      <c r="E267" s="27" t="str">
        <f>IFERROR(__xludf.DUMMYFUNCTION("""COMPUTED_VALUE"""),"2951A")</f>
        <v>2951A</v>
      </c>
      <c r="F267" s="36">
        <f>IFERROR(__xludf.DUMMYFUNCTION("""COMPUTED_VALUE"""),13.0)</f>
        <v>13</v>
      </c>
      <c r="G267" s="27" t="str">
        <f>IFERROR(__xludf.DUMMYFUNCTION("""COMPUTED_VALUE"""),"UNIT")</f>
        <v>UNIT</v>
      </c>
      <c r="H267" s="37"/>
      <c r="I267" s="36" t="str">
        <f>IFERROR(__xludf.DUMMYFUNCTION("""COMPUTED_VALUE"""),"A1B")</f>
        <v>A1B</v>
      </c>
      <c r="J267" s="30" t="str">
        <f>IFERROR(__xludf.DUMMYFUNCTION("""COMPUTED_VALUE"""),"ALSIDE")</f>
        <v>ALSIDE</v>
      </c>
      <c r="K267" s="26" t="str">
        <f>IFERROR(__xludf.DUMMYFUNCTION("""COMPUTED_VALUE"""),"WHITE, 25 1/16 X 55 1/16")</f>
        <v>WHITE, 25 1/16 X 55 1/16</v>
      </c>
      <c r="L267" s="30" t="str">
        <f>IFERROR(__xludf.DUMMYFUNCTION("""COMPUTED_VALUE"""),"IN STOCK")</f>
        <v>IN STOCK</v>
      </c>
      <c r="M267" s="26"/>
      <c r="N267" s="26" t="str">
        <f>IFERROR(__xludf.DUMMYFUNCTION("""COMPUTED_VALUE"""),"CLOUDVEIL F")</f>
        <v>CLOUDVEIL F</v>
      </c>
      <c r="O267" s="26" t="str">
        <f>IFERROR(__xludf.DUMMYFUNCTION("""COMPUTED_VALUE"""),"SCREEN|||CLOUDVEIL F")</f>
        <v>SCREEN|||CLOUDVEIL F</v>
      </c>
      <c r="P267" s="26"/>
      <c r="Q267" s="26"/>
      <c r="R267" s="26" t="str">
        <f>IFERROR(__xludf.DUMMYFUNCTION("""COMPUTED_VALUE"""),"A1B")</f>
        <v>A1B</v>
      </c>
      <c r="S267" s="26" t="str">
        <f>IFERROR(__xludf.DUMMYFUNCTION("""COMPUTED_VALUE"""),"ENTRY")</f>
        <v>ENTRY</v>
      </c>
      <c r="T267" s="26"/>
    </row>
    <row r="268">
      <c r="A268" s="35">
        <f>IFERROR(__xludf.DUMMYFUNCTION("""COMPUTED_VALUE"""),46113.54167434028)</f>
        <v>46113.54167</v>
      </c>
      <c r="B268" s="36" t="str">
        <f>IFERROR(__xludf.DUMMYFUNCTION("""COMPUTED_VALUE"""),"SCREEN")</f>
        <v>SCREEN</v>
      </c>
      <c r="C268" s="26" t="str">
        <f>IFERROR(__xludf.DUMMYFUNCTION("""COMPUTED_VALUE"""),"CLOUDVEIL C")</f>
        <v>CLOUDVEIL C</v>
      </c>
      <c r="D268" s="27"/>
      <c r="E268" s="27" t="str">
        <f>IFERROR(__xludf.DUMMYFUNCTION("""COMPUTED_VALUE"""),"1628A")</f>
        <v>1628A</v>
      </c>
      <c r="F268" s="36">
        <f>IFERROR(__xludf.DUMMYFUNCTION("""COMPUTED_VALUE"""),1.0)</f>
        <v>1</v>
      </c>
      <c r="G268" s="27" t="str">
        <f>IFERROR(__xludf.DUMMYFUNCTION("""COMPUTED_VALUE"""),"UNIT")</f>
        <v>UNIT</v>
      </c>
      <c r="H268" s="37"/>
      <c r="I268" s="36" t="str">
        <f>IFERROR(__xludf.DUMMYFUNCTION("""COMPUTED_VALUE"""),"A1B")</f>
        <v>A1B</v>
      </c>
      <c r="J268" s="30" t="str">
        <f>IFERROR(__xludf.DUMMYFUNCTION("""COMPUTED_VALUE"""),"ALSIDE")</f>
        <v>ALSIDE</v>
      </c>
      <c r="K268" s="26" t="str">
        <f>IFERROR(__xludf.DUMMYFUNCTION("""COMPUTED_VALUE"""),"WHITE, 25 1/16 X 55 1/16")</f>
        <v>WHITE, 25 1/16 X 55 1/16</v>
      </c>
      <c r="L268" s="30" t="str">
        <f>IFERROR(__xludf.DUMMYFUNCTION("""COMPUTED_VALUE"""),"IN STOCK")</f>
        <v>IN STOCK</v>
      </c>
      <c r="M268" s="26"/>
      <c r="N268" s="26" t="str">
        <f>IFERROR(__xludf.DUMMYFUNCTION("""COMPUTED_VALUE"""),"CLOUDVEIL C")</f>
        <v>CLOUDVEIL C</v>
      </c>
      <c r="O268" s="26" t="str">
        <f>IFERROR(__xludf.DUMMYFUNCTION("""COMPUTED_VALUE"""),"SCREEN|||CLOUDVEIL C")</f>
        <v>SCREEN|||CLOUDVEIL C</v>
      </c>
      <c r="P268" s="26"/>
      <c r="Q268" s="26"/>
      <c r="R268" s="26" t="str">
        <f>IFERROR(__xludf.DUMMYFUNCTION("""COMPUTED_VALUE"""),"A1B")</f>
        <v>A1B</v>
      </c>
      <c r="S268" s="26" t="str">
        <f>IFERROR(__xludf.DUMMYFUNCTION("""COMPUTED_VALUE"""),"ENTRY")</f>
        <v>ENTRY</v>
      </c>
      <c r="T268" s="26"/>
    </row>
    <row r="269">
      <c r="A269" s="35">
        <f>IFERROR(__xludf.DUMMYFUNCTION("""COMPUTED_VALUE"""),46113.53489614584)</f>
        <v>46113.5349</v>
      </c>
      <c r="B269" s="36" t="str">
        <f>IFERROR(__xludf.DUMMYFUNCTION("""COMPUTED_VALUE"""),"SCREEN")</f>
        <v>SCREEN</v>
      </c>
      <c r="C269" s="26" t="str">
        <f>IFERROR(__xludf.DUMMYFUNCTION("""COMPUTED_VALUE"""),"HF LOT 145")</f>
        <v>HF LOT 145</v>
      </c>
      <c r="D269" s="27" t="str">
        <f>IFERROR(__xludf.DUMMYFUNCTION("""COMPUTED_VALUE"""),"GOO")</f>
        <v>GOO</v>
      </c>
      <c r="E269" s="27" t="str">
        <f>IFERROR(__xludf.DUMMYFUNCTION("""COMPUTED_VALUE"""),"B962Z")</f>
        <v>B962Z</v>
      </c>
      <c r="F269" s="36">
        <f>IFERROR(__xludf.DUMMYFUNCTION("""COMPUTED_VALUE"""),1.0)</f>
        <v>1</v>
      </c>
      <c r="G269" s="27" t="str">
        <f>IFERROR(__xludf.DUMMYFUNCTION("""COMPUTED_VALUE"""),"UNIT")</f>
        <v>UNIT</v>
      </c>
      <c r="H269" s="37"/>
      <c r="I269" s="36" t="str">
        <f>IFERROR(__xludf.DUMMYFUNCTION("""COMPUTED_VALUE"""),"A1B")</f>
        <v>A1B</v>
      </c>
      <c r="J269" s="30" t="str">
        <f>IFERROR(__xludf.DUMMYFUNCTION("""COMPUTED_VALUE"""),"ALSIDE")</f>
        <v>ALSIDE</v>
      </c>
      <c r="K269" s="26" t="str">
        <f>IFERROR(__xludf.DUMMYFUNCTION("""COMPUTED_VALUE"""),"WHITE, 27 5/8 X 44 3/4")</f>
        <v>WHITE, 27 5/8 X 44 3/4</v>
      </c>
      <c r="L269" s="30" t="str">
        <f>IFERROR(__xludf.DUMMYFUNCTION("""COMPUTED_VALUE"""),"IN STOCK")</f>
        <v>IN STOCK</v>
      </c>
      <c r="M269" s="26"/>
      <c r="N269" s="26" t="str">
        <f>IFERROR(__xludf.DUMMYFUNCTION("""COMPUTED_VALUE"""),"HF LOT 145")</f>
        <v>HF LOT 145</v>
      </c>
      <c r="O269" s="26" t="str">
        <f>IFERROR(__xludf.DUMMYFUNCTION("""COMPUTED_VALUE"""),"SCREEN|||HF LOT 145")</f>
        <v>SCREEN|||HF LOT 145</v>
      </c>
      <c r="P269" s="26"/>
      <c r="Q269" s="26"/>
      <c r="R269" s="26" t="str">
        <f>IFERROR(__xludf.DUMMYFUNCTION("""COMPUTED_VALUE"""),"A1B")</f>
        <v>A1B</v>
      </c>
      <c r="S269" s="26" t="str">
        <f>IFERROR(__xludf.DUMMYFUNCTION("""COMPUTED_VALUE"""),"ENTRY")</f>
        <v>ENTRY</v>
      </c>
      <c r="T269" s="26"/>
    </row>
    <row r="270">
      <c r="A270" s="35">
        <f>IFERROR(__xludf.DUMMYFUNCTION("""COMPUTED_VALUE"""),46113.52781450232)</f>
        <v>46113.52781</v>
      </c>
      <c r="B270" s="36" t="str">
        <f>IFERROR(__xludf.DUMMYFUNCTION("""COMPUTED_VALUE"""),"SCREEN")</f>
        <v>SCREEN</v>
      </c>
      <c r="C270" s="26" t="str">
        <f>IFERROR(__xludf.DUMMYFUNCTION("""COMPUTED_VALUE"""),"HF LOT 145")</f>
        <v>HF LOT 145</v>
      </c>
      <c r="D270" s="27" t="str">
        <f>IFERROR(__xludf.DUMMYFUNCTION("""COMPUTED_VALUE"""),"GOO")</f>
        <v>GOO</v>
      </c>
      <c r="E270" s="27" t="str">
        <f>IFERROR(__xludf.DUMMYFUNCTION("""COMPUTED_VALUE"""),"D583Z")</f>
        <v>D583Z</v>
      </c>
      <c r="F270" s="36">
        <f>IFERROR(__xludf.DUMMYFUNCTION("""COMPUTED_VALUE"""),1.0)</f>
        <v>1</v>
      </c>
      <c r="G270" s="27" t="str">
        <f>IFERROR(__xludf.DUMMYFUNCTION("""COMPUTED_VALUE"""),"UNIT")</f>
        <v>UNIT</v>
      </c>
      <c r="H270" s="37"/>
      <c r="I270" s="36" t="str">
        <f>IFERROR(__xludf.DUMMYFUNCTION("""COMPUTED_VALUE"""),"A1B")</f>
        <v>A1B</v>
      </c>
      <c r="J270" s="30" t="str">
        <f>IFERROR(__xludf.DUMMYFUNCTION("""COMPUTED_VALUE"""),"ALSIDE")</f>
        <v>ALSIDE</v>
      </c>
      <c r="K270" s="26" t="str">
        <f>IFERROR(__xludf.DUMMYFUNCTION("""COMPUTED_VALUE"""),"WHITE, 27 5/8 X 44 3/4")</f>
        <v>WHITE, 27 5/8 X 44 3/4</v>
      </c>
      <c r="L270" s="30" t="str">
        <f>IFERROR(__xludf.DUMMYFUNCTION("""COMPUTED_VALUE"""),"IN STOCK")</f>
        <v>IN STOCK</v>
      </c>
      <c r="M270" s="26"/>
      <c r="N270" s="26" t="str">
        <f>IFERROR(__xludf.DUMMYFUNCTION("""COMPUTED_VALUE"""),"HF LOT 145")</f>
        <v>HF LOT 145</v>
      </c>
      <c r="O270" s="26" t="str">
        <f>IFERROR(__xludf.DUMMYFUNCTION("""COMPUTED_VALUE"""),"SCREEN|||HF LOT 145")</f>
        <v>SCREEN|||HF LOT 145</v>
      </c>
      <c r="P270" s="26"/>
      <c r="Q270" s="26"/>
      <c r="R270" s="26" t="str">
        <f>IFERROR(__xludf.DUMMYFUNCTION("""COMPUTED_VALUE"""),"A1B")</f>
        <v>A1B</v>
      </c>
      <c r="S270" s="26" t="str">
        <f>IFERROR(__xludf.DUMMYFUNCTION("""COMPUTED_VALUE"""),"ENTRY")</f>
        <v>ENTRY</v>
      </c>
      <c r="T270" s="26"/>
    </row>
    <row r="271">
      <c r="A271" s="35">
        <f>IFERROR(__xludf.DUMMYFUNCTION("""COMPUTED_VALUE"""),46113.50805546296)</f>
        <v>46113.50806</v>
      </c>
      <c r="B271" s="36" t="str">
        <f>IFERROR(__xludf.DUMMYFUNCTION("""COMPUTED_VALUE"""),"SCREEN")</f>
        <v>SCREEN</v>
      </c>
      <c r="C271" s="26" t="str">
        <f>IFERROR(__xludf.DUMMYFUNCTION("""COMPUTED_VALUE"""),"WESTERY ASI 007")</f>
        <v>WESTERY ASI 007</v>
      </c>
      <c r="D271" s="27"/>
      <c r="E271" s="27" t="str">
        <f>IFERROR(__xludf.DUMMYFUNCTION("""COMPUTED_VALUE"""),"4014")</f>
        <v>4014</v>
      </c>
      <c r="F271" s="36">
        <f>IFERROR(__xludf.DUMMYFUNCTION("""COMPUTED_VALUE"""),8.0)</f>
        <v>8</v>
      </c>
      <c r="G271" s="27" t="str">
        <f>IFERROR(__xludf.DUMMYFUNCTION("""COMPUTED_VALUE"""),"UNIT")</f>
        <v>UNIT</v>
      </c>
      <c r="H271" s="37"/>
      <c r="I271" s="36" t="str">
        <f>IFERROR(__xludf.DUMMYFUNCTION("""COMPUTED_VALUE"""),"A1B")</f>
        <v>A1B</v>
      </c>
      <c r="J271" s="30" t="str">
        <f>IFERROR(__xludf.DUMMYFUNCTION("""COMPUTED_VALUE"""),"ALSIDE")</f>
        <v>ALSIDE</v>
      </c>
      <c r="K271" s="26" t="str">
        <f>IFERROR(__xludf.DUMMYFUNCTION("""COMPUTED_VALUE"""),"WHITE, 42 5/16 X 18 5/16")</f>
        <v>WHITE, 42 5/16 X 18 5/16</v>
      </c>
      <c r="L271" s="30" t="str">
        <f>IFERROR(__xludf.DUMMYFUNCTION("""COMPUTED_VALUE"""),"IN STOCK")</f>
        <v>IN STOCK</v>
      </c>
      <c r="M271" s="26"/>
      <c r="N271" s="26" t="str">
        <f>IFERROR(__xludf.DUMMYFUNCTION("""COMPUTED_VALUE"""),"WESTERY ASI 007")</f>
        <v>WESTERY ASI 007</v>
      </c>
      <c r="O271" s="26" t="str">
        <f>IFERROR(__xludf.DUMMYFUNCTION("""COMPUTED_VALUE"""),"SCREEN|||WESTERY ASI 007")</f>
        <v>SCREEN|||WESTERY ASI 007</v>
      </c>
      <c r="P271" s="26"/>
      <c r="Q271" s="26"/>
      <c r="R271" s="26" t="str">
        <f>IFERROR(__xludf.DUMMYFUNCTION("""COMPUTED_VALUE"""),"A1B")</f>
        <v>A1B</v>
      </c>
      <c r="S271" s="26" t="str">
        <f>IFERROR(__xludf.DUMMYFUNCTION("""COMPUTED_VALUE"""),"ENTRY")</f>
        <v>ENTRY</v>
      </c>
      <c r="T271" s="26"/>
    </row>
    <row r="272">
      <c r="A272" s="35">
        <f>IFERROR(__xludf.DUMMYFUNCTION("""COMPUTED_VALUE"""),46113.50559166667)</f>
        <v>46113.50559</v>
      </c>
      <c r="B272" s="36" t="str">
        <f>IFERROR(__xludf.DUMMYFUNCTION("""COMPUTED_VALUE"""),"SCREEN")</f>
        <v>SCREEN</v>
      </c>
      <c r="C272" s="26" t="str">
        <f>IFERROR(__xludf.DUMMYFUNCTION("""COMPUTED_VALUE"""),"CLOUDVEIL A")</f>
        <v>CLOUDVEIL A</v>
      </c>
      <c r="D272" s="27"/>
      <c r="E272" s="27" t="str">
        <f>IFERROR(__xludf.DUMMYFUNCTION("""COMPUTED_VALUE"""),"1072A")</f>
        <v>1072A</v>
      </c>
      <c r="F272" s="36">
        <f>IFERROR(__xludf.DUMMYFUNCTION("""COMPUTED_VALUE"""),11.0)</f>
        <v>11</v>
      </c>
      <c r="G272" s="27" t="str">
        <f>IFERROR(__xludf.DUMMYFUNCTION("""COMPUTED_VALUE"""),"UNIT")</f>
        <v>UNIT</v>
      </c>
      <c r="H272" s="37"/>
      <c r="I272" s="36" t="str">
        <f>IFERROR(__xludf.DUMMYFUNCTION("""COMPUTED_VALUE"""),"A1B")</f>
        <v>A1B</v>
      </c>
      <c r="J272" s="30" t="str">
        <f>IFERROR(__xludf.DUMMYFUNCTION("""COMPUTED_VALUE"""),"ALSIDE")</f>
        <v>ALSIDE</v>
      </c>
      <c r="K272" s="26" t="str">
        <f>IFERROR(__xludf.DUMMYFUNCTION("""COMPUTED_VALUE"""),"WHITE, 25 1/16 X 55 1/16")</f>
        <v>WHITE, 25 1/16 X 55 1/16</v>
      </c>
      <c r="L272" s="30" t="str">
        <f>IFERROR(__xludf.DUMMYFUNCTION("""COMPUTED_VALUE"""),"IN STOCK")</f>
        <v>IN STOCK</v>
      </c>
      <c r="M272" s="26"/>
      <c r="N272" s="26" t="str">
        <f>IFERROR(__xludf.DUMMYFUNCTION("""COMPUTED_VALUE"""),"CLOUDVEIL A")</f>
        <v>CLOUDVEIL A</v>
      </c>
      <c r="O272" s="26" t="str">
        <f>IFERROR(__xludf.DUMMYFUNCTION("""COMPUTED_VALUE"""),"SCREEN|||CLOUDVEIL A")</f>
        <v>SCREEN|||CLOUDVEIL A</v>
      </c>
      <c r="P272" s="26"/>
      <c r="Q272" s="26"/>
      <c r="R272" s="26" t="str">
        <f>IFERROR(__xludf.DUMMYFUNCTION("""COMPUTED_VALUE"""),"A1B")</f>
        <v>A1B</v>
      </c>
      <c r="S272" s="26" t="str">
        <f>IFERROR(__xludf.DUMMYFUNCTION("""COMPUTED_VALUE"""),"ENTRY")</f>
        <v>ENTRY</v>
      </c>
      <c r="T272" s="26"/>
    </row>
    <row r="273">
      <c r="A273" s="35">
        <f>IFERROR(__xludf.DUMMYFUNCTION("""COMPUTED_VALUE"""),46113.503073298605)</f>
        <v>46113.50307</v>
      </c>
      <c r="B273" s="36" t="str">
        <f>IFERROR(__xludf.DUMMYFUNCTION("""COMPUTED_VALUE"""),"SCREEN")</f>
        <v>SCREEN</v>
      </c>
      <c r="C273" s="26" t="str">
        <f>IFERROR(__xludf.DUMMYFUNCTION("""COMPUTED_VALUE"""),"CLOUDVEIL D")</f>
        <v>CLOUDVEIL D</v>
      </c>
      <c r="D273" s="27"/>
      <c r="E273" s="27" t="str">
        <f>IFERROR(__xludf.DUMMYFUNCTION("""COMPUTED_VALUE"""),"1629A")</f>
        <v>1629A</v>
      </c>
      <c r="F273" s="36">
        <f>IFERROR(__xludf.DUMMYFUNCTION("""COMPUTED_VALUE"""),13.0)</f>
        <v>13</v>
      </c>
      <c r="G273" s="27" t="str">
        <f>IFERROR(__xludf.DUMMYFUNCTION("""COMPUTED_VALUE"""),"UNIT")</f>
        <v>UNIT</v>
      </c>
      <c r="H273" s="37"/>
      <c r="I273" s="36" t="str">
        <f>IFERROR(__xludf.DUMMYFUNCTION("""COMPUTED_VALUE"""),"A1B")</f>
        <v>A1B</v>
      </c>
      <c r="J273" s="30" t="str">
        <f>IFERROR(__xludf.DUMMYFUNCTION("""COMPUTED_VALUE"""),"ALSIDE")</f>
        <v>ALSIDE</v>
      </c>
      <c r="K273" s="26" t="str">
        <f>IFERROR(__xludf.DUMMYFUNCTION("""COMPUTED_VALUE"""),"WHITE, 25 1/16 X 55 1/16")</f>
        <v>WHITE, 25 1/16 X 55 1/16</v>
      </c>
      <c r="L273" s="30" t="str">
        <f>IFERROR(__xludf.DUMMYFUNCTION("""COMPUTED_VALUE"""),"IN STOCK")</f>
        <v>IN STOCK</v>
      </c>
      <c r="M273" s="26"/>
      <c r="N273" s="26" t="str">
        <f>IFERROR(__xludf.DUMMYFUNCTION("""COMPUTED_VALUE"""),"CLOUDVEIL D")</f>
        <v>CLOUDVEIL D</v>
      </c>
      <c r="O273" s="26" t="str">
        <f>IFERROR(__xludf.DUMMYFUNCTION("""COMPUTED_VALUE"""),"SCREEN|||CLOUDVEIL D")</f>
        <v>SCREEN|||CLOUDVEIL D</v>
      </c>
      <c r="P273" s="26"/>
      <c r="Q273" s="26"/>
      <c r="R273" s="26" t="str">
        <f>IFERROR(__xludf.DUMMYFUNCTION("""COMPUTED_VALUE"""),"A1B")</f>
        <v>A1B</v>
      </c>
      <c r="S273" s="26" t="str">
        <f>IFERROR(__xludf.DUMMYFUNCTION("""COMPUTED_VALUE"""),"ENTRY")</f>
        <v>ENTRY</v>
      </c>
      <c r="T273" s="26"/>
    </row>
    <row r="274">
      <c r="A274" s="35">
        <f>IFERROR(__xludf.DUMMYFUNCTION("""COMPUTED_VALUE"""),46113.50093055555)</f>
        <v>46113.50093</v>
      </c>
      <c r="B274" s="36" t="str">
        <f>IFERROR(__xludf.DUMMYFUNCTION("""COMPUTED_VALUE"""),"SCREEN")</f>
        <v>SCREEN</v>
      </c>
      <c r="C274" s="26" t="str">
        <f>IFERROR(__xludf.DUMMYFUNCTION("""COMPUTED_VALUE"""),"CLOUDVEIL C")</f>
        <v>CLOUDVEIL C</v>
      </c>
      <c r="D274" s="27"/>
      <c r="E274" s="27" t="str">
        <f>IFERROR(__xludf.DUMMYFUNCTION("""COMPUTED_VALUE"""),"1628A")</f>
        <v>1628A</v>
      </c>
      <c r="F274" s="36">
        <f>IFERROR(__xludf.DUMMYFUNCTION("""COMPUTED_VALUE"""),13.0)</f>
        <v>13</v>
      </c>
      <c r="G274" s="27" t="str">
        <f>IFERROR(__xludf.DUMMYFUNCTION("""COMPUTED_VALUE"""),"UNIT")</f>
        <v>UNIT</v>
      </c>
      <c r="H274" s="37"/>
      <c r="I274" s="36" t="str">
        <f>IFERROR(__xludf.DUMMYFUNCTION("""COMPUTED_VALUE"""),"A1B")</f>
        <v>A1B</v>
      </c>
      <c r="J274" s="30" t="str">
        <f>IFERROR(__xludf.DUMMYFUNCTION("""COMPUTED_VALUE"""),"ALSIDE")</f>
        <v>ALSIDE</v>
      </c>
      <c r="K274" s="26" t="str">
        <f>IFERROR(__xludf.DUMMYFUNCTION("""COMPUTED_VALUE"""),"WHITE, 25 1/16 X 55 1/16")</f>
        <v>WHITE, 25 1/16 X 55 1/16</v>
      </c>
      <c r="L274" s="30" t="str">
        <f>IFERROR(__xludf.DUMMYFUNCTION("""COMPUTED_VALUE"""),"IN STOCK")</f>
        <v>IN STOCK</v>
      </c>
      <c r="M274" s="26"/>
      <c r="N274" s="26" t="str">
        <f>IFERROR(__xludf.DUMMYFUNCTION("""COMPUTED_VALUE"""),"CLOUDVEIL C")</f>
        <v>CLOUDVEIL C</v>
      </c>
      <c r="O274" s="26" t="str">
        <f>IFERROR(__xludf.DUMMYFUNCTION("""COMPUTED_VALUE"""),"SCREEN|||CLOUDVEIL C")</f>
        <v>SCREEN|||CLOUDVEIL C</v>
      </c>
      <c r="P274" s="26"/>
      <c r="Q274" s="26"/>
      <c r="R274" s="26" t="str">
        <f>IFERROR(__xludf.DUMMYFUNCTION("""COMPUTED_VALUE"""),"A1B")</f>
        <v>A1B</v>
      </c>
      <c r="S274" s="26" t="str">
        <f>IFERROR(__xludf.DUMMYFUNCTION("""COMPUTED_VALUE"""),"ENTRY")</f>
        <v>ENTRY</v>
      </c>
      <c r="T274" s="26"/>
    </row>
    <row r="275">
      <c r="A275" s="35">
        <f>IFERROR(__xludf.DUMMYFUNCTION("""COMPUTED_VALUE"""),46113.5009303125)</f>
        <v>46113.50093</v>
      </c>
      <c r="B275" s="36" t="str">
        <f>IFERROR(__xludf.DUMMYFUNCTION("""COMPUTED_VALUE"""),"SCREEN")</f>
        <v>SCREEN</v>
      </c>
      <c r="C275" s="26" t="str">
        <f>IFERROR(__xludf.DUMMYFUNCTION("""COMPUTED_VALUE"""),"CLOUDVEIL C")</f>
        <v>CLOUDVEIL C</v>
      </c>
      <c r="D275" s="27"/>
      <c r="E275" s="27" t="str">
        <f>IFERROR(__xludf.DUMMYFUNCTION("""COMPUTED_VALUE"""),"1628A")</f>
        <v>1628A</v>
      </c>
      <c r="F275" s="36">
        <f>IFERROR(__xludf.DUMMYFUNCTION("""COMPUTED_VALUE"""),13.0)</f>
        <v>13</v>
      </c>
      <c r="G275" s="27" t="str">
        <f>IFERROR(__xludf.DUMMYFUNCTION("""COMPUTED_VALUE"""),"UNIT")</f>
        <v>UNIT</v>
      </c>
      <c r="H275" s="37"/>
      <c r="I275" s="36" t="str">
        <f>IFERROR(__xludf.DUMMYFUNCTION("""COMPUTED_VALUE"""),"A1B")</f>
        <v>A1B</v>
      </c>
      <c r="J275" s="30" t="str">
        <f>IFERROR(__xludf.DUMMYFUNCTION("""COMPUTED_VALUE"""),"ALSIDE")</f>
        <v>ALSIDE</v>
      </c>
      <c r="K275" s="26" t="str">
        <f>IFERROR(__xludf.DUMMYFUNCTION("""COMPUTED_VALUE"""),"WHITE, 25 1/16 X 55 1/16")</f>
        <v>WHITE, 25 1/16 X 55 1/16</v>
      </c>
      <c r="L275" s="30" t="str">
        <f>IFERROR(__xludf.DUMMYFUNCTION("""COMPUTED_VALUE"""),"IN STOCK")</f>
        <v>IN STOCK</v>
      </c>
      <c r="M275" s="26"/>
      <c r="N275" s="26" t="str">
        <f>IFERROR(__xludf.DUMMYFUNCTION("""COMPUTED_VALUE"""),"CLOUDVEIL C")</f>
        <v>CLOUDVEIL C</v>
      </c>
      <c r="O275" s="26" t="str">
        <f>IFERROR(__xludf.DUMMYFUNCTION("""COMPUTED_VALUE"""),"SCREEN|||CLOUDVEIL C")</f>
        <v>SCREEN|||CLOUDVEIL C</v>
      </c>
      <c r="P275" s="26"/>
      <c r="Q275" s="26"/>
      <c r="R275" s="26" t="str">
        <f>IFERROR(__xludf.DUMMYFUNCTION("""COMPUTED_VALUE"""),"A1B")</f>
        <v>A1B</v>
      </c>
      <c r="S275" s="26" t="str">
        <f>IFERROR(__xludf.DUMMYFUNCTION("""COMPUTED_VALUE"""),"ENTRY")</f>
        <v>ENTRY</v>
      </c>
      <c r="T275" s="26"/>
    </row>
    <row r="276">
      <c r="A276" s="35">
        <f>IFERROR(__xludf.DUMMYFUNCTION("""COMPUTED_VALUE"""),46113.46701953704)</f>
        <v>46113.46702</v>
      </c>
      <c r="B276" s="36" t="str">
        <f>IFERROR(__xludf.DUMMYFUNCTION("""COMPUTED_VALUE"""),"SCREEN")</f>
        <v>SCREEN</v>
      </c>
      <c r="C276" s="26" t="str">
        <f>IFERROR(__xludf.DUMMYFUNCTION("""COMPUTED_VALUE"""),"CLOUDVEIL C")</f>
        <v>CLOUDVEIL C</v>
      </c>
      <c r="D276" s="27"/>
      <c r="E276" s="27" t="str">
        <f>IFERROR(__xludf.DUMMYFUNCTION("""COMPUTED_VALUE"""),"1628A")</f>
        <v>1628A</v>
      </c>
      <c r="F276" s="36">
        <f>IFERROR(__xludf.DUMMYFUNCTION("""COMPUTED_VALUE"""),13.0)</f>
        <v>13</v>
      </c>
      <c r="G276" s="27" t="str">
        <f>IFERROR(__xludf.DUMMYFUNCTION("""COMPUTED_VALUE"""),"UNIT")</f>
        <v>UNIT</v>
      </c>
      <c r="H276" s="37"/>
      <c r="I276" s="36" t="str">
        <f>IFERROR(__xludf.DUMMYFUNCTION("""COMPUTED_VALUE"""),"A1B")</f>
        <v>A1B</v>
      </c>
      <c r="J276" s="30" t="str">
        <f>IFERROR(__xludf.DUMMYFUNCTION("""COMPUTED_VALUE"""),"ALSIDE")</f>
        <v>ALSIDE</v>
      </c>
      <c r="K276" s="26" t="str">
        <f>IFERROR(__xludf.DUMMYFUNCTION("""COMPUTED_VALUE"""),"WHITE, 25 1/16 X 55 1/16")</f>
        <v>WHITE, 25 1/16 X 55 1/16</v>
      </c>
      <c r="L276" s="30" t="str">
        <f>IFERROR(__xludf.DUMMYFUNCTION("""COMPUTED_VALUE"""),"IN STOCK")</f>
        <v>IN STOCK</v>
      </c>
      <c r="M276" s="26"/>
      <c r="N276" s="26" t="str">
        <f>IFERROR(__xludf.DUMMYFUNCTION("""COMPUTED_VALUE"""),"CLOUDVEIL C")</f>
        <v>CLOUDVEIL C</v>
      </c>
      <c r="O276" s="26" t="str">
        <f>IFERROR(__xludf.DUMMYFUNCTION("""COMPUTED_VALUE"""),"SCREEN|||CLOUDVEIL C")</f>
        <v>SCREEN|||CLOUDVEIL C</v>
      </c>
      <c r="P276" s="26"/>
      <c r="Q276" s="26"/>
      <c r="R276" s="26" t="str">
        <f>IFERROR(__xludf.DUMMYFUNCTION("""COMPUTED_VALUE"""),"A1B")</f>
        <v>A1B</v>
      </c>
      <c r="S276" s="26" t="str">
        <f>IFERROR(__xludf.DUMMYFUNCTION("""COMPUTED_VALUE"""),"ENTRY")</f>
        <v>ENTRY</v>
      </c>
      <c r="T276" s="26"/>
    </row>
    <row r="277">
      <c r="A277" s="35">
        <f>IFERROR(__xludf.DUMMYFUNCTION("""COMPUTED_VALUE"""),46113.46290885417)</f>
        <v>46113.46291</v>
      </c>
      <c r="B277" s="36" t="str">
        <f>IFERROR(__xludf.DUMMYFUNCTION("""COMPUTED_VALUE"""),"SCREEN")</f>
        <v>SCREEN</v>
      </c>
      <c r="C277" s="26" t="str">
        <f>IFERROR(__xludf.DUMMYFUNCTION("""COMPUTED_VALUE"""),"CLOUDVEIL B")</f>
        <v>CLOUDVEIL B</v>
      </c>
      <c r="D277" s="27"/>
      <c r="E277" s="27" t="str">
        <f>IFERROR(__xludf.DUMMYFUNCTION("""COMPUTED_VALUE"""),"1073A")</f>
        <v>1073A</v>
      </c>
      <c r="F277" s="36">
        <f>IFERROR(__xludf.DUMMYFUNCTION("""COMPUTED_VALUE"""),11.0)</f>
        <v>11</v>
      </c>
      <c r="G277" s="27" t="str">
        <f>IFERROR(__xludf.DUMMYFUNCTION("""COMPUTED_VALUE"""),"UNIT")</f>
        <v>UNIT</v>
      </c>
      <c r="H277" s="37"/>
      <c r="I277" s="36" t="str">
        <f>IFERROR(__xludf.DUMMYFUNCTION("""COMPUTED_VALUE"""),"A1B")</f>
        <v>A1B</v>
      </c>
      <c r="J277" s="30" t="str">
        <f>IFERROR(__xludf.DUMMYFUNCTION("""COMPUTED_VALUE"""),"ALSIDE")</f>
        <v>ALSIDE</v>
      </c>
      <c r="K277" s="26" t="str">
        <f>IFERROR(__xludf.DUMMYFUNCTION("""COMPUTED_VALUE"""),"WHITE, 25 1/16 X 55 1/16")</f>
        <v>WHITE, 25 1/16 X 55 1/16</v>
      </c>
      <c r="L277" s="30" t="str">
        <f>IFERROR(__xludf.DUMMYFUNCTION("""COMPUTED_VALUE"""),"IN STOCK")</f>
        <v>IN STOCK</v>
      </c>
      <c r="M277" s="26"/>
      <c r="N277" s="26" t="str">
        <f>IFERROR(__xludf.DUMMYFUNCTION("""COMPUTED_VALUE"""),"CLOUDVEIL B")</f>
        <v>CLOUDVEIL B</v>
      </c>
      <c r="O277" s="26" t="str">
        <f>IFERROR(__xludf.DUMMYFUNCTION("""COMPUTED_VALUE"""),"SCREEN|||CLOUDVEIL B")</f>
        <v>SCREEN|||CLOUDVEIL B</v>
      </c>
      <c r="P277" s="26"/>
      <c r="Q277" s="26"/>
      <c r="R277" s="26" t="str">
        <f>IFERROR(__xludf.DUMMYFUNCTION("""COMPUTED_VALUE"""),"A1B")</f>
        <v>A1B</v>
      </c>
      <c r="S277" s="26" t="str">
        <f>IFERROR(__xludf.DUMMYFUNCTION("""COMPUTED_VALUE"""),"ENTRY")</f>
        <v>ENTRY</v>
      </c>
      <c r="T277" s="26"/>
    </row>
    <row r="278">
      <c r="A278" s="35">
        <f>IFERROR(__xludf.DUMMYFUNCTION("""COMPUTED_VALUE"""),46113.46137302083)</f>
        <v>46113.46137</v>
      </c>
      <c r="B278" s="36" t="str">
        <f>IFERROR(__xludf.DUMMYFUNCTION("""COMPUTED_VALUE"""),"SCREEN")</f>
        <v>SCREEN</v>
      </c>
      <c r="C278" s="26" t="str">
        <f>IFERROR(__xludf.DUMMYFUNCTION("""COMPUTED_VALUE"""),"CLOUDVEIL B")</f>
        <v>CLOUDVEIL B</v>
      </c>
      <c r="D278" s="27"/>
      <c r="E278" s="27" t="str">
        <f>IFERROR(__xludf.DUMMYFUNCTION("""COMPUTED_VALUE"""),"1073A")</f>
        <v>1073A</v>
      </c>
      <c r="F278" s="36">
        <f>IFERROR(__xludf.DUMMYFUNCTION("""COMPUTED_VALUE"""),11.0)</f>
        <v>11</v>
      </c>
      <c r="G278" s="27" t="str">
        <f>IFERROR(__xludf.DUMMYFUNCTION("""COMPUTED_VALUE"""),"UNIT")</f>
        <v>UNIT</v>
      </c>
      <c r="H278" s="37"/>
      <c r="I278" s="36" t="str">
        <f>IFERROR(__xludf.DUMMYFUNCTION("""COMPUTED_VALUE"""),"A1B")</f>
        <v>A1B</v>
      </c>
      <c r="J278" s="30" t="str">
        <f>IFERROR(__xludf.DUMMYFUNCTION("""COMPUTED_VALUE"""),"ALSIDE")</f>
        <v>ALSIDE</v>
      </c>
      <c r="K278" s="26" t="str">
        <f>IFERROR(__xludf.DUMMYFUNCTION("""COMPUTED_VALUE"""),"WHITE, 25 1/16 X 55 1/16")</f>
        <v>WHITE, 25 1/16 X 55 1/16</v>
      </c>
      <c r="L278" s="30" t="str">
        <f>IFERROR(__xludf.DUMMYFUNCTION("""COMPUTED_VALUE"""),"IN STOCK")</f>
        <v>IN STOCK</v>
      </c>
      <c r="M278" s="26"/>
      <c r="N278" s="26" t="str">
        <f>IFERROR(__xludf.DUMMYFUNCTION("""COMPUTED_VALUE"""),"CLOUDVEIL B")</f>
        <v>CLOUDVEIL B</v>
      </c>
      <c r="O278" s="26" t="str">
        <f>IFERROR(__xludf.DUMMYFUNCTION("""COMPUTED_VALUE"""),"SCREEN|||CLOUDVEIL B")</f>
        <v>SCREEN|||CLOUDVEIL B</v>
      </c>
      <c r="P278" s="26"/>
      <c r="Q278" s="26"/>
      <c r="R278" s="26" t="str">
        <f>IFERROR(__xludf.DUMMYFUNCTION("""COMPUTED_VALUE"""),"A1B")</f>
        <v>A1B</v>
      </c>
      <c r="S278" s="26" t="str">
        <f>IFERROR(__xludf.DUMMYFUNCTION("""COMPUTED_VALUE"""),"ENTRY")</f>
        <v>ENTRY</v>
      </c>
      <c r="T278" s="26"/>
    </row>
    <row r="279">
      <c r="A279" s="35">
        <f>IFERROR(__xludf.DUMMYFUNCTION("""COMPUTED_VALUE"""),46113.459177094905)</f>
        <v>46113.45918</v>
      </c>
      <c r="B279" s="36" t="str">
        <f>IFERROR(__xludf.DUMMYFUNCTION("""COMPUTED_VALUE"""),"SCREEN")</f>
        <v>SCREEN</v>
      </c>
      <c r="C279" s="26" t="str">
        <f>IFERROR(__xludf.DUMMYFUNCTION("""COMPUTED_VALUE"""),"CLOUDVEIL B")</f>
        <v>CLOUDVEIL B</v>
      </c>
      <c r="D279" s="27"/>
      <c r="E279" s="27" t="str">
        <f>IFERROR(__xludf.DUMMYFUNCTION("""COMPUTED_VALUE"""),"1073A")</f>
        <v>1073A</v>
      </c>
      <c r="F279" s="36">
        <f>IFERROR(__xludf.DUMMYFUNCTION("""COMPUTED_VALUE"""),11.0)</f>
        <v>11</v>
      </c>
      <c r="G279" s="27" t="str">
        <f>IFERROR(__xludf.DUMMYFUNCTION("""COMPUTED_VALUE"""),"UNIT")</f>
        <v>UNIT</v>
      </c>
      <c r="H279" s="37"/>
      <c r="I279" s="36" t="str">
        <f>IFERROR(__xludf.DUMMYFUNCTION("""COMPUTED_VALUE"""),"A1B")</f>
        <v>A1B</v>
      </c>
      <c r="J279" s="30" t="str">
        <f>IFERROR(__xludf.DUMMYFUNCTION("""COMPUTED_VALUE"""),"ALSIDE")</f>
        <v>ALSIDE</v>
      </c>
      <c r="K279" s="26" t="str">
        <f>IFERROR(__xludf.DUMMYFUNCTION("""COMPUTED_VALUE"""),"WHITE, 25 1/16 X 55 1/16")</f>
        <v>WHITE, 25 1/16 X 55 1/16</v>
      </c>
      <c r="L279" s="30" t="str">
        <f>IFERROR(__xludf.DUMMYFUNCTION("""COMPUTED_VALUE"""),"IN STOCK")</f>
        <v>IN STOCK</v>
      </c>
      <c r="M279" s="26"/>
      <c r="N279" s="26" t="str">
        <f>IFERROR(__xludf.DUMMYFUNCTION("""COMPUTED_VALUE"""),"CLOUDVEIL B")</f>
        <v>CLOUDVEIL B</v>
      </c>
      <c r="O279" s="26" t="str">
        <f>IFERROR(__xludf.DUMMYFUNCTION("""COMPUTED_VALUE"""),"SCREEN|||CLOUDVEIL B")</f>
        <v>SCREEN|||CLOUDVEIL B</v>
      </c>
      <c r="P279" s="26"/>
      <c r="Q279" s="26"/>
      <c r="R279" s="26" t="str">
        <f>IFERROR(__xludf.DUMMYFUNCTION("""COMPUTED_VALUE"""),"A1B")</f>
        <v>A1B</v>
      </c>
      <c r="S279" s="26" t="str">
        <f>IFERROR(__xludf.DUMMYFUNCTION("""COMPUTED_VALUE"""),"ENTRY")</f>
        <v>ENTRY</v>
      </c>
      <c r="T279" s="26"/>
    </row>
    <row r="280">
      <c r="A280" s="35">
        <f>IFERROR(__xludf.DUMMYFUNCTION("""COMPUTED_VALUE"""),46113.439227511575)</f>
        <v>46113.43923</v>
      </c>
      <c r="B280" s="36" t="str">
        <f>IFERROR(__xludf.DUMMYFUNCTION("""COMPUTED_VALUE"""),"SCREEN")</f>
        <v>SCREEN</v>
      </c>
      <c r="C280" s="26" t="str">
        <f>IFERROR(__xludf.DUMMYFUNCTION("""COMPUTED_VALUE"""),"CLOUDVEIL B")</f>
        <v>CLOUDVEIL B</v>
      </c>
      <c r="D280" s="27"/>
      <c r="E280" s="27" t="str">
        <f>IFERROR(__xludf.DUMMYFUNCTION("""COMPUTED_VALUE"""),"1073")</f>
        <v>1073</v>
      </c>
      <c r="F280" s="36">
        <f>IFERROR(__xludf.DUMMYFUNCTION("""COMPUTED_VALUE"""),11.0)</f>
        <v>11</v>
      </c>
      <c r="G280" s="27" t="str">
        <f>IFERROR(__xludf.DUMMYFUNCTION("""COMPUTED_VALUE"""),"UNIT")</f>
        <v>UNIT</v>
      </c>
      <c r="H280" s="37"/>
      <c r="I280" s="36" t="str">
        <f>IFERROR(__xludf.DUMMYFUNCTION("""COMPUTED_VALUE"""),"A1B")</f>
        <v>A1B</v>
      </c>
      <c r="J280" s="30" t="str">
        <f>IFERROR(__xludf.DUMMYFUNCTION("""COMPUTED_VALUE"""),"ALSIDE")</f>
        <v>ALSIDE</v>
      </c>
      <c r="K280" s="26" t="str">
        <f>IFERROR(__xludf.DUMMYFUNCTION("""COMPUTED_VALUE"""),"BLACK, 34X69 5/8")</f>
        <v>BLACK, 34X69 5/8</v>
      </c>
      <c r="L280" s="30" t="str">
        <f>IFERROR(__xludf.DUMMYFUNCTION("""COMPUTED_VALUE"""),"IN STOCK")</f>
        <v>IN STOCK</v>
      </c>
      <c r="M280" s="26"/>
      <c r="N280" s="26" t="str">
        <f>IFERROR(__xludf.DUMMYFUNCTION("""COMPUTED_VALUE"""),"CLOUDVEIL B")</f>
        <v>CLOUDVEIL B</v>
      </c>
      <c r="O280" s="26" t="str">
        <f>IFERROR(__xludf.DUMMYFUNCTION("""COMPUTED_VALUE"""),"SCREEN|||CLOUDVEIL B")</f>
        <v>SCREEN|||CLOUDVEIL B</v>
      </c>
      <c r="P280" s="26"/>
      <c r="Q280" s="26"/>
      <c r="R280" s="26" t="str">
        <f>IFERROR(__xludf.DUMMYFUNCTION("""COMPUTED_VALUE"""),"A1B")</f>
        <v>A1B</v>
      </c>
      <c r="S280" s="26" t="str">
        <f>IFERROR(__xludf.DUMMYFUNCTION("""COMPUTED_VALUE"""),"ENTRY")</f>
        <v>ENTRY</v>
      </c>
      <c r="T280" s="26"/>
    </row>
    <row r="281">
      <c r="A281" s="35">
        <f>IFERROR(__xludf.DUMMYFUNCTION("""COMPUTED_VALUE"""),46113.43427879629)</f>
        <v>46113.43428</v>
      </c>
      <c r="B281" s="36" t="str">
        <f>IFERROR(__xludf.DUMMYFUNCTION("""COMPUTED_VALUE"""),"SCREEN")</f>
        <v>SCREEN</v>
      </c>
      <c r="C281" s="26" t="str">
        <f>IFERROR(__xludf.DUMMYFUNCTION("""COMPUTED_VALUE"""),"CLOUDVEIL E")</f>
        <v>CLOUDVEIL E</v>
      </c>
      <c r="D281" s="27"/>
      <c r="E281" s="27" t="str">
        <f>IFERROR(__xludf.DUMMYFUNCTION("""COMPUTED_VALUE"""),"2952A")</f>
        <v>2952A</v>
      </c>
      <c r="F281" s="36">
        <f>IFERROR(__xludf.DUMMYFUNCTION("""COMPUTED_VALUE"""),9.0)</f>
        <v>9</v>
      </c>
      <c r="G281" s="27" t="str">
        <f>IFERROR(__xludf.DUMMYFUNCTION("""COMPUTED_VALUE"""),"UNIT")</f>
        <v>UNIT</v>
      </c>
      <c r="H281" s="37"/>
      <c r="I281" s="36" t="str">
        <f>IFERROR(__xludf.DUMMYFUNCTION("""COMPUTED_VALUE"""),"A1B")</f>
        <v>A1B</v>
      </c>
      <c r="J281" s="30" t="str">
        <f>IFERROR(__xludf.DUMMYFUNCTION("""COMPUTED_VALUE"""),"ALSIDE")</f>
        <v>ALSIDE</v>
      </c>
      <c r="K281" s="26" t="str">
        <f>IFERROR(__xludf.DUMMYFUNCTION("""COMPUTED_VALUE"""),"WHITE, 21 1/16 X 55 1/16")</f>
        <v>WHITE, 21 1/16 X 55 1/16</v>
      </c>
      <c r="L281" s="30" t="str">
        <f>IFERROR(__xludf.DUMMYFUNCTION("""COMPUTED_VALUE"""),"IN STOCK")</f>
        <v>IN STOCK</v>
      </c>
      <c r="M281" s="26"/>
      <c r="N281" s="26" t="str">
        <f>IFERROR(__xludf.DUMMYFUNCTION("""COMPUTED_VALUE"""),"CLOUDVEIL E")</f>
        <v>CLOUDVEIL E</v>
      </c>
      <c r="O281" s="26" t="str">
        <f>IFERROR(__xludf.DUMMYFUNCTION("""COMPUTED_VALUE"""),"SCREEN|||CLOUDVEIL E")</f>
        <v>SCREEN|||CLOUDVEIL E</v>
      </c>
      <c r="P281" s="26"/>
      <c r="Q281" s="26"/>
      <c r="R281" s="26" t="str">
        <f>IFERROR(__xludf.DUMMYFUNCTION("""COMPUTED_VALUE"""),"A1B")</f>
        <v>A1B</v>
      </c>
      <c r="S281" s="26" t="str">
        <f>IFERROR(__xludf.DUMMYFUNCTION("""COMPUTED_VALUE"""),"ENTRY")</f>
        <v>ENTRY</v>
      </c>
      <c r="T281" s="26"/>
    </row>
    <row r="282">
      <c r="A282" s="35">
        <f>IFERROR(__xludf.DUMMYFUNCTION("""COMPUTED_VALUE"""),46113.432496898145)</f>
        <v>46113.4325</v>
      </c>
      <c r="B282" s="36" t="str">
        <f>IFERROR(__xludf.DUMMYFUNCTION("""COMPUTED_VALUE"""),"SCREEN")</f>
        <v>SCREEN</v>
      </c>
      <c r="C282" s="26" t="str">
        <f>IFERROR(__xludf.DUMMYFUNCTION("""COMPUTED_VALUE"""),"CLOUDVEIL A")</f>
        <v>CLOUDVEIL A</v>
      </c>
      <c r="D282" s="27"/>
      <c r="E282" s="27" t="str">
        <f>IFERROR(__xludf.DUMMYFUNCTION("""COMPUTED_VALUE"""),"1072A")</f>
        <v>1072A</v>
      </c>
      <c r="F282" s="36">
        <f>IFERROR(__xludf.DUMMYFUNCTION("""COMPUTED_VALUE"""),11.0)</f>
        <v>11</v>
      </c>
      <c r="G282" s="27" t="str">
        <f>IFERROR(__xludf.DUMMYFUNCTION("""COMPUTED_VALUE"""),"UNIT")</f>
        <v>UNIT</v>
      </c>
      <c r="H282" s="37"/>
      <c r="I282" s="36" t="str">
        <f>IFERROR(__xludf.DUMMYFUNCTION("""COMPUTED_VALUE"""),"A1B")</f>
        <v>A1B</v>
      </c>
      <c r="J282" s="30" t="str">
        <f>IFERROR(__xludf.DUMMYFUNCTION("""COMPUTED_VALUE"""),"ALSIDE")</f>
        <v>ALSIDE</v>
      </c>
      <c r="K282" s="26" t="str">
        <f>IFERROR(__xludf.DUMMYFUNCTION("""COMPUTED_VALUE"""),"WHITE, 25 1/16 X 55 1/16")</f>
        <v>WHITE, 25 1/16 X 55 1/16</v>
      </c>
      <c r="L282" s="30" t="str">
        <f>IFERROR(__xludf.DUMMYFUNCTION("""COMPUTED_VALUE"""),"IN STOCK")</f>
        <v>IN STOCK</v>
      </c>
      <c r="M282" s="26"/>
      <c r="N282" s="26" t="str">
        <f>IFERROR(__xludf.DUMMYFUNCTION("""COMPUTED_VALUE"""),"CLOUDVEIL A")</f>
        <v>CLOUDVEIL A</v>
      </c>
      <c r="O282" s="26" t="str">
        <f>IFERROR(__xludf.DUMMYFUNCTION("""COMPUTED_VALUE"""),"SCREEN|||CLOUDVEIL A")</f>
        <v>SCREEN|||CLOUDVEIL A</v>
      </c>
      <c r="P282" s="26"/>
      <c r="Q282" s="26"/>
      <c r="R282" s="26" t="str">
        <f>IFERROR(__xludf.DUMMYFUNCTION("""COMPUTED_VALUE"""),"A1B")</f>
        <v>A1B</v>
      </c>
      <c r="S282" s="26" t="str">
        <f>IFERROR(__xludf.DUMMYFUNCTION("""COMPUTED_VALUE"""),"ENTRY")</f>
        <v>ENTRY</v>
      </c>
      <c r="T282" s="26"/>
    </row>
    <row r="283">
      <c r="A283" s="35">
        <f>IFERROR(__xludf.DUMMYFUNCTION("""COMPUTED_VALUE"""),46113.42718921296)</f>
        <v>46113.42719</v>
      </c>
      <c r="B283" s="36" t="str">
        <f>IFERROR(__xludf.DUMMYFUNCTION("""COMPUTED_VALUE"""),"SCREEN")</f>
        <v>SCREEN</v>
      </c>
      <c r="C283" s="26" t="str">
        <f>IFERROR(__xludf.DUMMYFUNCTION("""COMPUTED_VALUE"""),"CC8")</f>
        <v>CC8</v>
      </c>
      <c r="D283" s="27" t="str">
        <f>IFERROR(__xludf.DUMMYFUNCTION("""COMPUTED_VALUE"""),"PAT")</f>
        <v>PAT</v>
      </c>
      <c r="E283" s="27" t="str">
        <f>IFERROR(__xludf.DUMMYFUNCTION("""COMPUTED_VALUE"""),"3535")</f>
        <v>3535</v>
      </c>
      <c r="F283" s="36">
        <f>IFERROR(__xludf.DUMMYFUNCTION("""COMPUTED_VALUE"""),1.0)</f>
        <v>1</v>
      </c>
      <c r="G283" s="27" t="str">
        <f>IFERROR(__xludf.DUMMYFUNCTION("""COMPUTED_VALUE"""),"UNIT")</f>
        <v>UNIT</v>
      </c>
      <c r="H283" s="37"/>
      <c r="I283" s="36" t="str">
        <f>IFERROR(__xludf.DUMMYFUNCTION("""COMPUTED_VALUE"""),"A1B")</f>
        <v>A1B</v>
      </c>
      <c r="J283" s="30" t="str">
        <f>IFERROR(__xludf.DUMMYFUNCTION("""COMPUTED_VALUE"""),"ALSIDE")</f>
        <v>ALSIDE</v>
      </c>
      <c r="K283" s="26" t="str">
        <f>IFERROR(__xludf.DUMMYFUNCTION("""COMPUTED_VALUE"""),"WHITE, 30 9/16 X 42 9/16")</f>
        <v>WHITE, 30 9/16 X 42 9/16</v>
      </c>
      <c r="L283" s="30" t="str">
        <f>IFERROR(__xludf.DUMMYFUNCTION("""COMPUTED_VALUE"""),"IN STOCK")</f>
        <v>IN STOCK</v>
      </c>
      <c r="M283" s="26"/>
      <c r="N283" s="26" t="str">
        <f>IFERROR(__xludf.DUMMYFUNCTION("""COMPUTED_VALUE"""),"CC8")</f>
        <v>CC8</v>
      </c>
      <c r="O283" s="26" t="str">
        <f>IFERROR(__xludf.DUMMYFUNCTION("""COMPUTED_VALUE"""),"SCREEN|||CC8")</f>
        <v>SCREEN|||CC8</v>
      </c>
      <c r="P283" s="26"/>
      <c r="Q283" s="26"/>
      <c r="R283" s="26" t="str">
        <f>IFERROR(__xludf.DUMMYFUNCTION("""COMPUTED_VALUE"""),"A1B")</f>
        <v>A1B</v>
      </c>
      <c r="S283" s="26" t="str">
        <f>IFERROR(__xludf.DUMMYFUNCTION("""COMPUTED_VALUE"""),"ENTRY")</f>
        <v>ENTRY</v>
      </c>
      <c r="T283" s="26"/>
    </row>
    <row r="284">
      <c r="A284" s="35">
        <f>IFERROR(__xludf.DUMMYFUNCTION("""COMPUTED_VALUE"""),46113.425216041665)</f>
        <v>46113.42522</v>
      </c>
      <c r="B284" s="36" t="str">
        <f>IFERROR(__xludf.DUMMYFUNCTION("""COMPUTED_VALUE"""),"SCREEN")</f>
        <v>SCREEN</v>
      </c>
      <c r="C284" s="26" t="str">
        <f>IFERROR(__xludf.DUMMYFUNCTION("""COMPUTED_VALUE"""),"CC8")</f>
        <v>CC8</v>
      </c>
      <c r="D284" s="27"/>
      <c r="E284" s="27" t="str">
        <f>IFERROR(__xludf.DUMMYFUNCTION("""COMPUTED_VALUE"""),"M658Z")</f>
        <v>M658Z</v>
      </c>
      <c r="F284" s="36">
        <f>IFERROR(__xludf.DUMMYFUNCTION("""COMPUTED_VALUE"""),1.0)</f>
        <v>1</v>
      </c>
      <c r="G284" s="27" t="str">
        <f>IFERROR(__xludf.DUMMYFUNCTION("""COMPUTED_VALUE"""),"UNIT")</f>
        <v>UNIT</v>
      </c>
      <c r="H284" s="37"/>
      <c r="I284" s="36" t="str">
        <f>IFERROR(__xludf.DUMMYFUNCTION("""COMPUTED_VALUE"""),"A1B")</f>
        <v>A1B</v>
      </c>
      <c r="J284" s="30" t="str">
        <f>IFERROR(__xludf.DUMMYFUNCTION("""COMPUTED_VALUE"""),"ALSIDE")</f>
        <v>ALSIDE</v>
      </c>
      <c r="K284" s="26" t="str">
        <f>IFERROR(__xludf.DUMMYFUNCTION("""COMPUTED_VALUE"""),"WHITE, 30 9-/16 X 42 9/16")</f>
        <v>WHITE, 30 9-/16 X 42 9/16</v>
      </c>
      <c r="L284" s="30" t="str">
        <f>IFERROR(__xludf.DUMMYFUNCTION("""COMPUTED_VALUE"""),"IN STOCK")</f>
        <v>IN STOCK</v>
      </c>
      <c r="M284" s="26"/>
      <c r="N284" s="26" t="str">
        <f>IFERROR(__xludf.DUMMYFUNCTION("""COMPUTED_VALUE"""),"CC8")</f>
        <v>CC8</v>
      </c>
      <c r="O284" s="26" t="str">
        <f>IFERROR(__xludf.DUMMYFUNCTION("""COMPUTED_VALUE"""),"SCREEN|||CC8")</f>
        <v>SCREEN|||CC8</v>
      </c>
      <c r="P284" s="26"/>
      <c r="Q284" s="26"/>
      <c r="R284" s="26" t="str">
        <f>IFERROR(__xludf.DUMMYFUNCTION("""COMPUTED_VALUE"""),"A1B")</f>
        <v>A1B</v>
      </c>
      <c r="S284" s="26" t="str">
        <f>IFERROR(__xludf.DUMMYFUNCTION("""COMPUTED_VALUE"""),"ENTRY")</f>
        <v>ENTRY</v>
      </c>
      <c r="T284" s="26"/>
    </row>
    <row r="285">
      <c r="A285" s="35">
        <f>IFERROR(__xludf.DUMMYFUNCTION("""COMPUTED_VALUE"""),46113.41828798612)</f>
        <v>46113.41829</v>
      </c>
      <c r="B285" s="36" t="str">
        <f>IFERROR(__xludf.DUMMYFUNCTION("""COMPUTED_VALUE"""),"SCREEN")</f>
        <v>SCREEN</v>
      </c>
      <c r="C285" s="26" t="str">
        <f>IFERROR(__xludf.DUMMYFUNCTION("""COMPUTED_VALUE"""),"MINDT HALLADAY")</f>
        <v>MINDT HALLADAY</v>
      </c>
      <c r="D285" s="27" t="str">
        <f>IFERROR(__xludf.DUMMYFUNCTION("""COMPUTED_VALUE"""),"MISC")</f>
        <v>MISC</v>
      </c>
      <c r="E285" s="27" t="str">
        <f>IFERROR(__xludf.DUMMYFUNCTION("""COMPUTED_VALUE"""),"5112")</f>
        <v>5112</v>
      </c>
      <c r="F285" s="36">
        <f>IFERROR(__xludf.DUMMYFUNCTION("""COMPUTED_VALUE"""),3.0)</f>
        <v>3</v>
      </c>
      <c r="G285" s="27" t="str">
        <f>IFERROR(__xludf.DUMMYFUNCTION("""COMPUTED_VALUE"""),"UNIT")</f>
        <v>UNIT</v>
      </c>
      <c r="H285" s="37"/>
      <c r="I285" s="36" t="str">
        <f>IFERROR(__xludf.DUMMYFUNCTION("""COMPUTED_VALUE"""),"A1B")</f>
        <v>A1B</v>
      </c>
      <c r="J285" s="30" t="str">
        <f>IFERROR(__xludf.DUMMYFUNCTION("""COMPUTED_VALUE"""),"ALSIDE")</f>
        <v>ALSIDE</v>
      </c>
      <c r="K285" s="26" t="str">
        <f>IFERROR(__xludf.DUMMYFUNCTION("""COMPUTED_VALUE"""),"BRONZE, 27 3/4 X 56 5/8, 27 5/8 X 57 1/8, 26X54 1/8")</f>
        <v>BRONZE, 27 3/4 X 56 5/8, 27 5/8 X 57 1/8, 26X54 1/8</v>
      </c>
      <c r="L285" s="30" t="str">
        <f>IFERROR(__xludf.DUMMYFUNCTION("""COMPUTED_VALUE"""),"IN STOCK")</f>
        <v>IN STOCK</v>
      </c>
      <c r="M285" s="26"/>
      <c r="N285" s="26" t="str">
        <f>IFERROR(__xludf.DUMMYFUNCTION("""COMPUTED_VALUE"""),"MINDT HALLADAY")</f>
        <v>MINDT HALLADAY</v>
      </c>
      <c r="O285" s="26" t="str">
        <f>IFERROR(__xludf.DUMMYFUNCTION("""COMPUTED_VALUE"""),"SCREEN|||MINDT HALLADAY")</f>
        <v>SCREEN|||MINDT HALLADAY</v>
      </c>
      <c r="P285" s="26"/>
      <c r="Q285" s="26"/>
      <c r="R285" s="26" t="str">
        <f>IFERROR(__xludf.DUMMYFUNCTION("""COMPUTED_VALUE"""),"A1B")</f>
        <v>A1B</v>
      </c>
      <c r="S285" s="26" t="str">
        <f>IFERROR(__xludf.DUMMYFUNCTION("""COMPUTED_VALUE"""),"ENTRY")</f>
        <v>ENTRY</v>
      </c>
      <c r="T285" s="26"/>
    </row>
    <row r="286">
      <c r="A286" s="35">
        <f>IFERROR(__xludf.DUMMYFUNCTION("""COMPUTED_VALUE"""),46113.416013182876)</f>
        <v>46113.41601</v>
      </c>
      <c r="B286" s="36" t="str">
        <f>IFERROR(__xludf.DUMMYFUNCTION("""COMPUTED_VALUE"""),"SCREEN")</f>
        <v>SCREEN</v>
      </c>
      <c r="C286" s="26" t="str">
        <f>IFERROR(__xludf.DUMMYFUNCTION("""COMPUTED_VALUE"""),"INCLINE 4040")</f>
        <v>INCLINE 4040</v>
      </c>
      <c r="D286" s="27"/>
      <c r="E286" s="27" t="str">
        <f>IFERROR(__xludf.DUMMYFUNCTION("""COMPUTED_VALUE"""),"5176")</f>
        <v>5176</v>
      </c>
      <c r="F286" s="36">
        <f>IFERROR(__xludf.DUMMYFUNCTION("""COMPUTED_VALUE"""),1.0)</f>
        <v>1</v>
      </c>
      <c r="G286" s="27" t="str">
        <f>IFERROR(__xludf.DUMMYFUNCTION("""COMPUTED_VALUE"""),"UNIT")</f>
        <v>UNIT</v>
      </c>
      <c r="H286" s="37"/>
      <c r="I286" s="36" t="str">
        <f>IFERROR(__xludf.DUMMYFUNCTION("""COMPUTED_VALUE"""),"A1B")</f>
        <v>A1B</v>
      </c>
      <c r="J286" s="30" t="str">
        <f>IFERROR(__xludf.DUMMYFUNCTION("""COMPUTED_VALUE"""),"ALSIDE")</f>
        <v>ALSIDE</v>
      </c>
      <c r="K286" s="26" t="str">
        <f>IFERROR(__xludf.DUMMYFUNCTION("""COMPUTED_VALUE"""),"ALMOND, 21 3/4 X 45 1/8")</f>
        <v>ALMOND, 21 3/4 X 45 1/8</v>
      </c>
      <c r="L286" s="30" t="str">
        <f>IFERROR(__xludf.DUMMYFUNCTION("""COMPUTED_VALUE"""),"IN STOCK")</f>
        <v>IN STOCK</v>
      </c>
      <c r="M286" s="26"/>
      <c r="N286" s="26" t="str">
        <f>IFERROR(__xludf.DUMMYFUNCTION("""COMPUTED_VALUE"""),"INCLINE 4040")</f>
        <v>INCLINE 4040</v>
      </c>
      <c r="O286" s="26" t="str">
        <f>IFERROR(__xludf.DUMMYFUNCTION("""COMPUTED_VALUE"""),"SCREEN|||INCLINE 4040")</f>
        <v>SCREEN|||INCLINE 4040</v>
      </c>
      <c r="P286" s="26"/>
      <c r="Q286" s="26"/>
      <c r="R286" s="26" t="str">
        <f>IFERROR(__xludf.DUMMYFUNCTION("""COMPUTED_VALUE"""),"A1B")</f>
        <v>A1B</v>
      </c>
      <c r="S286" s="26" t="str">
        <f>IFERROR(__xludf.DUMMYFUNCTION("""COMPUTED_VALUE"""),"ENTRY")</f>
        <v>ENTRY</v>
      </c>
      <c r="T286" s="26"/>
    </row>
    <row r="287">
      <c r="A287" s="35">
        <f>IFERROR(__xludf.DUMMYFUNCTION("""COMPUTED_VALUE"""),46113.41301936343)</f>
        <v>46113.41302</v>
      </c>
      <c r="B287" s="36" t="str">
        <f>IFERROR(__xludf.DUMMYFUNCTION("""COMPUTED_VALUE"""),"SCREEN")</f>
        <v>SCREEN</v>
      </c>
      <c r="C287" s="26" t="str">
        <f>IFERROR(__xludf.DUMMYFUNCTION("""COMPUTED_VALUE"""),"ALVIN JENSON")</f>
        <v>ALVIN JENSON</v>
      </c>
      <c r="D287" s="27" t="str">
        <f>IFERROR(__xludf.DUMMYFUNCTION("""COMPUTED_VALUE"""),"MISC")</f>
        <v>MISC</v>
      </c>
      <c r="E287" s="27" t="str">
        <f>IFERROR(__xludf.DUMMYFUNCTION("""COMPUTED_VALUE"""),"4859")</f>
        <v>4859</v>
      </c>
      <c r="F287" s="36">
        <f>IFERROR(__xludf.DUMMYFUNCTION("""COMPUTED_VALUE"""),1.0)</f>
        <v>1</v>
      </c>
      <c r="G287" s="27" t="str">
        <f>IFERROR(__xludf.DUMMYFUNCTION("""COMPUTED_VALUE"""),"UNIT")</f>
        <v>UNIT</v>
      </c>
      <c r="H287" s="37"/>
      <c r="I287" s="36" t="str">
        <f>IFERROR(__xludf.DUMMYFUNCTION("""COMPUTED_VALUE"""),"A1B")</f>
        <v>A1B</v>
      </c>
      <c r="J287" s="30" t="str">
        <f>IFERROR(__xludf.DUMMYFUNCTION("""COMPUTED_VALUE"""),"ALSIDE")</f>
        <v>ALSIDE</v>
      </c>
      <c r="K287" s="26" t="str">
        <f>IFERROR(__xludf.DUMMYFUNCTION("""COMPUTED_VALUE"""),"WHITE, 21 15/16 X 45 3/8")</f>
        <v>WHITE, 21 15/16 X 45 3/8</v>
      </c>
      <c r="L287" s="30" t="str">
        <f>IFERROR(__xludf.DUMMYFUNCTION("""COMPUTED_VALUE"""),"IN STOCK")</f>
        <v>IN STOCK</v>
      </c>
      <c r="M287" s="26"/>
      <c r="N287" s="26" t="str">
        <f>IFERROR(__xludf.DUMMYFUNCTION("""COMPUTED_VALUE"""),"ALVIN JENSON")</f>
        <v>ALVIN JENSON</v>
      </c>
      <c r="O287" s="26" t="str">
        <f>IFERROR(__xludf.DUMMYFUNCTION("""COMPUTED_VALUE"""),"SCREEN|||ALVIN JENSON")</f>
        <v>SCREEN|||ALVIN JENSON</v>
      </c>
      <c r="P287" s="26"/>
      <c r="Q287" s="26"/>
      <c r="R287" s="26" t="str">
        <f>IFERROR(__xludf.DUMMYFUNCTION("""COMPUTED_VALUE"""),"A1B")</f>
        <v>A1B</v>
      </c>
      <c r="S287" s="26" t="str">
        <f>IFERROR(__xludf.DUMMYFUNCTION("""COMPUTED_VALUE"""),"ENTRY")</f>
        <v>ENTRY</v>
      </c>
      <c r="T287" s="26"/>
    </row>
    <row r="288">
      <c r="A288" s="35">
        <f>IFERROR(__xludf.DUMMYFUNCTION("""COMPUTED_VALUE"""),46113.40942981481)</f>
        <v>46113.40943</v>
      </c>
      <c r="B288" s="36" t="str">
        <f>IFERROR(__xludf.DUMMYFUNCTION("""COMPUTED_VALUE"""),"SCREEN")</f>
        <v>SCREEN</v>
      </c>
      <c r="C288" s="26" t="str">
        <f>IFERROR(__xludf.DUMMYFUNCTION("""COMPUTED_VALUE"""),"JENNAE THOMAS")</f>
        <v>JENNAE THOMAS</v>
      </c>
      <c r="D288" s="27"/>
      <c r="E288" s="27" t="str">
        <f>IFERROR(__xludf.DUMMYFUNCTION("""COMPUTED_VALUE"""),"L723")</f>
        <v>L723</v>
      </c>
      <c r="F288" s="36">
        <f>IFERROR(__xludf.DUMMYFUNCTION("""COMPUTED_VALUE"""),1.0)</f>
        <v>1</v>
      </c>
      <c r="G288" s="27" t="str">
        <f>IFERROR(__xludf.DUMMYFUNCTION("""COMPUTED_VALUE"""),"UNIT")</f>
        <v>UNIT</v>
      </c>
      <c r="H288" s="37"/>
      <c r="I288" s="36" t="str">
        <f>IFERROR(__xludf.DUMMYFUNCTION("""COMPUTED_VALUE"""),"A1B")</f>
        <v>A1B</v>
      </c>
      <c r="J288" s="30" t="str">
        <f>IFERROR(__xludf.DUMMYFUNCTION("""COMPUTED_VALUE"""),"ALSIDE")</f>
        <v>ALSIDE</v>
      </c>
      <c r="K288" s="26" t="str">
        <f>IFERROR(__xludf.DUMMYFUNCTION("""COMPUTED_VALUE"""),"WHITE, 21 11/16 X 56 7/8")</f>
        <v>WHITE, 21 11/16 X 56 7/8</v>
      </c>
      <c r="L288" s="30" t="str">
        <f>IFERROR(__xludf.DUMMYFUNCTION("""COMPUTED_VALUE"""),"IN STOCK")</f>
        <v>IN STOCK</v>
      </c>
      <c r="M288" s="26"/>
      <c r="N288" s="26" t="str">
        <f>IFERROR(__xludf.DUMMYFUNCTION("""COMPUTED_VALUE"""),"JENNAE THOMAS")</f>
        <v>JENNAE THOMAS</v>
      </c>
      <c r="O288" s="26" t="str">
        <f>IFERROR(__xludf.DUMMYFUNCTION("""COMPUTED_VALUE"""),"SCREEN|||JENNAE THOMAS")</f>
        <v>SCREEN|||JENNAE THOMAS</v>
      </c>
      <c r="P288" s="26"/>
      <c r="Q288" s="26"/>
      <c r="R288" s="26" t="str">
        <f>IFERROR(__xludf.DUMMYFUNCTION("""COMPUTED_VALUE"""),"A1B")</f>
        <v>A1B</v>
      </c>
      <c r="S288" s="26" t="str">
        <f>IFERROR(__xludf.DUMMYFUNCTION("""COMPUTED_VALUE"""),"ENTRY")</f>
        <v>ENTRY</v>
      </c>
      <c r="T288" s="26"/>
    </row>
    <row r="289">
      <c r="A289" s="35">
        <f>IFERROR(__xludf.DUMMYFUNCTION("""COMPUTED_VALUE"""),46113.40739478009)</f>
        <v>46113.40739</v>
      </c>
      <c r="B289" s="36" t="str">
        <f>IFERROR(__xludf.DUMMYFUNCTION("""COMPUTED_VALUE"""),"SCREEN")</f>
        <v>SCREEN</v>
      </c>
      <c r="C289" s="26" t="str">
        <f>IFERROR(__xludf.DUMMYFUNCTION("""COMPUTED_VALUE"""),"CC8")</f>
        <v>CC8</v>
      </c>
      <c r="D289" s="27" t="str">
        <f>IFERROR(__xludf.DUMMYFUNCTION("""COMPUTED_VALUE"""),"PAT")</f>
        <v>PAT</v>
      </c>
      <c r="E289" s="27" t="str">
        <f>IFERROR(__xludf.DUMMYFUNCTION("""COMPUTED_VALUE"""),"3722")</f>
        <v>3722</v>
      </c>
      <c r="F289" s="36">
        <f>IFERROR(__xludf.DUMMYFUNCTION("""COMPUTED_VALUE"""),1.0)</f>
        <v>1</v>
      </c>
      <c r="G289" s="27" t="str">
        <f>IFERROR(__xludf.DUMMYFUNCTION("""COMPUTED_VALUE"""),"UNIT")</f>
        <v>UNIT</v>
      </c>
      <c r="H289" s="37"/>
      <c r="I289" s="36" t="str">
        <f>IFERROR(__xludf.DUMMYFUNCTION("""COMPUTED_VALUE"""),"A1B")</f>
        <v>A1B</v>
      </c>
      <c r="J289" s="30" t="str">
        <f>IFERROR(__xludf.DUMMYFUNCTION("""COMPUTED_VALUE"""),"ALSIDE")</f>
        <v>ALSIDE</v>
      </c>
      <c r="K289" s="26" t="str">
        <f>IFERROR(__xludf.DUMMYFUNCTION("""COMPUTED_VALUE"""),"WHITE, 21 5/8 X 44 3/4")</f>
        <v>WHITE, 21 5/8 X 44 3/4</v>
      </c>
      <c r="L289" s="30" t="str">
        <f>IFERROR(__xludf.DUMMYFUNCTION("""COMPUTED_VALUE"""),"IN STOCK")</f>
        <v>IN STOCK</v>
      </c>
      <c r="M289" s="26"/>
      <c r="N289" s="26" t="str">
        <f>IFERROR(__xludf.DUMMYFUNCTION("""COMPUTED_VALUE"""),"CC8")</f>
        <v>CC8</v>
      </c>
      <c r="O289" s="26" t="str">
        <f>IFERROR(__xludf.DUMMYFUNCTION("""COMPUTED_VALUE"""),"SCREEN|||CC8")</f>
        <v>SCREEN|||CC8</v>
      </c>
      <c r="P289" s="26"/>
      <c r="Q289" s="26"/>
      <c r="R289" s="26" t="str">
        <f>IFERROR(__xludf.DUMMYFUNCTION("""COMPUTED_VALUE"""),"A1B")</f>
        <v>A1B</v>
      </c>
      <c r="S289" s="26" t="str">
        <f>IFERROR(__xludf.DUMMYFUNCTION("""COMPUTED_VALUE"""),"ENTRY")</f>
        <v>ENTRY</v>
      </c>
      <c r="T289" s="26"/>
    </row>
    <row r="290">
      <c r="A290" s="35">
        <f>IFERROR(__xludf.DUMMYFUNCTION("""COMPUTED_VALUE"""),46113.404543958335)</f>
        <v>46113.40454</v>
      </c>
      <c r="B290" s="36" t="str">
        <f>IFERROR(__xludf.DUMMYFUNCTION("""COMPUTED_VALUE"""),"SCREEN")</f>
        <v>SCREEN</v>
      </c>
      <c r="C290" s="26" t="str">
        <f>IFERROR(__xludf.DUMMYFUNCTION("""COMPUTED_VALUE"""),"RIVER POINT 17 E")</f>
        <v>RIVER POINT 17 E</v>
      </c>
      <c r="D290" s="27" t="str">
        <f>IFERROR(__xludf.DUMMYFUNCTION("""COMPUTED_VALUE"""),"SWE")</f>
        <v>SWE</v>
      </c>
      <c r="E290" s="27" t="str">
        <f>IFERROR(__xludf.DUMMYFUNCTION("""COMPUTED_VALUE"""),"3694")</f>
        <v>3694</v>
      </c>
      <c r="F290" s="36">
        <f>IFERROR(__xludf.DUMMYFUNCTION("""COMPUTED_VALUE"""),1.0)</f>
        <v>1</v>
      </c>
      <c r="G290" s="27" t="str">
        <f>IFERROR(__xludf.DUMMYFUNCTION("""COMPUTED_VALUE"""),"UNIT")</f>
        <v>UNIT</v>
      </c>
      <c r="H290" s="37"/>
      <c r="I290" s="36" t="str">
        <f>IFERROR(__xludf.DUMMYFUNCTION("""COMPUTED_VALUE"""),"A1B")</f>
        <v>A1B</v>
      </c>
      <c r="J290" s="30" t="str">
        <f>IFERROR(__xludf.DUMMYFUNCTION("""COMPUTED_VALUE"""),"ALSIDE")</f>
        <v>ALSIDE</v>
      </c>
      <c r="K290" s="26" t="str">
        <f>IFERROR(__xludf.DUMMYFUNCTION("""COMPUTED_VALUE"""),"WHITE, 21 5/8 X 56 3/4")</f>
        <v>WHITE, 21 5/8 X 56 3/4</v>
      </c>
      <c r="L290" s="30" t="str">
        <f>IFERROR(__xludf.DUMMYFUNCTION("""COMPUTED_VALUE"""),"IN STOCK")</f>
        <v>IN STOCK</v>
      </c>
      <c r="M290" s="26"/>
      <c r="N290" s="26" t="str">
        <f>IFERROR(__xludf.DUMMYFUNCTION("""COMPUTED_VALUE"""),"RIVER POINT 17 E")</f>
        <v>RIVER POINT 17 E</v>
      </c>
      <c r="O290" s="26" t="str">
        <f>IFERROR(__xludf.DUMMYFUNCTION("""COMPUTED_VALUE"""),"SCREEN|||RIVER POINT 17 E")</f>
        <v>SCREEN|||RIVER POINT 17 E</v>
      </c>
      <c r="P290" s="26"/>
      <c r="Q290" s="26"/>
      <c r="R290" s="26" t="str">
        <f>IFERROR(__xludf.DUMMYFUNCTION("""COMPUTED_VALUE"""),"A1B")</f>
        <v>A1B</v>
      </c>
      <c r="S290" s="26" t="str">
        <f>IFERROR(__xludf.DUMMYFUNCTION("""COMPUTED_VALUE"""),"ENTRY")</f>
        <v>ENTRY</v>
      </c>
      <c r="T290" s="26"/>
    </row>
    <row r="291">
      <c r="A291" s="35">
        <f>IFERROR(__xludf.DUMMYFUNCTION("""COMPUTED_VALUE"""),46113.366203287034)</f>
        <v>46113.3662</v>
      </c>
      <c r="B291" s="36" t="str">
        <f>IFERROR(__xludf.DUMMYFUNCTION("""COMPUTED_VALUE"""),"SCREEN")</f>
        <v>SCREEN</v>
      </c>
      <c r="C291" s="26" t="str">
        <f>IFERROR(__xludf.DUMMYFUNCTION("""COMPUTED_VALUE"""),"TOWERYSD")</f>
        <v>TOWERYSD</v>
      </c>
      <c r="D291" s="27"/>
      <c r="E291" s="27" t="str">
        <f>IFERROR(__xludf.DUMMYFUNCTION("""COMPUTED_VALUE"""),"TOWERYSD")</f>
        <v>TOWERYSD</v>
      </c>
      <c r="F291" s="36">
        <f>IFERROR(__xludf.DUMMYFUNCTION("""COMPUTED_VALUE"""),1.0)</f>
        <v>1</v>
      </c>
      <c r="G291" s="27" t="str">
        <f>IFERROR(__xludf.DUMMYFUNCTION("""COMPUTED_VALUE"""),"UNIT")</f>
        <v>UNIT</v>
      </c>
      <c r="H291" s="37"/>
      <c r="I291" s="36" t="str">
        <f>IFERROR(__xludf.DUMMYFUNCTION("""COMPUTED_VALUE"""),"P2C")</f>
        <v>P2C</v>
      </c>
      <c r="J291" s="30" t="str">
        <f>IFERROR(__xludf.DUMMYFUNCTION("""COMPUTED_VALUE"""),"AMSCO")</f>
        <v>AMSCO</v>
      </c>
      <c r="K291" s="26" t="str">
        <f>IFERROR(__xludf.DUMMYFUNCTION("""COMPUTED_VALUE"""),"DOOR SCREEN, BLACK, 48 3/8 X 93 3/4")</f>
        <v>DOOR SCREEN, BLACK, 48 3/8 X 93 3/4</v>
      </c>
      <c r="L291" s="30" t="str">
        <f>IFERROR(__xludf.DUMMYFUNCTION("""COMPUTED_VALUE"""),"IN STOCK")</f>
        <v>IN STOCK</v>
      </c>
      <c r="M291" s="26"/>
      <c r="N291" s="26" t="str">
        <f>IFERROR(__xludf.DUMMYFUNCTION("""COMPUTED_VALUE"""),"TOWERYSD")</f>
        <v>TOWERYSD</v>
      </c>
      <c r="O291" s="26" t="str">
        <f>IFERROR(__xludf.DUMMYFUNCTION("""COMPUTED_VALUE"""),"SCREEN|||TOWERYSD")</f>
        <v>SCREEN|||TOWERYSD</v>
      </c>
      <c r="P291" s="26"/>
      <c r="Q291" s="26"/>
      <c r="R291" s="26" t="str">
        <f>IFERROR(__xludf.DUMMYFUNCTION("""COMPUTED_VALUE"""),"P2C")</f>
        <v>P2C</v>
      </c>
      <c r="S291" s="26" t="str">
        <f>IFERROR(__xludf.DUMMYFUNCTION("""COMPUTED_VALUE"""),"ENTRY")</f>
        <v>ENTRY</v>
      </c>
      <c r="T291" s="26"/>
    </row>
    <row r="292">
      <c r="A292" s="35">
        <f>IFERROR(__xludf.DUMMYFUNCTION("""COMPUTED_VALUE"""),46113.35077148148)</f>
        <v>46113.35077</v>
      </c>
      <c r="B292" s="36" t="str">
        <f>IFERROR(__xludf.DUMMYFUNCTION("""COMPUTED_VALUE"""),"SCREEN")</f>
        <v>SCREEN</v>
      </c>
      <c r="C292" s="26" t="str">
        <f>IFERROR(__xludf.DUMMYFUNCTION("""COMPUTED_VALUE"""),"BHS12")</f>
        <v>BHS12</v>
      </c>
      <c r="D292" s="27"/>
      <c r="E292" s="27" t="str">
        <f>IFERROR(__xludf.DUMMYFUNCTION("""COMPUTED_VALUE"""),"BHS12")</f>
        <v>BHS12</v>
      </c>
      <c r="F292" s="36">
        <f>IFERROR(__xludf.DUMMYFUNCTION("""COMPUTED_VALUE"""),1.0)</f>
        <v>1</v>
      </c>
      <c r="G292" s="27" t="str">
        <f>IFERROR(__xludf.DUMMYFUNCTION("""COMPUTED_VALUE"""),"UNIT")</f>
        <v>UNIT</v>
      </c>
      <c r="H292" s="37"/>
      <c r="I292" s="36" t="str">
        <f>IFERROR(__xludf.DUMMYFUNCTION("""COMPUTED_VALUE"""),"P2C")</f>
        <v>P2C</v>
      </c>
      <c r="J292" s="30" t="str">
        <f>IFERROR(__xludf.DUMMYFUNCTION("""COMPUTED_VALUE"""),"AMSCO")</f>
        <v>AMSCO</v>
      </c>
      <c r="K292" s="26" t="str">
        <f>IFERROR(__xludf.DUMMYFUNCTION("""COMPUTED_VALUE"""),"DOOR SCREEN, BLACK, 36 3/8 X 93 3/4")</f>
        <v>DOOR SCREEN, BLACK, 36 3/8 X 93 3/4</v>
      </c>
      <c r="L292" s="30" t="str">
        <f>IFERROR(__xludf.DUMMYFUNCTION("""COMPUTED_VALUE"""),"IN STOCK")</f>
        <v>IN STOCK</v>
      </c>
      <c r="M292" s="26"/>
      <c r="N292" s="26" t="str">
        <f>IFERROR(__xludf.DUMMYFUNCTION("""COMPUTED_VALUE"""),"BHS12")</f>
        <v>BHS12</v>
      </c>
      <c r="O292" s="26" t="str">
        <f>IFERROR(__xludf.DUMMYFUNCTION("""COMPUTED_VALUE"""),"SCREEN|||BHS12")</f>
        <v>SCREEN|||BHS12</v>
      </c>
      <c r="P292" s="26"/>
      <c r="Q292" s="26"/>
      <c r="R292" s="26" t="str">
        <f>IFERROR(__xludf.DUMMYFUNCTION("""COMPUTED_VALUE"""),"P2C")</f>
        <v>P2C</v>
      </c>
      <c r="S292" s="26" t="str">
        <f>IFERROR(__xludf.DUMMYFUNCTION("""COMPUTED_VALUE"""),"ENTRY")</f>
        <v>ENTRY</v>
      </c>
      <c r="T292" s="26"/>
    </row>
    <row r="293">
      <c r="A293" s="35">
        <f>IFERROR(__xludf.DUMMYFUNCTION("""COMPUTED_VALUE"""),46113.34697353009)</f>
        <v>46113.34697</v>
      </c>
      <c r="B293" s="36" t="str">
        <f>IFERROR(__xludf.DUMMYFUNCTION("""COMPUTED_VALUE"""),"SCREEN")</f>
        <v>SCREEN</v>
      </c>
      <c r="C293" s="26" t="str">
        <f>IFERROR(__xludf.DUMMYFUNCTION("""COMPUTED_VALUE"""),"PV126")</f>
        <v>PV126</v>
      </c>
      <c r="D293" s="27" t="str">
        <f>IFERROR(__xludf.DUMMYFUNCTION("""COMPUTED_VALUE"""),"PAT")</f>
        <v>PAT</v>
      </c>
      <c r="E293" s="27"/>
      <c r="F293" s="36">
        <f>IFERROR(__xludf.DUMMYFUNCTION("""COMPUTED_VALUE"""),2.0)</f>
        <v>2</v>
      </c>
      <c r="G293" s="27" t="str">
        <f>IFERROR(__xludf.DUMMYFUNCTION("""COMPUTED_VALUE"""),"UNIT")</f>
        <v>UNIT</v>
      </c>
      <c r="H293" s="37"/>
      <c r="I293" s="36" t="str">
        <f>IFERROR(__xludf.DUMMYFUNCTION("""COMPUTED_VALUE"""),"P2C")</f>
        <v>P2C</v>
      </c>
      <c r="J293" s="30" t="str">
        <f>IFERROR(__xludf.DUMMYFUNCTION("""COMPUTED_VALUE"""),"AMSCO")</f>
        <v>AMSCO</v>
      </c>
      <c r="K293" s="26" t="str">
        <f>IFERROR(__xludf.DUMMYFUNCTION("""COMPUTED_VALUE"""),"DOOR SCREEN, BLACK, 36 3/8 X93 3/4")</f>
        <v>DOOR SCREEN, BLACK, 36 3/8 X93 3/4</v>
      </c>
      <c r="L293" s="30" t="str">
        <f>IFERROR(__xludf.DUMMYFUNCTION("""COMPUTED_VALUE"""),"IN STOCK")</f>
        <v>IN STOCK</v>
      </c>
      <c r="M293" s="26"/>
      <c r="N293" s="26" t="str">
        <f>IFERROR(__xludf.DUMMYFUNCTION("""COMPUTED_VALUE"""),"PATTERNSON HOMES")</f>
        <v>PATTERNSON HOMES</v>
      </c>
      <c r="O293" s="26" t="str">
        <f>IFERROR(__xludf.DUMMYFUNCTION("""COMPUTED_VALUE"""),"SCREEN|||PV126")</f>
        <v>SCREEN|||PV126</v>
      </c>
      <c r="P293" s="26"/>
      <c r="Q293" s="26" t="str">
        <f>IFERROR(__xludf.DUMMYFUNCTION("""COMPUTED_VALUE"""),"jose@ox-glass.com")</f>
        <v>jose@ox-glass.com</v>
      </c>
      <c r="R293" s="26" t="str">
        <f>IFERROR(__xludf.DUMMYFUNCTION("""COMPUTED_VALUE"""),"P2C")</f>
        <v>P2C</v>
      </c>
      <c r="S293" s="26" t="str">
        <f>IFERROR(__xludf.DUMMYFUNCTION("""COMPUTED_VALUE"""),"ENTRY")</f>
        <v>ENTRY</v>
      </c>
      <c r="T293" s="26"/>
    </row>
    <row r="294">
      <c r="A294" s="35">
        <f>IFERROR(__xludf.DUMMYFUNCTION("""COMPUTED_VALUE"""),46113.33441016204)</f>
        <v>46113.33441</v>
      </c>
      <c r="B294" s="36" t="str">
        <f>IFERROR(__xludf.DUMMYFUNCTION("""COMPUTED_VALUE"""),"SCREEN")</f>
        <v>SCREEN</v>
      </c>
      <c r="C294" s="26" t="str">
        <f>IFERROR(__xludf.DUMMYFUNCTION("""COMPUTED_VALUE"""),"LOT1005DELANO")</f>
        <v>LOT1005DELANO</v>
      </c>
      <c r="D294" s="27" t="str">
        <f>IFERROR(__xludf.DUMMYFUNCTION("""COMPUTED_VALUE"""),"LGI")</f>
        <v>LGI</v>
      </c>
      <c r="E294" s="27" t="str">
        <f>IFERROR(__xludf.DUMMYFUNCTION("""COMPUTED_VALUE"""),"6635")</f>
        <v>6635</v>
      </c>
      <c r="F294" s="36">
        <f>IFERROR(__xludf.DUMMYFUNCTION("""COMPUTED_VALUE"""),1.0)</f>
        <v>1</v>
      </c>
      <c r="G294" s="27" t="str">
        <f>IFERROR(__xludf.DUMMYFUNCTION("""COMPUTED_VALUE"""),"UNIT")</f>
        <v>UNIT</v>
      </c>
      <c r="H294" s="37"/>
      <c r="I294" s="36" t="str">
        <f>IFERROR(__xludf.DUMMYFUNCTION("""COMPUTED_VALUE"""),"P1C")</f>
        <v>P1C</v>
      </c>
      <c r="J294" s="30" t="str">
        <f>IFERROR(__xludf.DUMMYFUNCTION("""COMPUTED_VALUE"""),"ALSIDE")</f>
        <v>ALSIDE</v>
      </c>
      <c r="K294" s="26" t="str">
        <f>IFERROR(__xludf.DUMMYFUNCTION("""COMPUTED_VALUE"""),"DOOR SCREEN, WHITE, 30X77 3/4")</f>
        <v>DOOR SCREEN, WHITE, 30X77 3/4</v>
      </c>
      <c r="L294" s="30" t="str">
        <f>IFERROR(__xludf.DUMMYFUNCTION("""COMPUTED_VALUE"""),"IN STOCK")</f>
        <v>IN STOCK</v>
      </c>
      <c r="M294" s="26"/>
      <c r="N294" s="26" t="str">
        <f>IFERROR(__xludf.DUMMYFUNCTION("""COMPUTED_VALUE"""),"LOT1005DELANO")</f>
        <v>LOT1005DELANO</v>
      </c>
      <c r="O294" s="26" t="str">
        <f>IFERROR(__xludf.DUMMYFUNCTION("""COMPUTED_VALUE"""),"SCREEN|||LOT1005DELANO")</f>
        <v>SCREEN|||LOT1005DELANO</v>
      </c>
      <c r="P294" s="26"/>
      <c r="Q294" s="26"/>
      <c r="R294" s="26" t="str">
        <f>IFERROR(__xludf.DUMMYFUNCTION("""COMPUTED_VALUE"""),"P1C")</f>
        <v>P1C</v>
      </c>
      <c r="S294" s="26" t="str">
        <f>IFERROR(__xludf.DUMMYFUNCTION("""COMPUTED_VALUE"""),"ENTRY")</f>
        <v>ENTRY</v>
      </c>
      <c r="T294" s="26"/>
    </row>
    <row r="295">
      <c r="A295" s="35">
        <f>IFERROR(__xludf.DUMMYFUNCTION("""COMPUTED_VALUE"""),46113.33130857638)</f>
        <v>46113.33131</v>
      </c>
      <c r="B295" s="36" t="str">
        <f>IFERROR(__xludf.DUMMYFUNCTION("""COMPUTED_VALUE"""),"SCREEN")</f>
        <v>SCREEN</v>
      </c>
      <c r="C295" s="26" t="str">
        <f>IFERROR(__xludf.DUMMYFUNCTION("""COMPUTED_VALUE"""),"1044GRANITE")</f>
        <v>1044GRANITE</v>
      </c>
      <c r="D295" s="27" t="str">
        <f>IFERROR(__xludf.DUMMYFUNCTION("""COMPUTED_VALUE"""),"LGI")</f>
        <v>LGI</v>
      </c>
      <c r="E295" s="27" t="str">
        <f>IFERROR(__xludf.DUMMYFUNCTION("""COMPUTED_VALUE"""),"6634")</f>
        <v>6634</v>
      </c>
      <c r="F295" s="36">
        <f>IFERROR(__xludf.DUMMYFUNCTION("""COMPUTED_VALUE"""),1.0)</f>
        <v>1</v>
      </c>
      <c r="G295" s="27" t="str">
        <f>IFERROR(__xludf.DUMMYFUNCTION("""COMPUTED_VALUE"""),"UNIT")</f>
        <v>UNIT</v>
      </c>
      <c r="H295" s="37"/>
      <c r="I295" s="36" t="str">
        <f>IFERROR(__xludf.DUMMYFUNCTION("""COMPUTED_VALUE"""),"P1C")</f>
        <v>P1C</v>
      </c>
      <c r="J295" s="30" t="str">
        <f>IFERROR(__xludf.DUMMYFUNCTION("""COMPUTED_VALUE"""),"ALSIDE")</f>
        <v>ALSIDE</v>
      </c>
      <c r="K295" s="26" t="str">
        <f>IFERROR(__xludf.DUMMYFUNCTION("""COMPUTED_VALUE"""),"DOOR SCREEN, WHITE, 30X77 3/4")</f>
        <v>DOOR SCREEN, WHITE, 30X77 3/4</v>
      </c>
      <c r="L295" s="30" t="str">
        <f>IFERROR(__xludf.DUMMYFUNCTION("""COMPUTED_VALUE"""),"IN STOCK")</f>
        <v>IN STOCK</v>
      </c>
      <c r="M295" s="26"/>
      <c r="N295" s="26" t="str">
        <f>IFERROR(__xludf.DUMMYFUNCTION("""COMPUTED_VALUE"""),"1044GRANITE")</f>
        <v>1044GRANITE</v>
      </c>
      <c r="O295" s="26" t="str">
        <f>IFERROR(__xludf.DUMMYFUNCTION("""COMPUTED_VALUE"""),"SCREEN|||1044GRANITE")</f>
        <v>SCREEN|||1044GRANITE</v>
      </c>
      <c r="P295" s="26"/>
      <c r="Q295" s="26" t="str">
        <f>IFERROR(__xludf.DUMMYFUNCTION("""COMPUTED_VALUE"""),"jose@ox-glass.com")</f>
        <v>jose@ox-glass.com</v>
      </c>
      <c r="R295" s="26" t="str">
        <f>IFERROR(__xludf.DUMMYFUNCTION("""COMPUTED_VALUE"""),"P1C")</f>
        <v>P1C</v>
      </c>
      <c r="S295" s="26" t="str">
        <f>IFERROR(__xludf.DUMMYFUNCTION("""COMPUTED_VALUE"""),"ENTRY")</f>
        <v>ENTRY</v>
      </c>
      <c r="T295" s="26"/>
    </row>
    <row r="296">
      <c r="A296" s="35">
        <f>IFERROR(__xludf.DUMMYFUNCTION("""COMPUTED_VALUE"""),46113.330573402774)</f>
        <v>46113.33057</v>
      </c>
      <c r="B296" s="36" t="str">
        <f>IFERROR(__xludf.DUMMYFUNCTION("""COMPUTED_VALUE"""),"SCREEN")</f>
        <v>SCREEN</v>
      </c>
      <c r="C296" s="26" t="str">
        <f>IFERROR(__xludf.DUMMYFUNCTION("""COMPUTED_VALUE"""),"MILLARD")</f>
        <v>MILLARD</v>
      </c>
      <c r="D296" s="27" t="str">
        <f>IFERROR(__xludf.DUMMYFUNCTION("""COMPUTED_VALUE"""),"LGI")</f>
        <v>LGI</v>
      </c>
      <c r="E296" s="27" t="str">
        <f>IFERROR(__xludf.DUMMYFUNCTION("""COMPUTED_VALUE"""),"6636")</f>
        <v>6636</v>
      </c>
      <c r="F296" s="36">
        <f>IFERROR(__xludf.DUMMYFUNCTION("""COMPUTED_VALUE"""),1.0)</f>
        <v>1</v>
      </c>
      <c r="G296" s="27" t="str">
        <f>IFERROR(__xludf.DUMMYFUNCTION("""COMPUTED_VALUE"""),"UNIT")</f>
        <v>UNIT</v>
      </c>
      <c r="H296" s="37"/>
      <c r="I296" s="36" t="str">
        <f>IFERROR(__xludf.DUMMYFUNCTION("""COMPUTED_VALUE"""),"P1C")</f>
        <v>P1C</v>
      </c>
      <c r="J296" s="30" t="str">
        <f>IFERROR(__xludf.DUMMYFUNCTION("""COMPUTED_VALUE"""),"ALSIDE")</f>
        <v>ALSIDE</v>
      </c>
      <c r="K296" s="26" t="str">
        <f>IFERROR(__xludf.DUMMYFUNCTION("""COMPUTED_VALUE"""),"DOOR SCREEN, WHITE, 30X77 3/4")</f>
        <v>DOOR SCREEN, WHITE, 30X77 3/4</v>
      </c>
      <c r="L296" s="30" t="str">
        <f>IFERROR(__xludf.DUMMYFUNCTION("""COMPUTED_VALUE"""),"IN STOCK")</f>
        <v>IN STOCK</v>
      </c>
      <c r="M296" s="26"/>
      <c r="N296" s="26" t="str">
        <f>IFERROR(__xludf.DUMMYFUNCTION("""COMPUTED_VALUE"""),"MILLARD")</f>
        <v>MILLARD</v>
      </c>
      <c r="O296" s="26" t="str">
        <f>IFERROR(__xludf.DUMMYFUNCTION("""COMPUTED_VALUE"""),"SCREEN|||MILLARD")</f>
        <v>SCREEN|||MILLARD</v>
      </c>
      <c r="P296" s="26"/>
      <c r="Q296" s="26"/>
      <c r="R296" s="26" t="str">
        <f>IFERROR(__xludf.DUMMYFUNCTION("""COMPUTED_VALUE"""),"P1C")</f>
        <v>P1C</v>
      </c>
      <c r="S296" s="26" t="str">
        <f>IFERROR(__xludf.DUMMYFUNCTION("""COMPUTED_VALUE"""),"ENTRY")</f>
        <v>ENTRY</v>
      </c>
      <c r="T296" s="26"/>
    </row>
    <row r="297">
      <c r="A297" s="35">
        <f>IFERROR(__xludf.DUMMYFUNCTION("""COMPUTED_VALUE"""),46112.59289877315)</f>
        <v>46112.5929</v>
      </c>
      <c r="B297" s="36" t="str">
        <f>IFERROR(__xludf.DUMMYFUNCTION("""COMPUTED_VALUE"""),"SCREEN")</f>
        <v>SCREEN</v>
      </c>
      <c r="C297" s="26" t="str">
        <f>IFERROR(__xludf.DUMMYFUNCTION("""COMPUTED_VALUE"""),"LH6")</f>
        <v>LH6</v>
      </c>
      <c r="D297" s="27"/>
      <c r="E297" s="27" t="str">
        <f>IFERROR(__xludf.DUMMYFUNCTION("""COMPUTED_VALUE"""),"3695")</f>
        <v>3695</v>
      </c>
      <c r="F297" s="36">
        <f>IFERROR(__xludf.DUMMYFUNCTION("""COMPUTED_VALUE"""),1.0)</f>
        <v>1</v>
      </c>
      <c r="G297" s="27" t="str">
        <f>IFERROR(__xludf.DUMMYFUNCTION("""COMPUTED_VALUE"""),"UNIT")</f>
        <v>UNIT</v>
      </c>
      <c r="H297" s="37"/>
      <c r="I297" s="36" t="str">
        <f>IFERROR(__xludf.DUMMYFUNCTION("""COMPUTED_VALUE"""),"P2C")</f>
        <v>P2C</v>
      </c>
      <c r="J297" s="30" t="str">
        <f>IFERROR(__xludf.DUMMYFUNCTION("""COMPUTED_VALUE"""),"ALSIDE")</f>
        <v>ALSIDE</v>
      </c>
      <c r="K297" s="26" t="str">
        <f>IFERROR(__xludf.DUMMYFUNCTION("""COMPUTED_VALUE"""),"WHITE DOOR SCREEN, 36X93 3/4")</f>
        <v>WHITE DOOR SCREEN, 36X93 3/4</v>
      </c>
      <c r="L297" s="30" t="str">
        <f>IFERROR(__xludf.DUMMYFUNCTION("""COMPUTED_VALUE"""),"IN STOCK")</f>
        <v>IN STOCK</v>
      </c>
      <c r="M297" s="26"/>
      <c r="N297" s="26" t="str">
        <f>IFERROR(__xludf.DUMMYFUNCTION("""COMPUTED_VALUE"""),"LH6")</f>
        <v>LH6</v>
      </c>
      <c r="O297" s="26" t="str">
        <f>IFERROR(__xludf.DUMMYFUNCTION("""COMPUTED_VALUE"""),"SCREEN|||LH6")</f>
        <v>SCREEN|||LH6</v>
      </c>
      <c r="P297" s="26"/>
      <c r="Q297" s="26"/>
      <c r="R297" s="26" t="str">
        <f>IFERROR(__xludf.DUMMYFUNCTION("""COMPUTED_VALUE"""),"P2C")</f>
        <v>P2C</v>
      </c>
      <c r="S297" s="26" t="str">
        <f>IFERROR(__xludf.DUMMYFUNCTION("""COMPUTED_VALUE"""),"ENTRY")</f>
        <v>ENTRY</v>
      </c>
      <c r="T297" s="26"/>
    </row>
    <row r="298">
      <c r="A298" s="35">
        <f>IFERROR(__xludf.DUMMYFUNCTION("""COMPUTED_VALUE"""),46112.58930263889)</f>
        <v>46112.5893</v>
      </c>
      <c r="B298" s="36" t="str">
        <f>IFERROR(__xludf.DUMMYFUNCTION("""COMPUTED_VALUE"""),"SCREEN")</f>
        <v>SCREEN</v>
      </c>
      <c r="C298" s="26"/>
      <c r="D298" s="27"/>
      <c r="E298" s="27" t="str">
        <f>IFERROR(__xludf.DUMMYFUNCTION("""COMPUTED_VALUE"""),"Q601")</f>
        <v>Q601</v>
      </c>
      <c r="F298" s="36">
        <f>IFERROR(__xludf.DUMMYFUNCTION("""COMPUTED_VALUE"""),1.0)</f>
        <v>1</v>
      </c>
      <c r="G298" s="27" t="str">
        <f>IFERROR(__xludf.DUMMYFUNCTION("""COMPUTED_VALUE"""),"UNIT")</f>
        <v>UNIT</v>
      </c>
      <c r="H298" s="37"/>
      <c r="I298" s="36" t="str">
        <f>IFERROR(__xludf.DUMMYFUNCTION("""COMPUTED_VALUE"""),"P2C")</f>
        <v>P2C</v>
      </c>
      <c r="J298" s="30" t="str">
        <f>IFERROR(__xludf.DUMMYFUNCTION("""COMPUTED_VALUE"""),"ALSIDE")</f>
        <v>ALSIDE</v>
      </c>
      <c r="K298" s="26" t="str">
        <f>IFERROR(__xludf.DUMMYFUNCTION("""COMPUTED_VALUE"""),"WHITE, DOOR SCREEN, 36X93 3/4")</f>
        <v>WHITE, DOOR SCREEN, 36X93 3/4</v>
      </c>
      <c r="L298" s="30" t="str">
        <f>IFERROR(__xludf.DUMMYFUNCTION("""COMPUTED_VALUE"""),"IN STOCK")</f>
        <v>IN STOCK</v>
      </c>
      <c r="M298" s="26"/>
      <c r="N298" s="26"/>
      <c r="O298" s="26" t="str">
        <f>IFERROR(__xludf.DUMMYFUNCTION("""COMPUTED_VALUE"""),"SCREEN|||")</f>
        <v>SCREEN|||</v>
      </c>
      <c r="P298" s="26"/>
      <c r="Q298" s="26"/>
      <c r="R298" s="26" t="str">
        <f>IFERROR(__xludf.DUMMYFUNCTION("""COMPUTED_VALUE"""),"P2C")</f>
        <v>P2C</v>
      </c>
      <c r="S298" s="26" t="str">
        <f>IFERROR(__xludf.DUMMYFUNCTION("""COMPUTED_VALUE"""),"ENTRY")</f>
        <v>ENTRY</v>
      </c>
      <c r="T298" s="26"/>
    </row>
    <row r="299">
      <c r="A299" s="35">
        <f>IFERROR(__xludf.DUMMYFUNCTION("""COMPUTED_VALUE"""),46112.58291474538)</f>
        <v>46112.58291</v>
      </c>
      <c r="B299" s="36" t="str">
        <f>IFERROR(__xludf.DUMMYFUNCTION("""COMPUTED_VALUE"""),"SCREEN")</f>
        <v>SCREEN</v>
      </c>
      <c r="C299" s="26" t="str">
        <f>IFERROR(__xludf.DUMMYFUNCTION("""COMPUTED_VALUE"""),"LOST SPRINGS APARTMENT")</f>
        <v>LOST SPRINGS APARTMENT</v>
      </c>
      <c r="D299" s="27"/>
      <c r="E299" s="27" t="str">
        <f>IFERROR(__xludf.DUMMYFUNCTION("""COMPUTED_VALUE"""),"3597")</f>
        <v>3597</v>
      </c>
      <c r="F299" s="36">
        <f>IFERROR(__xludf.DUMMYFUNCTION("""COMPUTED_VALUE"""),1.0)</f>
        <v>1</v>
      </c>
      <c r="G299" s="27" t="str">
        <f>IFERROR(__xludf.DUMMYFUNCTION("""COMPUTED_VALUE"""),"UNIT")</f>
        <v>UNIT</v>
      </c>
      <c r="H299" s="37"/>
      <c r="I299" s="36" t="str">
        <f>IFERROR(__xludf.DUMMYFUNCTION("""COMPUTED_VALUE"""),"P1C")</f>
        <v>P1C</v>
      </c>
      <c r="J299" s="30" t="str">
        <f>IFERROR(__xludf.DUMMYFUNCTION("""COMPUTED_VALUE"""),"ALSIDE")</f>
        <v>ALSIDE</v>
      </c>
      <c r="K299" s="26" t="str">
        <f>IFERROR(__xludf.DUMMYFUNCTION("""COMPUTED_VALUE"""),"WHITE, DOOR SCREEN, 36X79 3/4")</f>
        <v>WHITE, DOOR SCREEN, 36X79 3/4</v>
      </c>
      <c r="L299" s="30" t="str">
        <f>IFERROR(__xludf.DUMMYFUNCTION("""COMPUTED_VALUE"""),"IN STOCK")</f>
        <v>IN STOCK</v>
      </c>
      <c r="M299" s="26"/>
      <c r="N299" s="26" t="str">
        <f>IFERROR(__xludf.DUMMYFUNCTION("""COMPUTED_VALUE"""),"LOST SPRINGS APARTMENT")</f>
        <v>LOST SPRINGS APARTMENT</v>
      </c>
      <c r="O299" s="26" t="str">
        <f>IFERROR(__xludf.DUMMYFUNCTION("""COMPUTED_VALUE"""),"SCREEN|||LOST SPRINGS APARTMENT")</f>
        <v>SCREEN|||LOST SPRINGS APARTMENT</v>
      </c>
      <c r="P299" s="26"/>
      <c r="Q299" s="26"/>
      <c r="R299" s="26" t="str">
        <f>IFERROR(__xludf.DUMMYFUNCTION("""COMPUTED_VALUE"""),"P1C")</f>
        <v>P1C</v>
      </c>
      <c r="S299" s="26" t="str">
        <f>IFERROR(__xludf.DUMMYFUNCTION("""COMPUTED_VALUE"""),"ENTRY")</f>
        <v>ENTRY</v>
      </c>
      <c r="T299" s="26"/>
    </row>
    <row r="300">
      <c r="A300" s="35">
        <f>IFERROR(__xludf.DUMMYFUNCTION("""COMPUTED_VALUE"""),46112.57870633102)</f>
        <v>46112.57871</v>
      </c>
      <c r="B300" s="36" t="str">
        <f>IFERROR(__xludf.DUMMYFUNCTION("""COMPUTED_VALUE"""),"SCREEN")</f>
        <v>SCREEN</v>
      </c>
      <c r="C300" s="26" t="str">
        <f>IFERROR(__xludf.DUMMYFUNCTION("""COMPUTED_VALUE"""),"SCARLET RIDGE 102")</f>
        <v>SCARLET RIDGE 102</v>
      </c>
      <c r="D300" s="27"/>
      <c r="E300" s="27" t="str">
        <f>IFERROR(__xludf.DUMMYFUNCTION("""COMPUTED_VALUE"""),"N316")</f>
        <v>N316</v>
      </c>
      <c r="F300" s="36">
        <f>IFERROR(__xludf.DUMMYFUNCTION("""COMPUTED_VALUE"""),1.0)</f>
        <v>1</v>
      </c>
      <c r="G300" s="27" t="str">
        <f>IFERROR(__xludf.DUMMYFUNCTION("""COMPUTED_VALUE"""),"UNIT")</f>
        <v>UNIT</v>
      </c>
      <c r="H300" s="37"/>
      <c r="I300" s="36" t="str">
        <f>IFERROR(__xludf.DUMMYFUNCTION("""COMPUTED_VALUE"""),"P1C")</f>
        <v>P1C</v>
      </c>
      <c r="J300" s="30" t="str">
        <f>IFERROR(__xludf.DUMMYFUNCTION("""COMPUTED_VALUE"""),"ALSIDE")</f>
        <v>ALSIDE</v>
      </c>
      <c r="K300" s="26" t="str">
        <f>IFERROR(__xludf.DUMMYFUNCTION("""COMPUTED_VALUE"""),"WHITE, DOOR SCREEN, 30X77 3/4")</f>
        <v>WHITE, DOOR SCREEN, 30X77 3/4</v>
      </c>
      <c r="L300" s="30" t="str">
        <f>IFERROR(__xludf.DUMMYFUNCTION("""COMPUTED_VALUE"""),"IN STOCK")</f>
        <v>IN STOCK</v>
      </c>
      <c r="M300" s="26"/>
      <c r="N300" s="26" t="str">
        <f>IFERROR(__xludf.DUMMYFUNCTION("""COMPUTED_VALUE"""),"SCARLET RIDGE 102")</f>
        <v>SCARLET RIDGE 102</v>
      </c>
      <c r="O300" s="26" t="str">
        <f>IFERROR(__xludf.DUMMYFUNCTION("""COMPUTED_VALUE"""),"SCREEN|||SCARLET RIDGE 102")</f>
        <v>SCREEN|||SCARLET RIDGE 102</v>
      </c>
      <c r="P300" s="26"/>
      <c r="Q300" s="26"/>
      <c r="R300" s="26" t="str">
        <f>IFERROR(__xludf.DUMMYFUNCTION("""COMPUTED_VALUE"""),"P1C")</f>
        <v>P1C</v>
      </c>
      <c r="S300" s="26" t="str">
        <f>IFERROR(__xludf.DUMMYFUNCTION("""COMPUTED_VALUE"""),"ENTRY")</f>
        <v>ENTRY</v>
      </c>
      <c r="T300" s="26"/>
    </row>
    <row r="301">
      <c r="A301" s="35">
        <f>IFERROR(__xludf.DUMMYFUNCTION("""COMPUTED_VALUE"""),46112.57657479167)</f>
        <v>46112.57657</v>
      </c>
      <c r="B301" s="36" t="str">
        <f>IFERROR(__xludf.DUMMYFUNCTION("""COMPUTED_VALUE"""),"SCREEN")</f>
        <v>SCREEN</v>
      </c>
      <c r="C301" s="26" t="str">
        <f>IFERROR(__xludf.DUMMYFUNCTION("""COMPUTED_VALUE"""),"REDROCK1001")</f>
        <v>REDROCK1001</v>
      </c>
      <c r="D301" s="27" t="str">
        <f>IFERROR(__xludf.DUMMYFUNCTION("""COMPUTED_VALUE"""),"LGI")</f>
        <v>LGI</v>
      </c>
      <c r="E301" s="27" t="str">
        <f>IFERROR(__xludf.DUMMYFUNCTION("""COMPUTED_VALUE"""),"6212")</f>
        <v>6212</v>
      </c>
      <c r="F301" s="36">
        <f>IFERROR(__xludf.DUMMYFUNCTION("""COMPUTED_VALUE"""),1.0)</f>
        <v>1</v>
      </c>
      <c r="G301" s="27" t="str">
        <f>IFERROR(__xludf.DUMMYFUNCTION("""COMPUTED_VALUE"""),"UNIT")</f>
        <v>UNIT</v>
      </c>
      <c r="H301" s="37"/>
      <c r="I301" s="36" t="str">
        <f>IFERROR(__xludf.DUMMYFUNCTION("""COMPUTED_VALUE"""),"P1C")</f>
        <v>P1C</v>
      </c>
      <c r="J301" s="30" t="str">
        <f>IFERROR(__xludf.DUMMYFUNCTION("""COMPUTED_VALUE"""),"ALSIDE")</f>
        <v>ALSIDE</v>
      </c>
      <c r="K301" s="26" t="str">
        <f>IFERROR(__xludf.DUMMYFUNCTION("""COMPUTED_VALUE"""),"WHITE, DOOR SCREEN, 30X77 3/4")</f>
        <v>WHITE, DOOR SCREEN, 30X77 3/4</v>
      </c>
      <c r="L301" s="30" t="str">
        <f>IFERROR(__xludf.DUMMYFUNCTION("""COMPUTED_VALUE"""),"IN STOCK")</f>
        <v>IN STOCK</v>
      </c>
      <c r="M301" s="26"/>
      <c r="N301" s="26" t="str">
        <f>IFERROR(__xludf.DUMMYFUNCTION("""COMPUTED_VALUE"""),"REDROCK1001")</f>
        <v>REDROCK1001</v>
      </c>
      <c r="O301" s="26" t="str">
        <f>IFERROR(__xludf.DUMMYFUNCTION("""COMPUTED_VALUE"""),"SCREEN|||REDROCK1001")</f>
        <v>SCREEN|||REDROCK1001</v>
      </c>
      <c r="P301" s="26"/>
      <c r="Q301" s="26"/>
      <c r="R301" s="26" t="str">
        <f>IFERROR(__xludf.DUMMYFUNCTION("""COMPUTED_VALUE"""),"P1C")</f>
        <v>P1C</v>
      </c>
      <c r="S301" s="26" t="str">
        <f>IFERROR(__xludf.DUMMYFUNCTION("""COMPUTED_VALUE"""),"ENTRY")</f>
        <v>ENTRY</v>
      </c>
      <c r="T301" s="26"/>
    </row>
    <row r="302">
      <c r="A302" s="35">
        <f>IFERROR(__xludf.DUMMYFUNCTION("""COMPUTED_VALUE"""),46112.556981724534)</f>
        <v>46112.55698</v>
      </c>
      <c r="B302" s="36" t="str">
        <f>IFERROR(__xludf.DUMMYFUNCTION("""COMPUTED_VALUE"""),"SCREEN")</f>
        <v>SCREEN</v>
      </c>
      <c r="C302" s="26" t="str">
        <f>IFERROR(__xludf.DUMMYFUNCTION("""COMPUTED_VALUE"""),"LUCILLE COVE &amp; D")</f>
        <v>LUCILLE COVE &amp; D</v>
      </c>
      <c r="D302" s="27" t="str">
        <f>IFERROR(__xludf.DUMMYFUNCTION("""COMPUTED_VALUE"""),"DAL")</f>
        <v>DAL</v>
      </c>
      <c r="E302" s="27" t="str">
        <f>IFERROR(__xludf.DUMMYFUNCTION("""COMPUTED_VALUE"""),"4548")</f>
        <v>4548</v>
      </c>
      <c r="F302" s="36">
        <f>IFERROR(__xludf.DUMMYFUNCTION("""COMPUTED_VALUE"""),2.0)</f>
        <v>2</v>
      </c>
      <c r="G302" s="27" t="str">
        <f>IFERROR(__xludf.DUMMYFUNCTION("""COMPUTED_VALUE"""),"UNIT")</f>
        <v>UNIT</v>
      </c>
      <c r="H302" s="37"/>
      <c r="I302" s="36" t="str">
        <f>IFERROR(__xludf.DUMMYFUNCTION("""COMPUTED_VALUE"""),"P2C")</f>
        <v>P2C</v>
      </c>
      <c r="J302" s="30" t="str">
        <f>IFERROR(__xludf.DUMMYFUNCTION("""COMPUTED_VALUE"""),"ALSIDE")</f>
        <v>ALSIDE</v>
      </c>
      <c r="K302" s="26" t="str">
        <f>IFERROR(__xludf.DUMMYFUNCTION("""COMPUTED_VALUE"""),"DOOR SCREEN, BLACK, 36X93 3/4")</f>
        <v>DOOR SCREEN, BLACK, 36X93 3/4</v>
      </c>
      <c r="L302" s="30" t="str">
        <f>IFERROR(__xludf.DUMMYFUNCTION("""COMPUTED_VALUE"""),"IN STOCK")</f>
        <v>IN STOCK</v>
      </c>
      <c r="M302" s="26"/>
      <c r="N302" s="26" t="str">
        <f>IFERROR(__xludf.DUMMYFUNCTION("""COMPUTED_VALUE"""),"LUCILLE COVE &amp; D")</f>
        <v>LUCILLE COVE &amp; D</v>
      </c>
      <c r="O302" s="26" t="str">
        <f>IFERROR(__xludf.DUMMYFUNCTION("""COMPUTED_VALUE"""),"SCREEN|||LUCILLE COVE &amp; D")</f>
        <v>SCREEN|||LUCILLE COVE &amp; D</v>
      </c>
      <c r="P302" s="26"/>
      <c r="Q302" s="26"/>
      <c r="R302" s="26" t="str">
        <f>IFERROR(__xludf.DUMMYFUNCTION("""COMPUTED_VALUE"""),"P2C")</f>
        <v>P2C</v>
      </c>
      <c r="S302" s="26" t="str">
        <f>IFERROR(__xludf.DUMMYFUNCTION("""COMPUTED_VALUE"""),"ENTRY")</f>
        <v>ENTRY</v>
      </c>
      <c r="T302" s="26"/>
    </row>
    <row r="303">
      <c r="A303" s="35">
        <f>IFERROR(__xludf.DUMMYFUNCTION("""COMPUTED_VALUE"""),46112.550222418984)</f>
        <v>46112.55022</v>
      </c>
      <c r="B303" s="36" t="str">
        <f>IFERROR(__xludf.DUMMYFUNCTION("""COMPUTED_VALUE"""),"SCREEN")</f>
        <v>SCREEN</v>
      </c>
      <c r="C303" s="26" t="str">
        <f>IFERROR(__xludf.DUMMYFUNCTION("""COMPUTED_VALUE"""),"PRATT")</f>
        <v>PRATT</v>
      </c>
      <c r="D303" s="27" t="str">
        <f>IFERROR(__xludf.DUMMYFUNCTION("""COMPUTED_VALUE"""),"DAL")</f>
        <v>DAL</v>
      </c>
      <c r="E303" s="27"/>
      <c r="F303" s="36">
        <f>IFERROR(__xludf.DUMMYFUNCTION("""COMPUTED_VALUE"""),1.0)</f>
        <v>1</v>
      </c>
      <c r="G303" s="27" t="str">
        <f>IFERROR(__xludf.DUMMYFUNCTION("""COMPUTED_VALUE"""),"UNIT")</f>
        <v>UNIT</v>
      </c>
      <c r="H303" s="37"/>
      <c r="I303" s="36" t="str">
        <f>IFERROR(__xludf.DUMMYFUNCTION("""COMPUTED_VALUE"""),"P2C")</f>
        <v>P2C</v>
      </c>
      <c r="J303" s="30" t="str">
        <f>IFERROR(__xludf.DUMMYFUNCTION("""COMPUTED_VALUE"""),"ALSIDE")</f>
        <v>ALSIDE</v>
      </c>
      <c r="K303" s="26" t="str">
        <f>IFERROR(__xludf.DUMMYFUNCTION("""COMPUTED_VALUE"""),"BRONZE, DOOR SCREEN, 48X93 3/4")</f>
        <v>BRONZE, DOOR SCREEN, 48X93 3/4</v>
      </c>
      <c r="L303" s="30" t="str">
        <f>IFERROR(__xludf.DUMMYFUNCTION("""COMPUTED_VALUE"""),"IN STOCK")</f>
        <v>IN STOCK</v>
      </c>
      <c r="M303" s="26"/>
      <c r="N303" s="26" t="str">
        <f>IFERROR(__xludf.DUMMYFUNCTION("""COMPUTED_VALUE"""),"PRATT")</f>
        <v>PRATT</v>
      </c>
      <c r="O303" s="26" t="str">
        <f>IFERROR(__xludf.DUMMYFUNCTION("""COMPUTED_VALUE"""),"SCREEN|||PRATT")</f>
        <v>SCREEN|||PRATT</v>
      </c>
      <c r="P303" s="26"/>
      <c r="Q303" s="26"/>
      <c r="R303" s="26" t="str">
        <f>IFERROR(__xludf.DUMMYFUNCTION("""COMPUTED_VALUE"""),"P2C")</f>
        <v>P2C</v>
      </c>
      <c r="S303" s="26" t="str">
        <f>IFERROR(__xludf.DUMMYFUNCTION("""COMPUTED_VALUE"""),"ENTRY")</f>
        <v>ENTRY</v>
      </c>
      <c r="T303" s="26"/>
    </row>
    <row r="304">
      <c r="A304" s="35">
        <f>IFERROR(__xludf.DUMMYFUNCTION("""COMPUTED_VALUE"""),46112.50825234954)</f>
        <v>46112.50825</v>
      </c>
      <c r="B304" s="36" t="str">
        <f>IFERROR(__xludf.DUMMYFUNCTION("""COMPUTED_VALUE"""),"SCREEN")</f>
        <v>SCREEN</v>
      </c>
      <c r="C304" s="26" t="str">
        <f>IFERROR(__xludf.DUMMYFUNCTION("""COMPUTED_VALUE"""),"PRATT")</f>
        <v>PRATT</v>
      </c>
      <c r="D304" s="27" t="str">
        <f>IFERROR(__xludf.DUMMYFUNCTION("""COMPUTED_VALUE"""),"DAL")</f>
        <v>DAL</v>
      </c>
      <c r="E304" s="27"/>
      <c r="F304" s="36">
        <f>IFERROR(__xludf.DUMMYFUNCTION("""COMPUTED_VALUE"""),1.0)</f>
        <v>1</v>
      </c>
      <c r="G304" s="27" t="str">
        <f>IFERROR(__xludf.DUMMYFUNCTION("""COMPUTED_VALUE"""),"UNIT")</f>
        <v>UNIT</v>
      </c>
      <c r="H304" s="37"/>
      <c r="I304" s="36" t="str">
        <f>IFERROR(__xludf.DUMMYFUNCTION("""COMPUTED_VALUE"""),"P2C")</f>
        <v>P2C</v>
      </c>
      <c r="J304" s="30" t="str">
        <f>IFERROR(__xludf.DUMMYFUNCTION("""COMPUTED_VALUE"""),"ALSIDE")</f>
        <v>ALSIDE</v>
      </c>
      <c r="K304" s="26" t="str">
        <f>IFERROR(__xludf.DUMMYFUNCTION("""COMPUTED_VALUE"""),"BRONZE, DOOR SCREEN, 48X93 3/4")</f>
        <v>BRONZE, DOOR SCREEN, 48X93 3/4</v>
      </c>
      <c r="L304" s="30" t="str">
        <f>IFERROR(__xludf.DUMMYFUNCTION("""COMPUTED_VALUE"""),"IN STOCK")</f>
        <v>IN STOCK</v>
      </c>
      <c r="M304" s="26"/>
      <c r="N304" s="26" t="str">
        <f>IFERROR(__xludf.DUMMYFUNCTION("""COMPUTED_VALUE"""),"PRATT")</f>
        <v>PRATT</v>
      </c>
      <c r="O304" s="26" t="str">
        <f>IFERROR(__xludf.DUMMYFUNCTION("""COMPUTED_VALUE"""),"SCREEN|||PRATT")</f>
        <v>SCREEN|||PRATT</v>
      </c>
      <c r="P304" s="26"/>
      <c r="Q304" s="26"/>
      <c r="R304" s="26" t="str">
        <f>IFERROR(__xludf.DUMMYFUNCTION("""COMPUTED_VALUE"""),"P2C")</f>
        <v>P2C</v>
      </c>
      <c r="S304" s="26" t="str">
        <f>IFERROR(__xludf.DUMMYFUNCTION("""COMPUTED_VALUE"""),"ENTRY")</f>
        <v>ENTRY</v>
      </c>
      <c r="T304" s="26"/>
    </row>
    <row r="305">
      <c r="A305" s="35">
        <f>IFERROR(__xludf.DUMMYFUNCTION("""COMPUTED_VALUE"""),46112.47716680555)</f>
        <v>46112.47717</v>
      </c>
      <c r="B305" s="36" t="str">
        <f>IFERROR(__xludf.DUMMYFUNCTION("""COMPUTED_VALUE"""),"SCREEN")</f>
        <v>SCREEN</v>
      </c>
      <c r="C305" s="26" t="str">
        <f>IFERROR(__xludf.DUMMYFUNCTION("""COMPUTED_VALUE"""),"ELKWOOD")</f>
        <v>ELKWOOD</v>
      </c>
      <c r="D305" s="27"/>
      <c r="E305" s="27" t="str">
        <f>IFERROR(__xludf.DUMMYFUNCTION("""COMPUTED_VALUE"""),"5280")</f>
        <v>5280</v>
      </c>
      <c r="F305" s="36">
        <f>IFERROR(__xludf.DUMMYFUNCTION("""COMPUTED_VALUE"""),1.0)</f>
        <v>1</v>
      </c>
      <c r="G305" s="27" t="str">
        <f>IFERROR(__xludf.DUMMYFUNCTION("""COMPUTED_VALUE"""),"UNIT")</f>
        <v>UNIT</v>
      </c>
      <c r="H305" s="37"/>
      <c r="I305" s="36" t="str">
        <f>IFERROR(__xludf.DUMMYFUNCTION("""COMPUTED_VALUE"""),"P2C")</f>
        <v>P2C</v>
      </c>
      <c r="J305" s="30" t="str">
        <f>IFERROR(__xludf.DUMMYFUNCTION("""COMPUTED_VALUE"""),"ALSIDE")</f>
        <v>ALSIDE</v>
      </c>
      <c r="K305" s="26" t="str">
        <f>IFERROR(__xludf.DUMMYFUNCTION("""COMPUTED_VALUE"""),"DOOR SCREEN, BRONZE, 48X77 3/4")</f>
        <v>DOOR SCREEN, BRONZE, 48X77 3/4</v>
      </c>
      <c r="L305" s="30" t="str">
        <f>IFERROR(__xludf.DUMMYFUNCTION("""COMPUTED_VALUE"""),"IN STOCK")</f>
        <v>IN STOCK</v>
      </c>
      <c r="M305" s="26"/>
      <c r="N305" s="26" t="str">
        <f>IFERROR(__xludf.DUMMYFUNCTION("""COMPUTED_VALUE"""),"ELKWOOD")</f>
        <v>ELKWOOD</v>
      </c>
      <c r="O305" s="26" t="str">
        <f>IFERROR(__xludf.DUMMYFUNCTION("""COMPUTED_VALUE"""),"SCREEN|||ELKWOOD")</f>
        <v>SCREEN|||ELKWOOD</v>
      </c>
      <c r="P305" s="26"/>
      <c r="Q305" s="26"/>
      <c r="R305" s="26" t="str">
        <f>IFERROR(__xludf.DUMMYFUNCTION("""COMPUTED_VALUE"""),"P2C")</f>
        <v>P2C</v>
      </c>
      <c r="S305" s="26" t="str">
        <f>IFERROR(__xludf.DUMMYFUNCTION("""COMPUTED_VALUE"""),"ENTRY")</f>
        <v>ENTRY</v>
      </c>
      <c r="T305" s="26"/>
    </row>
    <row r="306">
      <c r="A306" s="35">
        <f>IFERROR(__xludf.DUMMYFUNCTION("""COMPUTED_VALUE"""),46112.44077719907)</f>
        <v>46112.44078</v>
      </c>
      <c r="B306" s="36" t="str">
        <f>IFERROR(__xludf.DUMMYFUNCTION("""COMPUTED_VALUE"""),"SCREEN")</f>
        <v>SCREEN</v>
      </c>
      <c r="C306" s="26" t="str">
        <f>IFERROR(__xludf.DUMMYFUNCTION("""COMPUTED_VALUE"""),"SHERWOOD EST")</f>
        <v>SHERWOOD EST</v>
      </c>
      <c r="D306" s="27"/>
      <c r="E306" s="27" t="str">
        <f>IFERROR(__xludf.DUMMYFUNCTION("""COMPUTED_VALUE"""),"I392")</f>
        <v>I392</v>
      </c>
      <c r="F306" s="36">
        <f>IFERROR(__xludf.DUMMYFUNCTION("""COMPUTED_VALUE"""),2.0)</f>
        <v>2</v>
      </c>
      <c r="G306" s="27" t="str">
        <f>IFERROR(__xludf.DUMMYFUNCTION("""COMPUTED_VALUE"""),"UNIT")</f>
        <v>UNIT</v>
      </c>
      <c r="H306" s="37"/>
      <c r="I306" s="36" t="str">
        <f>IFERROR(__xludf.DUMMYFUNCTION("""COMPUTED_VALUE"""),"P1C")</f>
        <v>P1C</v>
      </c>
      <c r="J306" s="30" t="str">
        <f>IFERROR(__xludf.DUMMYFUNCTION("""COMPUTED_VALUE"""),"ALSIDE")</f>
        <v>ALSIDE</v>
      </c>
      <c r="K306" s="26" t="str">
        <f>IFERROR(__xludf.DUMMYFUNCTION("""COMPUTED_VALUE"""),"DOOR SCREEN, CHARCOAL WHITE, 36X93 3/4")</f>
        <v>DOOR SCREEN, CHARCOAL WHITE, 36X93 3/4</v>
      </c>
      <c r="L306" s="30" t="str">
        <f>IFERROR(__xludf.DUMMYFUNCTION("""COMPUTED_VALUE"""),"IN STOCK")</f>
        <v>IN STOCK</v>
      </c>
      <c r="M306" s="26"/>
      <c r="N306" s="26" t="str">
        <f>IFERROR(__xludf.DUMMYFUNCTION("""COMPUTED_VALUE"""),"SHERWOOD EST")</f>
        <v>SHERWOOD EST</v>
      </c>
      <c r="O306" s="26" t="str">
        <f>IFERROR(__xludf.DUMMYFUNCTION("""COMPUTED_VALUE"""),"SCREEN|||SHERWOOD EST")</f>
        <v>SCREEN|||SHERWOOD EST</v>
      </c>
      <c r="P306" s="26"/>
      <c r="Q306" s="26"/>
      <c r="R306" s="26" t="str">
        <f>IFERROR(__xludf.DUMMYFUNCTION("""COMPUTED_VALUE"""),"P1C")</f>
        <v>P1C</v>
      </c>
      <c r="S306" s="26" t="str">
        <f>IFERROR(__xludf.DUMMYFUNCTION("""COMPUTED_VALUE"""),"ENTRY")</f>
        <v>ENTRY</v>
      </c>
      <c r="T306" s="26"/>
    </row>
    <row r="307">
      <c r="A307" s="35">
        <f>IFERROR(__xludf.DUMMYFUNCTION("""COMPUTED_VALUE"""),46112.435874120376)</f>
        <v>46112.43587</v>
      </c>
      <c r="B307" s="36" t="str">
        <f>IFERROR(__xludf.DUMMYFUNCTION("""COMPUTED_VALUE"""),"SCREEN")</f>
        <v>SCREEN</v>
      </c>
      <c r="C307" s="26" t="str">
        <f>IFERROR(__xludf.DUMMYFUNCTION("""COMPUTED_VALUE"""),"DELANO")</f>
        <v>DELANO</v>
      </c>
      <c r="D307" s="27" t="str">
        <f>IFERROR(__xludf.DUMMYFUNCTION("""COMPUTED_VALUE"""),"LGI")</f>
        <v>LGI</v>
      </c>
      <c r="E307" s="27" t="str">
        <f>IFERROR(__xludf.DUMMYFUNCTION("""COMPUTED_VALUE"""),"6060")</f>
        <v>6060</v>
      </c>
      <c r="F307" s="36">
        <f>IFERROR(__xludf.DUMMYFUNCTION("""COMPUTED_VALUE"""),1.0)</f>
        <v>1</v>
      </c>
      <c r="G307" s="27" t="str">
        <f>IFERROR(__xludf.DUMMYFUNCTION("""COMPUTED_VALUE"""),"UNIT")</f>
        <v>UNIT</v>
      </c>
      <c r="H307" s="37"/>
      <c r="I307" s="36" t="str">
        <f>IFERROR(__xludf.DUMMYFUNCTION("""COMPUTED_VALUE"""),"P1C")</f>
        <v>P1C</v>
      </c>
      <c r="J307" s="30" t="str">
        <f>IFERROR(__xludf.DUMMYFUNCTION("""COMPUTED_VALUE"""),"ALSIDE")</f>
        <v>ALSIDE</v>
      </c>
      <c r="K307" s="26" t="str">
        <f>IFERROR(__xludf.DUMMYFUNCTION("""COMPUTED_VALUE"""),"DOOR SCREEN, CHARCOAL WHITE, 30X77 3/4")</f>
        <v>DOOR SCREEN, CHARCOAL WHITE, 30X77 3/4</v>
      </c>
      <c r="L307" s="30" t="str">
        <f>IFERROR(__xludf.DUMMYFUNCTION("""COMPUTED_VALUE"""),"IN STOCK")</f>
        <v>IN STOCK</v>
      </c>
      <c r="M307" s="26"/>
      <c r="N307" s="26" t="str">
        <f>IFERROR(__xludf.DUMMYFUNCTION("""COMPUTED_VALUE"""),"DELANO")</f>
        <v>DELANO</v>
      </c>
      <c r="O307" s="26" t="str">
        <f>IFERROR(__xludf.DUMMYFUNCTION("""COMPUTED_VALUE"""),"SCREEN|||DELANO")</f>
        <v>SCREEN|||DELANO</v>
      </c>
      <c r="P307" s="26"/>
      <c r="Q307" s="26"/>
      <c r="R307" s="26" t="str">
        <f>IFERROR(__xludf.DUMMYFUNCTION("""COMPUTED_VALUE"""),"P1C")</f>
        <v>P1C</v>
      </c>
      <c r="S307" s="26" t="str">
        <f>IFERROR(__xludf.DUMMYFUNCTION("""COMPUTED_VALUE"""),"ENTRY")</f>
        <v>ENTRY</v>
      </c>
      <c r="T307" s="26"/>
    </row>
    <row r="308">
      <c r="A308" s="35">
        <f>IFERROR(__xludf.DUMMYFUNCTION("""COMPUTED_VALUE"""),46112.40349447917)</f>
        <v>46112.40349</v>
      </c>
      <c r="B308" s="36" t="str">
        <f>IFERROR(__xludf.DUMMYFUNCTION("""COMPUTED_VALUE"""),"SCREEN")</f>
        <v>SCREEN</v>
      </c>
      <c r="C308" s="26" t="str">
        <f>IFERROR(__xludf.DUMMYFUNCTION("""COMPUTED_VALUE"""),"GRANITE")</f>
        <v>GRANITE</v>
      </c>
      <c r="D308" s="27" t="str">
        <f>IFERROR(__xludf.DUMMYFUNCTION("""COMPUTED_VALUE"""),"LGI")</f>
        <v>LGI</v>
      </c>
      <c r="E308" s="27" t="str">
        <f>IFERROR(__xludf.DUMMYFUNCTION("""COMPUTED_VALUE"""),"6061")</f>
        <v>6061</v>
      </c>
      <c r="F308" s="36">
        <f>IFERROR(__xludf.DUMMYFUNCTION("""COMPUTED_VALUE"""),1.0)</f>
        <v>1</v>
      </c>
      <c r="G308" s="27" t="str">
        <f>IFERROR(__xludf.DUMMYFUNCTION("""COMPUTED_VALUE"""),"UNIT")</f>
        <v>UNIT</v>
      </c>
      <c r="H308" s="37"/>
      <c r="I308" s="36" t="str">
        <f>IFERROR(__xludf.DUMMYFUNCTION("""COMPUTED_VALUE"""),"P1C")</f>
        <v>P1C</v>
      </c>
      <c r="J308" s="30" t="str">
        <f>IFERROR(__xludf.DUMMYFUNCTION("""COMPUTED_VALUE"""),"ALSIDE")</f>
        <v>ALSIDE</v>
      </c>
      <c r="K308" s="26" t="str">
        <f>IFERROR(__xludf.DUMMYFUNCTION("""COMPUTED_VALUE"""),"DOOR SCREEN, CHARCOAL WHITE, 30X77 3/4")</f>
        <v>DOOR SCREEN, CHARCOAL WHITE, 30X77 3/4</v>
      </c>
      <c r="L308" s="30" t="str">
        <f>IFERROR(__xludf.DUMMYFUNCTION("""COMPUTED_VALUE"""),"IN STOCK")</f>
        <v>IN STOCK</v>
      </c>
      <c r="M308" s="26"/>
      <c r="N308" s="26" t="str">
        <f>IFERROR(__xludf.DUMMYFUNCTION("""COMPUTED_VALUE"""),"GRANITE")</f>
        <v>GRANITE</v>
      </c>
      <c r="O308" s="26" t="str">
        <f>IFERROR(__xludf.DUMMYFUNCTION("""COMPUTED_VALUE"""),"SCREEN|||GRANITE")</f>
        <v>SCREEN|||GRANITE</v>
      </c>
      <c r="P308" s="26"/>
      <c r="Q308" s="26"/>
      <c r="R308" s="26" t="str">
        <f>IFERROR(__xludf.DUMMYFUNCTION("""COMPUTED_VALUE"""),"P1C")</f>
        <v>P1C</v>
      </c>
      <c r="S308" s="26" t="str">
        <f>IFERROR(__xludf.DUMMYFUNCTION("""COMPUTED_VALUE"""),"ENTRY")</f>
        <v>ENTRY</v>
      </c>
      <c r="T308" s="26"/>
    </row>
    <row r="309">
      <c r="A309" s="35">
        <f>IFERROR(__xludf.DUMMYFUNCTION("""COMPUTED_VALUE"""),46112.4004924537)</f>
        <v>46112.40049</v>
      </c>
      <c r="B309" s="36" t="str">
        <f>IFERROR(__xludf.DUMMYFUNCTION("""COMPUTED_VALUE"""),"SCREEN")</f>
        <v>SCREEN</v>
      </c>
      <c r="C309" s="26" t="str">
        <f>IFERROR(__xludf.DUMMYFUNCTION("""COMPUTED_VALUE"""),"DELANO")</f>
        <v>DELANO</v>
      </c>
      <c r="D309" s="27" t="str">
        <f>IFERROR(__xludf.DUMMYFUNCTION("""COMPUTED_VALUE"""),"LGI")</f>
        <v>LGI</v>
      </c>
      <c r="E309" s="27" t="str">
        <f>IFERROR(__xludf.DUMMYFUNCTION("""COMPUTED_VALUE"""),"6060")</f>
        <v>6060</v>
      </c>
      <c r="F309" s="36">
        <f>IFERROR(__xludf.DUMMYFUNCTION("""COMPUTED_VALUE"""),1.0)</f>
        <v>1</v>
      </c>
      <c r="G309" s="27" t="str">
        <f>IFERROR(__xludf.DUMMYFUNCTION("""COMPUTED_VALUE"""),"UNIT")</f>
        <v>UNIT</v>
      </c>
      <c r="H309" s="37"/>
      <c r="I309" s="36" t="str">
        <f>IFERROR(__xludf.DUMMYFUNCTION("""COMPUTED_VALUE"""),"P1C")</f>
        <v>P1C</v>
      </c>
      <c r="J309" s="30" t="str">
        <f>IFERROR(__xludf.DUMMYFUNCTION("""COMPUTED_VALUE"""),"ALSIDE")</f>
        <v>ALSIDE</v>
      </c>
      <c r="K309" s="26" t="str">
        <f>IFERROR(__xludf.DUMMYFUNCTION("""COMPUTED_VALUE"""),"DOOR SCREEN, CHARCOAL WHITE, 30X77 3/4")</f>
        <v>DOOR SCREEN, CHARCOAL WHITE, 30X77 3/4</v>
      </c>
      <c r="L309" s="30" t="str">
        <f>IFERROR(__xludf.DUMMYFUNCTION("""COMPUTED_VALUE"""),"IN STOCK")</f>
        <v>IN STOCK</v>
      </c>
      <c r="M309" s="26"/>
      <c r="N309" s="26" t="str">
        <f>IFERROR(__xludf.DUMMYFUNCTION("""COMPUTED_VALUE"""),"DELANO")</f>
        <v>DELANO</v>
      </c>
      <c r="O309" s="26" t="str">
        <f>IFERROR(__xludf.DUMMYFUNCTION("""COMPUTED_VALUE"""),"SCREEN|||DELANO")</f>
        <v>SCREEN|||DELANO</v>
      </c>
      <c r="P309" s="26"/>
      <c r="Q309" s="26"/>
      <c r="R309" s="26" t="str">
        <f>IFERROR(__xludf.DUMMYFUNCTION("""COMPUTED_VALUE"""),"P1C")</f>
        <v>P1C</v>
      </c>
      <c r="S309" s="26" t="str">
        <f>IFERROR(__xludf.DUMMYFUNCTION("""COMPUTED_VALUE"""),"ENTRY")</f>
        <v>ENTRY</v>
      </c>
      <c r="T309" s="26"/>
    </row>
    <row r="310">
      <c r="A310" s="35">
        <f>IFERROR(__xludf.DUMMYFUNCTION("""COMPUTED_VALUE"""),46112.39807415509)</f>
        <v>46112.39807</v>
      </c>
      <c r="B310" s="36" t="str">
        <f>IFERROR(__xludf.DUMMYFUNCTION("""COMPUTED_VALUE"""),"SCREEN")</f>
        <v>SCREEN</v>
      </c>
      <c r="C310" s="26" t="str">
        <f>IFERROR(__xludf.DUMMYFUNCTION("""COMPUTED_VALUE"""),"GRANITE")</f>
        <v>GRANITE</v>
      </c>
      <c r="D310" s="27" t="str">
        <f>IFERROR(__xludf.DUMMYFUNCTION("""COMPUTED_VALUE"""),"LGI")</f>
        <v>LGI</v>
      </c>
      <c r="E310" s="27" t="str">
        <f>IFERROR(__xludf.DUMMYFUNCTION("""COMPUTED_VALUE"""),"6061")</f>
        <v>6061</v>
      </c>
      <c r="F310" s="36">
        <f>IFERROR(__xludf.DUMMYFUNCTION("""COMPUTED_VALUE"""),1.0)</f>
        <v>1</v>
      </c>
      <c r="G310" s="27" t="str">
        <f>IFERROR(__xludf.DUMMYFUNCTION("""COMPUTED_VALUE"""),"UNIT")</f>
        <v>UNIT</v>
      </c>
      <c r="H310" s="37"/>
      <c r="I310" s="36" t="str">
        <f>IFERROR(__xludf.DUMMYFUNCTION("""COMPUTED_VALUE"""),"P1C")</f>
        <v>P1C</v>
      </c>
      <c r="J310" s="30" t="str">
        <f>IFERROR(__xludf.DUMMYFUNCTION("""COMPUTED_VALUE"""),"ALSIDE")</f>
        <v>ALSIDE</v>
      </c>
      <c r="K310" s="26" t="str">
        <f>IFERROR(__xludf.DUMMYFUNCTION("""COMPUTED_VALUE"""),"DOOR SCREEN, CHARCOAL WHITE, 30X77 3/4")</f>
        <v>DOOR SCREEN, CHARCOAL WHITE, 30X77 3/4</v>
      </c>
      <c r="L310" s="30" t="str">
        <f>IFERROR(__xludf.DUMMYFUNCTION("""COMPUTED_VALUE"""),"IN STOCK")</f>
        <v>IN STOCK</v>
      </c>
      <c r="M310" s="26"/>
      <c r="N310" s="26" t="str">
        <f>IFERROR(__xludf.DUMMYFUNCTION("""COMPUTED_VALUE"""),"GRANITE")</f>
        <v>GRANITE</v>
      </c>
      <c r="O310" s="26" t="str">
        <f>IFERROR(__xludf.DUMMYFUNCTION("""COMPUTED_VALUE"""),"SCREEN|||GRANITE")</f>
        <v>SCREEN|||GRANITE</v>
      </c>
      <c r="P310" s="26"/>
      <c r="Q310" s="26"/>
      <c r="R310" s="26" t="str">
        <f>IFERROR(__xludf.DUMMYFUNCTION("""COMPUTED_VALUE"""),"P1C")</f>
        <v>P1C</v>
      </c>
      <c r="S310" s="26" t="str">
        <f>IFERROR(__xludf.DUMMYFUNCTION("""COMPUTED_VALUE"""),"ENTRY")</f>
        <v>ENTRY</v>
      </c>
      <c r="T310" s="26"/>
    </row>
    <row r="311">
      <c r="A311" s="35">
        <f>IFERROR(__xludf.DUMMYFUNCTION("""COMPUTED_VALUE"""),46112.39527916666)</f>
        <v>46112.39528</v>
      </c>
      <c r="B311" s="36" t="str">
        <f>IFERROR(__xludf.DUMMYFUNCTION("""COMPUTED_VALUE"""),"SCREEN")</f>
        <v>SCREEN</v>
      </c>
      <c r="C311" s="26" t="str">
        <f>IFERROR(__xludf.DUMMYFUNCTION("""COMPUTED_VALUE"""),"CASCADE")</f>
        <v>CASCADE</v>
      </c>
      <c r="D311" s="27" t="str">
        <f>IFERROR(__xludf.DUMMYFUNCTION("""COMPUTED_VALUE"""),"LGI")</f>
        <v>LGI</v>
      </c>
      <c r="E311" s="27" t="str">
        <f>IFERROR(__xludf.DUMMYFUNCTION("""COMPUTED_VALUE"""),"6059")</f>
        <v>6059</v>
      </c>
      <c r="F311" s="36">
        <f>IFERROR(__xludf.DUMMYFUNCTION("""COMPUTED_VALUE"""),1.0)</f>
        <v>1</v>
      </c>
      <c r="G311" s="27" t="str">
        <f>IFERROR(__xludf.DUMMYFUNCTION("""COMPUTED_VALUE"""),"UNIT")</f>
        <v>UNIT</v>
      </c>
      <c r="H311" s="37"/>
      <c r="I311" s="36" t="str">
        <f>IFERROR(__xludf.DUMMYFUNCTION("""COMPUTED_VALUE"""),"P1C")</f>
        <v>P1C</v>
      </c>
      <c r="J311" s="30" t="str">
        <f>IFERROR(__xludf.DUMMYFUNCTION("""COMPUTED_VALUE"""),"ALSIDE")</f>
        <v>ALSIDE</v>
      </c>
      <c r="K311" s="26" t="str">
        <f>IFERROR(__xludf.DUMMYFUNCTION("""COMPUTED_VALUE"""),"DOOR SCREEN, CHARCOAL WHITE, 30X77 3/4")</f>
        <v>DOOR SCREEN, CHARCOAL WHITE, 30X77 3/4</v>
      </c>
      <c r="L311" s="30" t="str">
        <f>IFERROR(__xludf.DUMMYFUNCTION("""COMPUTED_VALUE"""),"IN STOCK")</f>
        <v>IN STOCK</v>
      </c>
      <c r="M311" s="26"/>
      <c r="N311" s="26" t="str">
        <f>IFERROR(__xludf.DUMMYFUNCTION("""COMPUTED_VALUE"""),"CASCADE")</f>
        <v>CASCADE</v>
      </c>
      <c r="O311" s="26" t="str">
        <f>IFERROR(__xludf.DUMMYFUNCTION("""COMPUTED_VALUE"""),"SCREEN|||CASCADE")</f>
        <v>SCREEN|||CASCADE</v>
      </c>
      <c r="P311" s="26"/>
      <c r="Q311" s="26"/>
      <c r="R311" s="26" t="str">
        <f>IFERROR(__xludf.DUMMYFUNCTION("""COMPUTED_VALUE"""),"P1C")</f>
        <v>P1C</v>
      </c>
      <c r="S311" s="26" t="str">
        <f>IFERROR(__xludf.DUMMYFUNCTION("""COMPUTED_VALUE"""),"ENTRY")</f>
        <v>ENTRY</v>
      </c>
      <c r="T311" s="26"/>
    </row>
    <row r="312">
      <c r="A312" s="35">
        <f>IFERROR(__xludf.DUMMYFUNCTION("""COMPUTED_VALUE"""),46112.39053230324)</f>
        <v>46112.39053</v>
      </c>
      <c r="B312" s="36" t="str">
        <f>IFERROR(__xludf.DUMMYFUNCTION("""COMPUTED_VALUE"""),"SCREEN")</f>
        <v>SCREEN</v>
      </c>
      <c r="C312" s="26" t="str">
        <f>IFERROR(__xludf.DUMMYFUNCTION("""COMPUTED_VALUE"""),"MILLARD1003")</f>
        <v>MILLARD1003</v>
      </c>
      <c r="D312" s="27" t="str">
        <f>IFERROR(__xludf.DUMMYFUNCTION("""COMPUTED_VALUE"""),"LGI")</f>
        <v>LGI</v>
      </c>
      <c r="E312" s="27" t="str">
        <f>IFERROR(__xludf.DUMMYFUNCTION("""COMPUTED_VALUE"""),"6214")</f>
        <v>6214</v>
      </c>
      <c r="F312" s="36">
        <f>IFERROR(__xludf.DUMMYFUNCTION("""COMPUTED_VALUE"""),1.0)</f>
        <v>1</v>
      </c>
      <c r="G312" s="27" t="str">
        <f>IFERROR(__xludf.DUMMYFUNCTION("""COMPUTED_VALUE"""),"UNIT")</f>
        <v>UNIT</v>
      </c>
      <c r="H312" s="37"/>
      <c r="I312" s="36" t="str">
        <f>IFERROR(__xludf.DUMMYFUNCTION("""COMPUTED_VALUE"""),"P1C")</f>
        <v>P1C</v>
      </c>
      <c r="J312" s="30" t="str">
        <f>IFERROR(__xludf.DUMMYFUNCTION("""COMPUTED_VALUE"""),"ALSIDE")</f>
        <v>ALSIDE</v>
      </c>
      <c r="K312" s="26" t="str">
        <f>IFERROR(__xludf.DUMMYFUNCTION("""COMPUTED_VALUE"""),"DOOR SCREEN, CHARCOAL WHITE, 30X77 3/4")</f>
        <v>DOOR SCREEN, CHARCOAL WHITE, 30X77 3/4</v>
      </c>
      <c r="L312" s="30" t="str">
        <f>IFERROR(__xludf.DUMMYFUNCTION("""COMPUTED_VALUE"""),"IN STOCK")</f>
        <v>IN STOCK</v>
      </c>
      <c r="M312" s="26"/>
      <c r="N312" s="26" t="str">
        <f>IFERROR(__xludf.DUMMYFUNCTION("""COMPUTED_VALUE"""),"MILLARD1003")</f>
        <v>MILLARD1003</v>
      </c>
      <c r="O312" s="26" t="str">
        <f>IFERROR(__xludf.DUMMYFUNCTION("""COMPUTED_VALUE"""),"SCREEN|||MILLARD1003")</f>
        <v>SCREEN|||MILLARD1003</v>
      </c>
      <c r="P312" s="26"/>
      <c r="Q312" s="26"/>
      <c r="R312" s="26" t="str">
        <f>IFERROR(__xludf.DUMMYFUNCTION("""COMPUTED_VALUE"""),"P1C")</f>
        <v>P1C</v>
      </c>
      <c r="S312" s="26" t="str">
        <f>IFERROR(__xludf.DUMMYFUNCTION("""COMPUTED_VALUE"""),"ENTRY")</f>
        <v>ENTRY</v>
      </c>
      <c r="T312" s="26"/>
    </row>
    <row r="313">
      <c r="A313" s="35">
        <f>IFERROR(__xludf.DUMMYFUNCTION("""COMPUTED_VALUE"""),46112.38650997685)</f>
        <v>46112.38651</v>
      </c>
      <c r="B313" s="36" t="str">
        <f>IFERROR(__xludf.DUMMYFUNCTION("""COMPUTED_VALUE"""),"SCREEN")</f>
        <v>SCREEN</v>
      </c>
      <c r="C313" s="26" t="str">
        <f>IFERROR(__xludf.DUMMYFUNCTION("""COMPUTED_VALUE"""),"PROVO1002")</f>
        <v>PROVO1002</v>
      </c>
      <c r="D313" s="27" t="str">
        <f>IFERROR(__xludf.DUMMYFUNCTION("""COMPUTED_VALUE"""),"LGI")</f>
        <v>LGI</v>
      </c>
      <c r="E313" s="27" t="str">
        <f>IFERROR(__xludf.DUMMYFUNCTION("""COMPUTED_VALUE"""),"6213")</f>
        <v>6213</v>
      </c>
      <c r="F313" s="36">
        <f>IFERROR(__xludf.DUMMYFUNCTION("""COMPUTED_VALUE"""),1.0)</f>
        <v>1</v>
      </c>
      <c r="G313" s="27" t="str">
        <f>IFERROR(__xludf.DUMMYFUNCTION("""COMPUTED_VALUE"""),"UNIT")</f>
        <v>UNIT</v>
      </c>
      <c r="H313" s="37"/>
      <c r="I313" s="36" t="str">
        <f>IFERROR(__xludf.DUMMYFUNCTION("""COMPUTED_VALUE"""),"P1C")</f>
        <v>P1C</v>
      </c>
      <c r="J313" s="30" t="str">
        <f>IFERROR(__xludf.DUMMYFUNCTION("""COMPUTED_VALUE"""),"ALSIDE")</f>
        <v>ALSIDE</v>
      </c>
      <c r="K313" s="26" t="str">
        <f>IFERROR(__xludf.DUMMYFUNCTION("""COMPUTED_VALUE"""),"DOOR SCREEN, CHARCOAL WHITE, 30X77 3/4")</f>
        <v>DOOR SCREEN, CHARCOAL WHITE, 30X77 3/4</v>
      </c>
      <c r="L313" s="30" t="str">
        <f>IFERROR(__xludf.DUMMYFUNCTION("""COMPUTED_VALUE"""),"IN STOCK")</f>
        <v>IN STOCK</v>
      </c>
      <c r="M313" s="26"/>
      <c r="N313" s="26" t="str">
        <f>IFERROR(__xludf.DUMMYFUNCTION("""COMPUTED_VALUE"""),"PROVO1002")</f>
        <v>PROVO1002</v>
      </c>
      <c r="O313" s="26" t="str">
        <f>IFERROR(__xludf.DUMMYFUNCTION("""COMPUTED_VALUE"""),"SCREEN|||PROVO1002")</f>
        <v>SCREEN|||PROVO1002</v>
      </c>
      <c r="P313" s="26"/>
      <c r="Q313" s="26"/>
      <c r="R313" s="26" t="str">
        <f>IFERROR(__xludf.DUMMYFUNCTION("""COMPUTED_VALUE"""),"P1C")</f>
        <v>P1C</v>
      </c>
      <c r="S313" s="26" t="str">
        <f>IFERROR(__xludf.DUMMYFUNCTION("""COMPUTED_VALUE"""),"ENTRY")</f>
        <v>ENTRY</v>
      </c>
      <c r="T313" s="26"/>
    </row>
    <row r="314">
      <c r="A314" s="35">
        <f>IFERROR(__xludf.DUMMYFUNCTION("""COMPUTED_VALUE"""),46112.38236584491)</f>
        <v>46112.38237</v>
      </c>
      <c r="B314" s="36" t="str">
        <f>IFERROR(__xludf.DUMMYFUNCTION("""COMPUTED_VALUE"""),"SCREEN")</f>
        <v>SCREEN</v>
      </c>
      <c r="C314" s="26" t="str">
        <f>IFERROR(__xludf.DUMMYFUNCTION("""COMPUTED_VALUE"""),"REDROCK1001")</f>
        <v>REDROCK1001</v>
      </c>
      <c r="D314" s="27" t="str">
        <f>IFERROR(__xludf.DUMMYFUNCTION("""COMPUTED_VALUE"""),"LGI")</f>
        <v>LGI</v>
      </c>
      <c r="E314" s="27" t="str">
        <f>IFERROR(__xludf.DUMMYFUNCTION("""COMPUTED_VALUE"""),"6212")</f>
        <v>6212</v>
      </c>
      <c r="F314" s="36">
        <f>IFERROR(__xludf.DUMMYFUNCTION("""COMPUTED_VALUE"""),1.0)</f>
        <v>1</v>
      </c>
      <c r="G314" s="27" t="str">
        <f>IFERROR(__xludf.DUMMYFUNCTION("""COMPUTED_VALUE"""),"UNIT")</f>
        <v>UNIT</v>
      </c>
      <c r="H314" s="37"/>
      <c r="I314" s="36" t="str">
        <f>IFERROR(__xludf.DUMMYFUNCTION("""COMPUTED_VALUE"""),"P1C")</f>
        <v>P1C</v>
      </c>
      <c r="J314" s="30" t="str">
        <f>IFERROR(__xludf.DUMMYFUNCTION("""COMPUTED_VALUE"""),"ALSIDE")</f>
        <v>ALSIDE</v>
      </c>
      <c r="K314" s="26" t="str">
        <f>IFERROR(__xludf.DUMMYFUNCTION("""COMPUTED_VALUE"""),"DOOR SCREEN, CHARCOAL WHITE, 30X77 3/4")</f>
        <v>DOOR SCREEN, CHARCOAL WHITE, 30X77 3/4</v>
      </c>
      <c r="L314" s="30" t="str">
        <f>IFERROR(__xludf.DUMMYFUNCTION("""COMPUTED_VALUE"""),"IN STOCK")</f>
        <v>IN STOCK</v>
      </c>
      <c r="M314" s="26"/>
      <c r="N314" s="26" t="str">
        <f>IFERROR(__xludf.DUMMYFUNCTION("""COMPUTED_VALUE"""),"REDROCK1001")</f>
        <v>REDROCK1001</v>
      </c>
      <c r="O314" s="26" t="str">
        <f>IFERROR(__xludf.DUMMYFUNCTION("""COMPUTED_VALUE"""),"SCREEN|||REDROCK1001")</f>
        <v>SCREEN|||REDROCK1001</v>
      </c>
      <c r="P314" s="26"/>
      <c r="Q314" s="26"/>
      <c r="R314" s="26" t="str">
        <f>IFERROR(__xludf.DUMMYFUNCTION("""COMPUTED_VALUE"""),"P1C")</f>
        <v>P1C</v>
      </c>
      <c r="S314" s="26" t="str">
        <f>IFERROR(__xludf.DUMMYFUNCTION("""COMPUTED_VALUE"""),"ENTRY")</f>
        <v>ENTRY</v>
      </c>
      <c r="T314" s="26"/>
    </row>
    <row r="315">
      <c r="A315" s="35">
        <f>IFERROR(__xludf.DUMMYFUNCTION("""COMPUTED_VALUE"""),46112.35095688657)</f>
        <v>46112.35096</v>
      </c>
      <c r="B315" s="36" t="str">
        <f>IFERROR(__xludf.DUMMYFUNCTION("""COMPUTED_VALUE"""),"SCREEN")</f>
        <v>SCREEN</v>
      </c>
      <c r="C315" s="26" t="str">
        <f>IFERROR(__xludf.DUMMYFUNCTION("""COMPUTED_VALUE"""),"Maxwell")</f>
        <v>Maxwell</v>
      </c>
      <c r="D315" s="27" t="str">
        <f>IFERROR(__xludf.DUMMYFUNCTION("""COMPUTED_VALUE"""),"DAL")</f>
        <v>DAL</v>
      </c>
      <c r="E315" s="27"/>
      <c r="F315" s="36">
        <f>IFERROR(__xludf.DUMMYFUNCTION("""COMPUTED_VALUE"""),2.0)</f>
        <v>2</v>
      </c>
      <c r="G315" s="27" t="str">
        <f>IFERROR(__xludf.DUMMYFUNCTION("""COMPUTED_VALUE"""),"UNIT")</f>
        <v>UNIT</v>
      </c>
      <c r="H315" s="37"/>
      <c r="I315" s="36" t="str">
        <f>IFERROR(__xludf.DUMMYFUNCTION("""COMPUTED_VALUE"""),"P1C")</f>
        <v>P1C</v>
      </c>
      <c r="J315" s="30" t="str">
        <f>IFERROR(__xludf.DUMMYFUNCTION("""COMPUTED_VALUE"""),"AMSCO")</f>
        <v>AMSCO</v>
      </c>
      <c r="K315" s="26" t="str">
        <f>IFERROR(__xludf.DUMMYFUNCTION("""COMPUTED_VALUE"""),"PATIO SCREEN DOOR ")</f>
        <v>PATIO SCREEN DOOR </v>
      </c>
      <c r="L315" s="30" t="str">
        <f>IFERROR(__xludf.DUMMYFUNCTION("""COMPUTED_VALUE"""),"IN STOCK")</f>
        <v>IN STOCK</v>
      </c>
      <c r="M315" s="26"/>
      <c r="N315" s="26" t="str">
        <f>IFERROR(__xludf.DUMMYFUNCTION("""COMPUTED_VALUE"""),"Maxwell")</f>
        <v>Maxwell</v>
      </c>
      <c r="O315" s="26" t="str">
        <f>IFERROR(__xludf.DUMMYFUNCTION("""COMPUTED_VALUE"""),"SCREEN|||MAXWELL")</f>
        <v>SCREEN|||MAXWELL</v>
      </c>
      <c r="P315" s="26"/>
      <c r="Q315" s="26"/>
      <c r="R315" s="26" t="str">
        <f>IFERROR(__xludf.DUMMYFUNCTION("""COMPUTED_VALUE"""),"P1C")</f>
        <v>P1C</v>
      </c>
      <c r="S315" s="26" t="str">
        <f>IFERROR(__xludf.DUMMYFUNCTION("""COMPUTED_VALUE"""),"ENTRY")</f>
        <v>ENTRY</v>
      </c>
      <c r="T315" s="26"/>
    </row>
    <row r="316">
      <c r="A316" s="35">
        <f>IFERROR(__xludf.DUMMYFUNCTION("""COMPUTED_VALUE"""),46108.61323768518)</f>
        <v>46108.61324</v>
      </c>
      <c r="B316" s="36" t="str">
        <f>IFERROR(__xludf.DUMMYFUNCTION("""COMPUTED_VALUE"""),"SCREEN")</f>
        <v>SCREEN</v>
      </c>
      <c r="C316" s="26" t="str">
        <f>IFERROR(__xludf.DUMMYFUNCTION("""COMPUTED_VALUE"""),"CAMDEN COMMONS")</f>
        <v>CAMDEN COMMONS</v>
      </c>
      <c r="D316" s="27" t="str">
        <f>IFERROR(__xludf.DUMMYFUNCTION("""COMPUTED_VALUE"""),"GOO")</f>
        <v>GOO</v>
      </c>
      <c r="E316" s="27"/>
      <c r="F316" s="36">
        <f>IFERROR(__xludf.DUMMYFUNCTION("""COMPUTED_VALUE"""),35.0)</f>
        <v>35</v>
      </c>
      <c r="G316" s="27" t="str">
        <f>IFERROR(__xludf.DUMMYFUNCTION("""COMPUTED_VALUE"""),"UNIT")</f>
        <v>UNIT</v>
      </c>
      <c r="H316" s="37"/>
      <c r="I316" s="36" t="str">
        <f>IFERROR(__xludf.DUMMYFUNCTION("""COMPUTED_VALUE"""),"C3B")</f>
        <v>C3B</v>
      </c>
      <c r="J316" s="30"/>
      <c r="K316" s="26" t="str">
        <f>IFERROR(__xludf.DUMMYFUNCTION("""COMPUTED_VALUE"""),"WINDOW SCREEN")</f>
        <v>WINDOW SCREEN</v>
      </c>
      <c r="L316" s="30" t="str">
        <f>IFERROR(__xludf.DUMMYFUNCTION("""COMPUTED_VALUE"""),"In Stock")</f>
        <v>In Stock</v>
      </c>
      <c r="M316" s="26"/>
      <c r="N316" s="26" t="str">
        <f>IFERROR(__xludf.DUMMYFUNCTION("""COMPUTED_VALUE"""),"GOOD BORO CAMDEN COMMONS")</f>
        <v>GOOD BORO CAMDEN COMMONS</v>
      </c>
      <c r="O316" s="26" t="str">
        <f>IFERROR(__xludf.DUMMYFUNCTION("""COMPUTED_VALUE"""),"SCREEN|||CAMDEN COMMONS")</f>
        <v>SCREEN|||CAMDEN COMMONS</v>
      </c>
      <c r="P316" s="26"/>
      <c r="Q316" s="26"/>
      <c r="R316" s="26" t="str">
        <f>IFERROR(__xludf.DUMMYFUNCTION("""COMPUTED_VALUE"""),"C3B")</f>
        <v>C3B</v>
      </c>
      <c r="S316" s="26" t="str">
        <f>IFERROR(__xludf.DUMMYFUNCTION("""COMPUTED_VALUE"""),"ENTRY")</f>
        <v>ENTRY</v>
      </c>
      <c r="T316" s="26"/>
    </row>
    <row r="317">
      <c r="A317" s="35">
        <f>IFERROR(__xludf.DUMMYFUNCTION("""COMPUTED_VALUE"""),46108.59935675926)</f>
        <v>46108.59936</v>
      </c>
      <c r="B317" s="36" t="str">
        <f>IFERROR(__xludf.DUMMYFUNCTION("""COMPUTED_VALUE"""),"SCREEN")</f>
        <v>SCREEN</v>
      </c>
      <c r="C317" s="26" t="str">
        <f>IFERROR(__xludf.DUMMYFUNCTION("""COMPUTED_VALUE"""),"DAL-BARNES")</f>
        <v>DAL-BARNES</v>
      </c>
      <c r="D317" s="27" t="str">
        <f>IFERROR(__xludf.DUMMYFUNCTION("""COMPUTED_VALUE"""),"DAL")</f>
        <v>DAL</v>
      </c>
      <c r="E317" s="27"/>
      <c r="F317" s="36">
        <f>IFERROR(__xludf.DUMMYFUNCTION("""COMPUTED_VALUE"""),4.0)</f>
        <v>4</v>
      </c>
      <c r="G317" s="27" t="str">
        <f>IFERROR(__xludf.DUMMYFUNCTION("""COMPUTED_VALUE"""),"UNIT")</f>
        <v>UNIT</v>
      </c>
      <c r="H317" s="37"/>
      <c r="I317" s="36"/>
      <c r="J317" s="30"/>
      <c r="K317" s="26" t="str">
        <f>IFERROR(__xludf.DUMMYFUNCTION("""COMPUTED_VALUE"""),"WINDOW SCREEN")</f>
        <v>WINDOW SCREEN</v>
      </c>
      <c r="L317" s="30" t="str">
        <f>IFERROR(__xludf.DUMMYFUNCTION("""COMPUTED_VALUE"""),"IN STOCK")</f>
        <v>IN STOCK</v>
      </c>
      <c r="M317" s="26"/>
      <c r="N317" s="26" t="str">
        <f>IFERROR(__xludf.DUMMYFUNCTION("""COMPUTED_VALUE"""),"DAL-BARNES")</f>
        <v>DAL-BARNES</v>
      </c>
      <c r="O317" s="26" t="str">
        <f>IFERROR(__xludf.DUMMYFUNCTION("""COMPUTED_VALUE"""),"SCREEN|||DAL BARNES")</f>
        <v>SCREEN|||DAL BARNES</v>
      </c>
      <c r="P317" s="26"/>
      <c r="Q317" s="26" t="str">
        <f>IFERROR(__xludf.DUMMYFUNCTION("""COMPUTED_VALUE"""),"jose@ox-glass.com")</f>
        <v>jose@ox-glass.com</v>
      </c>
      <c r="R317" s="26" t="str">
        <f>IFERROR(__xludf.DUMMYFUNCTION("""COMPUTED_VALUE"""),"C3B")</f>
        <v>C3B</v>
      </c>
      <c r="S317" s="26" t="str">
        <f>IFERROR(__xludf.DUMMYFUNCTION("""COMPUTED_VALUE"""),"ENTRY")</f>
        <v>ENTRY</v>
      </c>
      <c r="T317" s="26"/>
    </row>
    <row r="318">
      <c r="A318" s="35">
        <f>IFERROR(__xludf.DUMMYFUNCTION("""COMPUTED_VALUE"""),46108.59625119213)</f>
        <v>46108.59625</v>
      </c>
      <c r="B318" s="36" t="str">
        <f>IFERROR(__xludf.DUMMYFUNCTION("""COMPUTED_VALUE"""),"SCREEN")</f>
        <v>SCREEN</v>
      </c>
      <c r="C318" s="26" t="str">
        <f>IFERROR(__xludf.DUMMYFUNCTION("""COMPUTED_VALUE"""),"DAL-MAD RES 3050")</f>
        <v>DAL-MAD RES 3050</v>
      </c>
      <c r="D318" s="27" t="str">
        <f>IFERROR(__xludf.DUMMYFUNCTION("""COMPUTED_VALUE"""),"DAL")</f>
        <v>DAL</v>
      </c>
      <c r="E318" s="27"/>
      <c r="F318" s="36">
        <f>IFERROR(__xludf.DUMMYFUNCTION("""COMPUTED_VALUE"""),1.0)</f>
        <v>1</v>
      </c>
      <c r="G318" s="27" t="str">
        <f>IFERROR(__xludf.DUMMYFUNCTION("""COMPUTED_VALUE"""),"UNIT")</f>
        <v>UNIT</v>
      </c>
      <c r="H318" s="37"/>
      <c r="I318" s="36" t="str">
        <f>IFERROR(__xludf.DUMMYFUNCTION("""COMPUTED_VALUE"""),"C3B")</f>
        <v>C3B</v>
      </c>
      <c r="J318" s="30"/>
      <c r="K318" s="26" t="str">
        <f>IFERROR(__xludf.DUMMYFUNCTION("""COMPUTED_VALUE"""),"WINDOW SCREEN")</f>
        <v>WINDOW SCREEN</v>
      </c>
      <c r="L318" s="30" t="str">
        <f>IFERROR(__xludf.DUMMYFUNCTION("""COMPUTED_VALUE"""),"IN STOCK")</f>
        <v>IN STOCK</v>
      </c>
      <c r="M318" s="26"/>
      <c r="N318" s="26" t="str">
        <f>IFERROR(__xludf.DUMMYFUNCTION("""COMPUTED_VALUE"""),"DAL-MAD RES 3050")</f>
        <v>DAL-MAD RES 3050</v>
      </c>
      <c r="O318" s="26" t="str">
        <f>IFERROR(__xludf.DUMMYFUNCTION("""COMPUTED_VALUE"""),"SCREEN|||DAL MAD RES 3050")</f>
        <v>SCREEN|||DAL MAD RES 3050</v>
      </c>
      <c r="P318" s="26"/>
      <c r="Q318" s="26"/>
      <c r="R318" s="26" t="str">
        <f>IFERROR(__xludf.DUMMYFUNCTION("""COMPUTED_VALUE"""),"C3B")</f>
        <v>C3B</v>
      </c>
      <c r="S318" s="26" t="str">
        <f>IFERROR(__xludf.DUMMYFUNCTION("""COMPUTED_VALUE"""),"ENTRY")</f>
        <v>ENTRY</v>
      </c>
      <c r="T318" s="26"/>
    </row>
    <row r="319">
      <c r="A319" s="35">
        <f>IFERROR(__xludf.DUMMYFUNCTION("""COMPUTED_VALUE"""),46108.58104980324)</f>
        <v>46108.58105</v>
      </c>
      <c r="B319" s="36" t="str">
        <f>IFERROR(__xludf.DUMMYFUNCTION("""COMPUTED_VALUE"""),"SCREEN")</f>
        <v>SCREEN</v>
      </c>
      <c r="C319" s="26" t="str">
        <f>IFERROR(__xludf.DUMMYFUNCTION("""COMPUTED_VALUE"""),"WESTERLY W15")</f>
        <v>WESTERLY W15</v>
      </c>
      <c r="D319" s="27"/>
      <c r="E319" s="27"/>
      <c r="F319" s="36">
        <f>IFERROR(__xludf.DUMMYFUNCTION("""COMPUTED_VALUE"""),3.0)</f>
        <v>3</v>
      </c>
      <c r="G319" s="27" t="str">
        <f>IFERROR(__xludf.DUMMYFUNCTION("""COMPUTED_VALUE"""),"UNIT")</f>
        <v>UNIT</v>
      </c>
      <c r="H319" s="37"/>
      <c r="I319" s="36" t="str">
        <f>IFERROR(__xludf.DUMMYFUNCTION("""COMPUTED_VALUE"""),"C3B")</f>
        <v>C3B</v>
      </c>
      <c r="J319" s="30"/>
      <c r="K319" s="26" t="str">
        <f>IFERROR(__xludf.DUMMYFUNCTION("""COMPUTED_VALUE"""),"WINDOW SCREEN")</f>
        <v>WINDOW SCREEN</v>
      </c>
      <c r="L319" s="30" t="str">
        <f>IFERROR(__xludf.DUMMYFUNCTION("""COMPUTED_VALUE"""),"IN STOCK")</f>
        <v>IN STOCK</v>
      </c>
      <c r="M319" s="26"/>
      <c r="N319" s="26" t="str">
        <f>IFERROR(__xludf.DUMMYFUNCTION("""COMPUTED_VALUE"""),"WESTERLY W15")</f>
        <v>WESTERLY W15</v>
      </c>
      <c r="O319" s="26" t="str">
        <f>IFERROR(__xludf.DUMMYFUNCTION("""COMPUTED_VALUE"""),"SCREEN|||WESTERLY W15")</f>
        <v>SCREEN|||WESTERLY W15</v>
      </c>
      <c r="P319" s="26"/>
      <c r="Q319" s="26"/>
      <c r="R319" s="26" t="str">
        <f>IFERROR(__xludf.DUMMYFUNCTION("""COMPUTED_VALUE"""),"C3B")</f>
        <v>C3B</v>
      </c>
      <c r="S319" s="26" t="str">
        <f>IFERROR(__xludf.DUMMYFUNCTION("""COMPUTED_VALUE"""),"ENTRY")</f>
        <v>ENTRY</v>
      </c>
      <c r="T319" s="26"/>
    </row>
    <row r="320">
      <c r="A320" s="35">
        <f>IFERROR(__xludf.DUMMYFUNCTION("""COMPUTED_VALUE"""),46108.51993402778)</f>
        <v>46108.51993</v>
      </c>
      <c r="B320" s="36" t="str">
        <f>IFERROR(__xludf.DUMMYFUNCTION("""COMPUTED_VALUE"""),"SCREEN")</f>
        <v>SCREEN</v>
      </c>
      <c r="C320" s="26" t="str">
        <f>IFERROR(__xludf.DUMMYFUNCTION("""COMPUTED_VALUE"""),"LGILOT1001-2W")</f>
        <v>LGILOT1001-2W</v>
      </c>
      <c r="D320" s="27" t="str">
        <f>IFERROR(__xludf.DUMMYFUNCTION("""COMPUTED_VALUE"""),"LGI")</f>
        <v>LGI</v>
      </c>
      <c r="E320" s="27"/>
      <c r="F320" s="36">
        <f>IFERROR(__xludf.DUMMYFUNCTION("""COMPUTED_VALUE"""),2.0)</f>
        <v>2</v>
      </c>
      <c r="G320" s="27" t="str">
        <f>IFERROR(__xludf.DUMMYFUNCTION("""COMPUTED_VALUE"""),"UNIT")</f>
        <v>UNIT</v>
      </c>
      <c r="H320" s="37"/>
      <c r="I320" s="36" t="str">
        <f>IFERROR(__xludf.DUMMYFUNCTION("""COMPUTED_VALUE"""),"C3B")</f>
        <v>C3B</v>
      </c>
      <c r="J320" s="30"/>
      <c r="K320" s="26" t="str">
        <f>IFERROR(__xludf.DUMMYFUNCTION("""COMPUTED_VALUE"""),"WINDOW SCREEN")</f>
        <v>WINDOW SCREEN</v>
      </c>
      <c r="L320" s="30" t="str">
        <f>IFERROR(__xludf.DUMMYFUNCTION("""COMPUTED_VALUE"""),"IN STOCK")</f>
        <v>IN STOCK</v>
      </c>
      <c r="M320" s="26"/>
      <c r="N320" s="26" t="str">
        <f>IFERROR(__xludf.DUMMYFUNCTION("""COMPUTED_VALUE"""),"LGILOT1001-2W")</f>
        <v>LGILOT1001-2W</v>
      </c>
      <c r="O320" s="26" t="str">
        <f>IFERROR(__xludf.DUMMYFUNCTION("""COMPUTED_VALUE"""),"SCREEN|||LGILOT1001 2W")</f>
        <v>SCREEN|||LGILOT1001 2W</v>
      </c>
      <c r="P320" s="26"/>
      <c r="Q320" s="26"/>
      <c r="R320" s="26" t="str">
        <f>IFERROR(__xludf.DUMMYFUNCTION("""COMPUTED_VALUE"""),"C3B")</f>
        <v>C3B</v>
      </c>
      <c r="S320" s="26" t="str">
        <f>IFERROR(__xludf.DUMMYFUNCTION("""COMPUTED_VALUE"""),"ENTRY")</f>
        <v>ENTRY</v>
      </c>
      <c r="T320" s="26"/>
    </row>
    <row r="321">
      <c r="A321" s="35">
        <f>IFERROR(__xludf.DUMMYFUNCTION("""COMPUTED_VALUE"""),46108.51189179398)</f>
        <v>46108.51189</v>
      </c>
      <c r="B321" s="36" t="str">
        <f>IFERROR(__xludf.DUMMYFUNCTION("""COMPUTED_VALUE"""),"SCREEN")</f>
        <v>SCREEN</v>
      </c>
      <c r="C321" s="26" t="str">
        <f>IFERROR(__xludf.DUMMYFUNCTION("""COMPUTED_VALUE"""),"PAT SP516")</f>
        <v>PAT SP516</v>
      </c>
      <c r="D321" s="27" t="str">
        <f>IFERROR(__xludf.DUMMYFUNCTION("""COMPUTED_VALUE"""),"PAT")</f>
        <v>PAT</v>
      </c>
      <c r="E321" s="27"/>
      <c r="F321" s="36">
        <f>IFERROR(__xludf.DUMMYFUNCTION("""COMPUTED_VALUE"""),1.0)</f>
        <v>1</v>
      </c>
      <c r="G321" s="27" t="str">
        <f>IFERROR(__xludf.DUMMYFUNCTION("""COMPUTED_VALUE"""),"UNIT")</f>
        <v>UNIT</v>
      </c>
      <c r="H321" s="37"/>
      <c r="I321" s="36" t="str">
        <f>IFERROR(__xludf.DUMMYFUNCTION("""COMPUTED_VALUE"""),"C3B")</f>
        <v>C3B</v>
      </c>
      <c r="J321" s="30"/>
      <c r="K321" s="26" t="str">
        <f>IFERROR(__xludf.DUMMYFUNCTION("""COMPUTED_VALUE"""),"WINDOW SCREEN")</f>
        <v>WINDOW SCREEN</v>
      </c>
      <c r="L321" s="30" t="str">
        <f>IFERROR(__xludf.DUMMYFUNCTION("""COMPUTED_VALUE"""),"IN STOCK")</f>
        <v>IN STOCK</v>
      </c>
      <c r="M321" s="26"/>
      <c r="N321" s="26" t="str">
        <f>IFERROR(__xludf.DUMMYFUNCTION("""COMPUTED_VALUE""")," PATTERSON HOMES")</f>
        <v> PATTERSON HOMES</v>
      </c>
      <c r="O321" s="26" t="str">
        <f>IFERROR(__xludf.DUMMYFUNCTION("""COMPUTED_VALUE"""),"SCREEN|||PAT SP516")</f>
        <v>SCREEN|||PAT SP516</v>
      </c>
      <c r="P321" s="26"/>
      <c r="Q321" s="26"/>
      <c r="R321" s="26" t="str">
        <f>IFERROR(__xludf.DUMMYFUNCTION("""COMPUTED_VALUE"""),"C3B")</f>
        <v>C3B</v>
      </c>
      <c r="S321" s="26" t="str">
        <f>IFERROR(__xludf.DUMMYFUNCTION("""COMPUTED_VALUE"""),"ENTRY")</f>
        <v>ENTRY</v>
      </c>
      <c r="T321" s="26"/>
    </row>
    <row r="322">
      <c r="A322" s="35">
        <f>IFERROR(__xludf.DUMMYFUNCTION("""COMPUTED_VALUE"""),46108.51022168981)</f>
        <v>46108.51022</v>
      </c>
      <c r="B322" s="36" t="str">
        <f>IFERROR(__xludf.DUMMYFUNCTION("""COMPUTED_VALUE"""),"SCREEN")</f>
        <v>SCREEN</v>
      </c>
      <c r="C322" s="26" t="str">
        <f>IFERROR(__xludf.DUMMYFUNCTION("""COMPUTED_VALUE"""),"ICO-BONNELL RESIDENCE")</f>
        <v>ICO-BONNELL RESIDENCE</v>
      </c>
      <c r="D322" s="27" t="str">
        <f>IFERROR(__xludf.DUMMYFUNCTION("""COMPUTED_VALUE"""),"ICO")</f>
        <v>ICO</v>
      </c>
      <c r="E322" s="27"/>
      <c r="F322" s="36">
        <f>IFERROR(__xludf.DUMMYFUNCTION("""COMPUTED_VALUE"""),13.0)</f>
        <v>13</v>
      </c>
      <c r="G322" s="27" t="str">
        <f>IFERROR(__xludf.DUMMYFUNCTION("""COMPUTED_VALUE"""),"UNIT")</f>
        <v>UNIT</v>
      </c>
      <c r="H322" s="37"/>
      <c r="I322" s="36" t="str">
        <f>IFERROR(__xludf.DUMMYFUNCTION("""COMPUTED_VALUE"""),"C3B")</f>
        <v>C3B</v>
      </c>
      <c r="J322" s="30"/>
      <c r="K322" s="26" t="str">
        <f>IFERROR(__xludf.DUMMYFUNCTION("""COMPUTED_VALUE"""),"WINDOW SCREEN")</f>
        <v>WINDOW SCREEN</v>
      </c>
      <c r="L322" s="30" t="str">
        <f>IFERROR(__xludf.DUMMYFUNCTION("""COMPUTED_VALUE"""),"IN STOCK")</f>
        <v>IN STOCK</v>
      </c>
      <c r="M322" s="26"/>
      <c r="N322" s="26" t="str">
        <f>IFERROR(__xludf.DUMMYFUNCTION("""COMPUTED_VALUE"""),"ICO-BONNELL RESIDENCE")</f>
        <v>ICO-BONNELL RESIDENCE</v>
      </c>
      <c r="O322" s="26" t="str">
        <f>IFERROR(__xludf.DUMMYFUNCTION("""COMPUTED_VALUE"""),"SCREEN|||ICO BONNELL RESIDENCE")</f>
        <v>SCREEN|||ICO BONNELL RESIDENCE</v>
      </c>
      <c r="P322" s="26"/>
      <c r="Q322" s="26"/>
      <c r="R322" s="26" t="str">
        <f>IFERROR(__xludf.DUMMYFUNCTION("""COMPUTED_VALUE"""),"C3B")</f>
        <v>C3B</v>
      </c>
      <c r="S322" s="26" t="str">
        <f>IFERROR(__xludf.DUMMYFUNCTION("""COMPUTED_VALUE"""),"ENTRY")</f>
        <v>ENTRY</v>
      </c>
      <c r="T322" s="26"/>
    </row>
    <row r="323">
      <c r="A323" s="35">
        <f>IFERROR(__xludf.DUMMYFUNCTION("""COMPUTED_VALUE"""),46108.506655868056)</f>
        <v>46108.50666</v>
      </c>
      <c r="B323" s="36" t="str">
        <f>IFERROR(__xludf.DUMMYFUNCTION("""COMPUTED_VALUE"""),"SCREEN")</f>
        <v>SCREEN</v>
      </c>
      <c r="C323" s="26" t="str">
        <f>IFERROR(__xludf.DUMMYFUNCTION("""COMPUTED_VALUE"""),"JANNAE THOMAS ")</f>
        <v>JANNAE THOMAS </v>
      </c>
      <c r="D323" s="27"/>
      <c r="E323" s="27"/>
      <c r="F323" s="36">
        <f>IFERROR(__xludf.DUMMYFUNCTION("""COMPUTED_VALUE"""),1.0)</f>
        <v>1</v>
      </c>
      <c r="G323" s="27" t="str">
        <f>IFERROR(__xludf.DUMMYFUNCTION("""COMPUTED_VALUE"""),"UNIT")</f>
        <v>UNIT</v>
      </c>
      <c r="H323" s="37"/>
      <c r="I323" s="36" t="str">
        <f>IFERROR(__xludf.DUMMYFUNCTION("""COMPUTED_VALUE"""),"C3B")</f>
        <v>C3B</v>
      </c>
      <c r="J323" s="30"/>
      <c r="K323" s="26" t="str">
        <f>IFERROR(__xludf.DUMMYFUNCTION("""COMPUTED_VALUE"""),"WINDOW SCREEN")</f>
        <v>WINDOW SCREEN</v>
      </c>
      <c r="L323" s="30" t="str">
        <f>IFERROR(__xludf.DUMMYFUNCTION("""COMPUTED_VALUE"""),"IN STOCK")</f>
        <v>IN STOCK</v>
      </c>
      <c r="M323" s="26"/>
      <c r="N323" s="26" t="str">
        <f>IFERROR(__xludf.DUMMYFUNCTION("""COMPUTED_VALUE"""),"JANNAE THOMAS ")</f>
        <v>JANNAE THOMAS </v>
      </c>
      <c r="O323" s="26" t="str">
        <f>IFERROR(__xludf.DUMMYFUNCTION("""COMPUTED_VALUE"""),"SCREEN|||JANNAE THOMAS")</f>
        <v>SCREEN|||JANNAE THOMAS</v>
      </c>
      <c r="P323" s="26"/>
      <c r="Q323" s="26"/>
      <c r="R323" s="26" t="str">
        <f>IFERROR(__xludf.DUMMYFUNCTION("""COMPUTED_VALUE"""),"C3B")</f>
        <v>C3B</v>
      </c>
      <c r="S323" s="26" t="str">
        <f>IFERROR(__xludf.DUMMYFUNCTION("""COMPUTED_VALUE"""),"ENTRY")</f>
        <v>ENTRY</v>
      </c>
      <c r="T323" s="26"/>
    </row>
    <row r="324">
      <c r="A324" s="35">
        <f>IFERROR(__xludf.DUMMYFUNCTION("""COMPUTED_VALUE"""),46108.46344245371)</f>
        <v>46108.46344</v>
      </c>
      <c r="B324" s="36" t="str">
        <f>IFERROR(__xludf.DUMMYFUNCTION("""COMPUTED_VALUE"""),"SCREEN")</f>
        <v>SCREEN</v>
      </c>
      <c r="C324" s="26" t="str">
        <f>IFERROR(__xludf.DUMMYFUNCTION("""COMPUTED_VALUE"""),"GOO-HFLot161")</f>
        <v>GOO-HFLot161</v>
      </c>
      <c r="D324" s="27" t="str">
        <f>IFERROR(__xludf.DUMMYFUNCTION("""COMPUTED_VALUE"""),"GOO")</f>
        <v>GOO</v>
      </c>
      <c r="E324" s="27"/>
      <c r="F324" s="36">
        <f>IFERROR(__xludf.DUMMYFUNCTION("""COMPUTED_VALUE"""),21.0)</f>
        <v>21</v>
      </c>
      <c r="G324" s="27" t="str">
        <f>IFERROR(__xludf.DUMMYFUNCTION("""COMPUTED_VALUE"""),"UNIT")</f>
        <v>UNIT</v>
      </c>
      <c r="H324" s="37"/>
      <c r="I324" s="36" t="str">
        <f>IFERROR(__xludf.DUMMYFUNCTION("""COMPUTED_VALUE"""),"C3B")</f>
        <v>C3B</v>
      </c>
      <c r="J324" s="30"/>
      <c r="K324" s="26" t="str">
        <f>IFERROR(__xludf.DUMMYFUNCTION("""COMPUTED_VALUE"""),"WINDOW SCREEN")</f>
        <v>WINDOW SCREEN</v>
      </c>
      <c r="L324" s="30" t="str">
        <f>IFERROR(__xludf.DUMMYFUNCTION("""COMPUTED_VALUE"""),"IN STOCK")</f>
        <v>IN STOCK</v>
      </c>
      <c r="M324" s="26"/>
      <c r="N324" s="26" t="str">
        <f>IFERROR(__xludf.DUMMYFUNCTION("""COMPUTED_VALUE"""),"GOO-HFLot161")</f>
        <v>GOO-HFLot161</v>
      </c>
      <c r="O324" s="26" t="str">
        <f>IFERROR(__xludf.DUMMYFUNCTION("""COMPUTED_VALUE"""),"SCREEN|||GOO HFLOT161")</f>
        <v>SCREEN|||GOO HFLOT161</v>
      </c>
      <c r="P324" s="26"/>
      <c r="Q324" s="26"/>
      <c r="R324" s="26" t="str">
        <f>IFERROR(__xludf.DUMMYFUNCTION("""COMPUTED_VALUE"""),"C3B")</f>
        <v>C3B</v>
      </c>
      <c r="S324" s="26" t="str">
        <f>IFERROR(__xludf.DUMMYFUNCTION("""COMPUTED_VALUE"""),"ENTRY")</f>
        <v>ENTRY</v>
      </c>
      <c r="T324" s="26"/>
    </row>
    <row r="325">
      <c r="A325" s="35">
        <f>IFERROR(__xludf.DUMMYFUNCTION("""COMPUTED_VALUE"""),46108.460874791665)</f>
        <v>46108.46087</v>
      </c>
      <c r="B325" s="36" t="str">
        <f>IFERROR(__xludf.DUMMYFUNCTION("""COMPUTED_VALUE"""),"SCREEN")</f>
        <v>SCREEN</v>
      </c>
      <c r="C325" s="26" t="str">
        <f>IFERROR(__xludf.DUMMYFUNCTION("""COMPUTED_VALUE"""),"DAL-CLINTON")</f>
        <v>DAL-CLINTON</v>
      </c>
      <c r="D325" s="27" t="str">
        <f>IFERROR(__xludf.DUMMYFUNCTION("""COMPUTED_VALUE"""),"DAL")</f>
        <v>DAL</v>
      </c>
      <c r="E325" s="27"/>
      <c r="F325" s="36">
        <f>IFERROR(__xludf.DUMMYFUNCTION("""COMPUTED_VALUE"""),1.0)</f>
        <v>1</v>
      </c>
      <c r="G325" s="27" t="str">
        <f>IFERROR(__xludf.DUMMYFUNCTION("""COMPUTED_VALUE"""),"UNIT")</f>
        <v>UNIT</v>
      </c>
      <c r="H325" s="37"/>
      <c r="I325" s="36" t="str">
        <f>IFERROR(__xludf.DUMMYFUNCTION("""COMPUTED_VALUE"""),"C3B")</f>
        <v>C3B</v>
      </c>
      <c r="J325" s="30"/>
      <c r="K325" s="26" t="str">
        <f>IFERROR(__xludf.DUMMYFUNCTION("""COMPUTED_VALUE"""),"WINDOW SCREEN")</f>
        <v>WINDOW SCREEN</v>
      </c>
      <c r="L325" s="30" t="str">
        <f>IFERROR(__xludf.DUMMYFUNCTION("""COMPUTED_VALUE"""),"IN STOCK")</f>
        <v>IN STOCK</v>
      </c>
      <c r="M325" s="26"/>
      <c r="N325" s="26" t="str">
        <f>IFERROR(__xludf.DUMMYFUNCTION("""COMPUTED_VALUE"""),"DAL-CLINTON")</f>
        <v>DAL-CLINTON</v>
      </c>
      <c r="O325" s="26" t="str">
        <f>IFERROR(__xludf.DUMMYFUNCTION("""COMPUTED_VALUE"""),"SCREEN|||DAL CLINTON")</f>
        <v>SCREEN|||DAL CLINTON</v>
      </c>
      <c r="P325" s="26"/>
      <c r="Q325" s="26"/>
      <c r="R325" s="26" t="str">
        <f>IFERROR(__xludf.DUMMYFUNCTION("""COMPUTED_VALUE"""),"C3B")</f>
        <v>C3B</v>
      </c>
      <c r="S325" s="26" t="str">
        <f>IFERROR(__xludf.DUMMYFUNCTION("""COMPUTED_VALUE"""),"ENTRY")</f>
        <v>ENTRY</v>
      </c>
      <c r="T325" s="26"/>
    </row>
    <row r="326">
      <c r="A326" s="35">
        <f>IFERROR(__xludf.DUMMYFUNCTION("""COMPUTED_VALUE"""),46108.45983378473)</f>
        <v>46108.45983</v>
      </c>
      <c r="B326" s="36" t="str">
        <f>IFERROR(__xludf.DUMMYFUNCTION("""COMPUTED_VALUE"""),"SCREEN")</f>
        <v>SCREEN</v>
      </c>
      <c r="C326" s="26" t="str">
        <f>IFERROR(__xludf.DUMMYFUNCTION("""COMPUTED_VALUE"""),"SWE-WHITING FIELDS")</f>
        <v>SWE-WHITING FIELDS</v>
      </c>
      <c r="D326" s="27" t="str">
        <f>IFERROR(__xludf.DUMMYFUNCTION("""COMPUTED_VALUE"""),"SWE")</f>
        <v>SWE</v>
      </c>
      <c r="E326" s="27"/>
      <c r="F326" s="36">
        <f>IFERROR(__xludf.DUMMYFUNCTION("""COMPUTED_VALUE"""),10.0)</f>
        <v>10</v>
      </c>
      <c r="G326" s="27" t="str">
        <f>IFERROR(__xludf.DUMMYFUNCTION("""COMPUTED_VALUE"""),"UNIT")</f>
        <v>UNIT</v>
      </c>
      <c r="H326" s="37"/>
      <c r="I326" s="36" t="str">
        <f>IFERROR(__xludf.DUMMYFUNCTION("""COMPUTED_VALUE"""),"C3B")</f>
        <v>C3B</v>
      </c>
      <c r="J326" s="30"/>
      <c r="K326" s="26" t="str">
        <f>IFERROR(__xludf.DUMMYFUNCTION("""COMPUTED_VALUE"""),"WINDOW SCREEN")</f>
        <v>WINDOW SCREEN</v>
      </c>
      <c r="L326" s="30" t="str">
        <f>IFERROR(__xludf.DUMMYFUNCTION("""COMPUTED_VALUE"""),"IN STOCK")</f>
        <v>IN STOCK</v>
      </c>
      <c r="M326" s="26"/>
      <c r="N326" s="26" t="str">
        <f>IFERROR(__xludf.DUMMYFUNCTION("""COMPUTED_VALUE"""),"SWE-WHITING FIELDS")</f>
        <v>SWE-WHITING FIELDS</v>
      </c>
      <c r="O326" s="26" t="str">
        <f>IFERROR(__xludf.DUMMYFUNCTION("""COMPUTED_VALUE"""),"SCREEN|||SWE WHITING FIELDS")</f>
        <v>SCREEN|||SWE WHITING FIELDS</v>
      </c>
      <c r="P326" s="26"/>
      <c r="Q326" s="26"/>
      <c r="R326" s="26" t="str">
        <f>IFERROR(__xludf.DUMMYFUNCTION("""COMPUTED_VALUE"""),"C3B")</f>
        <v>C3B</v>
      </c>
      <c r="S326" s="26" t="str">
        <f>IFERROR(__xludf.DUMMYFUNCTION("""COMPUTED_VALUE"""),"ENTRY")</f>
        <v>ENTRY</v>
      </c>
      <c r="T326" s="26"/>
    </row>
    <row r="327">
      <c r="A327" s="35">
        <f>IFERROR(__xludf.DUMMYFUNCTION("""COMPUTED_VALUE"""),46108.45853976852)</f>
        <v>46108.45854</v>
      </c>
      <c r="B327" s="36" t="str">
        <f>IFERROR(__xludf.DUMMYFUNCTION("""COMPUTED_VALUE"""),"SCREEN")</f>
        <v>SCREEN</v>
      </c>
      <c r="C327" s="26" t="str">
        <f>IFERROR(__xludf.DUMMYFUNCTION("""COMPUTED_VALUE"""),"DAL-WOODLAND HILLS")</f>
        <v>DAL-WOODLAND HILLS</v>
      </c>
      <c r="D327" s="27" t="str">
        <f>IFERROR(__xludf.DUMMYFUNCTION("""COMPUTED_VALUE"""),"DAL")</f>
        <v>DAL</v>
      </c>
      <c r="E327" s="27"/>
      <c r="F327" s="36">
        <f>IFERROR(__xludf.DUMMYFUNCTION("""COMPUTED_VALUE"""),6.0)</f>
        <v>6</v>
      </c>
      <c r="G327" s="27" t="str">
        <f>IFERROR(__xludf.DUMMYFUNCTION("""COMPUTED_VALUE"""),"UNIT")</f>
        <v>UNIT</v>
      </c>
      <c r="H327" s="37"/>
      <c r="I327" s="36" t="str">
        <f>IFERROR(__xludf.DUMMYFUNCTION("""COMPUTED_VALUE"""),"C3B")</f>
        <v>C3B</v>
      </c>
      <c r="J327" s="30"/>
      <c r="K327" s="26" t="str">
        <f>IFERROR(__xludf.DUMMYFUNCTION("""COMPUTED_VALUE"""),"WINDOW SCREEN")</f>
        <v>WINDOW SCREEN</v>
      </c>
      <c r="L327" s="30" t="str">
        <f>IFERROR(__xludf.DUMMYFUNCTION("""COMPUTED_VALUE"""),"IN STOCK")</f>
        <v>IN STOCK</v>
      </c>
      <c r="M327" s="26"/>
      <c r="N327" s="26" t="str">
        <f>IFERROR(__xludf.DUMMYFUNCTION("""COMPUTED_VALUE"""),"DAL-WOODLAND HILLS")</f>
        <v>DAL-WOODLAND HILLS</v>
      </c>
      <c r="O327" s="26" t="str">
        <f>IFERROR(__xludf.DUMMYFUNCTION("""COMPUTED_VALUE"""),"SCREEN|||DAL WOODLAND HILLS")</f>
        <v>SCREEN|||DAL WOODLAND HILLS</v>
      </c>
      <c r="P327" s="26"/>
      <c r="Q327" s="26"/>
      <c r="R327" s="26" t="str">
        <f>IFERROR(__xludf.DUMMYFUNCTION("""COMPUTED_VALUE"""),"C3B")</f>
        <v>C3B</v>
      </c>
      <c r="S327" s="26" t="str">
        <f>IFERROR(__xludf.DUMMYFUNCTION("""COMPUTED_VALUE"""),"ENTRY")</f>
        <v>ENTRY</v>
      </c>
      <c r="T327" s="26"/>
    </row>
    <row r="328">
      <c r="A328" s="35">
        <f>IFERROR(__xludf.DUMMYFUNCTION("""COMPUTED_VALUE"""),46108.45710701389)</f>
        <v>46108.45711</v>
      </c>
      <c r="B328" s="36" t="str">
        <f>IFERROR(__xludf.DUMMYFUNCTION("""COMPUTED_VALUE"""),"SCREEN")</f>
        <v>SCREEN</v>
      </c>
      <c r="C328" s="26" t="str">
        <f>IFERROR(__xludf.DUMMYFUNCTION("""COMPUTED_VALUE"""),"PAT PV138 MARNI")</f>
        <v>PAT PV138 MARNI</v>
      </c>
      <c r="D328" s="27" t="str">
        <f>IFERROR(__xludf.DUMMYFUNCTION("""COMPUTED_VALUE"""),"PAT")</f>
        <v>PAT</v>
      </c>
      <c r="E328" s="27"/>
      <c r="F328" s="36">
        <f>IFERROR(__xludf.DUMMYFUNCTION("""COMPUTED_VALUE"""),2.0)</f>
        <v>2</v>
      </c>
      <c r="G328" s="27" t="str">
        <f>IFERROR(__xludf.DUMMYFUNCTION("""COMPUTED_VALUE"""),"UNIT")</f>
        <v>UNIT</v>
      </c>
      <c r="H328" s="37"/>
      <c r="I328" s="36" t="str">
        <f>IFERROR(__xludf.DUMMYFUNCTION("""COMPUTED_VALUE"""),"C3B")</f>
        <v>C3B</v>
      </c>
      <c r="J328" s="30"/>
      <c r="K328" s="26" t="str">
        <f>IFERROR(__xludf.DUMMYFUNCTION("""COMPUTED_VALUE"""),"WINDOW SCREEN")</f>
        <v>WINDOW SCREEN</v>
      </c>
      <c r="L328" s="30" t="str">
        <f>IFERROR(__xludf.DUMMYFUNCTION("""COMPUTED_VALUE"""),"IN STOCK")</f>
        <v>IN STOCK</v>
      </c>
      <c r="M328" s="26"/>
      <c r="N328" s="26" t="str">
        <f>IFERROR(__xludf.DUMMYFUNCTION("""COMPUTED_VALUE""")," PATTERSON HOMES")</f>
        <v> PATTERSON HOMES</v>
      </c>
      <c r="O328" s="26" t="str">
        <f>IFERROR(__xludf.DUMMYFUNCTION("""COMPUTED_VALUE"""),"SCREEN|||PAT PV138 MARNI")</f>
        <v>SCREEN|||PAT PV138 MARNI</v>
      </c>
      <c r="P328" s="26"/>
      <c r="Q328" s="26"/>
      <c r="R328" s="26" t="str">
        <f>IFERROR(__xludf.DUMMYFUNCTION("""COMPUTED_VALUE"""),"C3B")</f>
        <v>C3B</v>
      </c>
      <c r="S328" s="26" t="str">
        <f>IFERROR(__xludf.DUMMYFUNCTION("""COMPUTED_VALUE"""),"ENTRY")</f>
        <v>ENTRY</v>
      </c>
      <c r="T328" s="26"/>
    </row>
    <row r="329">
      <c r="A329" s="35">
        <f>IFERROR(__xludf.DUMMYFUNCTION("""COMPUTED_VALUE"""),46108.4561599074)</f>
        <v>46108.45616</v>
      </c>
      <c r="B329" s="36" t="str">
        <f>IFERROR(__xludf.DUMMYFUNCTION("""COMPUTED_VALUE"""),"SCREEN")</f>
        <v>SCREEN</v>
      </c>
      <c r="C329" s="26" t="str">
        <f>IFERROR(__xludf.DUMMYFUNCTION("""COMPUTED_VALUE"""),"PAT PV129")</f>
        <v>PAT PV129</v>
      </c>
      <c r="D329" s="27" t="str">
        <f>IFERROR(__xludf.DUMMYFUNCTION("""COMPUTED_VALUE"""),"PAT")</f>
        <v>PAT</v>
      </c>
      <c r="E329" s="27"/>
      <c r="F329" s="36">
        <f>IFERROR(__xludf.DUMMYFUNCTION("""COMPUTED_VALUE"""),5.0)</f>
        <v>5</v>
      </c>
      <c r="G329" s="27" t="str">
        <f>IFERROR(__xludf.DUMMYFUNCTION("""COMPUTED_VALUE"""),"UNIT")</f>
        <v>UNIT</v>
      </c>
      <c r="H329" s="37"/>
      <c r="I329" s="36" t="str">
        <f>IFERROR(__xludf.DUMMYFUNCTION("""COMPUTED_VALUE"""),"C3B")</f>
        <v>C3B</v>
      </c>
      <c r="J329" s="30"/>
      <c r="K329" s="26" t="str">
        <f>IFERROR(__xludf.DUMMYFUNCTION("""COMPUTED_VALUE"""),"WINDOW SCREEN")</f>
        <v>WINDOW SCREEN</v>
      </c>
      <c r="L329" s="30" t="str">
        <f>IFERROR(__xludf.DUMMYFUNCTION("""COMPUTED_VALUE"""),"IN STOCK")</f>
        <v>IN STOCK</v>
      </c>
      <c r="M329" s="26"/>
      <c r="N329" s="26" t="str">
        <f>IFERROR(__xludf.DUMMYFUNCTION("""COMPUTED_VALUE""")," PATTERSON HOMES")</f>
        <v> PATTERSON HOMES</v>
      </c>
      <c r="O329" s="26" t="str">
        <f>IFERROR(__xludf.DUMMYFUNCTION("""COMPUTED_VALUE"""),"SCREEN|||PAT PV129")</f>
        <v>SCREEN|||PAT PV129</v>
      </c>
      <c r="P329" s="26"/>
      <c r="Q329" s="26"/>
      <c r="R329" s="26" t="str">
        <f>IFERROR(__xludf.DUMMYFUNCTION("""COMPUTED_VALUE"""),"C3B")</f>
        <v>C3B</v>
      </c>
      <c r="S329" s="26" t="str">
        <f>IFERROR(__xludf.DUMMYFUNCTION("""COMPUTED_VALUE"""),"ENTRY")</f>
        <v>ENTRY</v>
      </c>
      <c r="T329" s="26"/>
    </row>
    <row r="330">
      <c r="A330" s="35">
        <f>IFERROR(__xludf.DUMMYFUNCTION("""COMPUTED_VALUE"""),46108.45536063657)</f>
        <v>46108.45536</v>
      </c>
      <c r="B330" s="36" t="str">
        <f>IFERROR(__xludf.DUMMYFUNCTION("""COMPUTED_VALUE"""),"SCREEN")</f>
        <v>SCREEN</v>
      </c>
      <c r="C330" s="26" t="str">
        <f>IFERROR(__xludf.DUMMYFUNCTION("""COMPUTED_VALUE"""),"DAL-WOODLAND")</f>
        <v>DAL-WOODLAND</v>
      </c>
      <c r="D330" s="27" t="str">
        <f>IFERROR(__xludf.DUMMYFUNCTION("""COMPUTED_VALUE"""),"DAL")</f>
        <v>DAL</v>
      </c>
      <c r="E330" s="27"/>
      <c r="F330" s="36">
        <f>IFERROR(__xludf.DUMMYFUNCTION("""COMPUTED_VALUE"""),13.0)</f>
        <v>13</v>
      </c>
      <c r="G330" s="27" t="str">
        <f>IFERROR(__xludf.DUMMYFUNCTION("""COMPUTED_VALUE"""),"UNIT")</f>
        <v>UNIT</v>
      </c>
      <c r="H330" s="37"/>
      <c r="I330" s="36" t="str">
        <f>IFERROR(__xludf.DUMMYFUNCTION("""COMPUTED_VALUE"""),"C3B")</f>
        <v>C3B</v>
      </c>
      <c r="J330" s="30"/>
      <c r="K330" s="26" t="str">
        <f>IFERROR(__xludf.DUMMYFUNCTION("""COMPUTED_VALUE"""),"WINDOW SCREEN")</f>
        <v>WINDOW SCREEN</v>
      </c>
      <c r="L330" s="30" t="str">
        <f>IFERROR(__xludf.DUMMYFUNCTION("""COMPUTED_VALUE"""),"IN STOCK")</f>
        <v>IN STOCK</v>
      </c>
      <c r="M330" s="26"/>
      <c r="N330" s="26" t="str">
        <f>IFERROR(__xludf.DUMMYFUNCTION("""COMPUTED_VALUE"""),"DAL-WOODLAND")</f>
        <v>DAL-WOODLAND</v>
      </c>
      <c r="O330" s="26" t="str">
        <f>IFERROR(__xludf.DUMMYFUNCTION("""COMPUTED_VALUE"""),"SCREEN|||DAL WOODLAND")</f>
        <v>SCREEN|||DAL WOODLAND</v>
      </c>
      <c r="P330" s="26"/>
      <c r="Q330" s="26"/>
      <c r="R330" s="26" t="str">
        <f>IFERROR(__xludf.DUMMYFUNCTION("""COMPUTED_VALUE"""),"C3B")</f>
        <v>C3B</v>
      </c>
      <c r="S330" s="26" t="str">
        <f>IFERROR(__xludf.DUMMYFUNCTION("""COMPUTED_VALUE"""),"ENTRY")</f>
        <v>ENTRY</v>
      </c>
      <c r="T330" s="26"/>
    </row>
    <row r="331">
      <c r="A331" s="35">
        <f>IFERROR(__xludf.DUMMYFUNCTION("""COMPUTED_VALUE"""),46108.44862954861)</f>
        <v>46108.44863</v>
      </c>
      <c r="B331" s="36" t="str">
        <f>IFERROR(__xludf.DUMMYFUNCTION("""COMPUTED_VALUE"""),"SCREEN")</f>
        <v>SCREEN</v>
      </c>
      <c r="C331" s="26" t="str">
        <f>IFERROR(__xludf.DUMMYFUNCTION("""COMPUTED_VALUE"""),"44 NORTH")</f>
        <v>44 NORTH</v>
      </c>
      <c r="D331" s="27" t="str">
        <f>IFERROR(__xludf.DUMMYFUNCTION("""COMPUTED_VALUE"""),"44 NORTH")</f>
        <v>44 NORTH</v>
      </c>
      <c r="E331" s="27"/>
      <c r="F331" s="36">
        <f>IFERROR(__xludf.DUMMYFUNCTION("""COMPUTED_VALUE"""),12.0)</f>
        <v>12</v>
      </c>
      <c r="G331" s="27" t="str">
        <f>IFERROR(__xludf.DUMMYFUNCTION("""COMPUTED_VALUE"""),"UNIT")</f>
        <v>UNIT</v>
      </c>
      <c r="H331" s="37"/>
      <c r="I331" s="36" t="str">
        <f>IFERROR(__xludf.DUMMYFUNCTION("""COMPUTED_VALUE"""),"C3B")</f>
        <v>C3B</v>
      </c>
      <c r="J331" s="30"/>
      <c r="K331" s="26" t="str">
        <f>IFERROR(__xludf.DUMMYFUNCTION("""COMPUTED_VALUE"""),"WINDOW SCREEN")</f>
        <v>WINDOW SCREEN</v>
      </c>
      <c r="L331" s="30" t="str">
        <f>IFERROR(__xludf.DUMMYFUNCTION("""COMPUTED_VALUE"""),"IN STOCK")</f>
        <v>IN STOCK</v>
      </c>
      <c r="M331" s="26"/>
      <c r="N331" s="26" t="str">
        <f>IFERROR(__xludf.DUMMYFUNCTION("""COMPUTED_VALUE"""),"44 NORTH")</f>
        <v>44 NORTH</v>
      </c>
      <c r="O331" s="26" t="str">
        <f>IFERROR(__xludf.DUMMYFUNCTION("""COMPUTED_VALUE"""),"SCREEN|||44 NORTH")</f>
        <v>SCREEN|||44 NORTH</v>
      </c>
      <c r="P331" s="26"/>
      <c r="Q331" s="26"/>
      <c r="R331" s="26" t="str">
        <f>IFERROR(__xludf.DUMMYFUNCTION("""COMPUTED_VALUE"""),"C3B")</f>
        <v>C3B</v>
      </c>
      <c r="S331" s="26" t="str">
        <f>IFERROR(__xludf.DUMMYFUNCTION("""COMPUTED_VALUE"""),"ENTRY")</f>
        <v>ENTRY</v>
      </c>
      <c r="T331" s="26"/>
    </row>
    <row r="332">
      <c r="A332" s="35">
        <f>IFERROR(__xludf.DUMMYFUNCTION("""COMPUTED_VALUE"""),46108.447782731484)</f>
        <v>46108.44778</v>
      </c>
      <c r="B332" s="36" t="str">
        <f>IFERROR(__xludf.DUMMYFUNCTION("""COMPUTED_VALUE"""),"SCREEN")</f>
        <v>SCREEN</v>
      </c>
      <c r="C332" s="26" t="str">
        <f>IFERROR(__xludf.DUMMYFUNCTION("""COMPUTED_VALUE"""),"44 NORTH")</f>
        <v>44 NORTH</v>
      </c>
      <c r="D332" s="27" t="str">
        <f>IFERROR(__xludf.DUMMYFUNCTION("""COMPUTED_VALUE"""),"44 NORTH")</f>
        <v>44 NORTH</v>
      </c>
      <c r="E332" s="27"/>
      <c r="F332" s="36">
        <f>IFERROR(__xludf.DUMMYFUNCTION("""COMPUTED_VALUE"""),13.0)</f>
        <v>13</v>
      </c>
      <c r="G332" s="27" t="str">
        <f>IFERROR(__xludf.DUMMYFUNCTION("""COMPUTED_VALUE"""),"UNIT")</f>
        <v>UNIT</v>
      </c>
      <c r="H332" s="37"/>
      <c r="I332" s="36" t="str">
        <f>IFERROR(__xludf.DUMMYFUNCTION("""COMPUTED_VALUE"""),"C3B")</f>
        <v>C3B</v>
      </c>
      <c r="J332" s="30"/>
      <c r="K332" s="26" t="str">
        <f>IFERROR(__xludf.DUMMYFUNCTION("""COMPUTED_VALUE"""),"WINDOW SCREEN")</f>
        <v>WINDOW SCREEN</v>
      </c>
      <c r="L332" s="30" t="str">
        <f>IFERROR(__xludf.DUMMYFUNCTION("""COMPUTED_VALUE"""),"IN STOCK")</f>
        <v>IN STOCK</v>
      </c>
      <c r="M332" s="26"/>
      <c r="N332" s="26" t="str">
        <f>IFERROR(__xludf.DUMMYFUNCTION("""COMPUTED_VALUE"""),"44 NORTH")</f>
        <v>44 NORTH</v>
      </c>
      <c r="O332" s="26" t="str">
        <f>IFERROR(__xludf.DUMMYFUNCTION("""COMPUTED_VALUE"""),"SCREEN|||44 NORTH")</f>
        <v>SCREEN|||44 NORTH</v>
      </c>
      <c r="P332" s="26"/>
      <c r="Q332" s="26"/>
      <c r="R332" s="26" t="str">
        <f>IFERROR(__xludf.DUMMYFUNCTION("""COMPUTED_VALUE"""),"C3B")</f>
        <v>C3B</v>
      </c>
      <c r="S332" s="26" t="str">
        <f>IFERROR(__xludf.DUMMYFUNCTION("""COMPUTED_VALUE"""),"ENTRY")</f>
        <v>ENTRY</v>
      </c>
      <c r="T332" s="26"/>
    </row>
    <row r="333">
      <c r="A333" s="35">
        <f>IFERROR(__xludf.DUMMYFUNCTION("""COMPUTED_VALUE"""),46108.44712697917)</f>
        <v>46108.44713</v>
      </c>
      <c r="B333" s="36" t="str">
        <f>IFERROR(__xludf.DUMMYFUNCTION("""COMPUTED_VALUE"""),"SCREEN")</f>
        <v>SCREEN</v>
      </c>
      <c r="C333" s="26" t="str">
        <f>IFERROR(__xludf.DUMMYFUNCTION("""COMPUTED_VALUE"""),"44 NORTH")</f>
        <v>44 NORTH</v>
      </c>
      <c r="D333" s="27" t="str">
        <f>IFERROR(__xludf.DUMMYFUNCTION("""COMPUTED_VALUE"""),"44 NORTH")</f>
        <v>44 NORTH</v>
      </c>
      <c r="E333" s="27"/>
      <c r="F333" s="36">
        <f>IFERROR(__xludf.DUMMYFUNCTION("""COMPUTED_VALUE"""),8.0)</f>
        <v>8</v>
      </c>
      <c r="G333" s="27" t="str">
        <f>IFERROR(__xludf.DUMMYFUNCTION("""COMPUTED_VALUE"""),"UNIT")</f>
        <v>UNIT</v>
      </c>
      <c r="H333" s="37"/>
      <c r="I333" s="36" t="str">
        <f>IFERROR(__xludf.DUMMYFUNCTION("""COMPUTED_VALUE"""),"C3B")</f>
        <v>C3B</v>
      </c>
      <c r="J333" s="30"/>
      <c r="K333" s="26" t="str">
        <f>IFERROR(__xludf.DUMMYFUNCTION("""COMPUTED_VALUE"""),"WINDOW SCREEN")</f>
        <v>WINDOW SCREEN</v>
      </c>
      <c r="L333" s="30" t="str">
        <f>IFERROR(__xludf.DUMMYFUNCTION("""COMPUTED_VALUE"""),"IN STOCK")</f>
        <v>IN STOCK</v>
      </c>
      <c r="M333" s="26"/>
      <c r="N333" s="26" t="str">
        <f>IFERROR(__xludf.DUMMYFUNCTION("""COMPUTED_VALUE"""),"44 NORTH")</f>
        <v>44 NORTH</v>
      </c>
      <c r="O333" s="26" t="str">
        <f>IFERROR(__xludf.DUMMYFUNCTION("""COMPUTED_VALUE"""),"SCREEN|||44 NORTH")</f>
        <v>SCREEN|||44 NORTH</v>
      </c>
      <c r="P333" s="26"/>
      <c r="Q333" s="26"/>
      <c r="R333" s="26" t="str">
        <f>IFERROR(__xludf.DUMMYFUNCTION("""COMPUTED_VALUE"""),"C3B")</f>
        <v>C3B</v>
      </c>
      <c r="S333" s="26" t="str">
        <f>IFERROR(__xludf.DUMMYFUNCTION("""COMPUTED_VALUE"""),"ENTRY")</f>
        <v>ENTRY</v>
      </c>
      <c r="T333" s="26"/>
    </row>
    <row r="334">
      <c r="A334" s="35">
        <f>IFERROR(__xludf.DUMMYFUNCTION("""COMPUTED_VALUE"""),46108.446661284725)</f>
        <v>46108.44666</v>
      </c>
      <c r="B334" s="36" t="str">
        <f>IFERROR(__xludf.DUMMYFUNCTION("""COMPUTED_VALUE"""),"SCREEN")</f>
        <v>SCREEN</v>
      </c>
      <c r="C334" s="26" t="str">
        <f>IFERROR(__xludf.DUMMYFUNCTION("""COMPUTED_VALUE"""),"44 NORTH")</f>
        <v>44 NORTH</v>
      </c>
      <c r="D334" s="27" t="str">
        <f>IFERROR(__xludf.DUMMYFUNCTION("""COMPUTED_VALUE"""),"44 NORTH")</f>
        <v>44 NORTH</v>
      </c>
      <c r="E334" s="27"/>
      <c r="F334" s="36">
        <f>IFERROR(__xludf.DUMMYFUNCTION("""COMPUTED_VALUE"""),13.0)</f>
        <v>13</v>
      </c>
      <c r="G334" s="27" t="str">
        <f>IFERROR(__xludf.DUMMYFUNCTION("""COMPUTED_VALUE"""),"UNIT")</f>
        <v>UNIT</v>
      </c>
      <c r="H334" s="37"/>
      <c r="I334" s="36" t="str">
        <f>IFERROR(__xludf.DUMMYFUNCTION("""COMPUTED_VALUE"""),"C3B")</f>
        <v>C3B</v>
      </c>
      <c r="J334" s="30"/>
      <c r="K334" s="26" t="str">
        <f>IFERROR(__xludf.DUMMYFUNCTION("""COMPUTED_VALUE"""),"WINDOW SCREEN")</f>
        <v>WINDOW SCREEN</v>
      </c>
      <c r="L334" s="30" t="str">
        <f>IFERROR(__xludf.DUMMYFUNCTION("""COMPUTED_VALUE"""),"IN STOCK")</f>
        <v>IN STOCK</v>
      </c>
      <c r="M334" s="26"/>
      <c r="N334" s="26" t="str">
        <f>IFERROR(__xludf.DUMMYFUNCTION("""COMPUTED_VALUE"""),"44 NORTH")</f>
        <v>44 NORTH</v>
      </c>
      <c r="O334" s="26" t="str">
        <f>IFERROR(__xludf.DUMMYFUNCTION("""COMPUTED_VALUE"""),"SCREEN|||44 NORTH")</f>
        <v>SCREEN|||44 NORTH</v>
      </c>
      <c r="P334" s="26"/>
      <c r="Q334" s="26"/>
      <c r="R334" s="26" t="str">
        <f>IFERROR(__xludf.DUMMYFUNCTION("""COMPUTED_VALUE"""),"C3B")</f>
        <v>C3B</v>
      </c>
      <c r="S334" s="26" t="str">
        <f>IFERROR(__xludf.DUMMYFUNCTION("""COMPUTED_VALUE"""),"ENTRY")</f>
        <v>ENTRY</v>
      </c>
      <c r="T334" s="26"/>
    </row>
    <row r="335">
      <c r="A335" s="35">
        <f>IFERROR(__xludf.DUMMYFUNCTION("""COMPUTED_VALUE"""),46108.445997951385)</f>
        <v>46108.446</v>
      </c>
      <c r="B335" s="36" t="str">
        <f>IFERROR(__xludf.DUMMYFUNCTION("""COMPUTED_VALUE"""),"SCREEN")</f>
        <v>SCREEN</v>
      </c>
      <c r="C335" s="26" t="str">
        <f>IFERROR(__xludf.DUMMYFUNCTION("""COMPUTED_VALUE"""),"44 NORTH")</f>
        <v>44 NORTH</v>
      </c>
      <c r="D335" s="27" t="str">
        <f>IFERROR(__xludf.DUMMYFUNCTION("""COMPUTED_VALUE"""),"44 NORTH")</f>
        <v>44 NORTH</v>
      </c>
      <c r="E335" s="27"/>
      <c r="F335" s="36">
        <f>IFERROR(__xludf.DUMMYFUNCTION("""COMPUTED_VALUE"""),13.0)</f>
        <v>13</v>
      </c>
      <c r="G335" s="27" t="str">
        <f>IFERROR(__xludf.DUMMYFUNCTION("""COMPUTED_VALUE"""),"UNIT")</f>
        <v>UNIT</v>
      </c>
      <c r="H335" s="37"/>
      <c r="I335" s="36" t="str">
        <f>IFERROR(__xludf.DUMMYFUNCTION("""COMPUTED_VALUE"""),"C3B")</f>
        <v>C3B</v>
      </c>
      <c r="J335" s="30"/>
      <c r="K335" s="26" t="str">
        <f>IFERROR(__xludf.DUMMYFUNCTION("""COMPUTED_VALUE"""),"WINDOW SCREEN")</f>
        <v>WINDOW SCREEN</v>
      </c>
      <c r="L335" s="30" t="str">
        <f>IFERROR(__xludf.DUMMYFUNCTION("""COMPUTED_VALUE"""),"IN STOCK")</f>
        <v>IN STOCK</v>
      </c>
      <c r="M335" s="26"/>
      <c r="N335" s="26" t="str">
        <f>IFERROR(__xludf.DUMMYFUNCTION("""COMPUTED_VALUE"""),"44 NORTH")</f>
        <v>44 NORTH</v>
      </c>
      <c r="O335" s="26" t="str">
        <f>IFERROR(__xludf.DUMMYFUNCTION("""COMPUTED_VALUE"""),"SCREEN|||44 NORTH")</f>
        <v>SCREEN|||44 NORTH</v>
      </c>
      <c r="P335" s="26"/>
      <c r="Q335" s="26"/>
      <c r="R335" s="26" t="str">
        <f>IFERROR(__xludf.DUMMYFUNCTION("""COMPUTED_VALUE"""),"C3B")</f>
        <v>C3B</v>
      </c>
      <c r="S335" s="26" t="str">
        <f>IFERROR(__xludf.DUMMYFUNCTION("""COMPUTED_VALUE"""),"ENTRY")</f>
        <v>ENTRY</v>
      </c>
      <c r="T335" s="26"/>
    </row>
    <row r="336">
      <c r="A336" s="35">
        <f>IFERROR(__xludf.DUMMYFUNCTION("""COMPUTED_VALUE"""),46108.443269780095)</f>
        <v>46108.44327</v>
      </c>
      <c r="B336" s="36" t="str">
        <f>IFERROR(__xludf.DUMMYFUNCTION("""COMPUTED_VALUE"""),"SCREEN")</f>
        <v>SCREEN</v>
      </c>
      <c r="C336" s="26" t="str">
        <f>IFERROR(__xludf.DUMMYFUNCTION("""COMPUTED_VALUE"""),"44 NORTH")</f>
        <v>44 NORTH</v>
      </c>
      <c r="D336" s="27" t="str">
        <f>IFERROR(__xludf.DUMMYFUNCTION("""COMPUTED_VALUE"""),"44 NORTH")</f>
        <v>44 NORTH</v>
      </c>
      <c r="E336" s="27"/>
      <c r="F336" s="36">
        <f>IFERROR(__xludf.DUMMYFUNCTION("""COMPUTED_VALUE"""),13.0)</f>
        <v>13</v>
      </c>
      <c r="G336" s="27" t="str">
        <f>IFERROR(__xludf.DUMMYFUNCTION("""COMPUTED_VALUE"""),"UNIT")</f>
        <v>UNIT</v>
      </c>
      <c r="H336" s="37"/>
      <c r="I336" s="36" t="str">
        <f>IFERROR(__xludf.DUMMYFUNCTION("""COMPUTED_VALUE"""),"C3B")</f>
        <v>C3B</v>
      </c>
      <c r="J336" s="30"/>
      <c r="K336" s="26" t="str">
        <f>IFERROR(__xludf.DUMMYFUNCTION("""COMPUTED_VALUE"""),"WINDOW SCREEN")</f>
        <v>WINDOW SCREEN</v>
      </c>
      <c r="L336" s="30" t="str">
        <f>IFERROR(__xludf.DUMMYFUNCTION("""COMPUTED_VALUE"""),"IN STOCK")</f>
        <v>IN STOCK</v>
      </c>
      <c r="M336" s="26"/>
      <c r="N336" s="26" t="str">
        <f>IFERROR(__xludf.DUMMYFUNCTION("""COMPUTED_VALUE"""),"44 NORTH")</f>
        <v>44 NORTH</v>
      </c>
      <c r="O336" s="26" t="str">
        <f>IFERROR(__xludf.DUMMYFUNCTION("""COMPUTED_VALUE"""),"SCREEN|||44 NORTH")</f>
        <v>SCREEN|||44 NORTH</v>
      </c>
      <c r="P336" s="26"/>
      <c r="Q336" s="26"/>
      <c r="R336" s="26" t="str">
        <f>IFERROR(__xludf.DUMMYFUNCTION("""COMPUTED_VALUE"""),"C3B")</f>
        <v>C3B</v>
      </c>
      <c r="S336" s="26" t="str">
        <f>IFERROR(__xludf.DUMMYFUNCTION("""COMPUTED_VALUE"""),"ENTRY")</f>
        <v>ENTRY</v>
      </c>
      <c r="T336" s="26"/>
    </row>
    <row r="337">
      <c r="A337" s="35">
        <f>IFERROR(__xludf.DUMMYFUNCTION("""COMPUTED_VALUE"""),46108.442617962966)</f>
        <v>46108.44262</v>
      </c>
      <c r="B337" s="36" t="str">
        <f>IFERROR(__xludf.DUMMYFUNCTION("""COMPUTED_VALUE"""),"SCREEN")</f>
        <v>SCREEN</v>
      </c>
      <c r="C337" s="26" t="str">
        <f>IFERROR(__xludf.DUMMYFUNCTION("""COMPUTED_VALUE"""),"44 NORTH")</f>
        <v>44 NORTH</v>
      </c>
      <c r="D337" s="27" t="str">
        <f>IFERROR(__xludf.DUMMYFUNCTION("""COMPUTED_VALUE"""),"44 NORTH")</f>
        <v>44 NORTH</v>
      </c>
      <c r="E337" s="27"/>
      <c r="F337" s="36">
        <f>IFERROR(__xludf.DUMMYFUNCTION("""COMPUTED_VALUE"""),10.0)</f>
        <v>10</v>
      </c>
      <c r="G337" s="27" t="str">
        <f>IFERROR(__xludf.DUMMYFUNCTION("""COMPUTED_VALUE"""),"UNIT")</f>
        <v>UNIT</v>
      </c>
      <c r="H337" s="37"/>
      <c r="I337" s="36" t="str">
        <f>IFERROR(__xludf.DUMMYFUNCTION("""COMPUTED_VALUE"""),"C3B")</f>
        <v>C3B</v>
      </c>
      <c r="J337" s="30"/>
      <c r="K337" s="26" t="str">
        <f>IFERROR(__xludf.DUMMYFUNCTION("""COMPUTED_VALUE"""),"WINDOW SCREEN")</f>
        <v>WINDOW SCREEN</v>
      </c>
      <c r="L337" s="30" t="str">
        <f>IFERROR(__xludf.DUMMYFUNCTION("""COMPUTED_VALUE"""),"IN STOCK")</f>
        <v>IN STOCK</v>
      </c>
      <c r="M337" s="26"/>
      <c r="N337" s="26" t="str">
        <f>IFERROR(__xludf.DUMMYFUNCTION("""COMPUTED_VALUE"""),"44 NORTH")</f>
        <v>44 NORTH</v>
      </c>
      <c r="O337" s="26" t="str">
        <f>IFERROR(__xludf.DUMMYFUNCTION("""COMPUTED_VALUE"""),"SCREEN|||44 NORTH")</f>
        <v>SCREEN|||44 NORTH</v>
      </c>
      <c r="P337" s="26"/>
      <c r="Q337" s="26"/>
      <c r="R337" s="26" t="str">
        <f>IFERROR(__xludf.DUMMYFUNCTION("""COMPUTED_VALUE"""),"C3B")</f>
        <v>C3B</v>
      </c>
      <c r="S337" s="26" t="str">
        <f>IFERROR(__xludf.DUMMYFUNCTION("""COMPUTED_VALUE"""),"ENTRY")</f>
        <v>ENTRY</v>
      </c>
      <c r="T337" s="26"/>
    </row>
    <row r="338">
      <c r="A338" s="35">
        <f>IFERROR(__xludf.DUMMYFUNCTION("""COMPUTED_VALUE"""),46108.442094965285)</f>
        <v>46108.44209</v>
      </c>
      <c r="B338" s="36" t="str">
        <f>IFERROR(__xludf.DUMMYFUNCTION("""COMPUTED_VALUE"""),"SCREEN")</f>
        <v>SCREEN</v>
      </c>
      <c r="C338" s="26" t="str">
        <f>IFERROR(__xludf.DUMMYFUNCTION("""COMPUTED_VALUE"""),"44 NORTH")</f>
        <v>44 NORTH</v>
      </c>
      <c r="D338" s="27" t="str">
        <f>IFERROR(__xludf.DUMMYFUNCTION("""COMPUTED_VALUE"""),"44 NORTH")</f>
        <v>44 NORTH</v>
      </c>
      <c r="E338" s="27"/>
      <c r="F338" s="36">
        <f>IFERROR(__xludf.DUMMYFUNCTION("""COMPUTED_VALUE"""),13.0)</f>
        <v>13</v>
      </c>
      <c r="G338" s="27" t="str">
        <f>IFERROR(__xludf.DUMMYFUNCTION("""COMPUTED_VALUE"""),"UNIT")</f>
        <v>UNIT</v>
      </c>
      <c r="H338" s="37"/>
      <c r="I338" s="36" t="str">
        <f>IFERROR(__xludf.DUMMYFUNCTION("""COMPUTED_VALUE"""),"C3B")</f>
        <v>C3B</v>
      </c>
      <c r="J338" s="30"/>
      <c r="K338" s="26" t="str">
        <f>IFERROR(__xludf.DUMMYFUNCTION("""COMPUTED_VALUE"""),"WINDOW SCREEN")</f>
        <v>WINDOW SCREEN</v>
      </c>
      <c r="L338" s="30" t="str">
        <f>IFERROR(__xludf.DUMMYFUNCTION("""COMPUTED_VALUE"""),"IN STOCK")</f>
        <v>IN STOCK</v>
      </c>
      <c r="M338" s="26"/>
      <c r="N338" s="26" t="str">
        <f>IFERROR(__xludf.DUMMYFUNCTION("""COMPUTED_VALUE"""),"44 NORTH")</f>
        <v>44 NORTH</v>
      </c>
      <c r="O338" s="26" t="str">
        <f>IFERROR(__xludf.DUMMYFUNCTION("""COMPUTED_VALUE"""),"SCREEN|||44 NORTH")</f>
        <v>SCREEN|||44 NORTH</v>
      </c>
      <c r="P338" s="26"/>
      <c r="Q338" s="26"/>
      <c r="R338" s="26" t="str">
        <f>IFERROR(__xludf.DUMMYFUNCTION("""COMPUTED_VALUE"""),"C3B")</f>
        <v>C3B</v>
      </c>
      <c r="S338" s="26" t="str">
        <f>IFERROR(__xludf.DUMMYFUNCTION("""COMPUTED_VALUE"""),"ENTRY")</f>
        <v>ENTRY</v>
      </c>
      <c r="T338" s="26"/>
    </row>
    <row r="339">
      <c r="A339" s="35">
        <f>IFERROR(__xludf.DUMMYFUNCTION("""COMPUTED_VALUE"""),46108.441492210644)</f>
        <v>46108.44149</v>
      </c>
      <c r="B339" s="36" t="str">
        <f>IFERROR(__xludf.DUMMYFUNCTION("""COMPUTED_VALUE"""),"SCREEN")</f>
        <v>SCREEN</v>
      </c>
      <c r="C339" s="26" t="str">
        <f>IFERROR(__xludf.DUMMYFUNCTION("""COMPUTED_VALUE"""),"44 NORTH")</f>
        <v>44 NORTH</v>
      </c>
      <c r="D339" s="27" t="str">
        <f>IFERROR(__xludf.DUMMYFUNCTION("""COMPUTED_VALUE"""),"44 NORTH")</f>
        <v>44 NORTH</v>
      </c>
      <c r="E339" s="27"/>
      <c r="F339" s="36">
        <f>IFERROR(__xludf.DUMMYFUNCTION("""COMPUTED_VALUE"""),13.0)</f>
        <v>13</v>
      </c>
      <c r="G339" s="27" t="str">
        <f>IFERROR(__xludf.DUMMYFUNCTION("""COMPUTED_VALUE"""),"UNIT")</f>
        <v>UNIT</v>
      </c>
      <c r="H339" s="37"/>
      <c r="I339" s="36" t="str">
        <f>IFERROR(__xludf.DUMMYFUNCTION("""COMPUTED_VALUE"""),"C3B")</f>
        <v>C3B</v>
      </c>
      <c r="J339" s="30"/>
      <c r="K339" s="26" t="str">
        <f>IFERROR(__xludf.DUMMYFUNCTION("""COMPUTED_VALUE"""),"WINDOW SCREEN")</f>
        <v>WINDOW SCREEN</v>
      </c>
      <c r="L339" s="30" t="str">
        <f>IFERROR(__xludf.DUMMYFUNCTION("""COMPUTED_VALUE"""),"IN STOCK")</f>
        <v>IN STOCK</v>
      </c>
      <c r="M339" s="26"/>
      <c r="N339" s="26" t="str">
        <f>IFERROR(__xludf.DUMMYFUNCTION("""COMPUTED_VALUE"""),"44 NORTH")</f>
        <v>44 NORTH</v>
      </c>
      <c r="O339" s="26" t="str">
        <f>IFERROR(__xludf.DUMMYFUNCTION("""COMPUTED_VALUE"""),"SCREEN|||44 NORTH")</f>
        <v>SCREEN|||44 NORTH</v>
      </c>
      <c r="P339" s="26"/>
      <c r="Q339" s="26"/>
      <c r="R339" s="26" t="str">
        <f>IFERROR(__xludf.DUMMYFUNCTION("""COMPUTED_VALUE"""),"C3B")</f>
        <v>C3B</v>
      </c>
      <c r="S339" s="26" t="str">
        <f>IFERROR(__xludf.DUMMYFUNCTION("""COMPUTED_VALUE"""),"ENTRY")</f>
        <v>ENTRY</v>
      </c>
      <c r="T339" s="26"/>
    </row>
    <row r="340">
      <c r="A340" s="35">
        <f>IFERROR(__xludf.DUMMYFUNCTION("""COMPUTED_VALUE"""),46108.440975486104)</f>
        <v>46108.44098</v>
      </c>
      <c r="B340" s="36" t="str">
        <f>IFERROR(__xludf.DUMMYFUNCTION("""COMPUTED_VALUE"""),"SCREEN")</f>
        <v>SCREEN</v>
      </c>
      <c r="C340" s="26" t="str">
        <f>IFERROR(__xludf.DUMMYFUNCTION("""COMPUTED_VALUE"""),"44 NORTH")</f>
        <v>44 NORTH</v>
      </c>
      <c r="D340" s="27" t="str">
        <f>IFERROR(__xludf.DUMMYFUNCTION("""COMPUTED_VALUE"""),"44 NORTH")</f>
        <v>44 NORTH</v>
      </c>
      <c r="E340" s="27"/>
      <c r="F340" s="36">
        <f>IFERROR(__xludf.DUMMYFUNCTION("""COMPUTED_VALUE"""),13.0)</f>
        <v>13</v>
      </c>
      <c r="G340" s="27" t="str">
        <f>IFERROR(__xludf.DUMMYFUNCTION("""COMPUTED_VALUE"""),"UNIT")</f>
        <v>UNIT</v>
      </c>
      <c r="H340" s="37"/>
      <c r="I340" s="36" t="str">
        <f>IFERROR(__xludf.DUMMYFUNCTION("""COMPUTED_VALUE"""),"C3B")</f>
        <v>C3B</v>
      </c>
      <c r="J340" s="30"/>
      <c r="K340" s="26" t="str">
        <f>IFERROR(__xludf.DUMMYFUNCTION("""COMPUTED_VALUE"""),"WINDOW SCREEN")</f>
        <v>WINDOW SCREEN</v>
      </c>
      <c r="L340" s="30" t="str">
        <f>IFERROR(__xludf.DUMMYFUNCTION("""COMPUTED_VALUE"""),"IN STOCK")</f>
        <v>IN STOCK</v>
      </c>
      <c r="M340" s="26"/>
      <c r="N340" s="26" t="str">
        <f>IFERROR(__xludf.DUMMYFUNCTION("""COMPUTED_VALUE"""),"44 NORTH")</f>
        <v>44 NORTH</v>
      </c>
      <c r="O340" s="26" t="str">
        <f>IFERROR(__xludf.DUMMYFUNCTION("""COMPUTED_VALUE"""),"SCREEN|||44 NORTH")</f>
        <v>SCREEN|||44 NORTH</v>
      </c>
      <c r="P340" s="26"/>
      <c r="Q340" s="26"/>
      <c r="R340" s="26" t="str">
        <f>IFERROR(__xludf.DUMMYFUNCTION("""COMPUTED_VALUE"""),"C3B")</f>
        <v>C3B</v>
      </c>
      <c r="S340" s="26" t="str">
        <f>IFERROR(__xludf.DUMMYFUNCTION("""COMPUTED_VALUE"""),"ENTRY")</f>
        <v>ENTRY</v>
      </c>
      <c r="T340" s="26"/>
    </row>
    <row r="341">
      <c r="A341" s="35">
        <f>IFERROR(__xludf.DUMMYFUNCTION("""COMPUTED_VALUE"""),46108.44039822917)</f>
        <v>46108.4404</v>
      </c>
      <c r="B341" s="36" t="str">
        <f>IFERROR(__xludf.DUMMYFUNCTION("""COMPUTED_VALUE"""),"SCREEN")</f>
        <v>SCREEN</v>
      </c>
      <c r="C341" s="26" t="str">
        <f>IFERROR(__xludf.DUMMYFUNCTION("""COMPUTED_VALUE"""),"44 NORTH")</f>
        <v>44 NORTH</v>
      </c>
      <c r="D341" s="27" t="str">
        <f>IFERROR(__xludf.DUMMYFUNCTION("""COMPUTED_VALUE"""),"44 NORTH")</f>
        <v>44 NORTH</v>
      </c>
      <c r="E341" s="27"/>
      <c r="F341" s="36">
        <f>IFERROR(__xludf.DUMMYFUNCTION("""COMPUTED_VALUE"""),13.0)</f>
        <v>13</v>
      </c>
      <c r="G341" s="27" t="str">
        <f>IFERROR(__xludf.DUMMYFUNCTION("""COMPUTED_VALUE"""),"UNIT")</f>
        <v>UNIT</v>
      </c>
      <c r="H341" s="37"/>
      <c r="I341" s="36" t="str">
        <f>IFERROR(__xludf.DUMMYFUNCTION("""COMPUTED_VALUE"""),"C3B")</f>
        <v>C3B</v>
      </c>
      <c r="J341" s="30"/>
      <c r="K341" s="26" t="str">
        <f>IFERROR(__xludf.DUMMYFUNCTION("""COMPUTED_VALUE"""),"WINDOW SCREEN")</f>
        <v>WINDOW SCREEN</v>
      </c>
      <c r="L341" s="30" t="str">
        <f>IFERROR(__xludf.DUMMYFUNCTION("""COMPUTED_VALUE"""),"IN STOCK")</f>
        <v>IN STOCK</v>
      </c>
      <c r="M341" s="26"/>
      <c r="N341" s="26" t="str">
        <f>IFERROR(__xludf.DUMMYFUNCTION("""COMPUTED_VALUE"""),"44 NORTH")</f>
        <v>44 NORTH</v>
      </c>
      <c r="O341" s="26" t="str">
        <f>IFERROR(__xludf.DUMMYFUNCTION("""COMPUTED_VALUE"""),"SCREEN|||44 NORTH")</f>
        <v>SCREEN|||44 NORTH</v>
      </c>
      <c r="P341" s="26"/>
      <c r="Q341" s="26"/>
      <c r="R341" s="26" t="str">
        <f>IFERROR(__xludf.DUMMYFUNCTION("""COMPUTED_VALUE"""),"C3B")</f>
        <v>C3B</v>
      </c>
      <c r="S341" s="26" t="str">
        <f>IFERROR(__xludf.DUMMYFUNCTION("""COMPUTED_VALUE"""),"ENTRY")</f>
        <v>ENTRY</v>
      </c>
      <c r="T341" s="26"/>
    </row>
    <row r="342">
      <c r="A342" s="35">
        <f>IFERROR(__xludf.DUMMYFUNCTION("""COMPUTED_VALUE"""),46108.43939188657)</f>
        <v>46108.43939</v>
      </c>
      <c r="B342" s="36" t="str">
        <f>IFERROR(__xludf.DUMMYFUNCTION("""COMPUTED_VALUE"""),"SCREEN")</f>
        <v>SCREEN</v>
      </c>
      <c r="C342" s="26" t="str">
        <f>IFERROR(__xludf.DUMMYFUNCTION("""COMPUTED_VALUE"""),"44 NORTH")</f>
        <v>44 NORTH</v>
      </c>
      <c r="D342" s="27" t="str">
        <f>IFERROR(__xludf.DUMMYFUNCTION("""COMPUTED_VALUE"""),"44 NORTH")</f>
        <v>44 NORTH</v>
      </c>
      <c r="E342" s="27"/>
      <c r="F342" s="36">
        <f>IFERROR(__xludf.DUMMYFUNCTION("""COMPUTED_VALUE"""),8.0)</f>
        <v>8</v>
      </c>
      <c r="G342" s="27" t="str">
        <f>IFERROR(__xludf.DUMMYFUNCTION("""COMPUTED_VALUE"""),"UNIT")</f>
        <v>UNIT</v>
      </c>
      <c r="H342" s="37"/>
      <c r="I342" s="36" t="str">
        <f>IFERROR(__xludf.DUMMYFUNCTION("""COMPUTED_VALUE"""),"C3B")</f>
        <v>C3B</v>
      </c>
      <c r="J342" s="30"/>
      <c r="K342" s="26" t="str">
        <f>IFERROR(__xludf.DUMMYFUNCTION("""COMPUTED_VALUE"""),"WINDOW SCREEN")</f>
        <v>WINDOW SCREEN</v>
      </c>
      <c r="L342" s="30" t="str">
        <f>IFERROR(__xludf.DUMMYFUNCTION("""COMPUTED_VALUE"""),"IN STOCK")</f>
        <v>IN STOCK</v>
      </c>
      <c r="M342" s="26"/>
      <c r="N342" s="26" t="str">
        <f>IFERROR(__xludf.DUMMYFUNCTION("""COMPUTED_VALUE"""),"44 NORTH")</f>
        <v>44 NORTH</v>
      </c>
      <c r="O342" s="26" t="str">
        <f>IFERROR(__xludf.DUMMYFUNCTION("""COMPUTED_VALUE"""),"SCREEN|||44 NORTH")</f>
        <v>SCREEN|||44 NORTH</v>
      </c>
      <c r="P342" s="26"/>
      <c r="Q342" s="26"/>
      <c r="R342" s="26" t="str">
        <f>IFERROR(__xludf.DUMMYFUNCTION("""COMPUTED_VALUE"""),"C3B")</f>
        <v>C3B</v>
      </c>
      <c r="S342" s="26" t="str">
        <f>IFERROR(__xludf.DUMMYFUNCTION("""COMPUTED_VALUE"""),"ENTRY")</f>
        <v>ENTRY</v>
      </c>
      <c r="T342" s="26"/>
    </row>
    <row r="343">
      <c r="A343" s="35">
        <f>IFERROR(__xludf.DUMMYFUNCTION("""COMPUTED_VALUE"""),46108.39784815972)</f>
        <v>46108.39785</v>
      </c>
      <c r="B343" s="36" t="str">
        <f>IFERROR(__xludf.DUMMYFUNCTION("""COMPUTED_VALUE"""),"SCREEN")</f>
        <v>SCREEN</v>
      </c>
      <c r="C343" s="26" t="str">
        <f>IFERROR(__xludf.DUMMYFUNCTION("""COMPUTED_VALUE"""),"ALVIN JENSON")</f>
        <v>ALVIN JENSON</v>
      </c>
      <c r="D343" s="27"/>
      <c r="E343" s="27"/>
      <c r="F343" s="36">
        <f>IFERROR(__xludf.DUMMYFUNCTION("""COMPUTED_VALUE"""),9.0)</f>
        <v>9</v>
      </c>
      <c r="G343" s="27" t="str">
        <f>IFERROR(__xludf.DUMMYFUNCTION("""COMPUTED_VALUE"""),"UNIT")</f>
        <v>UNIT</v>
      </c>
      <c r="H343" s="37">
        <f>IFERROR(__xludf.DUMMYFUNCTION("""COMPUTED_VALUE"""),46099.0)</f>
        <v>46099</v>
      </c>
      <c r="I343" s="36" t="str">
        <f>IFERROR(__xludf.DUMMYFUNCTION("""COMPUTED_VALUE"""),"C3B")</f>
        <v>C3B</v>
      </c>
      <c r="J343" s="30"/>
      <c r="K343" s="26" t="str">
        <f>IFERROR(__xludf.DUMMYFUNCTION("""COMPUTED_VALUE"""),"WINDOW SCREEN")</f>
        <v>WINDOW SCREEN</v>
      </c>
      <c r="L343" s="30" t="str">
        <f>IFERROR(__xludf.DUMMYFUNCTION("""COMPUTED_VALUE"""),"IN STOCK")</f>
        <v>IN STOCK</v>
      </c>
      <c r="M343" s="26"/>
      <c r="N343" s="26" t="str">
        <f>IFERROR(__xludf.DUMMYFUNCTION("""COMPUTED_VALUE"""),"ALVIN JENSON")</f>
        <v>ALVIN JENSON</v>
      </c>
      <c r="O343" s="26" t="str">
        <f>IFERROR(__xludf.DUMMYFUNCTION("""COMPUTED_VALUE"""),"SCREEN|||ALVIN JENSON")</f>
        <v>SCREEN|||ALVIN JENSON</v>
      </c>
      <c r="P343" s="26"/>
      <c r="Q343" s="26"/>
      <c r="R343" s="26" t="str">
        <f>IFERROR(__xludf.DUMMYFUNCTION("""COMPUTED_VALUE"""),"C3B")</f>
        <v>C3B</v>
      </c>
      <c r="S343" s="26" t="str">
        <f>IFERROR(__xludf.DUMMYFUNCTION("""COMPUTED_VALUE"""),"ENTRY")</f>
        <v>ENTRY</v>
      </c>
      <c r="T343" s="26"/>
    </row>
    <row r="344">
      <c r="A344" s="35">
        <f>IFERROR(__xludf.DUMMYFUNCTION("""COMPUTED_VALUE"""),46108.326812430554)</f>
        <v>46108.32681</v>
      </c>
      <c r="B344" s="36" t="str">
        <f>IFERROR(__xludf.DUMMYFUNCTION("""COMPUTED_VALUE"""),"SCREEN")</f>
        <v>SCREEN</v>
      </c>
      <c r="C344" s="26" t="str">
        <f>IFERROR(__xludf.DUMMYFUNCTION("""COMPUTED_VALUE"""),"PAT PVS4")</f>
        <v>PAT PVS4</v>
      </c>
      <c r="D344" s="27" t="str">
        <f>IFERROR(__xludf.DUMMYFUNCTION("""COMPUTED_VALUE"""),"PAT")</f>
        <v>PAT</v>
      </c>
      <c r="E344" s="27"/>
      <c r="F344" s="36">
        <f>IFERROR(__xludf.DUMMYFUNCTION("""COMPUTED_VALUE"""),15.0)</f>
        <v>15</v>
      </c>
      <c r="G344" s="27" t="str">
        <f>IFERROR(__xludf.DUMMYFUNCTION("""COMPUTED_VALUE"""),"UNIT")</f>
        <v>UNIT</v>
      </c>
      <c r="H344" s="37">
        <f>IFERROR(__xludf.DUMMYFUNCTION("""COMPUTED_VALUE"""),46069.0)</f>
        <v>46069</v>
      </c>
      <c r="I344" s="36" t="str">
        <f>IFERROR(__xludf.DUMMYFUNCTION("""COMPUTED_VALUE"""),"B2B")</f>
        <v>B2B</v>
      </c>
      <c r="J344" s="30" t="str">
        <f>IFERROR(__xludf.DUMMYFUNCTION("""COMPUTED_VALUE"""),"AMSCO")</f>
        <v>AMSCO</v>
      </c>
      <c r="K344" s="26" t="str">
        <f>IFERROR(__xludf.DUMMYFUNCTION("""COMPUTED_VALUE"""),"WINDOW SCREEN")</f>
        <v>WINDOW SCREEN</v>
      </c>
      <c r="L344" s="30" t="str">
        <f>IFERROR(__xludf.DUMMYFUNCTION("""COMPUTED_VALUE"""),"IN STOCK")</f>
        <v>IN STOCK</v>
      </c>
      <c r="M344" s="26"/>
      <c r="N344" s="26" t="str">
        <f>IFERROR(__xludf.DUMMYFUNCTION("""COMPUTED_VALUE""")," PATTERSON HOMES")</f>
        <v> PATTERSON HOMES</v>
      </c>
      <c r="O344" s="26" t="str">
        <f>IFERROR(__xludf.DUMMYFUNCTION("""COMPUTED_VALUE"""),"SCREEN|||PAT PVS4")</f>
        <v>SCREEN|||PAT PVS4</v>
      </c>
      <c r="P344" s="26"/>
      <c r="Q344" s="26" t="str">
        <f>IFERROR(__xludf.DUMMYFUNCTION("""COMPUTED_VALUE"""),"jose@ox-glass.com")</f>
        <v>jose@ox-glass.com</v>
      </c>
      <c r="R344" s="26" t="str">
        <f>IFERROR(__xludf.DUMMYFUNCTION("""COMPUTED_VALUE"""),"B2B")</f>
        <v>B2B</v>
      </c>
      <c r="S344" s="26" t="str">
        <f>IFERROR(__xludf.DUMMYFUNCTION("""COMPUTED_VALUE"""),"ENTRY")</f>
        <v>ENTRY</v>
      </c>
      <c r="T344" s="26"/>
    </row>
    <row r="345">
      <c r="A345" s="35">
        <f>IFERROR(__xludf.DUMMYFUNCTION("""COMPUTED_VALUE"""),46108.31770128472)</f>
        <v>46108.3177</v>
      </c>
      <c r="B345" s="36" t="str">
        <f>IFERROR(__xludf.DUMMYFUNCTION("""COMPUTED_VALUE"""),"SCREEN")</f>
        <v>SCREEN</v>
      </c>
      <c r="C345" s="26" t="str">
        <f>IFERROR(__xludf.DUMMYFUNCTION("""COMPUTED_VALUE"""),"HFLot154")</f>
        <v>HFLot154</v>
      </c>
      <c r="D345" s="27"/>
      <c r="E345" s="27"/>
      <c r="F345" s="36">
        <f>IFERROR(__xludf.DUMMYFUNCTION("""COMPUTED_VALUE"""),19.0)</f>
        <v>19</v>
      </c>
      <c r="G345" s="27" t="str">
        <f>IFERROR(__xludf.DUMMYFUNCTION("""COMPUTED_VALUE"""),"UNIT")</f>
        <v>UNIT</v>
      </c>
      <c r="H345" s="37">
        <f>IFERROR(__xludf.DUMMYFUNCTION("""COMPUTED_VALUE"""),46080.0)</f>
        <v>46080</v>
      </c>
      <c r="I345" s="36" t="str">
        <f>IFERROR(__xludf.DUMMYFUNCTION("""COMPUTED_VALUE"""),"B1B")</f>
        <v>B1B</v>
      </c>
      <c r="J345" s="30" t="str">
        <f>IFERROR(__xludf.DUMMYFUNCTION("""COMPUTED_VALUE"""),"ALSIDE")</f>
        <v>ALSIDE</v>
      </c>
      <c r="K345" s="26" t="str">
        <f>IFERROR(__xludf.DUMMYFUNCTION("""COMPUTED_VALUE"""),"WINDOW SCREEN")</f>
        <v>WINDOW SCREEN</v>
      </c>
      <c r="L345" s="30" t="str">
        <f>IFERROR(__xludf.DUMMYFUNCTION("""COMPUTED_VALUE"""),"IN STOCK")</f>
        <v>IN STOCK</v>
      </c>
      <c r="M345" s="26"/>
      <c r="N345" s="26" t="str">
        <f>IFERROR(__xludf.DUMMYFUNCTION("""COMPUTED_VALUE"""),"HFLot154")</f>
        <v>HFLot154</v>
      </c>
      <c r="O345" s="26" t="str">
        <f>IFERROR(__xludf.DUMMYFUNCTION("""COMPUTED_VALUE"""),"SCREEN|||HFLOT154")</f>
        <v>SCREEN|||HFLOT154</v>
      </c>
      <c r="P345" s="26"/>
      <c r="Q345" s="26" t="str">
        <f>IFERROR(__xludf.DUMMYFUNCTION("""COMPUTED_VALUE"""),"jose@ox-glass.com")</f>
        <v>jose@ox-glass.com</v>
      </c>
      <c r="R345" s="26" t="str">
        <f>IFERROR(__xludf.DUMMYFUNCTION("""COMPUTED_VALUE"""),"B1B")</f>
        <v>B1B</v>
      </c>
      <c r="S345" s="26" t="str">
        <f>IFERROR(__xludf.DUMMYFUNCTION("""COMPUTED_VALUE"""),"ENTRY")</f>
        <v>ENTRY</v>
      </c>
      <c r="T345" s="26"/>
    </row>
    <row r="346">
      <c r="A346" s="35">
        <f>IFERROR(__xludf.DUMMYFUNCTION("""COMPUTED_VALUE"""),46108.31570489584)</f>
        <v>46108.3157</v>
      </c>
      <c r="B346" s="36" t="str">
        <f>IFERROR(__xludf.DUMMYFUNCTION("""COMPUTED_VALUE"""),"SCREEN")</f>
        <v>SCREEN</v>
      </c>
      <c r="C346" s="26" t="str">
        <f>IFERROR(__xludf.DUMMYFUNCTION("""COMPUTED_VALUE"""),"HFLot147")</f>
        <v>HFLot147</v>
      </c>
      <c r="D346" s="27"/>
      <c r="E346" s="27"/>
      <c r="F346" s="36">
        <f>IFERROR(__xludf.DUMMYFUNCTION("""COMPUTED_VALUE"""),16.0)</f>
        <v>16</v>
      </c>
      <c r="G346" s="27" t="str">
        <f>IFERROR(__xludf.DUMMYFUNCTION("""COMPUTED_VALUE"""),"UNIT")</f>
        <v>UNIT</v>
      </c>
      <c r="H346" s="37">
        <f>IFERROR(__xludf.DUMMYFUNCTION("""COMPUTED_VALUE"""),46091.0)</f>
        <v>46091</v>
      </c>
      <c r="I346" s="36" t="str">
        <f>IFERROR(__xludf.DUMMYFUNCTION("""COMPUTED_VALUE"""),"B1B")</f>
        <v>B1B</v>
      </c>
      <c r="J346" s="30"/>
      <c r="K346" s="26" t="str">
        <f>IFERROR(__xludf.DUMMYFUNCTION("""COMPUTED_VALUE"""),"WINDOW SCREEN")</f>
        <v>WINDOW SCREEN</v>
      </c>
      <c r="L346" s="30" t="str">
        <f>IFERROR(__xludf.DUMMYFUNCTION("""COMPUTED_VALUE"""),"IN STOCK")</f>
        <v>IN STOCK</v>
      </c>
      <c r="M346" s="26"/>
      <c r="N346" s="26" t="str">
        <f>IFERROR(__xludf.DUMMYFUNCTION("""COMPUTED_VALUE"""),"HFLot147")</f>
        <v>HFLot147</v>
      </c>
      <c r="O346" s="26" t="str">
        <f>IFERROR(__xludf.DUMMYFUNCTION("""COMPUTED_VALUE"""),"SCREEN|||HFLOT147")</f>
        <v>SCREEN|||HFLOT147</v>
      </c>
      <c r="P346" s="26"/>
      <c r="Q346" s="26"/>
      <c r="R346" s="26" t="str">
        <f>IFERROR(__xludf.DUMMYFUNCTION("""COMPUTED_VALUE"""),"B1B")</f>
        <v>B1B</v>
      </c>
      <c r="S346" s="26" t="str">
        <f>IFERROR(__xludf.DUMMYFUNCTION("""COMPUTED_VALUE"""),"ENTRY")</f>
        <v>ENTRY</v>
      </c>
      <c r="T346" s="26"/>
    </row>
    <row r="347">
      <c r="A347" s="35">
        <f>IFERROR(__xludf.DUMMYFUNCTION("""COMPUTED_VALUE"""),46108.31199043982)</f>
        <v>46108.31199</v>
      </c>
      <c r="B347" s="36" t="str">
        <f>IFERROR(__xludf.DUMMYFUNCTION("""COMPUTED_VALUE"""),"SCREEN")</f>
        <v>SCREEN</v>
      </c>
      <c r="C347" s="26" t="str">
        <f>IFERROR(__xludf.DUMMYFUNCTION("""COMPUTED_VALUE"""),"PAT SC17")</f>
        <v>PAT SC17</v>
      </c>
      <c r="D347" s="27" t="str">
        <f>IFERROR(__xludf.DUMMYFUNCTION("""COMPUTED_VALUE"""),"PAT")</f>
        <v>PAT</v>
      </c>
      <c r="E347" s="27"/>
      <c r="F347" s="36">
        <f>IFERROR(__xludf.DUMMYFUNCTION("""COMPUTED_VALUE"""),11.0)</f>
        <v>11</v>
      </c>
      <c r="G347" s="27" t="str">
        <f>IFERROR(__xludf.DUMMYFUNCTION("""COMPUTED_VALUE"""),"UNIT")</f>
        <v>UNIT</v>
      </c>
      <c r="H347" s="37"/>
      <c r="I347" s="36" t="str">
        <f>IFERROR(__xludf.DUMMYFUNCTION("""COMPUTED_VALUE"""),"A1B")</f>
        <v>A1B</v>
      </c>
      <c r="J347" s="30"/>
      <c r="K347" s="26" t="str">
        <f>IFERROR(__xludf.DUMMYFUNCTION("""COMPUTED_VALUE"""),"WINDOW SCREEN")</f>
        <v>WINDOW SCREEN</v>
      </c>
      <c r="L347" s="30" t="str">
        <f>IFERROR(__xludf.DUMMYFUNCTION("""COMPUTED_VALUE"""),"IN STOCK")</f>
        <v>IN STOCK</v>
      </c>
      <c r="M347" s="26"/>
      <c r="N347" s="26" t="str">
        <f>IFERROR(__xludf.DUMMYFUNCTION("""COMPUTED_VALUE""")," PATTERSON HOMES")</f>
        <v> PATTERSON HOMES</v>
      </c>
      <c r="O347" s="26" t="str">
        <f>IFERROR(__xludf.DUMMYFUNCTION("""COMPUTED_VALUE"""),"SCREEN|||PAT SC17")</f>
        <v>SCREEN|||PAT SC17</v>
      </c>
      <c r="P347" s="26"/>
      <c r="Q347" s="26"/>
      <c r="R347" s="26" t="str">
        <f>IFERROR(__xludf.DUMMYFUNCTION("""COMPUTED_VALUE"""),"A1B")</f>
        <v>A1B</v>
      </c>
      <c r="S347" s="26" t="str">
        <f>IFERROR(__xludf.DUMMYFUNCTION("""COMPUTED_VALUE"""),"ENTRY")</f>
        <v>ENTRY</v>
      </c>
      <c r="T347" s="26"/>
    </row>
    <row r="348">
      <c r="A348" s="35">
        <f>IFERROR(__xludf.DUMMYFUNCTION("""COMPUTED_VALUE"""),46107.66347175926)</f>
        <v>46107.66347</v>
      </c>
      <c r="B348" s="36" t="str">
        <f>IFERROR(__xludf.DUMMYFUNCTION("""COMPUTED_VALUE"""),"SCREEN")</f>
        <v>SCREEN</v>
      </c>
      <c r="C348" s="26" t="str">
        <f>IFERROR(__xludf.DUMMYFUNCTION("""COMPUTED_VALUE"""),"HFLot153")</f>
        <v>HFLot153</v>
      </c>
      <c r="D348" s="27"/>
      <c r="E348" s="27"/>
      <c r="F348" s="36">
        <f>IFERROR(__xludf.DUMMYFUNCTION("""COMPUTED_VALUE"""),24.0)</f>
        <v>24</v>
      </c>
      <c r="G348" s="27" t="str">
        <f>IFERROR(__xludf.DUMMYFUNCTION("""COMPUTED_VALUE"""),"UNIT")</f>
        <v>UNIT</v>
      </c>
      <c r="H348" s="37">
        <f>IFERROR(__xludf.DUMMYFUNCTION("""COMPUTED_VALUE"""),46107.0)</f>
        <v>46107</v>
      </c>
      <c r="I348" s="36" t="str">
        <f>IFERROR(__xludf.DUMMYFUNCTION("""COMPUTED_VALUE"""),"B6B")</f>
        <v>B6B</v>
      </c>
      <c r="J348" s="30"/>
      <c r="K348" s="26" t="str">
        <f>IFERROR(__xludf.DUMMYFUNCTION("""COMPUTED_VALUE"""),"WINDOW SCREEN")</f>
        <v>WINDOW SCREEN</v>
      </c>
      <c r="L348" s="30" t="str">
        <f>IFERROR(__xludf.DUMMYFUNCTION("""COMPUTED_VALUE"""),"IN STOCK")</f>
        <v>IN STOCK</v>
      </c>
      <c r="M348" s="26"/>
      <c r="N348" s="26" t="str">
        <f>IFERROR(__xludf.DUMMYFUNCTION("""COMPUTED_VALUE"""),"HFLot153")</f>
        <v>HFLot153</v>
      </c>
      <c r="O348" s="26" t="str">
        <f>IFERROR(__xludf.DUMMYFUNCTION("""COMPUTED_VALUE"""),"SCREEN|||HFLOT153")</f>
        <v>SCREEN|||HFLOT153</v>
      </c>
      <c r="P348" s="26"/>
      <c r="Q348" s="26"/>
      <c r="R348" s="26" t="str">
        <f>IFERROR(__xludf.DUMMYFUNCTION("""COMPUTED_VALUE"""),"B6B")</f>
        <v>B6B</v>
      </c>
      <c r="S348" s="26" t="str">
        <f>IFERROR(__xludf.DUMMYFUNCTION("""COMPUTED_VALUE"""),"ENTRY")</f>
        <v>ENTRY</v>
      </c>
      <c r="T348" s="26"/>
    </row>
    <row r="349">
      <c r="A349" s="35">
        <f>IFERROR(__xludf.DUMMYFUNCTION("""COMPUTED_VALUE"""),46107.66215736111)</f>
        <v>46107.66216</v>
      </c>
      <c r="B349" s="36" t="str">
        <f>IFERROR(__xludf.DUMMYFUNCTION("""COMPUTED_VALUE"""),"SCREEN")</f>
        <v>SCREEN</v>
      </c>
      <c r="C349" s="26" t="str">
        <f>IFERROR(__xludf.DUMMYFUNCTION("""COMPUTED_VALUE"""),"HFLot135")</f>
        <v>HFLot135</v>
      </c>
      <c r="D349" s="27"/>
      <c r="E349" s="27"/>
      <c r="F349" s="36">
        <f>IFERROR(__xludf.DUMMYFUNCTION("""COMPUTED_VALUE"""),16.0)</f>
        <v>16</v>
      </c>
      <c r="G349" s="27" t="str">
        <f>IFERROR(__xludf.DUMMYFUNCTION("""COMPUTED_VALUE"""),"UNIT")</f>
        <v>UNIT</v>
      </c>
      <c r="H349" s="37">
        <f>IFERROR(__xludf.DUMMYFUNCTION("""COMPUTED_VALUE"""),46107.0)</f>
        <v>46107</v>
      </c>
      <c r="I349" s="36" t="str">
        <f>IFERROR(__xludf.DUMMYFUNCTION("""COMPUTED_VALUE"""),"B6B")</f>
        <v>B6B</v>
      </c>
      <c r="J349" s="30"/>
      <c r="K349" s="26" t="str">
        <f>IFERROR(__xludf.DUMMYFUNCTION("""COMPUTED_VALUE"""),"WINDOW SCREEN")</f>
        <v>WINDOW SCREEN</v>
      </c>
      <c r="L349" s="30" t="str">
        <f>IFERROR(__xludf.DUMMYFUNCTION("""COMPUTED_VALUE"""),"IN STOCK")</f>
        <v>IN STOCK</v>
      </c>
      <c r="M349" s="26"/>
      <c r="N349" s="26" t="str">
        <f>IFERROR(__xludf.DUMMYFUNCTION("""COMPUTED_VALUE"""),"HFLot135")</f>
        <v>HFLot135</v>
      </c>
      <c r="O349" s="26" t="str">
        <f>IFERROR(__xludf.DUMMYFUNCTION("""COMPUTED_VALUE"""),"SCREEN|||HFLOT135")</f>
        <v>SCREEN|||HFLOT135</v>
      </c>
      <c r="P349" s="26"/>
      <c r="Q349" s="26"/>
      <c r="R349" s="26" t="str">
        <f>IFERROR(__xludf.DUMMYFUNCTION("""COMPUTED_VALUE"""),"B6B")</f>
        <v>B6B</v>
      </c>
      <c r="S349" s="26" t="str">
        <f>IFERROR(__xludf.DUMMYFUNCTION("""COMPUTED_VALUE"""),"ENTRY")</f>
        <v>ENTRY</v>
      </c>
      <c r="T349" s="26"/>
    </row>
    <row r="350">
      <c r="A350" s="35"/>
      <c r="B350" s="36"/>
      <c r="C350" s="26"/>
      <c r="D350" s="27"/>
      <c r="E350" s="27"/>
      <c r="F350" s="36"/>
      <c r="G350" s="27"/>
      <c r="H350" s="37"/>
      <c r="I350" s="36"/>
      <c r="K350" s="26"/>
      <c r="M350" s="26"/>
      <c r="N350" s="26"/>
      <c r="O350" s="26"/>
      <c r="P350" s="26"/>
      <c r="Q350" s="26"/>
      <c r="R350" s="26"/>
      <c r="S350" s="26"/>
      <c r="T350" s="26"/>
    </row>
    <row r="351">
      <c r="A351" s="35"/>
      <c r="B351" s="36"/>
      <c r="C351" s="26"/>
      <c r="D351" s="27"/>
      <c r="E351" s="27"/>
      <c r="F351" s="36"/>
      <c r="G351" s="27"/>
      <c r="H351" s="37"/>
      <c r="I351" s="36"/>
      <c r="K351" s="26"/>
      <c r="M351" s="26"/>
      <c r="N351" s="26"/>
      <c r="O351" s="26"/>
      <c r="P351" s="26"/>
      <c r="Q351" s="26"/>
      <c r="R351" s="26"/>
      <c r="S351" s="26"/>
      <c r="T351" s="26"/>
    </row>
    <row r="352">
      <c r="A352" s="35"/>
      <c r="B352" s="36"/>
      <c r="C352" s="26"/>
      <c r="D352" s="27"/>
      <c r="E352" s="27"/>
      <c r="F352" s="36"/>
      <c r="G352" s="27"/>
      <c r="H352" s="37"/>
      <c r="I352" s="36"/>
      <c r="K352" s="26"/>
      <c r="M352" s="26"/>
      <c r="N352" s="26"/>
      <c r="O352" s="26"/>
      <c r="P352" s="26"/>
      <c r="Q352" s="26"/>
      <c r="R352" s="26"/>
      <c r="S352" s="26"/>
      <c r="T352" s="26"/>
    </row>
    <row r="353">
      <c r="A353" s="35"/>
      <c r="B353" s="36"/>
      <c r="C353" s="26"/>
      <c r="D353" s="27"/>
      <c r="E353" s="27"/>
      <c r="F353" s="36"/>
      <c r="G353" s="27"/>
      <c r="H353" s="37"/>
      <c r="I353" s="36"/>
      <c r="K353" s="26"/>
      <c r="M353" s="26"/>
      <c r="N353" s="26"/>
      <c r="O353" s="26"/>
      <c r="P353" s="26"/>
      <c r="Q353" s="26"/>
      <c r="R353" s="26"/>
      <c r="S353" s="26"/>
      <c r="T353" s="26"/>
    </row>
    <row r="354">
      <c r="A354" s="35"/>
      <c r="B354" s="36"/>
      <c r="C354" s="26"/>
      <c r="D354" s="27"/>
      <c r="E354" s="27"/>
      <c r="F354" s="36"/>
      <c r="G354" s="27"/>
      <c r="H354" s="37"/>
      <c r="I354" s="36"/>
      <c r="K354" s="26"/>
      <c r="M354" s="26"/>
      <c r="N354" s="26"/>
      <c r="O354" s="26"/>
      <c r="P354" s="26"/>
      <c r="Q354" s="26"/>
      <c r="R354" s="26"/>
      <c r="S354" s="26"/>
      <c r="T354" s="26"/>
    </row>
    <row r="355">
      <c r="A355" s="35"/>
      <c r="B355" s="36"/>
      <c r="C355" s="26"/>
      <c r="D355" s="27"/>
      <c r="E355" s="27"/>
      <c r="F355" s="36"/>
      <c r="G355" s="27"/>
      <c r="H355" s="37"/>
      <c r="I355" s="36"/>
      <c r="K355" s="26"/>
      <c r="M355" s="26"/>
      <c r="N355" s="26"/>
      <c r="O355" s="26"/>
      <c r="P355" s="26"/>
      <c r="Q355" s="26"/>
      <c r="R355" s="26"/>
      <c r="S355" s="26"/>
      <c r="T355" s="26"/>
    </row>
    <row r="356">
      <c r="A356" s="35"/>
      <c r="B356" s="36"/>
      <c r="C356" s="26"/>
      <c r="D356" s="27"/>
      <c r="E356" s="27"/>
      <c r="F356" s="36"/>
      <c r="G356" s="27"/>
      <c r="H356" s="37"/>
      <c r="I356" s="36"/>
      <c r="K356" s="26"/>
      <c r="M356" s="26"/>
      <c r="N356" s="26"/>
      <c r="O356" s="26"/>
      <c r="P356" s="26"/>
      <c r="Q356" s="26"/>
      <c r="R356" s="26"/>
      <c r="S356" s="26"/>
      <c r="T356" s="26"/>
    </row>
    <row r="357">
      <c r="A357" s="35"/>
      <c r="B357" s="36"/>
      <c r="C357" s="26"/>
      <c r="D357" s="27"/>
      <c r="E357" s="27"/>
      <c r="F357" s="36"/>
      <c r="G357" s="27"/>
      <c r="H357" s="37"/>
      <c r="I357" s="36"/>
      <c r="K357" s="26"/>
      <c r="M357" s="26"/>
      <c r="N357" s="26"/>
      <c r="O357" s="26"/>
      <c r="P357" s="26"/>
      <c r="Q357" s="26"/>
      <c r="R357" s="26"/>
      <c r="S357" s="26"/>
      <c r="T357" s="26"/>
    </row>
    <row r="358">
      <c r="A358" s="35"/>
      <c r="B358" s="36"/>
      <c r="C358" s="26"/>
      <c r="D358" s="27"/>
      <c r="E358" s="27"/>
      <c r="F358" s="36"/>
      <c r="G358" s="27"/>
      <c r="H358" s="37"/>
      <c r="I358" s="36"/>
      <c r="K358" s="26"/>
      <c r="M358" s="26"/>
      <c r="N358" s="26"/>
      <c r="O358" s="26"/>
      <c r="P358" s="26"/>
      <c r="Q358" s="26"/>
      <c r="R358" s="26"/>
      <c r="S358" s="26"/>
      <c r="T358" s="26"/>
    </row>
    <row r="359">
      <c r="A359" s="35"/>
      <c r="B359" s="36"/>
      <c r="C359" s="26"/>
      <c r="D359" s="27"/>
      <c r="E359" s="27"/>
      <c r="F359" s="36"/>
      <c r="G359" s="27"/>
      <c r="H359" s="37"/>
      <c r="I359" s="36"/>
      <c r="K359" s="26"/>
      <c r="M359" s="26"/>
      <c r="N359" s="26"/>
      <c r="O359" s="26"/>
      <c r="P359" s="26"/>
      <c r="Q359" s="26"/>
      <c r="R359" s="26"/>
      <c r="S359" s="26"/>
      <c r="T359" s="26"/>
    </row>
    <row r="360">
      <c r="A360" s="35"/>
      <c r="B360" s="36"/>
      <c r="C360" s="26"/>
      <c r="D360" s="27"/>
      <c r="E360" s="27"/>
      <c r="F360" s="36"/>
      <c r="G360" s="27"/>
      <c r="H360" s="37"/>
      <c r="I360" s="36"/>
      <c r="K360" s="26"/>
      <c r="M360" s="26"/>
      <c r="N360" s="26"/>
      <c r="O360" s="26"/>
      <c r="P360" s="26"/>
      <c r="Q360" s="26"/>
      <c r="R360" s="26"/>
      <c r="S360" s="26"/>
      <c r="T360" s="26"/>
    </row>
    <row r="361">
      <c r="A361" s="35"/>
      <c r="B361" s="36"/>
      <c r="C361" s="26"/>
      <c r="D361" s="27"/>
      <c r="E361" s="27"/>
      <c r="F361" s="36"/>
      <c r="G361" s="27"/>
      <c r="H361" s="37"/>
      <c r="I361" s="36"/>
      <c r="K361" s="26"/>
      <c r="M361" s="26"/>
      <c r="N361" s="26"/>
      <c r="O361" s="26"/>
      <c r="P361" s="26"/>
      <c r="Q361" s="26"/>
      <c r="R361" s="26"/>
      <c r="S361" s="26"/>
      <c r="T361" s="26"/>
    </row>
    <row r="362">
      <c r="A362" s="35"/>
      <c r="B362" s="36"/>
      <c r="C362" s="26"/>
      <c r="D362" s="27"/>
      <c r="E362" s="27"/>
      <c r="F362" s="36"/>
      <c r="G362" s="27"/>
      <c r="H362" s="37"/>
      <c r="I362" s="36"/>
      <c r="K362" s="26"/>
      <c r="M362" s="26"/>
      <c r="N362" s="26"/>
      <c r="O362" s="26"/>
      <c r="P362" s="26"/>
      <c r="Q362" s="26"/>
      <c r="R362" s="26"/>
      <c r="S362" s="26"/>
      <c r="T362" s="26"/>
    </row>
    <row r="363">
      <c r="A363" s="35"/>
      <c r="B363" s="36"/>
      <c r="C363" s="26"/>
      <c r="D363" s="27"/>
      <c r="E363" s="27"/>
      <c r="F363" s="36"/>
      <c r="G363" s="27"/>
      <c r="H363" s="37"/>
      <c r="I363" s="36"/>
      <c r="K363" s="26"/>
      <c r="M363" s="26"/>
      <c r="N363" s="26"/>
      <c r="O363" s="26"/>
      <c r="P363" s="26"/>
      <c r="Q363" s="26"/>
      <c r="R363" s="26"/>
      <c r="S363" s="26"/>
      <c r="T363" s="26"/>
    </row>
    <row r="364">
      <c r="A364" s="35"/>
      <c r="B364" s="36"/>
      <c r="C364" s="26"/>
      <c r="D364" s="27"/>
      <c r="E364" s="27"/>
      <c r="F364" s="36"/>
      <c r="G364" s="27"/>
      <c r="H364" s="37"/>
      <c r="I364" s="36"/>
      <c r="K364" s="26"/>
      <c r="M364" s="26"/>
      <c r="N364" s="26"/>
      <c r="O364" s="26"/>
      <c r="P364" s="26"/>
      <c r="Q364" s="26"/>
      <c r="R364" s="26"/>
      <c r="S364" s="26"/>
      <c r="T364" s="26"/>
    </row>
    <row r="365">
      <c r="A365" s="35"/>
      <c r="B365" s="36"/>
      <c r="C365" s="26"/>
      <c r="D365" s="27"/>
      <c r="E365" s="27"/>
      <c r="F365" s="36"/>
      <c r="G365" s="27"/>
      <c r="H365" s="37"/>
      <c r="I365" s="36"/>
      <c r="K365" s="26"/>
      <c r="M365" s="26"/>
      <c r="N365" s="26"/>
      <c r="O365" s="26"/>
      <c r="P365" s="26"/>
      <c r="Q365" s="26"/>
      <c r="R365" s="26"/>
      <c r="S365" s="26"/>
      <c r="T365" s="26"/>
    </row>
    <row r="366">
      <c r="A366" s="35"/>
      <c r="B366" s="36"/>
      <c r="C366" s="26"/>
      <c r="D366" s="27"/>
      <c r="E366" s="27"/>
      <c r="F366" s="36"/>
      <c r="G366" s="27"/>
      <c r="H366" s="37"/>
      <c r="I366" s="36"/>
      <c r="K366" s="26"/>
      <c r="M366" s="26"/>
      <c r="N366" s="26"/>
      <c r="O366" s="26"/>
      <c r="P366" s="26"/>
      <c r="Q366" s="26"/>
      <c r="R366" s="26"/>
      <c r="S366" s="26"/>
      <c r="T366" s="26"/>
    </row>
    <row r="367">
      <c r="A367" s="35"/>
      <c r="B367" s="36"/>
      <c r="C367" s="26"/>
      <c r="D367" s="27"/>
      <c r="E367" s="27"/>
      <c r="F367" s="36"/>
      <c r="G367" s="27"/>
      <c r="H367" s="37"/>
      <c r="I367" s="36"/>
      <c r="K367" s="26"/>
      <c r="M367" s="26"/>
      <c r="N367" s="26"/>
      <c r="O367" s="26"/>
      <c r="P367" s="26"/>
      <c r="Q367" s="26"/>
      <c r="R367" s="26"/>
      <c r="S367" s="26"/>
      <c r="T367" s="26"/>
    </row>
    <row r="368">
      <c r="A368" s="35"/>
      <c r="B368" s="36"/>
      <c r="C368" s="26"/>
      <c r="D368" s="27"/>
      <c r="E368" s="27"/>
      <c r="F368" s="36"/>
      <c r="G368" s="27"/>
      <c r="H368" s="37"/>
      <c r="I368" s="36"/>
      <c r="K368" s="26"/>
      <c r="M368" s="26"/>
      <c r="N368" s="26"/>
      <c r="O368" s="26"/>
      <c r="P368" s="26"/>
      <c r="Q368" s="26"/>
      <c r="R368" s="26"/>
      <c r="S368" s="26"/>
      <c r="T368" s="26"/>
    </row>
    <row r="369">
      <c r="A369" s="35"/>
      <c r="B369" s="36"/>
      <c r="C369" s="26"/>
      <c r="D369" s="27"/>
      <c r="E369" s="27"/>
      <c r="F369" s="36"/>
      <c r="G369" s="27"/>
      <c r="H369" s="37"/>
      <c r="I369" s="36"/>
      <c r="K369" s="26"/>
      <c r="M369" s="26"/>
      <c r="N369" s="26"/>
      <c r="O369" s="26"/>
      <c r="P369" s="26"/>
      <c r="Q369" s="26"/>
      <c r="R369" s="26"/>
      <c r="S369" s="26"/>
      <c r="T369" s="26"/>
    </row>
    <row r="370">
      <c r="A370" s="35"/>
      <c r="B370" s="36"/>
      <c r="C370" s="26"/>
      <c r="D370" s="27"/>
      <c r="E370" s="27"/>
      <c r="F370" s="36"/>
      <c r="G370" s="27"/>
      <c r="H370" s="37"/>
      <c r="I370" s="36"/>
      <c r="K370" s="26"/>
      <c r="M370" s="26"/>
      <c r="N370" s="26"/>
      <c r="O370" s="26"/>
      <c r="P370" s="26"/>
      <c r="Q370" s="26"/>
      <c r="R370" s="26"/>
      <c r="S370" s="26"/>
      <c r="T370" s="26"/>
    </row>
    <row r="371">
      <c r="A371" s="35"/>
      <c r="B371" s="36"/>
      <c r="C371" s="26"/>
      <c r="D371" s="27"/>
      <c r="E371" s="27"/>
      <c r="F371" s="36"/>
      <c r="G371" s="27"/>
      <c r="H371" s="37"/>
      <c r="I371" s="36"/>
      <c r="K371" s="26"/>
      <c r="M371" s="26"/>
      <c r="N371" s="26"/>
      <c r="O371" s="26"/>
      <c r="P371" s="26"/>
      <c r="Q371" s="26"/>
      <c r="R371" s="26"/>
      <c r="S371" s="26"/>
      <c r="T371" s="26"/>
    </row>
    <row r="372">
      <c r="A372" s="35"/>
      <c r="B372" s="36"/>
      <c r="C372" s="26"/>
      <c r="D372" s="27"/>
      <c r="E372" s="27"/>
      <c r="F372" s="36"/>
      <c r="G372" s="27"/>
      <c r="H372" s="37"/>
      <c r="I372" s="36"/>
      <c r="K372" s="26"/>
      <c r="M372" s="26"/>
      <c r="N372" s="26"/>
      <c r="O372" s="26"/>
      <c r="P372" s="26"/>
      <c r="Q372" s="26"/>
      <c r="R372" s="26"/>
      <c r="S372" s="26"/>
      <c r="T372" s="26"/>
    </row>
    <row r="373">
      <c r="A373" s="35"/>
      <c r="B373" s="36"/>
      <c r="C373" s="26"/>
      <c r="D373" s="27"/>
      <c r="E373" s="27"/>
      <c r="F373" s="36"/>
      <c r="G373" s="27"/>
      <c r="H373" s="37"/>
      <c r="I373" s="36"/>
      <c r="K373" s="26"/>
      <c r="M373" s="26"/>
      <c r="N373" s="26"/>
      <c r="O373" s="26"/>
      <c r="P373" s="26"/>
      <c r="Q373" s="26"/>
      <c r="R373" s="26"/>
      <c r="S373" s="26"/>
      <c r="T373" s="26"/>
    </row>
    <row r="374">
      <c r="A374" s="35"/>
      <c r="B374" s="36"/>
      <c r="C374" s="26"/>
      <c r="D374" s="27"/>
      <c r="E374" s="27"/>
      <c r="F374" s="36"/>
      <c r="G374" s="27"/>
      <c r="H374" s="37"/>
      <c r="I374" s="36"/>
      <c r="K374" s="26"/>
      <c r="M374" s="26"/>
      <c r="N374" s="26"/>
      <c r="O374" s="26"/>
      <c r="P374" s="26"/>
      <c r="Q374" s="26"/>
      <c r="R374" s="26"/>
      <c r="S374" s="26"/>
      <c r="T374" s="26"/>
    </row>
    <row r="375">
      <c r="A375" s="35"/>
      <c r="B375" s="36"/>
      <c r="C375" s="26"/>
      <c r="D375" s="27"/>
      <c r="E375" s="27"/>
      <c r="F375" s="36"/>
      <c r="G375" s="27"/>
      <c r="H375" s="37"/>
      <c r="I375" s="36"/>
      <c r="K375" s="26"/>
      <c r="M375" s="26"/>
      <c r="N375" s="26"/>
      <c r="O375" s="26"/>
      <c r="P375" s="26"/>
      <c r="Q375" s="26"/>
      <c r="R375" s="26"/>
      <c r="S375" s="26"/>
      <c r="T375" s="26"/>
    </row>
    <row r="376">
      <c r="A376" s="35"/>
      <c r="B376" s="36"/>
      <c r="C376" s="26"/>
      <c r="D376" s="27"/>
      <c r="E376" s="27"/>
      <c r="F376" s="36"/>
      <c r="G376" s="27"/>
      <c r="H376" s="37"/>
      <c r="I376" s="36"/>
      <c r="K376" s="26"/>
      <c r="M376" s="26"/>
      <c r="N376" s="26"/>
      <c r="O376" s="26"/>
      <c r="P376" s="26"/>
      <c r="Q376" s="26"/>
      <c r="R376" s="26"/>
      <c r="S376" s="26"/>
      <c r="T376" s="26"/>
    </row>
    <row r="377">
      <c r="A377" s="35"/>
      <c r="B377" s="36"/>
      <c r="C377" s="26"/>
      <c r="D377" s="27"/>
      <c r="E377" s="27"/>
      <c r="F377" s="36"/>
      <c r="G377" s="27"/>
      <c r="H377" s="37"/>
      <c r="I377" s="36"/>
      <c r="K377" s="26"/>
      <c r="M377" s="26"/>
      <c r="N377" s="26"/>
      <c r="O377" s="26"/>
      <c r="P377" s="26"/>
      <c r="Q377" s="26"/>
      <c r="R377" s="26"/>
      <c r="S377" s="26"/>
      <c r="T377" s="26"/>
    </row>
    <row r="378">
      <c r="A378" s="35"/>
      <c r="B378" s="36"/>
      <c r="C378" s="26"/>
      <c r="D378" s="27"/>
      <c r="E378" s="27"/>
      <c r="F378" s="36"/>
      <c r="G378" s="27"/>
      <c r="H378" s="37"/>
      <c r="I378" s="36"/>
      <c r="K378" s="26"/>
      <c r="M378" s="26"/>
      <c r="N378" s="26"/>
      <c r="O378" s="26"/>
      <c r="P378" s="26"/>
      <c r="Q378" s="26"/>
      <c r="R378" s="26"/>
      <c r="S378" s="26"/>
      <c r="T378" s="26"/>
    </row>
    <row r="379">
      <c r="A379" s="35"/>
      <c r="B379" s="36"/>
      <c r="C379" s="26"/>
      <c r="D379" s="27"/>
      <c r="E379" s="27"/>
      <c r="F379" s="36"/>
      <c r="G379" s="27"/>
      <c r="H379" s="37"/>
      <c r="I379" s="36"/>
      <c r="K379" s="26"/>
      <c r="M379" s="26"/>
      <c r="N379" s="26"/>
      <c r="O379" s="26"/>
      <c r="P379" s="26"/>
      <c r="Q379" s="26"/>
      <c r="R379" s="26"/>
      <c r="S379" s="26"/>
      <c r="T379" s="26"/>
    </row>
    <row r="380">
      <c r="A380" s="35"/>
      <c r="B380" s="36"/>
      <c r="C380" s="26"/>
      <c r="D380" s="27"/>
      <c r="E380" s="27"/>
      <c r="F380" s="36"/>
      <c r="G380" s="27"/>
      <c r="H380" s="37"/>
      <c r="I380" s="36"/>
      <c r="K380" s="26"/>
      <c r="M380" s="26"/>
      <c r="N380" s="26"/>
      <c r="O380" s="26"/>
      <c r="P380" s="26"/>
      <c r="Q380" s="26"/>
      <c r="R380" s="26"/>
      <c r="S380" s="26"/>
      <c r="T380" s="26"/>
    </row>
    <row r="381">
      <c r="A381" s="35"/>
      <c r="B381" s="36"/>
      <c r="C381" s="26"/>
      <c r="D381" s="27"/>
      <c r="E381" s="27"/>
      <c r="F381" s="36"/>
      <c r="G381" s="27"/>
      <c r="H381" s="37"/>
      <c r="I381" s="36"/>
      <c r="K381" s="26"/>
      <c r="M381" s="26"/>
      <c r="N381" s="26"/>
      <c r="O381" s="26"/>
      <c r="P381" s="26"/>
      <c r="Q381" s="26"/>
      <c r="R381" s="26"/>
      <c r="S381" s="26"/>
      <c r="T381" s="26"/>
    </row>
    <row r="382">
      <c r="A382" s="35"/>
      <c r="B382" s="36"/>
      <c r="C382" s="26"/>
      <c r="D382" s="27"/>
      <c r="E382" s="27"/>
      <c r="F382" s="36"/>
      <c r="G382" s="27"/>
      <c r="H382" s="37"/>
      <c r="I382" s="36"/>
      <c r="K382" s="26"/>
      <c r="M382" s="26"/>
      <c r="N382" s="26"/>
      <c r="O382" s="26"/>
      <c r="P382" s="26"/>
      <c r="Q382" s="26"/>
      <c r="R382" s="26"/>
      <c r="S382" s="26"/>
      <c r="T382" s="26"/>
    </row>
    <row r="383">
      <c r="A383" s="35"/>
      <c r="B383" s="36"/>
      <c r="C383" s="26"/>
      <c r="D383" s="27"/>
      <c r="E383" s="27"/>
      <c r="F383" s="36"/>
      <c r="G383" s="27"/>
      <c r="H383" s="37"/>
      <c r="I383" s="36"/>
      <c r="K383" s="26"/>
      <c r="M383" s="26"/>
      <c r="N383" s="26"/>
      <c r="O383" s="26"/>
      <c r="P383" s="26"/>
      <c r="Q383" s="26"/>
      <c r="R383" s="26"/>
      <c r="S383" s="26"/>
      <c r="T383" s="26"/>
    </row>
    <row r="384">
      <c r="A384" s="35"/>
      <c r="B384" s="36"/>
      <c r="C384" s="26"/>
      <c r="D384" s="27"/>
      <c r="E384" s="27"/>
      <c r="F384" s="36"/>
      <c r="G384" s="27"/>
      <c r="H384" s="37"/>
      <c r="I384" s="36"/>
      <c r="K384" s="26"/>
      <c r="M384" s="26"/>
      <c r="N384" s="26"/>
      <c r="O384" s="26"/>
      <c r="P384" s="26"/>
      <c r="Q384" s="26"/>
      <c r="R384" s="26"/>
      <c r="S384" s="26"/>
      <c r="T384" s="26"/>
    </row>
    <row r="385">
      <c r="A385" s="35"/>
      <c r="B385" s="36"/>
      <c r="C385" s="26"/>
      <c r="D385" s="27"/>
      <c r="E385" s="27"/>
      <c r="F385" s="36"/>
      <c r="G385" s="27"/>
      <c r="H385" s="37"/>
      <c r="I385" s="36"/>
      <c r="K385" s="26"/>
      <c r="M385" s="26"/>
      <c r="N385" s="26"/>
      <c r="O385" s="26"/>
      <c r="P385" s="26"/>
      <c r="Q385" s="26"/>
      <c r="R385" s="26"/>
      <c r="S385" s="26"/>
      <c r="T385" s="26"/>
    </row>
    <row r="386">
      <c r="A386" s="35"/>
      <c r="B386" s="36"/>
      <c r="C386" s="26"/>
      <c r="D386" s="27"/>
      <c r="E386" s="27"/>
      <c r="F386" s="36"/>
      <c r="G386" s="27"/>
      <c r="H386" s="37"/>
      <c r="I386" s="36"/>
      <c r="K386" s="26"/>
      <c r="M386" s="26"/>
      <c r="N386" s="26"/>
      <c r="O386" s="26"/>
      <c r="P386" s="26"/>
      <c r="Q386" s="26"/>
      <c r="R386" s="26"/>
      <c r="S386" s="26"/>
      <c r="T386" s="26"/>
    </row>
    <row r="387">
      <c r="A387" s="35"/>
      <c r="B387" s="36"/>
      <c r="C387" s="26"/>
      <c r="D387" s="27"/>
      <c r="E387" s="27"/>
      <c r="F387" s="36"/>
      <c r="G387" s="27"/>
      <c r="H387" s="37"/>
      <c r="I387" s="36"/>
      <c r="K387" s="26"/>
      <c r="M387" s="26"/>
      <c r="N387" s="26"/>
      <c r="O387" s="26"/>
      <c r="P387" s="26"/>
      <c r="Q387" s="26"/>
      <c r="R387" s="26"/>
      <c r="S387" s="26"/>
      <c r="T387" s="26"/>
    </row>
    <row r="388">
      <c r="A388" s="35"/>
      <c r="B388" s="36"/>
      <c r="C388" s="26"/>
      <c r="D388" s="27"/>
      <c r="E388" s="27"/>
      <c r="F388" s="36"/>
      <c r="G388" s="27"/>
      <c r="H388" s="37"/>
      <c r="I388" s="36"/>
      <c r="K388" s="26"/>
      <c r="M388" s="26"/>
      <c r="N388" s="26"/>
      <c r="O388" s="26"/>
      <c r="P388" s="26"/>
      <c r="Q388" s="26"/>
      <c r="R388" s="26"/>
      <c r="S388" s="26"/>
      <c r="T388" s="26"/>
    </row>
    <row r="389">
      <c r="A389" s="35"/>
      <c r="B389" s="36"/>
      <c r="C389" s="26"/>
      <c r="D389" s="27"/>
      <c r="E389" s="27"/>
      <c r="F389" s="36"/>
      <c r="G389" s="27"/>
      <c r="H389" s="37"/>
      <c r="I389" s="36"/>
      <c r="K389" s="26"/>
      <c r="M389" s="26"/>
      <c r="N389" s="26"/>
      <c r="O389" s="26"/>
      <c r="P389" s="26"/>
      <c r="Q389" s="26"/>
      <c r="R389" s="26"/>
      <c r="S389" s="26"/>
      <c r="T389" s="26"/>
    </row>
    <row r="390">
      <c r="A390" s="35"/>
      <c r="B390" s="36"/>
      <c r="C390" s="26"/>
      <c r="D390" s="27"/>
      <c r="E390" s="27"/>
      <c r="F390" s="36"/>
      <c r="G390" s="27"/>
      <c r="H390" s="37"/>
      <c r="I390" s="36"/>
      <c r="K390" s="26"/>
      <c r="M390" s="26"/>
      <c r="N390" s="26"/>
      <c r="O390" s="26"/>
      <c r="P390" s="26"/>
      <c r="Q390" s="26"/>
      <c r="R390" s="26"/>
      <c r="S390" s="26"/>
      <c r="T390" s="26"/>
    </row>
    <row r="391">
      <c r="A391" s="35"/>
      <c r="B391" s="36"/>
      <c r="C391" s="26"/>
      <c r="D391" s="27"/>
      <c r="E391" s="27"/>
      <c r="F391" s="36"/>
      <c r="G391" s="27"/>
      <c r="H391" s="37"/>
      <c r="I391" s="36"/>
      <c r="K391" s="26"/>
      <c r="M391" s="26"/>
      <c r="N391" s="26"/>
      <c r="O391" s="26"/>
      <c r="P391" s="26"/>
      <c r="Q391" s="26"/>
      <c r="R391" s="26"/>
      <c r="S391" s="26"/>
      <c r="T391" s="26"/>
    </row>
    <row r="392">
      <c r="A392" s="35"/>
      <c r="B392" s="36"/>
      <c r="C392" s="26"/>
      <c r="D392" s="27"/>
      <c r="E392" s="27"/>
      <c r="F392" s="36"/>
      <c r="G392" s="27"/>
      <c r="H392" s="37"/>
      <c r="I392" s="36"/>
      <c r="K392" s="26"/>
      <c r="M392" s="26"/>
      <c r="N392" s="26"/>
      <c r="O392" s="26"/>
      <c r="P392" s="26"/>
      <c r="Q392" s="26"/>
      <c r="R392" s="26"/>
      <c r="S392" s="26"/>
      <c r="T392" s="26"/>
    </row>
    <row r="393">
      <c r="A393" s="35"/>
      <c r="B393" s="36"/>
      <c r="C393" s="26"/>
      <c r="D393" s="27"/>
      <c r="E393" s="27"/>
      <c r="F393" s="36"/>
      <c r="G393" s="27"/>
      <c r="H393" s="37"/>
      <c r="I393" s="36"/>
      <c r="K393" s="26"/>
      <c r="M393" s="26"/>
      <c r="N393" s="26"/>
      <c r="O393" s="26"/>
      <c r="P393" s="26"/>
      <c r="Q393" s="26"/>
      <c r="R393" s="26"/>
      <c r="S393" s="26"/>
      <c r="T393" s="26"/>
    </row>
    <row r="394">
      <c r="A394" s="35"/>
      <c r="B394" s="36"/>
      <c r="C394" s="26"/>
      <c r="D394" s="27"/>
      <c r="E394" s="27"/>
      <c r="F394" s="36"/>
      <c r="G394" s="27"/>
      <c r="H394" s="37"/>
      <c r="I394" s="36"/>
      <c r="K394" s="26"/>
      <c r="M394" s="26"/>
      <c r="N394" s="26"/>
      <c r="O394" s="26"/>
      <c r="P394" s="26"/>
      <c r="Q394" s="26"/>
      <c r="R394" s="26"/>
      <c r="S394" s="26"/>
      <c r="T394" s="26"/>
    </row>
    <row r="395">
      <c r="A395" s="35"/>
      <c r="B395" s="36"/>
      <c r="C395" s="26"/>
      <c r="D395" s="27"/>
      <c r="E395" s="27"/>
      <c r="F395" s="36"/>
      <c r="G395" s="27"/>
      <c r="H395" s="37"/>
      <c r="I395" s="36"/>
      <c r="K395" s="26"/>
      <c r="M395" s="26"/>
      <c r="N395" s="26"/>
      <c r="O395" s="26"/>
      <c r="P395" s="26"/>
      <c r="Q395" s="26"/>
      <c r="R395" s="26"/>
      <c r="S395" s="26"/>
      <c r="T395" s="26"/>
    </row>
    <row r="396">
      <c r="A396" s="35"/>
      <c r="B396" s="36"/>
      <c r="C396" s="26"/>
      <c r="D396" s="27"/>
      <c r="E396" s="27"/>
      <c r="F396" s="36"/>
      <c r="G396" s="27"/>
      <c r="H396" s="37"/>
      <c r="I396" s="36"/>
      <c r="K396" s="26"/>
      <c r="M396" s="26"/>
      <c r="N396" s="26"/>
      <c r="O396" s="26"/>
      <c r="P396" s="26"/>
      <c r="Q396" s="26"/>
      <c r="R396" s="26"/>
      <c r="S396" s="26"/>
      <c r="T396" s="26"/>
    </row>
    <row r="397">
      <c r="A397" s="35"/>
      <c r="B397" s="36"/>
      <c r="C397" s="26"/>
      <c r="D397" s="27"/>
      <c r="E397" s="27"/>
      <c r="F397" s="36"/>
      <c r="G397" s="27"/>
      <c r="H397" s="37"/>
      <c r="I397" s="36"/>
      <c r="K397" s="26"/>
      <c r="M397" s="26"/>
      <c r="N397" s="26"/>
      <c r="O397" s="26"/>
      <c r="P397" s="26"/>
      <c r="Q397" s="26"/>
      <c r="R397" s="26"/>
      <c r="S397" s="26"/>
      <c r="T397" s="26"/>
    </row>
    <row r="398">
      <c r="A398" s="35"/>
      <c r="B398" s="36"/>
      <c r="C398" s="26"/>
      <c r="D398" s="27"/>
      <c r="E398" s="27"/>
      <c r="F398" s="36"/>
      <c r="G398" s="27"/>
      <c r="H398" s="37"/>
      <c r="I398" s="36"/>
      <c r="K398" s="26"/>
      <c r="M398" s="26"/>
      <c r="N398" s="26"/>
      <c r="O398" s="26"/>
      <c r="P398" s="26"/>
      <c r="Q398" s="26"/>
      <c r="R398" s="26"/>
      <c r="S398" s="26"/>
      <c r="T398" s="26"/>
    </row>
    <row r="399">
      <c r="A399" s="35"/>
      <c r="B399" s="36"/>
      <c r="C399" s="26"/>
      <c r="D399" s="27"/>
      <c r="E399" s="27"/>
      <c r="F399" s="36"/>
      <c r="G399" s="27"/>
      <c r="H399" s="37"/>
      <c r="I399" s="36"/>
      <c r="K399" s="26"/>
      <c r="M399" s="26"/>
      <c r="N399" s="26"/>
      <c r="O399" s="26"/>
      <c r="P399" s="26"/>
      <c r="Q399" s="26"/>
      <c r="R399" s="26"/>
      <c r="S399" s="26"/>
      <c r="T399" s="26"/>
    </row>
    <row r="400">
      <c r="A400" s="35"/>
      <c r="B400" s="36"/>
      <c r="C400" s="26"/>
      <c r="D400" s="27"/>
      <c r="E400" s="27"/>
      <c r="F400" s="36"/>
      <c r="G400" s="27"/>
      <c r="H400" s="37"/>
      <c r="I400" s="36"/>
      <c r="K400" s="26"/>
      <c r="M400" s="26"/>
      <c r="N400" s="26"/>
      <c r="O400" s="26"/>
      <c r="P400" s="26"/>
      <c r="Q400" s="26"/>
      <c r="R400" s="26"/>
      <c r="S400" s="26"/>
      <c r="T400" s="26"/>
    </row>
    <row r="401">
      <c r="A401" s="35"/>
      <c r="B401" s="36"/>
      <c r="C401" s="26"/>
      <c r="D401" s="27"/>
      <c r="E401" s="27"/>
      <c r="F401" s="36"/>
      <c r="G401" s="27"/>
      <c r="H401" s="37"/>
      <c r="I401" s="36"/>
      <c r="K401" s="26"/>
      <c r="M401" s="26"/>
      <c r="N401" s="26"/>
      <c r="O401" s="26"/>
      <c r="P401" s="26"/>
      <c r="Q401" s="26"/>
      <c r="R401" s="26"/>
      <c r="S401" s="26"/>
      <c r="T401" s="26"/>
    </row>
    <row r="402">
      <c r="A402" s="35"/>
      <c r="B402" s="36"/>
      <c r="C402" s="26"/>
      <c r="D402" s="27"/>
      <c r="E402" s="27"/>
      <c r="F402" s="36"/>
      <c r="G402" s="27"/>
      <c r="H402" s="37"/>
      <c r="I402" s="36"/>
      <c r="K402" s="26"/>
      <c r="M402" s="26"/>
      <c r="N402" s="26"/>
      <c r="O402" s="26"/>
      <c r="P402" s="26"/>
      <c r="Q402" s="26"/>
      <c r="R402" s="26"/>
      <c r="S402" s="26"/>
      <c r="T402" s="26"/>
    </row>
    <row r="403">
      <c r="A403" s="35"/>
      <c r="B403" s="36"/>
      <c r="C403" s="26"/>
      <c r="D403" s="27"/>
      <c r="E403" s="27"/>
      <c r="F403" s="36"/>
      <c r="G403" s="27"/>
      <c r="H403" s="37"/>
      <c r="I403" s="36"/>
      <c r="K403" s="26"/>
      <c r="M403" s="26"/>
      <c r="N403" s="26"/>
      <c r="O403" s="26"/>
      <c r="P403" s="26"/>
      <c r="Q403" s="26"/>
      <c r="R403" s="26"/>
      <c r="S403" s="26"/>
      <c r="T403" s="26"/>
    </row>
    <row r="404">
      <c r="A404" s="35"/>
      <c r="B404" s="36"/>
      <c r="C404" s="26"/>
      <c r="D404" s="27"/>
      <c r="E404" s="27"/>
      <c r="F404" s="36"/>
      <c r="G404" s="27"/>
      <c r="H404" s="37"/>
      <c r="I404" s="36"/>
      <c r="K404" s="26"/>
      <c r="M404" s="26"/>
      <c r="N404" s="26"/>
      <c r="O404" s="26"/>
      <c r="P404" s="26"/>
      <c r="Q404" s="26"/>
      <c r="R404" s="26"/>
      <c r="S404" s="26"/>
      <c r="T404" s="26"/>
    </row>
    <row r="405">
      <c r="A405" s="35"/>
      <c r="B405" s="36"/>
      <c r="C405" s="26"/>
      <c r="D405" s="27"/>
      <c r="E405" s="27"/>
      <c r="F405" s="36"/>
      <c r="G405" s="27"/>
      <c r="H405" s="37"/>
      <c r="I405" s="36"/>
      <c r="K405" s="26"/>
      <c r="M405" s="26"/>
      <c r="N405" s="26"/>
      <c r="O405" s="26"/>
      <c r="P405" s="26"/>
      <c r="Q405" s="26"/>
      <c r="R405" s="26"/>
      <c r="S405" s="26"/>
      <c r="T405" s="26"/>
    </row>
    <row r="406">
      <c r="A406" s="35"/>
      <c r="B406" s="36"/>
      <c r="C406" s="26"/>
      <c r="D406" s="27"/>
      <c r="E406" s="27"/>
      <c r="F406" s="36"/>
      <c r="G406" s="27"/>
      <c r="H406" s="37"/>
      <c r="I406" s="36"/>
      <c r="K406" s="26"/>
      <c r="M406" s="26"/>
      <c r="N406" s="26"/>
      <c r="O406" s="26"/>
      <c r="P406" s="26"/>
      <c r="Q406" s="26"/>
      <c r="R406" s="26"/>
      <c r="S406" s="26"/>
      <c r="T406" s="26"/>
    </row>
    <row r="407">
      <c r="A407" s="35"/>
      <c r="B407" s="36"/>
      <c r="C407" s="26"/>
      <c r="D407" s="27"/>
      <c r="E407" s="27"/>
      <c r="F407" s="36"/>
      <c r="G407" s="27"/>
      <c r="H407" s="37"/>
      <c r="I407" s="36"/>
      <c r="K407" s="26"/>
      <c r="M407" s="26"/>
      <c r="N407" s="26"/>
      <c r="O407" s="26"/>
      <c r="P407" s="26"/>
      <c r="Q407" s="26"/>
      <c r="R407" s="26"/>
      <c r="S407" s="26"/>
      <c r="T407" s="26"/>
    </row>
    <row r="408">
      <c r="A408" s="35"/>
      <c r="B408" s="36"/>
      <c r="C408" s="26"/>
      <c r="D408" s="27"/>
      <c r="E408" s="27"/>
      <c r="F408" s="36"/>
      <c r="G408" s="27"/>
      <c r="H408" s="37"/>
      <c r="I408" s="36"/>
      <c r="K408" s="26"/>
      <c r="M408" s="26"/>
      <c r="N408" s="26"/>
      <c r="O408" s="26"/>
      <c r="P408" s="26"/>
      <c r="Q408" s="26"/>
      <c r="R408" s="26"/>
      <c r="S408" s="26"/>
      <c r="T408" s="26"/>
    </row>
    <row r="409">
      <c r="A409" s="35"/>
      <c r="B409" s="36"/>
      <c r="C409" s="26"/>
      <c r="D409" s="27"/>
      <c r="E409" s="27"/>
      <c r="F409" s="36"/>
      <c r="G409" s="27"/>
      <c r="H409" s="37"/>
      <c r="I409" s="36"/>
      <c r="K409" s="26"/>
      <c r="M409" s="26"/>
      <c r="N409" s="26"/>
      <c r="O409" s="26"/>
      <c r="P409" s="26"/>
      <c r="Q409" s="26"/>
      <c r="R409" s="26"/>
      <c r="S409" s="26"/>
      <c r="T409" s="26"/>
    </row>
    <row r="410">
      <c r="A410" s="35"/>
      <c r="B410" s="36"/>
      <c r="C410" s="26"/>
      <c r="D410" s="27"/>
      <c r="E410" s="27"/>
      <c r="F410" s="36"/>
      <c r="G410" s="27"/>
      <c r="H410" s="37"/>
      <c r="I410" s="36"/>
      <c r="K410" s="26"/>
      <c r="M410" s="26"/>
      <c r="N410" s="26"/>
      <c r="O410" s="26"/>
      <c r="P410" s="26"/>
      <c r="Q410" s="26"/>
      <c r="R410" s="26"/>
      <c r="S410" s="26"/>
      <c r="T410" s="26"/>
    </row>
    <row r="411">
      <c r="A411" s="35"/>
      <c r="B411" s="36"/>
      <c r="C411" s="26"/>
      <c r="D411" s="27"/>
      <c r="E411" s="27"/>
      <c r="F411" s="36"/>
      <c r="G411" s="27"/>
      <c r="H411" s="37"/>
      <c r="I411" s="36"/>
      <c r="K411" s="26"/>
      <c r="M411" s="26"/>
      <c r="N411" s="26"/>
      <c r="O411" s="26"/>
      <c r="P411" s="26"/>
      <c r="Q411" s="26"/>
      <c r="R411" s="26"/>
      <c r="S411" s="26"/>
      <c r="T411" s="26"/>
    </row>
    <row r="412">
      <c r="A412" s="35"/>
      <c r="B412" s="36"/>
      <c r="C412" s="26"/>
      <c r="D412" s="27"/>
      <c r="E412" s="27"/>
      <c r="F412" s="36"/>
      <c r="G412" s="27"/>
      <c r="H412" s="37"/>
      <c r="I412" s="36"/>
      <c r="K412" s="26"/>
      <c r="M412" s="26"/>
      <c r="N412" s="26"/>
      <c r="O412" s="26"/>
      <c r="P412" s="26"/>
      <c r="Q412" s="26"/>
      <c r="R412" s="26"/>
      <c r="S412" s="26"/>
      <c r="T412" s="26"/>
    </row>
    <row r="413">
      <c r="A413" s="35"/>
      <c r="B413" s="36"/>
      <c r="C413" s="26"/>
      <c r="D413" s="27"/>
      <c r="E413" s="27"/>
      <c r="F413" s="36"/>
      <c r="G413" s="27"/>
      <c r="H413" s="37"/>
      <c r="I413" s="36"/>
      <c r="K413" s="26"/>
      <c r="M413" s="26"/>
      <c r="N413" s="26"/>
      <c r="O413" s="26"/>
      <c r="P413" s="26"/>
      <c r="Q413" s="26"/>
      <c r="R413" s="26"/>
      <c r="S413" s="26"/>
      <c r="T413" s="26"/>
    </row>
    <row r="414">
      <c r="A414" s="35"/>
      <c r="B414" s="36"/>
      <c r="C414" s="26"/>
      <c r="D414" s="27"/>
      <c r="E414" s="27"/>
      <c r="F414" s="36"/>
      <c r="G414" s="27"/>
      <c r="H414" s="37"/>
      <c r="I414" s="36"/>
      <c r="K414" s="26"/>
      <c r="M414" s="26"/>
      <c r="N414" s="26"/>
      <c r="O414" s="26"/>
      <c r="P414" s="26"/>
      <c r="Q414" s="26"/>
      <c r="R414" s="26"/>
      <c r="S414" s="26"/>
      <c r="T414" s="26"/>
    </row>
    <row r="415">
      <c r="A415" s="35"/>
      <c r="B415" s="36"/>
      <c r="C415" s="26"/>
      <c r="D415" s="27"/>
      <c r="E415" s="27"/>
      <c r="F415" s="36"/>
      <c r="G415" s="27"/>
      <c r="H415" s="37"/>
      <c r="I415" s="36"/>
      <c r="K415" s="26"/>
      <c r="M415" s="26"/>
      <c r="N415" s="26"/>
      <c r="O415" s="26"/>
      <c r="P415" s="26"/>
      <c r="Q415" s="26"/>
      <c r="R415" s="26"/>
      <c r="S415" s="26"/>
      <c r="T415" s="26"/>
    </row>
    <row r="416">
      <c r="A416" s="35"/>
      <c r="B416" s="36"/>
      <c r="C416" s="26"/>
      <c r="D416" s="27"/>
      <c r="E416" s="27"/>
      <c r="F416" s="36"/>
      <c r="G416" s="27"/>
      <c r="H416" s="37"/>
      <c r="I416" s="36"/>
      <c r="K416" s="26"/>
      <c r="M416" s="26"/>
      <c r="N416" s="26"/>
      <c r="O416" s="26"/>
      <c r="P416" s="26"/>
      <c r="Q416" s="26"/>
      <c r="R416" s="26"/>
      <c r="S416" s="26"/>
      <c r="T416" s="26"/>
    </row>
    <row r="417">
      <c r="A417" s="35"/>
      <c r="B417" s="36"/>
      <c r="C417" s="26"/>
      <c r="D417" s="27"/>
      <c r="E417" s="27"/>
      <c r="F417" s="36"/>
      <c r="G417" s="27"/>
      <c r="H417" s="37"/>
      <c r="I417" s="36"/>
      <c r="K417" s="26"/>
      <c r="M417" s="26"/>
      <c r="N417" s="26"/>
      <c r="O417" s="26"/>
      <c r="P417" s="26"/>
      <c r="Q417" s="26"/>
      <c r="R417" s="26"/>
      <c r="S417" s="26"/>
      <c r="T417" s="26"/>
    </row>
    <row r="418">
      <c r="A418" s="35"/>
      <c r="B418" s="36"/>
      <c r="C418" s="26"/>
      <c r="D418" s="27"/>
      <c r="E418" s="27"/>
      <c r="F418" s="36"/>
      <c r="G418" s="27"/>
      <c r="H418" s="37"/>
      <c r="I418" s="36"/>
      <c r="K418" s="26"/>
      <c r="M418" s="26"/>
      <c r="N418" s="26"/>
      <c r="O418" s="26"/>
      <c r="P418" s="26"/>
      <c r="Q418" s="26"/>
      <c r="R418" s="26"/>
      <c r="S418" s="26"/>
      <c r="T418" s="26"/>
    </row>
    <row r="419">
      <c r="A419" s="35"/>
      <c r="B419" s="36"/>
      <c r="C419" s="26"/>
      <c r="D419" s="27"/>
      <c r="E419" s="27"/>
      <c r="F419" s="36"/>
      <c r="G419" s="27"/>
      <c r="H419" s="37"/>
      <c r="I419" s="36"/>
      <c r="K419" s="26"/>
      <c r="M419" s="26"/>
      <c r="N419" s="26"/>
      <c r="O419" s="26"/>
      <c r="P419" s="26"/>
      <c r="Q419" s="26"/>
      <c r="R419" s="26"/>
      <c r="S419" s="26"/>
      <c r="T419" s="26"/>
    </row>
    <row r="420">
      <c r="A420" s="35"/>
      <c r="B420" s="36"/>
      <c r="C420" s="26"/>
      <c r="D420" s="27"/>
      <c r="E420" s="27"/>
      <c r="F420" s="36"/>
      <c r="G420" s="27"/>
      <c r="H420" s="37"/>
      <c r="I420" s="36"/>
      <c r="K420" s="26"/>
      <c r="M420" s="26"/>
      <c r="N420" s="26"/>
      <c r="O420" s="26"/>
      <c r="P420" s="26"/>
      <c r="Q420" s="26"/>
      <c r="R420" s="26"/>
      <c r="S420" s="26"/>
      <c r="T420" s="26"/>
    </row>
    <row r="421">
      <c r="A421" s="35"/>
      <c r="B421" s="36"/>
      <c r="C421" s="26"/>
      <c r="D421" s="27"/>
      <c r="E421" s="27"/>
      <c r="F421" s="36"/>
      <c r="G421" s="27"/>
      <c r="H421" s="37"/>
      <c r="I421" s="36"/>
      <c r="K421" s="26"/>
      <c r="M421" s="26"/>
      <c r="N421" s="26"/>
      <c r="O421" s="26"/>
      <c r="P421" s="26"/>
      <c r="Q421" s="26"/>
      <c r="R421" s="26"/>
      <c r="S421" s="26"/>
      <c r="T421" s="26"/>
    </row>
    <row r="422">
      <c r="A422" s="35"/>
      <c r="B422" s="36"/>
      <c r="C422" s="26"/>
      <c r="D422" s="27"/>
      <c r="E422" s="27"/>
      <c r="F422" s="36"/>
      <c r="G422" s="27"/>
      <c r="H422" s="37"/>
      <c r="I422" s="36"/>
      <c r="K422" s="26"/>
      <c r="M422" s="26"/>
      <c r="N422" s="26"/>
      <c r="O422" s="26"/>
      <c r="P422" s="26"/>
      <c r="Q422" s="26"/>
      <c r="R422" s="26"/>
      <c r="S422" s="26"/>
      <c r="T422" s="26"/>
    </row>
    <row r="423">
      <c r="A423" s="35"/>
      <c r="B423" s="36"/>
      <c r="C423" s="26"/>
      <c r="D423" s="27"/>
      <c r="E423" s="27"/>
      <c r="F423" s="36"/>
      <c r="G423" s="27"/>
      <c r="H423" s="37"/>
      <c r="I423" s="36"/>
      <c r="K423" s="26"/>
      <c r="M423" s="26"/>
      <c r="N423" s="26"/>
      <c r="O423" s="26"/>
      <c r="P423" s="26"/>
      <c r="Q423" s="26"/>
      <c r="R423" s="26"/>
      <c r="S423" s="26"/>
      <c r="T423" s="26"/>
    </row>
    <row r="424">
      <c r="A424" s="35"/>
      <c r="B424" s="36"/>
      <c r="C424" s="26"/>
      <c r="D424" s="27"/>
      <c r="E424" s="27"/>
      <c r="F424" s="36"/>
      <c r="G424" s="27"/>
      <c r="H424" s="37"/>
      <c r="I424" s="36"/>
      <c r="K424" s="26"/>
      <c r="M424" s="26"/>
      <c r="N424" s="26"/>
      <c r="O424" s="26"/>
      <c r="P424" s="26"/>
      <c r="Q424" s="26"/>
      <c r="R424" s="26"/>
      <c r="S424" s="26"/>
      <c r="T424" s="26"/>
    </row>
    <row r="425">
      <c r="A425" s="35"/>
      <c r="B425" s="36"/>
      <c r="C425" s="26"/>
      <c r="D425" s="27"/>
      <c r="E425" s="27"/>
      <c r="F425" s="36"/>
      <c r="G425" s="27"/>
      <c r="H425" s="37"/>
      <c r="I425" s="36"/>
      <c r="K425" s="26"/>
      <c r="M425" s="26"/>
      <c r="N425" s="26"/>
      <c r="O425" s="26"/>
      <c r="P425" s="26"/>
      <c r="Q425" s="26"/>
      <c r="R425" s="26"/>
      <c r="S425" s="26"/>
      <c r="T425" s="26"/>
    </row>
    <row r="426">
      <c r="A426" s="35"/>
      <c r="B426" s="36"/>
      <c r="C426" s="26"/>
      <c r="D426" s="27"/>
      <c r="E426" s="27"/>
      <c r="F426" s="36"/>
      <c r="G426" s="27"/>
      <c r="H426" s="37"/>
      <c r="I426" s="36"/>
      <c r="K426" s="26"/>
      <c r="M426" s="26"/>
      <c r="N426" s="26"/>
      <c r="O426" s="26"/>
      <c r="P426" s="26"/>
      <c r="Q426" s="26"/>
      <c r="R426" s="26"/>
      <c r="S426" s="26"/>
      <c r="T426" s="26"/>
    </row>
    <row r="427">
      <c r="A427" s="35"/>
      <c r="B427" s="36"/>
      <c r="C427" s="26"/>
      <c r="D427" s="27"/>
      <c r="E427" s="27"/>
      <c r="F427" s="36"/>
      <c r="G427" s="27"/>
      <c r="H427" s="37"/>
      <c r="I427" s="36"/>
      <c r="K427" s="26"/>
      <c r="M427" s="26"/>
      <c r="N427" s="26"/>
      <c r="O427" s="26"/>
      <c r="P427" s="26"/>
      <c r="Q427" s="26"/>
      <c r="R427" s="26"/>
      <c r="S427" s="26"/>
      <c r="T427" s="26"/>
    </row>
    <row r="428">
      <c r="A428" s="35"/>
      <c r="B428" s="36"/>
      <c r="C428" s="26"/>
      <c r="D428" s="27"/>
      <c r="E428" s="27"/>
      <c r="F428" s="36"/>
      <c r="G428" s="27"/>
      <c r="H428" s="37"/>
      <c r="I428" s="36"/>
      <c r="K428" s="26"/>
      <c r="M428" s="26"/>
      <c r="N428" s="26"/>
      <c r="O428" s="26"/>
      <c r="P428" s="26"/>
      <c r="Q428" s="26"/>
      <c r="R428" s="26"/>
      <c r="S428" s="26"/>
      <c r="T428" s="26"/>
    </row>
    <row r="429">
      <c r="A429" s="35"/>
      <c r="B429" s="36"/>
      <c r="C429" s="26"/>
      <c r="D429" s="27"/>
      <c r="E429" s="27"/>
      <c r="F429" s="36"/>
      <c r="G429" s="27"/>
      <c r="H429" s="37"/>
      <c r="I429" s="36"/>
      <c r="K429" s="26"/>
      <c r="M429" s="26"/>
      <c r="N429" s="26"/>
      <c r="O429" s="26"/>
      <c r="P429" s="26"/>
      <c r="Q429" s="26"/>
      <c r="R429" s="26"/>
      <c r="S429" s="26"/>
      <c r="T429" s="26"/>
    </row>
    <row r="430">
      <c r="A430" s="35"/>
      <c r="B430" s="36"/>
      <c r="C430" s="26"/>
      <c r="D430" s="27"/>
      <c r="E430" s="27"/>
      <c r="F430" s="36"/>
      <c r="G430" s="27"/>
      <c r="H430" s="37"/>
      <c r="I430" s="36"/>
      <c r="K430" s="26"/>
      <c r="M430" s="26"/>
      <c r="N430" s="26"/>
      <c r="O430" s="26"/>
      <c r="P430" s="26"/>
      <c r="Q430" s="26"/>
      <c r="R430" s="26"/>
      <c r="S430" s="26"/>
      <c r="T430" s="26"/>
    </row>
    <row r="431">
      <c r="A431" s="35"/>
      <c r="B431" s="36"/>
      <c r="C431" s="26"/>
      <c r="D431" s="27"/>
      <c r="E431" s="27"/>
      <c r="F431" s="36"/>
      <c r="G431" s="27"/>
      <c r="H431" s="37"/>
      <c r="I431" s="36"/>
      <c r="K431" s="26"/>
      <c r="M431" s="26"/>
      <c r="N431" s="26"/>
      <c r="O431" s="26"/>
      <c r="P431" s="26"/>
      <c r="Q431" s="26"/>
      <c r="R431" s="26"/>
      <c r="S431" s="26"/>
      <c r="T431" s="26"/>
    </row>
    <row r="432">
      <c r="A432" s="35"/>
      <c r="B432" s="36"/>
      <c r="C432" s="26"/>
      <c r="D432" s="27"/>
      <c r="E432" s="27"/>
      <c r="F432" s="36"/>
      <c r="G432" s="27"/>
      <c r="H432" s="37"/>
      <c r="I432" s="36"/>
      <c r="K432" s="26"/>
      <c r="M432" s="26"/>
      <c r="N432" s="26"/>
      <c r="O432" s="26"/>
      <c r="P432" s="26"/>
      <c r="Q432" s="26"/>
      <c r="R432" s="26"/>
      <c r="S432" s="26"/>
      <c r="T432" s="26"/>
    </row>
    <row r="433">
      <c r="A433" s="35"/>
      <c r="B433" s="36"/>
      <c r="C433" s="26"/>
      <c r="D433" s="27"/>
      <c r="E433" s="27"/>
      <c r="F433" s="36"/>
      <c r="G433" s="27"/>
      <c r="H433" s="37"/>
      <c r="I433" s="36"/>
      <c r="K433" s="26"/>
      <c r="M433" s="26"/>
      <c r="N433" s="26"/>
      <c r="O433" s="26"/>
      <c r="P433" s="26"/>
      <c r="Q433" s="26"/>
      <c r="R433" s="26"/>
      <c r="S433" s="26"/>
      <c r="T433" s="26"/>
    </row>
    <row r="434">
      <c r="A434" s="35"/>
      <c r="B434" s="36"/>
      <c r="C434" s="26"/>
      <c r="D434" s="27"/>
      <c r="E434" s="27"/>
      <c r="F434" s="36"/>
      <c r="G434" s="27"/>
      <c r="H434" s="37"/>
      <c r="I434" s="36"/>
      <c r="K434" s="26"/>
      <c r="M434" s="26"/>
      <c r="N434" s="26"/>
      <c r="O434" s="26"/>
      <c r="P434" s="26"/>
      <c r="Q434" s="26"/>
      <c r="R434" s="26"/>
      <c r="S434" s="26"/>
      <c r="T434" s="26"/>
    </row>
    <row r="435">
      <c r="A435" s="35"/>
      <c r="B435" s="36"/>
      <c r="C435" s="26"/>
      <c r="D435" s="27"/>
      <c r="E435" s="27"/>
      <c r="F435" s="36"/>
      <c r="G435" s="27"/>
      <c r="H435" s="37"/>
      <c r="I435" s="36"/>
      <c r="K435" s="26"/>
      <c r="M435" s="26"/>
      <c r="N435" s="26"/>
      <c r="O435" s="26"/>
      <c r="P435" s="26"/>
      <c r="Q435" s="26"/>
      <c r="R435" s="26"/>
      <c r="S435" s="26"/>
      <c r="T435" s="26"/>
    </row>
    <row r="436">
      <c r="A436" s="35"/>
      <c r="B436" s="36"/>
      <c r="C436" s="26"/>
      <c r="D436" s="27"/>
      <c r="E436" s="27"/>
      <c r="F436" s="36"/>
      <c r="G436" s="27"/>
      <c r="H436" s="37"/>
      <c r="I436" s="36"/>
      <c r="K436" s="26"/>
      <c r="M436" s="26"/>
      <c r="N436" s="26"/>
      <c r="O436" s="26"/>
      <c r="P436" s="26"/>
      <c r="Q436" s="26"/>
      <c r="R436" s="26"/>
      <c r="S436" s="26"/>
      <c r="T436" s="26"/>
    </row>
    <row r="437">
      <c r="A437" s="35"/>
      <c r="B437" s="36"/>
      <c r="C437" s="26"/>
      <c r="D437" s="27"/>
      <c r="E437" s="27"/>
      <c r="F437" s="36"/>
      <c r="G437" s="27"/>
      <c r="H437" s="37"/>
      <c r="I437" s="36"/>
      <c r="K437" s="26"/>
      <c r="M437" s="26"/>
      <c r="N437" s="26"/>
      <c r="O437" s="26"/>
      <c r="P437" s="26"/>
      <c r="Q437" s="26"/>
      <c r="R437" s="26"/>
      <c r="S437" s="26"/>
      <c r="T437" s="26"/>
    </row>
    <row r="438">
      <c r="A438" s="35"/>
      <c r="B438" s="36"/>
      <c r="C438" s="26"/>
      <c r="D438" s="27"/>
      <c r="E438" s="27"/>
      <c r="F438" s="36"/>
      <c r="G438" s="27"/>
      <c r="H438" s="37"/>
      <c r="I438" s="36"/>
      <c r="K438" s="26"/>
      <c r="M438" s="26"/>
      <c r="N438" s="26"/>
      <c r="O438" s="26"/>
      <c r="P438" s="26"/>
      <c r="Q438" s="26"/>
      <c r="R438" s="26"/>
      <c r="S438" s="26"/>
      <c r="T438" s="26"/>
    </row>
    <row r="439">
      <c r="A439" s="35"/>
      <c r="B439" s="36"/>
      <c r="C439" s="26"/>
      <c r="D439" s="27"/>
      <c r="E439" s="27"/>
      <c r="F439" s="36"/>
      <c r="G439" s="27"/>
      <c r="H439" s="37"/>
      <c r="I439" s="36"/>
      <c r="K439" s="26"/>
      <c r="M439" s="26"/>
      <c r="N439" s="26"/>
      <c r="O439" s="26"/>
      <c r="P439" s="26"/>
      <c r="Q439" s="26"/>
      <c r="R439" s="26"/>
      <c r="S439" s="26"/>
      <c r="T439" s="26"/>
    </row>
    <row r="440">
      <c r="A440" s="35"/>
      <c r="B440" s="36"/>
      <c r="C440" s="26"/>
      <c r="D440" s="27"/>
      <c r="E440" s="27"/>
      <c r="F440" s="36"/>
      <c r="G440" s="27"/>
      <c r="H440" s="37"/>
      <c r="I440" s="36"/>
      <c r="K440" s="26"/>
      <c r="M440" s="26"/>
      <c r="N440" s="26"/>
      <c r="O440" s="26"/>
      <c r="P440" s="26"/>
      <c r="Q440" s="26"/>
      <c r="R440" s="26"/>
      <c r="S440" s="26"/>
      <c r="T440" s="26"/>
    </row>
    <row r="441">
      <c r="A441" s="35"/>
      <c r="B441" s="36"/>
      <c r="C441" s="26"/>
      <c r="D441" s="27"/>
      <c r="E441" s="27"/>
      <c r="F441" s="36"/>
      <c r="G441" s="27"/>
      <c r="H441" s="37"/>
      <c r="I441" s="36"/>
      <c r="K441" s="26"/>
      <c r="M441" s="26"/>
      <c r="N441" s="26"/>
      <c r="O441" s="26"/>
      <c r="P441" s="26"/>
      <c r="Q441" s="26"/>
      <c r="R441" s="26"/>
      <c r="S441" s="26"/>
      <c r="T441" s="26"/>
    </row>
    <row r="442">
      <c r="A442" s="35"/>
      <c r="B442" s="36"/>
      <c r="C442" s="26"/>
      <c r="D442" s="27"/>
      <c r="E442" s="27"/>
      <c r="F442" s="36"/>
      <c r="G442" s="27"/>
      <c r="H442" s="37"/>
      <c r="I442" s="36"/>
      <c r="K442" s="26"/>
      <c r="M442" s="26"/>
      <c r="N442" s="26"/>
      <c r="O442" s="26"/>
      <c r="P442" s="26"/>
      <c r="Q442" s="26"/>
      <c r="R442" s="26"/>
      <c r="S442" s="26"/>
      <c r="T442" s="26"/>
    </row>
    <row r="443">
      <c r="A443" s="35"/>
      <c r="B443" s="36"/>
      <c r="C443" s="26"/>
      <c r="D443" s="27"/>
      <c r="E443" s="27"/>
      <c r="F443" s="36"/>
      <c r="G443" s="27"/>
      <c r="H443" s="37"/>
      <c r="I443" s="36"/>
      <c r="K443" s="26"/>
      <c r="M443" s="26"/>
      <c r="N443" s="26"/>
      <c r="O443" s="26"/>
      <c r="P443" s="26"/>
      <c r="Q443" s="26"/>
      <c r="R443" s="26"/>
      <c r="S443" s="26"/>
      <c r="T443" s="26"/>
    </row>
    <row r="444">
      <c r="A444" s="35"/>
      <c r="B444" s="36"/>
      <c r="C444" s="26"/>
      <c r="D444" s="27"/>
      <c r="E444" s="27"/>
      <c r="F444" s="36"/>
      <c r="G444" s="27"/>
      <c r="H444" s="37"/>
      <c r="I444" s="36"/>
      <c r="K444" s="26"/>
      <c r="M444" s="26"/>
      <c r="N444" s="26"/>
      <c r="O444" s="26"/>
      <c r="P444" s="26"/>
      <c r="Q444" s="26"/>
      <c r="R444" s="26"/>
      <c r="S444" s="26"/>
      <c r="T444" s="26"/>
    </row>
    <row r="445">
      <c r="A445" s="35"/>
      <c r="B445" s="36"/>
      <c r="C445" s="26"/>
      <c r="D445" s="27"/>
      <c r="E445" s="27"/>
      <c r="F445" s="36"/>
      <c r="G445" s="27"/>
      <c r="H445" s="37"/>
      <c r="I445" s="36"/>
      <c r="K445" s="26"/>
      <c r="M445" s="26"/>
      <c r="N445" s="26"/>
      <c r="O445" s="26"/>
      <c r="P445" s="26"/>
      <c r="Q445" s="26"/>
      <c r="R445" s="26"/>
      <c r="S445" s="26"/>
      <c r="T445" s="26"/>
    </row>
    <row r="446">
      <c r="A446" s="35"/>
      <c r="B446" s="36"/>
      <c r="C446" s="26"/>
      <c r="D446" s="27"/>
      <c r="E446" s="27"/>
      <c r="F446" s="36"/>
      <c r="G446" s="27"/>
      <c r="H446" s="37"/>
      <c r="I446" s="36"/>
      <c r="K446" s="26"/>
      <c r="M446" s="26"/>
      <c r="N446" s="26"/>
      <c r="O446" s="26"/>
      <c r="P446" s="26"/>
      <c r="Q446" s="26"/>
      <c r="R446" s="26"/>
      <c r="S446" s="26"/>
      <c r="T446" s="26"/>
    </row>
    <row r="447">
      <c r="A447" s="35"/>
      <c r="B447" s="36"/>
      <c r="C447" s="26"/>
      <c r="D447" s="27"/>
      <c r="E447" s="27"/>
      <c r="F447" s="36"/>
      <c r="G447" s="27"/>
      <c r="H447" s="37"/>
      <c r="I447" s="36"/>
      <c r="K447" s="26"/>
      <c r="M447" s="26"/>
      <c r="N447" s="26"/>
      <c r="O447" s="26"/>
      <c r="P447" s="26"/>
      <c r="Q447" s="26"/>
      <c r="R447" s="26"/>
      <c r="S447" s="26"/>
      <c r="T447" s="26"/>
    </row>
    <row r="448">
      <c r="A448" s="35"/>
      <c r="B448" s="36"/>
      <c r="C448" s="26"/>
      <c r="D448" s="27"/>
      <c r="E448" s="27"/>
      <c r="F448" s="36"/>
      <c r="G448" s="27"/>
      <c r="H448" s="37"/>
      <c r="I448" s="36"/>
      <c r="K448" s="26"/>
      <c r="M448" s="26"/>
      <c r="N448" s="26"/>
      <c r="O448" s="26"/>
      <c r="P448" s="26"/>
      <c r="Q448" s="26"/>
      <c r="R448" s="26"/>
      <c r="S448" s="26"/>
      <c r="T448" s="26"/>
    </row>
    <row r="449">
      <c r="A449" s="35"/>
      <c r="B449" s="36"/>
      <c r="C449" s="26"/>
      <c r="D449" s="27"/>
      <c r="E449" s="27"/>
      <c r="F449" s="36"/>
      <c r="G449" s="27"/>
      <c r="H449" s="37"/>
      <c r="I449" s="36"/>
      <c r="K449" s="26"/>
      <c r="M449" s="26"/>
      <c r="N449" s="26"/>
      <c r="O449" s="26"/>
      <c r="P449" s="26"/>
      <c r="Q449" s="26"/>
      <c r="R449" s="26"/>
      <c r="S449" s="26"/>
      <c r="T449" s="26"/>
    </row>
    <row r="450">
      <c r="A450" s="35"/>
      <c r="B450" s="36"/>
      <c r="C450" s="26"/>
      <c r="D450" s="27"/>
      <c r="E450" s="27"/>
      <c r="F450" s="36"/>
      <c r="G450" s="27"/>
      <c r="H450" s="37"/>
      <c r="I450" s="36"/>
      <c r="K450" s="26"/>
      <c r="M450" s="26"/>
      <c r="N450" s="26"/>
      <c r="O450" s="26"/>
      <c r="P450" s="26"/>
      <c r="Q450" s="26"/>
      <c r="R450" s="26"/>
      <c r="S450" s="26"/>
      <c r="T450" s="26"/>
    </row>
    <row r="451">
      <c r="A451" s="35"/>
      <c r="B451" s="36"/>
      <c r="C451" s="26"/>
      <c r="D451" s="27"/>
      <c r="E451" s="27"/>
      <c r="F451" s="36"/>
      <c r="G451" s="27"/>
      <c r="H451" s="37"/>
      <c r="I451" s="36"/>
      <c r="K451" s="26"/>
      <c r="M451" s="26"/>
      <c r="N451" s="26"/>
      <c r="O451" s="26"/>
      <c r="P451" s="26"/>
      <c r="Q451" s="26"/>
      <c r="R451" s="26"/>
      <c r="S451" s="26"/>
      <c r="T451" s="26"/>
    </row>
    <row r="452">
      <c r="A452" s="35"/>
      <c r="B452" s="36"/>
      <c r="C452" s="26"/>
      <c r="D452" s="27"/>
      <c r="E452" s="27"/>
      <c r="F452" s="36"/>
      <c r="G452" s="27"/>
      <c r="H452" s="37"/>
      <c r="I452" s="36"/>
      <c r="K452" s="26"/>
      <c r="M452" s="26"/>
      <c r="N452" s="26"/>
      <c r="O452" s="26"/>
      <c r="P452" s="26"/>
      <c r="Q452" s="26"/>
      <c r="R452" s="26"/>
      <c r="S452" s="26"/>
      <c r="T452" s="26"/>
    </row>
    <row r="453">
      <c r="A453" s="35"/>
      <c r="B453" s="36"/>
      <c r="C453" s="26"/>
      <c r="D453" s="27"/>
      <c r="E453" s="27"/>
      <c r="F453" s="36"/>
      <c r="G453" s="27"/>
      <c r="H453" s="37"/>
      <c r="I453" s="36"/>
      <c r="K453" s="26"/>
      <c r="M453" s="26"/>
      <c r="N453" s="26"/>
      <c r="O453" s="26"/>
      <c r="P453" s="26"/>
      <c r="Q453" s="26"/>
      <c r="R453" s="26"/>
      <c r="S453" s="26"/>
      <c r="T453" s="26"/>
    </row>
    <row r="454">
      <c r="A454" s="35"/>
      <c r="B454" s="36"/>
      <c r="C454" s="26"/>
      <c r="D454" s="27"/>
      <c r="E454" s="27"/>
      <c r="F454" s="36"/>
      <c r="G454" s="27"/>
      <c r="H454" s="37"/>
      <c r="I454" s="36"/>
      <c r="K454" s="26"/>
      <c r="M454" s="26"/>
      <c r="N454" s="26"/>
      <c r="O454" s="26"/>
      <c r="P454" s="26"/>
      <c r="Q454" s="26"/>
      <c r="R454" s="26"/>
      <c r="S454" s="26"/>
      <c r="T454" s="26"/>
    </row>
    <row r="455">
      <c r="A455" s="35"/>
      <c r="B455" s="36"/>
      <c r="C455" s="26"/>
      <c r="D455" s="27"/>
      <c r="E455" s="27"/>
      <c r="F455" s="36"/>
      <c r="G455" s="27"/>
      <c r="H455" s="37"/>
      <c r="I455" s="36"/>
      <c r="K455" s="26"/>
      <c r="M455" s="26"/>
      <c r="N455" s="26"/>
      <c r="O455" s="26"/>
      <c r="P455" s="26"/>
      <c r="Q455" s="26"/>
      <c r="R455" s="26"/>
      <c r="S455" s="26"/>
      <c r="T455" s="26"/>
    </row>
    <row r="456">
      <c r="A456" s="35"/>
      <c r="B456" s="36"/>
      <c r="C456" s="26"/>
      <c r="D456" s="27"/>
      <c r="E456" s="27"/>
      <c r="F456" s="36"/>
      <c r="G456" s="27"/>
      <c r="H456" s="37"/>
      <c r="I456" s="36"/>
      <c r="K456" s="26"/>
      <c r="M456" s="26"/>
      <c r="N456" s="26"/>
      <c r="O456" s="26"/>
      <c r="P456" s="26"/>
      <c r="Q456" s="26"/>
      <c r="R456" s="26"/>
      <c r="S456" s="26"/>
      <c r="T456" s="26"/>
    </row>
    <row r="457">
      <c r="A457" s="35"/>
      <c r="B457" s="36"/>
      <c r="C457" s="26"/>
      <c r="D457" s="27"/>
      <c r="E457" s="27"/>
      <c r="F457" s="36"/>
      <c r="G457" s="27"/>
      <c r="H457" s="37"/>
      <c r="I457" s="36"/>
      <c r="K457" s="26"/>
      <c r="M457" s="26"/>
      <c r="N457" s="26"/>
      <c r="O457" s="26"/>
      <c r="P457" s="26"/>
      <c r="Q457" s="26"/>
      <c r="R457" s="26"/>
      <c r="S457" s="26"/>
      <c r="T457" s="26"/>
    </row>
    <row r="458">
      <c r="A458" s="35"/>
      <c r="B458" s="36"/>
      <c r="C458" s="26"/>
      <c r="D458" s="27"/>
      <c r="E458" s="27"/>
      <c r="F458" s="36"/>
      <c r="G458" s="27"/>
      <c r="H458" s="37"/>
      <c r="I458" s="36"/>
      <c r="K458" s="26"/>
      <c r="M458" s="26"/>
      <c r="N458" s="26"/>
      <c r="O458" s="26"/>
      <c r="P458" s="26"/>
      <c r="Q458" s="26"/>
      <c r="R458" s="26"/>
      <c r="S458" s="26"/>
      <c r="T458" s="26"/>
    </row>
    <row r="459">
      <c r="A459" s="35"/>
      <c r="B459" s="36"/>
      <c r="C459" s="26"/>
      <c r="D459" s="27"/>
      <c r="E459" s="27"/>
      <c r="F459" s="36"/>
      <c r="G459" s="27"/>
      <c r="H459" s="37"/>
      <c r="I459" s="36"/>
      <c r="K459" s="26"/>
      <c r="M459" s="26"/>
      <c r="N459" s="26"/>
      <c r="O459" s="26"/>
      <c r="P459" s="26"/>
      <c r="Q459" s="26"/>
      <c r="R459" s="26"/>
      <c r="S459" s="26"/>
      <c r="T459" s="26"/>
    </row>
    <row r="460">
      <c r="A460" s="35"/>
      <c r="B460" s="36"/>
      <c r="C460" s="26"/>
      <c r="D460" s="27"/>
      <c r="E460" s="27"/>
      <c r="F460" s="36"/>
      <c r="G460" s="27"/>
      <c r="H460" s="37"/>
      <c r="I460" s="36"/>
      <c r="K460" s="26"/>
      <c r="M460" s="26"/>
      <c r="N460" s="26"/>
      <c r="O460" s="26"/>
      <c r="P460" s="26"/>
      <c r="Q460" s="26"/>
      <c r="R460" s="26"/>
      <c r="S460" s="26"/>
      <c r="T460" s="26"/>
    </row>
    <row r="461">
      <c r="A461" s="35"/>
      <c r="B461" s="36"/>
      <c r="C461" s="26"/>
      <c r="D461" s="27"/>
      <c r="E461" s="27"/>
      <c r="F461" s="36"/>
      <c r="G461" s="27"/>
      <c r="H461" s="37"/>
      <c r="I461" s="36"/>
      <c r="K461" s="26"/>
      <c r="M461" s="26"/>
      <c r="N461" s="26"/>
      <c r="O461" s="26"/>
      <c r="P461" s="26"/>
      <c r="Q461" s="26"/>
      <c r="R461" s="26"/>
      <c r="S461" s="26"/>
      <c r="T461" s="26"/>
    </row>
    <row r="462">
      <c r="A462" s="35"/>
      <c r="B462" s="36"/>
      <c r="C462" s="26"/>
      <c r="D462" s="27"/>
      <c r="E462" s="27"/>
      <c r="F462" s="36"/>
      <c r="G462" s="27"/>
      <c r="H462" s="37"/>
      <c r="I462" s="36"/>
      <c r="K462" s="26"/>
      <c r="M462" s="26"/>
      <c r="N462" s="26"/>
      <c r="O462" s="26"/>
      <c r="P462" s="26"/>
      <c r="Q462" s="26"/>
      <c r="R462" s="26"/>
      <c r="S462" s="26"/>
      <c r="T462" s="26"/>
    </row>
    <row r="463">
      <c r="A463" s="35"/>
      <c r="B463" s="36"/>
      <c r="C463" s="26"/>
      <c r="D463" s="27"/>
      <c r="E463" s="27"/>
      <c r="F463" s="36"/>
      <c r="G463" s="27"/>
      <c r="H463" s="37"/>
      <c r="I463" s="36"/>
      <c r="K463" s="26"/>
      <c r="M463" s="26"/>
      <c r="N463" s="26"/>
      <c r="O463" s="26"/>
      <c r="P463" s="26"/>
      <c r="Q463" s="26"/>
      <c r="R463" s="26"/>
      <c r="S463" s="26"/>
      <c r="T463" s="26"/>
    </row>
    <row r="464">
      <c r="A464" s="35"/>
      <c r="B464" s="36"/>
      <c r="C464" s="26"/>
      <c r="D464" s="27"/>
      <c r="E464" s="27"/>
      <c r="F464" s="36"/>
      <c r="G464" s="27"/>
      <c r="H464" s="37"/>
      <c r="I464" s="36"/>
      <c r="K464" s="26"/>
      <c r="M464" s="26"/>
      <c r="N464" s="26"/>
      <c r="O464" s="26"/>
      <c r="P464" s="26"/>
      <c r="Q464" s="26"/>
      <c r="R464" s="26"/>
      <c r="S464" s="26"/>
      <c r="T464" s="26"/>
    </row>
    <row r="465">
      <c r="A465" s="35"/>
      <c r="B465" s="36"/>
      <c r="C465" s="26"/>
      <c r="D465" s="27"/>
      <c r="E465" s="27"/>
      <c r="F465" s="36"/>
      <c r="G465" s="27"/>
      <c r="H465" s="37"/>
      <c r="I465" s="36"/>
      <c r="K465" s="26"/>
      <c r="M465" s="26"/>
      <c r="N465" s="26"/>
      <c r="O465" s="26"/>
      <c r="P465" s="26"/>
      <c r="Q465" s="26"/>
      <c r="R465" s="26"/>
      <c r="S465" s="26"/>
      <c r="T465" s="26"/>
    </row>
    <row r="466">
      <c r="A466" s="35"/>
      <c r="B466" s="36"/>
      <c r="C466" s="26"/>
      <c r="D466" s="27"/>
      <c r="E466" s="27"/>
      <c r="F466" s="36"/>
      <c r="G466" s="27"/>
      <c r="H466" s="37"/>
      <c r="I466" s="36"/>
      <c r="K466" s="26"/>
      <c r="M466" s="26"/>
      <c r="N466" s="26"/>
      <c r="O466" s="26"/>
      <c r="P466" s="26"/>
      <c r="Q466" s="26"/>
      <c r="R466" s="26"/>
      <c r="S466" s="26"/>
      <c r="T466" s="26"/>
    </row>
    <row r="467">
      <c r="A467" s="35"/>
      <c r="B467" s="36"/>
      <c r="C467" s="26"/>
      <c r="D467" s="27"/>
      <c r="E467" s="27"/>
      <c r="F467" s="36"/>
      <c r="G467" s="27"/>
      <c r="H467" s="37"/>
      <c r="I467" s="36"/>
      <c r="K467" s="26"/>
      <c r="M467" s="26"/>
      <c r="N467" s="26"/>
      <c r="O467" s="26"/>
      <c r="P467" s="26"/>
      <c r="Q467" s="26"/>
      <c r="R467" s="26"/>
      <c r="S467" s="26"/>
      <c r="T467" s="26"/>
    </row>
    <row r="468">
      <c r="A468" s="35"/>
      <c r="B468" s="36"/>
      <c r="C468" s="26"/>
      <c r="D468" s="27"/>
      <c r="E468" s="27"/>
      <c r="F468" s="36"/>
      <c r="G468" s="27"/>
      <c r="H468" s="37"/>
      <c r="I468" s="36"/>
      <c r="K468" s="26"/>
      <c r="M468" s="26"/>
      <c r="N468" s="26"/>
      <c r="O468" s="26"/>
      <c r="P468" s="26"/>
      <c r="Q468" s="26"/>
      <c r="R468" s="26"/>
      <c r="S468" s="26"/>
      <c r="T468" s="26"/>
    </row>
    <row r="469">
      <c r="A469" s="35"/>
      <c r="B469" s="36"/>
      <c r="C469" s="26"/>
      <c r="D469" s="27"/>
      <c r="E469" s="27"/>
      <c r="F469" s="36"/>
      <c r="G469" s="27"/>
      <c r="H469" s="37"/>
      <c r="I469" s="36"/>
      <c r="K469" s="26"/>
      <c r="M469" s="26"/>
      <c r="N469" s="26"/>
      <c r="O469" s="26"/>
      <c r="P469" s="26"/>
      <c r="Q469" s="26"/>
      <c r="R469" s="26"/>
      <c r="S469" s="26"/>
      <c r="T469" s="26"/>
    </row>
    <row r="470">
      <c r="A470" s="35"/>
      <c r="B470" s="36"/>
      <c r="C470" s="26"/>
      <c r="D470" s="27"/>
      <c r="E470" s="27"/>
      <c r="F470" s="36"/>
      <c r="G470" s="27"/>
      <c r="H470" s="37"/>
      <c r="I470" s="36"/>
      <c r="K470" s="26"/>
      <c r="M470" s="26"/>
      <c r="N470" s="26"/>
      <c r="O470" s="26"/>
      <c r="P470" s="26"/>
      <c r="Q470" s="26"/>
      <c r="R470" s="26"/>
      <c r="S470" s="26"/>
      <c r="T470" s="26"/>
    </row>
    <row r="471">
      <c r="A471" s="35"/>
      <c r="B471" s="36"/>
      <c r="C471" s="26"/>
      <c r="D471" s="27"/>
      <c r="E471" s="27"/>
      <c r="F471" s="36"/>
      <c r="G471" s="27"/>
      <c r="H471" s="37"/>
      <c r="I471" s="36"/>
      <c r="K471" s="26"/>
      <c r="M471" s="26"/>
      <c r="N471" s="26"/>
      <c r="O471" s="26"/>
      <c r="P471" s="26"/>
      <c r="Q471" s="26"/>
      <c r="R471" s="26"/>
      <c r="S471" s="26"/>
      <c r="T471" s="26"/>
    </row>
    <row r="472">
      <c r="A472" s="35"/>
      <c r="B472" s="36"/>
      <c r="C472" s="26"/>
      <c r="D472" s="27"/>
      <c r="E472" s="27"/>
      <c r="F472" s="36"/>
      <c r="G472" s="27"/>
      <c r="H472" s="37"/>
      <c r="I472" s="36"/>
      <c r="K472" s="26"/>
      <c r="M472" s="26"/>
      <c r="N472" s="26"/>
      <c r="O472" s="26"/>
      <c r="P472" s="26"/>
      <c r="Q472" s="26"/>
      <c r="R472" s="26"/>
      <c r="S472" s="26"/>
      <c r="T472" s="26"/>
    </row>
    <row r="473">
      <c r="A473" s="35"/>
      <c r="B473" s="36"/>
      <c r="C473" s="26"/>
      <c r="D473" s="27"/>
      <c r="E473" s="27"/>
      <c r="F473" s="36"/>
      <c r="G473" s="27"/>
      <c r="H473" s="37"/>
      <c r="I473" s="36"/>
      <c r="K473" s="26"/>
      <c r="M473" s="26"/>
      <c r="N473" s="26"/>
      <c r="O473" s="26"/>
      <c r="P473" s="26"/>
      <c r="Q473" s="26"/>
      <c r="R473" s="26"/>
      <c r="S473" s="26"/>
      <c r="T473" s="26"/>
    </row>
    <row r="474">
      <c r="A474" s="35"/>
      <c r="B474" s="36"/>
      <c r="C474" s="26"/>
      <c r="D474" s="27"/>
      <c r="E474" s="27"/>
      <c r="F474" s="36"/>
      <c r="G474" s="27"/>
      <c r="H474" s="37"/>
      <c r="I474" s="36"/>
      <c r="K474" s="26"/>
      <c r="M474" s="26"/>
      <c r="N474" s="26"/>
      <c r="O474" s="26"/>
      <c r="P474" s="26"/>
      <c r="Q474" s="26"/>
      <c r="R474" s="26"/>
      <c r="S474" s="26"/>
      <c r="T474" s="26"/>
    </row>
    <row r="475">
      <c r="A475" s="35"/>
      <c r="B475" s="36"/>
      <c r="C475" s="26"/>
      <c r="D475" s="27"/>
      <c r="E475" s="27"/>
      <c r="F475" s="36"/>
      <c r="G475" s="27"/>
      <c r="H475" s="37"/>
      <c r="I475" s="36"/>
      <c r="K475" s="26"/>
      <c r="M475" s="26"/>
      <c r="N475" s="26"/>
      <c r="O475" s="26"/>
      <c r="P475" s="26"/>
      <c r="Q475" s="26"/>
      <c r="R475" s="26"/>
      <c r="S475" s="26"/>
      <c r="T475" s="26"/>
    </row>
    <row r="476">
      <c r="A476" s="35"/>
      <c r="B476" s="36"/>
      <c r="C476" s="26"/>
      <c r="D476" s="27"/>
      <c r="E476" s="27"/>
      <c r="F476" s="36"/>
      <c r="G476" s="27"/>
      <c r="H476" s="37"/>
      <c r="I476" s="36"/>
      <c r="K476" s="26"/>
      <c r="M476" s="26"/>
      <c r="N476" s="26"/>
      <c r="O476" s="26"/>
      <c r="P476" s="26"/>
      <c r="Q476" s="26"/>
      <c r="R476" s="26"/>
      <c r="S476" s="26"/>
      <c r="T476" s="26"/>
    </row>
    <row r="477">
      <c r="A477" s="35"/>
      <c r="B477" s="36"/>
      <c r="C477" s="26"/>
      <c r="D477" s="27"/>
      <c r="E477" s="27"/>
      <c r="F477" s="36"/>
      <c r="G477" s="27"/>
      <c r="H477" s="37"/>
      <c r="I477" s="36"/>
      <c r="K477" s="26"/>
      <c r="M477" s="26"/>
      <c r="N477" s="26"/>
      <c r="O477" s="26"/>
      <c r="P477" s="26"/>
      <c r="Q477" s="26"/>
      <c r="R477" s="26"/>
      <c r="S477" s="26"/>
      <c r="T477" s="26"/>
    </row>
    <row r="478">
      <c r="A478" s="35"/>
      <c r="B478" s="36"/>
      <c r="C478" s="26"/>
      <c r="D478" s="27"/>
      <c r="E478" s="27"/>
      <c r="F478" s="36"/>
      <c r="G478" s="27"/>
      <c r="H478" s="37"/>
      <c r="I478" s="36"/>
      <c r="K478" s="26"/>
      <c r="M478" s="26"/>
      <c r="N478" s="26"/>
      <c r="O478" s="26"/>
      <c r="P478" s="26"/>
      <c r="Q478" s="26"/>
      <c r="R478" s="26"/>
      <c r="S478" s="26"/>
      <c r="T478" s="26"/>
    </row>
    <row r="479">
      <c r="A479" s="35"/>
      <c r="B479" s="36"/>
      <c r="C479" s="26"/>
      <c r="D479" s="27"/>
      <c r="E479" s="27"/>
      <c r="F479" s="36"/>
      <c r="G479" s="27"/>
      <c r="H479" s="37"/>
      <c r="I479" s="36"/>
      <c r="K479" s="26"/>
      <c r="M479" s="26"/>
      <c r="N479" s="26"/>
      <c r="O479" s="26"/>
      <c r="P479" s="26"/>
      <c r="Q479" s="26"/>
      <c r="R479" s="26"/>
      <c r="S479" s="26"/>
      <c r="T479" s="26"/>
    </row>
    <row r="480">
      <c r="A480" s="35"/>
      <c r="B480" s="36"/>
      <c r="C480" s="26"/>
      <c r="D480" s="27"/>
      <c r="E480" s="27"/>
      <c r="F480" s="36"/>
      <c r="G480" s="27"/>
      <c r="H480" s="37"/>
      <c r="I480" s="36"/>
      <c r="K480" s="26"/>
      <c r="M480" s="26"/>
      <c r="N480" s="26"/>
      <c r="O480" s="26"/>
      <c r="P480" s="26"/>
      <c r="Q480" s="26"/>
      <c r="R480" s="26"/>
      <c r="S480" s="26"/>
      <c r="T480" s="26"/>
    </row>
    <row r="481">
      <c r="A481" s="35"/>
      <c r="B481" s="36"/>
      <c r="C481" s="26"/>
      <c r="D481" s="27"/>
      <c r="E481" s="27"/>
      <c r="F481" s="36"/>
      <c r="G481" s="27"/>
      <c r="H481" s="37"/>
      <c r="I481" s="36"/>
      <c r="K481" s="26"/>
      <c r="M481" s="26"/>
      <c r="N481" s="26"/>
      <c r="O481" s="26"/>
      <c r="P481" s="26"/>
      <c r="Q481" s="26"/>
      <c r="R481" s="26"/>
      <c r="S481" s="26"/>
      <c r="T481" s="26"/>
    </row>
    <row r="482">
      <c r="A482" s="35"/>
      <c r="B482" s="36"/>
      <c r="C482" s="26"/>
      <c r="D482" s="27"/>
      <c r="E482" s="27"/>
      <c r="F482" s="36"/>
      <c r="G482" s="27"/>
      <c r="H482" s="37"/>
      <c r="I482" s="36"/>
      <c r="K482" s="26"/>
      <c r="M482" s="26"/>
      <c r="N482" s="26"/>
      <c r="O482" s="26"/>
      <c r="P482" s="26"/>
      <c r="Q482" s="26"/>
      <c r="R482" s="26"/>
      <c r="S482" s="26"/>
      <c r="T482" s="26"/>
    </row>
    <row r="483">
      <c r="A483" s="35"/>
      <c r="B483" s="36"/>
      <c r="C483" s="26"/>
      <c r="D483" s="27"/>
      <c r="E483" s="27"/>
      <c r="F483" s="36"/>
      <c r="G483" s="27"/>
      <c r="H483" s="37"/>
      <c r="I483" s="36"/>
      <c r="K483" s="26"/>
      <c r="M483" s="26"/>
      <c r="N483" s="26"/>
      <c r="O483" s="26"/>
      <c r="P483" s="26"/>
      <c r="Q483" s="26"/>
      <c r="R483" s="26"/>
      <c r="S483" s="26"/>
      <c r="T483" s="26"/>
    </row>
    <row r="484">
      <c r="A484" s="35"/>
      <c r="B484" s="36"/>
      <c r="C484" s="26"/>
      <c r="D484" s="27"/>
      <c r="E484" s="27"/>
      <c r="F484" s="36"/>
      <c r="G484" s="27"/>
      <c r="H484" s="37"/>
      <c r="I484" s="36"/>
      <c r="K484" s="26"/>
      <c r="M484" s="26"/>
      <c r="N484" s="26"/>
      <c r="O484" s="26"/>
      <c r="P484" s="26"/>
      <c r="Q484" s="26"/>
      <c r="R484" s="26"/>
      <c r="S484" s="26"/>
      <c r="T484" s="26"/>
    </row>
    <row r="485">
      <c r="A485" s="35"/>
      <c r="B485" s="36"/>
      <c r="C485" s="26"/>
      <c r="D485" s="27"/>
      <c r="E485" s="27"/>
      <c r="F485" s="36"/>
      <c r="G485" s="27"/>
      <c r="H485" s="37"/>
      <c r="I485" s="36"/>
      <c r="K485" s="26"/>
      <c r="M485" s="26"/>
      <c r="N485" s="26"/>
      <c r="O485" s="26"/>
      <c r="P485" s="26"/>
      <c r="Q485" s="26"/>
      <c r="R485" s="26"/>
      <c r="S485" s="26"/>
      <c r="T485" s="26"/>
    </row>
    <row r="486">
      <c r="A486" s="35"/>
      <c r="B486" s="36"/>
      <c r="C486" s="26"/>
      <c r="D486" s="27"/>
      <c r="E486" s="27"/>
      <c r="F486" s="36"/>
      <c r="G486" s="27"/>
      <c r="H486" s="37"/>
      <c r="I486" s="36"/>
      <c r="K486" s="26"/>
      <c r="M486" s="26"/>
      <c r="N486" s="26"/>
      <c r="O486" s="26"/>
      <c r="P486" s="26"/>
      <c r="Q486" s="26"/>
      <c r="R486" s="26"/>
      <c r="S486" s="26"/>
      <c r="T486" s="26"/>
    </row>
    <row r="487">
      <c r="A487" s="35"/>
      <c r="B487" s="36"/>
      <c r="C487" s="26"/>
      <c r="D487" s="27"/>
      <c r="E487" s="27"/>
      <c r="F487" s="36"/>
      <c r="G487" s="27"/>
      <c r="H487" s="37"/>
      <c r="I487" s="36"/>
      <c r="K487" s="26"/>
      <c r="M487" s="26"/>
      <c r="N487" s="26"/>
      <c r="O487" s="26"/>
      <c r="P487" s="26"/>
      <c r="Q487" s="26"/>
      <c r="R487" s="26"/>
      <c r="S487" s="26"/>
      <c r="T487" s="26"/>
    </row>
    <row r="488">
      <c r="A488" s="35"/>
      <c r="B488" s="36"/>
      <c r="C488" s="26"/>
      <c r="D488" s="27"/>
      <c r="E488" s="27"/>
      <c r="F488" s="36"/>
      <c r="G488" s="27"/>
      <c r="H488" s="37"/>
      <c r="I488" s="36"/>
      <c r="K488" s="26"/>
      <c r="M488" s="26"/>
      <c r="N488" s="26"/>
      <c r="O488" s="26"/>
      <c r="P488" s="26"/>
      <c r="Q488" s="26"/>
      <c r="R488" s="26"/>
      <c r="S488" s="26"/>
      <c r="T488" s="26"/>
    </row>
    <row r="489">
      <c r="A489" s="35"/>
      <c r="B489" s="36"/>
      <c r="C489" s="26"/>
      <c r="D489" s="27"/>
      <c r="E489" s="27"/>
      <c r="F489" s="36"/>
      <c r="G489" s="27"/>
      <c r="H489" s="37"/>
      <c r="I489" s="36"/>
      <c r="K489" s="26"/>
      <c r="M489" s="26"/>
      <c r="N489" s="26"/>
      <c r="O489" s="26"/>
      <c r="P489" s="26"/>
      <c r="Q489" s="26"/>
      <c r="R489" s="26"/>
      <c r="S489" s="26"/>
      <c r="T489" s="26"/>
    </row>
    <row r="490">
      <c r="A490" s="35"/>
      <c r="B490" s="36"/>
      <c r="C490" s="26"/>
      <c r="D490" s="27"/>
      <c r="E490" s="27"/>
      <c r="F490" s="36"/>
      <c r="G490" s="27"/>
      <c r="H490" s="37"/>
      <c r="I490" s="36"/>
      <c r="K490" s="26"/>
      <c r="M490" s="26"/>
      <c r="N490" s="26"/>
      <c r="O490" s="26"/>
      <c r="P490" s="26"/>
      <c r="Q490" s="26"/>
      <c r="R490" s="26"/>
      <c r="S490" s="26"/>
      <c r="T490" s="26"/>
    </row>
    <row r="491">
      <c r="A491" s="35"/>
      <c r="B491" s="36"/>
      <c r="C491" s="26"/>
      <c r="D491" s="27"/>
      <c r="E491" s="27"/>
      <c r="F491" s="36"/>
      <c r="G491" s="27"/>
      <c r="H491" s="37"/>
      <c r="I491" s="36"/>
      <c r="K491" s="26"/>
      <c r="M491" s="26"/>
      <c r="N491" s="26"/>
      <c r="O491" s="26"/>
      <c r="P491" s="26"/>
      <c r="Q491" s="26"/>
      <c r="R491" s="26"/>
      <c r="S491" s="26"/>
      <c r="T491" s="26"/>
    </row>
    <row r="492">
      <c r="A492" s="35"/>
      <c r="B492" s="36"/>
      <c r="C492" s="26"/>
      <c r="D492" s="27"/>
      <c r="E492" s="27"/>
      <c r="F492" s="36"/>
      <c r="G492" s="27"/>
      <c r="H492" s="37"/>
      <c r="I492" s="36"/>
      <c r="K492" s="26"/>
      <c r="M492" s="26"/>
      <c r="N492" s="26"/>
      <c r="O492" s="26"/>
      <c r="P492" s="26"/>
      <c r="Q492" s="26"/>
      <c r="R492" s="26"/>
      <c r="S492" s="26"/>
      <c r="T492" s="26"/>
    </row>
    <row r="493">
      <c r="A493" s="35"/>
      <c r="B493" s="36"/>
      <c r="C493" s="26"/>
      <c r="D493" s="27"/>
      <c r="E493" s="27"/>
      <c r="F493" s="36"/>
      <c r="G493" s="27"/>
      <c r="H493" s="37"/>
      <c r="I493" s="36"/>
      <c r="K493" s="26"/>
      <c r="M493" s="26"/>
      <c r="N493" s="26"/>
      <c r="O493" s="26"/>
      <c r="P493" s="26"/>
      <c r="Q493" s="26"/>
      <c r="R493" s="26"/>
      <c r="S493" s="26"/>
      <c r="T493" s="26"/>
    </row>
    <row r="494">
      <c r="A494" s="35"/>
      <c r="B494" s="36"/>
      <c r="C494" s="26"/>
      <c r="D494" s="27"/>
      <c r="E494" s="27"/>
      <c r="F494" s="36"/>
      <c r="G494" s="27"/>
      <c r="H494" s="37"/>
      <c r="I494" s="36"/>
      <c r="K494" s="26"/>
      <c r="M494" s="26"/>
      <c r="N494" s="26"/>
      <c r="O494" s="26"/>
      <c r="P494" s="26"/>
      <c r="Q494" s="26"/>
      <c r="R494" s="26"/>
      <c r="S494" s="26"/>
      <c r="T494" s="26"/>
    </row>
    <row r="495">
      <c r="A495" s="35"/>
      <c r="B495" s="36"/>
      <c r="C495" s="26"/>
      <c r="D495" s="27"/>
      <c r="E495" s="27"/>
      <c r="F495" s="36"/>
      <c r="G495" s="27"/>
      <c r="H495" s="37"/>
      <c r="I495" s="36"/>
      <c r="K495" s="26"/>
      <c r="M495" s="26"/>
      <c r="N495" s="26"/>
      <c r="O495" s="26"/>
      <c r="P495" s="26"/>
      <c r="Q495" s="26"/>
      <c r="R495" s="26"/>
      <c r="S495" s="26"/>
      <c r="T495" s="26"/>
    </row>
    <row r="496">
      <c r="A496" s="35"/>
      <c r="B496" s="36"/>
      <c r="C496" s="26"/>
      <c r="D496" s="27"/>
      <c r="E496" s="27"/>
      <c r="F496" s="36"/>
      <c r="G496" s="27"/>
      <c r="H496" s="37"/>
      <c r="I496" s="36"/>
      <c r="K496" s="26"/>
      <c r="M496" s="26"/>
      <c r="N496" s="26"/>
      <c r="O496" s="26"/>
      <c r="P496" s="26"/>
      <c r="Q496" s="26"/>
      <c r="R496" s="26"/>
      <c r="S496" s="26"/>
      <c r="T496" s="26"/>
    </row>
    <row r="497">
      <c r="A497" s="35"/>
      <c r="B497" s="36"/>
      <c r="C497" s="26"/>
      <c r="D497" s="27"/>
      <c r="E497" s="27"/>
      <c r="F497" s="36"/>
      <c r="G497" s="27"/>
      <c r="H497" s="37"/>
      <c r="I497" s="36"/>
      <c r="K497" s="26"/>
      <c r="M497" s="26"/>
      <c r="N497" s="26"/>
      <c r="O497" s="26"/>
      <c r="P497" s="26"/>
      <c r="Q497" s="26"/>
      <c r="R497" s="26"/>
      <c r="S497" s="26"/>
      <c r="T497" s="26"/>
    </row>
    <row r="498">
      <c r="A498" s="35"/>
      <c r="B498" s="36"/>
      <c r="C498" s="26"/>
      <c r="D498" s="27"/>
      <c r="E498" s="27"/>
      <c r="F498" s="36"/>
      <c r="G498" s="27"/>
      <c r="H498" s="37"/>
      <c r="I498" s="36"/>
      <c r="K498" s="26"/>
      <c r="M498" s="26"/>
      <c r="N498" s="26"/>
      <c r="O498" s="26"/>
      <c r="P498" s="26"/>
      <c r="Q498" s="26"/>
      <c r="R498" s="26"/>
      <c r="S498" s="26"/>
      <c r="T498" s="26"/>
    </row>
    <row r="499">
      <c r="A499" s="35"/>
      <c r="B499" s="36"/>
      <c r="C499" s="26"/>
      <c r="D499" s="27"/>
      <c r="E499" s="27"/>
      <c r="F499" s="36"/>
      <c r="G499" s="27"/>
      <c r="H499" s="37"/>
      <c r="I499" s="36"/>
      <c r="K499" s="26"/>
      <c r="M499" s="26"/>
      <c r="N499" s="26"/>
      <c r="O499" s="26"/>
      <c r="P499" s="26"/>
      <c r="Q499" s="26"/>
      <c r="R499" s="26"/>
      <c r="S499" s="26"/>
      <c r="T499" s="26"/>
    </row>
    <row r="500">
      <c r="A500" s="35"/>
      <c r="B500" s="36"/>
      <c r="C500" s="26"/>
      <c r="D500" s="27"/>
      <c r="E500" s="27"/>
      <c r="F500" s="36"/>
      <c r="G500" s="27"/>
      <c r="H500" s="37"/>
      <c r="I500" s="36"/>
      <c r="K500" s="26"/>
      <c r="M500" s="26"/>
      <c r="N500" s="26"/>
      <c r="O500" s="26"/>
      <c r="P500" s="26"/>
      <c r="Q500" s="26"/>
      <c r="R500" s="26"/>
      <c r="S500" s="26"/>
      <c r="T500" s="26"/>
    </row>
    <row r="501">
      <c r="A501" s="35"/>
      <c r="B501" s="36"/>
      <c r="C501" s="26"/>
      <c r="D501" s="27"/>
      <c r="E501" s="27"/>
      <c r="F501" s="36"/>
      <c r="G501" s="27"/>
      <c r="H501" s="37"/>
      <c r="I501" s="36"/>
      <c r="K501" s="26"/>
      <c r="M501" s="26"/>
      <c r="N501" s="26"/>
      <c r="O501" s="26"/>
      <c r="P501" s="26"/>
      <c r="Q501" s="26"/>
      <c r="R501" s="26"/>
      <c r="S501" s="26"/>
      <c r="T501" s="26"/>
    </row>
    <row r="502">
      <c r="A502" s="35"/>
      <c r="B502" s="36"/>
      <c r="C502" s="26"/>
      <c r="D502" s="27"/>
      <c r="E502" s="27"/>
      <c r="F502" s="36"/>
      <c r="G502" s="27"/>
      <c r="H502" s="37"/>
      <c r="I502" s="36"/>
      <c r="K502" s="26"/>
      <c r="M502" s="26"/>
      <c r="N502" s="26"/>
      <c r="O502" s="26"/>
      <c r="P502" s="26"/>
      <c r="Q502" s="26"/>
      <c r="R502" s="26"/>
      <c r="S502" s="26"/>
      <c r="T502" s="26"/>
    </row>
    <row r="503">
      <c r="A503" s="35"/>
      <c r="B503" s="36"/>
      <c r="C503" s="26"/>
      <c r="D503" s="27"/>
      <c r="E503" s="27"/>
      <c r="F503" s="36"/>
      <c r="G503" s="27"/>
      <c r="H503" s="37"/>
      <c r="I503" s="36"/>
      <c r="K503" s="26"/>
      <c r="M503" s="26"/>
      <c r="N503" s="26"/>
      <c r="O503" s="26"/>
      <c r="P503" s="26"/>
      <c r="Q503" s="26"/>
      <c r="R503" s="26"/>
      <c r="S503" s="26"/>
      <c r="T503" s="26"/>
    </row>
    <row r="504">
      <c r="A504" s="35"/>
      <c r="B504" s="36"/>
      <c r="C504" s="26"/>
      <c r="D504" s="27"/>
      <c r="E504" s="27"/>
      <c r="F504" s="36"/>
      <c r="G504" s="27"/>
      <c r="H504" s="37"/>
      <c r="I504" s="36"/>
      <c r="K504" s="26"/>
      <c r="M504" s="26"/>
      <c r="N504" s="26"/>
      <c r="O504" s="26"/>
      <c r="P504" s="26"/>
      <c r="Q504" s="26"/>
      <c r="R504" s="26"/>
      <c r="S504" s="26"/>
      <c r="T504" s="26"/>
    </row>
    <row r="505">
      <c r="A505" s="35"/>
      <c r="B505" s="36"/>
      <c r="C505" s="26"/>
      <c r="D505" s="27"/>
      <c r="E505" s="27"/>
      <c r="F505" s="36"/>
      <c r="G505" s="27"/>
      <c r="H505" s="37"/>
      <c r="I505" s="36"/>
      <c r="K505" s="26"/>
      <c r="M505" s="26"/>
      <c r="N505" s="26"/>
      <c r="O505" s="26"/>
      <c r="P505" s="26"/>
      <c r="Q505" s="26"/>
      <c r="R505" s="26"/>
      <c r="S505" s="26"/>
      <c r="T505" s="26"/>
    </row>
    <row r="506">
      <c r="A506" s="35"/>
      <c r="B506" s="36"/>
      <c r="C506" s="26"/>
      <c r="D506" s="27"/>
      <c r="E506" s="27"/>
      <c r="F506" s="36"/>
      <c r="G506" s="27"/>
      <c r="H506" s="37"/>
      <c r="I506" s="36"/>
      <c r="K506" s="26"/>
      <c r="M506" s="26"/>
      <c r="N506" s="26"/>
      <c r="O506" s="26"/>
      <c r="P506" s="26"/>
      <c r="Q506" s="26"/>
      <c r="R506" s="26"/>
      <c r="S506" s="26"/>
      <c r="T506" s="26"/>
    </row>
    <row r="507">
      <c r="A507" s="35"/>
      <c r="B507" s="36"/>
      <c r="C507" s="26"/>
      <c r="D507" s="27"/>
      <c r="E507" s="27"/>
      <c r="F507" s="36"/>
      <c r="G507" s="27"/>
      <c r="H507" s="37"/>
      <c r="I507" s="36"/>
      <c r="K507" s="26"/>
      <c r="M507" s="26"/>
      <c r="N507" s="26"/>
      <c r="O507" s="26"/>
      <c r="P507" s="26"/>
      <c r="Q507" s="26"/>
      <c r="R507" s="26"/>
      <c r="S507" s="26"/>
      <c r="T507" s="26"/>
    </row>
    <row r="508">
      <c r="A508" s="35"/>
      <c r="B508" s="36"/>
      <c r="C508" s="26"/>
      <c r="D508" s="27"/>
      <c r="E508" s="27"/>
      <c r="F508" s="36"/>
      <c r="G508" s="27"/>
      <c r="H508" s="37"/>
      <c r="I508" s="36"/>
      <c r="K508" s="26"/>
      <c r="M508" s="26"/>
      <c r="N508" s="26"/>
      <c r="O508" s="26"/>
      <c r="P508" s="26"/>
      <c r="Q508" s="26"/>
      <c r="R508" s="26"/>
      <c r="S508" s="26"/>
      <c r="T508" s="26"/>
    </row>
    <row r="509">
      <c r="A509" s="35"/>
      <c r="B509" s="36"/>
      <c r="C509" s="26"/>
      <c r="D509" s="27"/>
      <c r="E509" s="27"/>
      <c r="F509" s="36"/>
      <c r="G509" s="27"/>
      <c r="H509" s="37"/>
      <c r="I509" s="36"/>
      <c r="K509" s="26"/>
      <c r="M509" s="26"/>
      <c r="N509" s="26"/>
      <c r="O509" s="26"/>
      <c r="P509" s="26"/>
      <c r="Q509" s="26"/>
      <c r="R509" s="26"/>
      <c r="S509" s="26"/>
      <c r="T509" s="26"/>
    </row>
    <row r="510">
      <c r="A510" s="35"/>
      <c r="B510" s="36"/>
      <c r="C510" s="26"/>
      <c r="D510" s="27"/>
      <c r="E510" s="27"/>
      <c r="F510" s="36"/>
      <c r="G510" s="27"/>
      <c r="H510" s="37"/>
      <c r="I510" s="36"/>
      <c r="K510" s="26"/>
      <c r="M510" s="26"/>
      <c r="N510" s="26"/>
      <c r="O510" s="26"/>
      <c r="P510" s="26"/>
      <c r="Q510" s="26"/>
      <c r="R510" s="26"/>
      <c r="S510" s="26"/>
      <c r="T510" s="26"/>
    </row>
    <row r="511">
      <c r="A511" s="35"/>
      <c r="B511" s="36"/>
      <c r="C511" s="26"/>
      <c r="D511" s="27"/>
      <c r="E511" s="27"/>
      <c r="F511" s="36"/>
      <c r="G511" s="27"/>
      <c r="H511" s="37"/>
      <c r="I511" s="36"/>
      <c r="K511" s="26"/>
      <c r="M511" s="26"/>
      <c r="N511" s="26"/>
      <c r="O511" s="26"/>
      <c r="P511" s="26"/>
      <c r="Q511" s="26"/>
      <c r="R511" s="26"/>
      <c r="S511" s="26"/>
      <c r="T511" s="26"/>
    </row>
    <row r="512">
      <c r="A512" s="35"/>
      <c r="B512" s="36"/>
      <c r="C512" s="26"/>
      <c r="D512" s="27"/>
      <c r="E512" s="27"/>
      <c r="F512" s="36"/>
      <c r="G512" s="27"/>
      <c r="H512" s="37"/>
      <c r="I512" s="36"/>
      <c r="K512" s="26"/>
      <c r="M512" s="26"/>
      <c r="N512" s="26"/>
      <c r="O512" s="26"/>
      <c r="P512" s="26"/>
      <c r="Q512" s="26"/>
      <c r="R512" s="26"/>
      <c r="S512" s="26"/>
      <c r="T512" s="26"/>
    </row>
    <row r="513">
      <c r="A513" s="35"/>
      <c r="B513" s="36"/>
      <c r="C513" s="26"/>
      <c r="D513" s="27"/>
      <c r="E513" s="27"/>
      <c r="F513" s="36"/>
      <c r="G513" s="27"/>
      <c r="H513" s="37"/>
      <c r="I513" s="36"/>
      <c r="K513" s="26"/>
      <c r="M513" s="26"/>
      <c r="N513" s="26"/>
      <c r="O513" s="26"/>
      <c r="P513" s="26"/>
      <c r="Q513" s="26"/>
      <c r="R513" s="26"/>
      <c r="S513" s="26"/>
      <c r="T513" s="26"/>
    </row>
    <row r="514">
      <c r="A514" s="35"/>
      <c r="B514" s="36"/>
      <c r="C514" s="26"/>
      <c r="D514" s="27"/>
      <c r="E514" s="27"/>
      <c r="F514" s="36"/>
      <c r="G514" s="27"/>
      <c r="H514" s="37"/>
      <c r="I514" s="36"/>
      <c r="K514" s="26"/>
      <c r="M514" s="26"/>
      <c r="N514" s="26"/>
      <c r="O514" s="26"/>
      <c r="P514" s="26"/>
      <c r="Q514" s="26"/>
      <c r="R514" s="26"/>
      <c r="S514" s="26"/>
      <c r="T514" s="26"/>
    </row>
    <row r="515">
      <c r="A515" s="35"/>
      <c r="B515" s="36"/>
      <c r="C515" s="26"/>
      <c r="D515" s="27"/>
      <c r="E515" s="27"/>
      <c r="F515" s="36"/>
      <c r="G515" s="27"/>
      <c r="H515" s="37"/>
      <c r="I515" s="36"/>
      <c r="K515" s="26"/>
      <c r="M515" s="26"/>
      <c r="N515" s="26"/>
      <c r="O515" s="26"/>
      <c r="P515" s="26"/>
      <c r="Q515" s="26"/>
      <c r="R515" s="26"/>
      <c r="S515" s="26"/>
      <c r="T515" s="26"/>
    </row>
    <row r="516">
      <c r="A516" s="35"/>
      <c r="B516" s="36"/>
      <c r="C516" s="26"/>
      <c r="D516" s="27"/>
      <c r="E516" s="27"/>
      <c r="F516" s="36"/>
      <c r="G516" s="27"/>
      <c r="H516" s="37"/>
      <c r="I516" s="36"/>
      <c r="K516" s="26"/>
      <c r="M516" s="26"/>
      <c r="N516" s="26"/>
      <c r="O516" s="26"/>
      <c r="P516" s="26"/>
      <c r="Q516" s="26"/>
      <c r="R516" s="26"/>
      <c r="S516" s="26"/>
      <c r="T516" s="26"/>
    </row>
    <row r="517">
      <c r="A517" s="35"/>
      <c r="B517" s="36"/>
      <c r="C517" s="26"/>
      <c r="D517" s="27"/>
      <c r="E517" s="27"/>
      <c r="F517" s="36"/>
      <c r="G517" s="27"/>
      <c r="H517" s="37"/>
      <c r="I517" s="36"/>
      <c r="K517" s="26"/>
      <c r="M517" s="26"/>
      <c r="N517" s="26"/>
      <c r="O517" s="26"/>
      <c r="P517" s="26"/>
      <c r="Q517" s="26"/>
      <c r="R517" s="26"/>
      <c r="S517" s="26"/>
      <c r="T517" s="26"/>
    </row>
    <row r="518">
      <c r="A518" s="35"/>
      <c r="B518" s="36"/>
      <c r="C518" s="26"/>
      <c r="D518" s="27"/>
      <c r="E518" s="27"/>
      <c r="F518" s="36"/>
      <c r="G518" s="27"/>
      <c r="H518" s="37"/>
      <c r="I518" s="36"/>
      <c r="K518" s="26"/>
      <c r="M518" s="26"/>
      <c r="N518" s="26"/>
      <c r="O518" s="26"/>
      <c r="P518" s="26"/>
      <c r="Q518" s="26"/>
      <c r="R518" s="26"/>
      <c r="S518" s="26"/>
      <c r="T518" s="26"/>
    </row>
    <row r="519">
      <c r="A519" s="35"/>
      <c r="B519" s="36"/>
      <c r="C519" s="26"/>
      <c r="D519" s="27"/>
      <c r="E519" s="27"/>
      <c r="F519" s="36"/>
      <c r="G519" s="27"/>
      <c r="H519" s="37"/>
      <c r="I519" s="36"/>
      <c r="K519" s="26"/>
      <c r="M519" s="26"/>
      <c r="N519" s="26"/>
      <c r="O519" s="26"/>
      <c r="P519" s="26"/>
      <c r="Q519" s="26"/>
      <c r="R519" s="26"/>
      <c r="S519" s="26"/>
      <c r="T519" s="26"/>
    </row>
    <row r="520">
      <c r="A520" s="35"/>
      <c r="B520" s="36"/>
      <c r="C520" s="26"/>
      <c r="D520" s="27"/>
      <c r="E520" s="27"/>
      <c r="F520" s="36"/>
      <c r="G520" s="27"/>
      <c r="H520" s="37"/>
      <c r="I520" s="36"/>
      <c r="K520" s="26"/>
      <c r="M520" s="26"/>
      <c r="N520" s="26"/>
      <c r="O520" s="26"/>
      <c r="P520" s="26"/>
      <c r="Q520" s="26"/>
      <c r="R520" s="26"/>
      <c r="S520" s="26"/>
      <c r="T520" s="26"/>
    </row>
    <row r="521">
      <c r="A521" s="35"/>
      <c r="B521" s="36"/>
      <c r="C521" s="26"/>
      <c r="D521" s="27"/>
      <c r="E521" s="27"/>
      <c r="F521" s="36"/>
      <c r="G521" s="27"/>
      <c r="H521" s="37"/>
      <c r="I521" s="36"/>
      <c r="K521" s="26"/>
      <c r="M521" s="26"/>
      <c r="N521" s="26"/>
      <c r="O521" s="26"/>
      <c r="P521" s="26"/>
      <c r="Q521" s="26"/>
      <c r="R521" s="26"/>
      <c r="S521" s="26"/>
      <c r="T521" s="26"/>
    </row>
    <row r="522">
      <c r="A522" s="35"/>
      <c r="B522" s="36"/>
      <c r="C522" s="26"/>
      <c r="D522" s="27"/>
      <c r="E522" s="27"/>
      <c r="F522" s="36"/>
      <c r="G522" s="27"/>
      <c r="H522" s="37"/>
      <c r="I522" s="36"/>
      <c r="K522" s="26"/>
      <c r="M522" s="26"/>
      <c r="N522" s="26"/>
      <c r="O522" s="26"/>
      <c r="P522" s="26"/>
      <c r="Q522" s="26"/>
      <c r="R522" s="26"/>
      <c r="S522" s="26"/>
      <c r="T522" s="26"/>
    </row>
    <row r="523">
      <c r="A523" s="35"/>
      <c r="B523" s="36"/>
      <c r="C523" s="26"/>
      <c r="D523" s="27"/>
      <c r="E523" s="27"/>
      <c r="F523" s="36"/>
      <c r="G523" s="27"/>
      <c r="H523" s="37"/>
      <c r="I523" s="36"/>
      <c r="K523" s="26"/>
      <c r="M523" s="26"/>
      <c r="N523" s="26"/>
      <c r="O523" s="26"/>
      <c r="P523" s="26"/>
      <c r="Q523" s="26"/>
      <c r="R523" s="26"/>
      <c r="S523" s="26"/>
      <c r="T523" s="26"/>
    </row>
    <row r="524">
      <c r="A524" s="35"/>
      <c r="B524" s="36"/>
      <c r="C524" s="26"/>
      <c r="D524" s="27"/>
      <c r="E524" s="27"/>
      <c r="F524" s="36"/>
      <c r="G524" s="27"/>
      <c r="H524" s="37"/>
      <c r="I524" s="36"/>
      <c r="K524" s="26"/>
      <c r="M524" s="26"/>
      <c r="N524" s="26"/>
      <c r="O524" s="26"/>
      <c r="P524" s="26"/>
      <c r="Q524" s="26"/>
      <c r="R524" s="26"/>
      <c r="S524" s="26"/>
      <c r="T524" s="26"/>
    </row>
    <row r="525">
      <c r="A525" s="35"/>
      <c r="B525" s="36"/>
      <c r="C525" s="26"/>
      <c r="D525" s="27"/>
      <c r="E525" s="27"/>
      <c r="F525" s="36"/>
      <c r="G525" s="27"/>
      <c r="H525" s="37"/>
      <c r="I525" s="36"/>
      <c r="K525" s="26"/>
      <c r="M525" s="26"/>
      <c r="N525" s="26"/>
      <c r="O525" s="26"/>
      <c r="P525" s="26"/>
      <c r="Q525" s="26"/>
      <c r="R525" s="26"/>
      <c r="S525" s="26"/>
      <c r="T525" s="26"/>
    </row>
    <row r="526">
      <c r="A526" s="35"/>
      <c r="B526" s="36"/>
      <c r="C526" s="26"/>
      <c r="D526" s="27"/>
      <c r="E526" s="27"/>
      <c r="F526" s="36"/>
      <c r="G526" s="27"/>
      <c r="H526" s="37"/>
      <c r="I526" s="36"/>
      <c r="K526" s="26"/>
      <c r="M526" s="26"/>
      <c r="N526" s="26"/>
      <c r="O526" s="26"/>
      <c r="P526" s="26"/>
      <c r="Q526" s="26"/>
      <c r="R526" s="26"/>
      <c r="S526" s="26"/>
      <c r="T526" s="26"/>
    </row>
    <row r="527">
      <c r="A527" s="35"/>
      <c r="B527" s="36"/>
      <c r="C527" s="26"/>
      <c r="D527" s="27"/>
      <c r="E527" s="27"/>
      <c r="F527" s="36"/>
      <c r="G527" s="27"/>
      <c r="H527" s="37"/>
      <c r="I527" s="36"/>
      <c r="K527" s="26"/>
      <c r="M527" s="26"/>
      <c r="N527" s="26"/>
      <c r="O527" s="26"/>
      <c r="P527" s="26"/>
      <c r="Q527" s="26"/>
      <c r="R527" s="26"/>
      <c r="S527" s="26"/>
      <c r="T527" s="26"/>
    </row>
    <row r="528">
      <c r="A528" s="35"/>
      <c r="B528" s="36"/>
      <c r="C528" s="26"/>
      <c r="D528" s="27"/>
      <c r="E528" s="27"/>
      <c r="F528" s="36"/>
      <c r="G528" s="27"/>
      <c r="H528" s="37"/>
      <c r="I528" s="36"/>
      <c r="K528" s="26"/>
      <c r="M528" s="26"/>
      <c r="N528" s="26"/>
      <c r="O528" s="26"/>
      <c r="P528" s="26"/>
      <c r="Q528" s="26"/>
      <c r="R528" s="26"/>
      <c r="S528" s="26"/>
      <c r="T528" s="26"/>
    </row>
    <row r="529">
      <c r="A529" s="35"/>
      <c r="B529" s="36"/>
      <c r="C529" s="26"/>
      <c r="D529" s="27"/>
      <c r="E529" s="27"/>
      <c r="F529" s="36"/>
      <c r="G529" s="27"/>
      <c r="H529" s="37"/>
      <c r="I529" s="36"/>
      <c r="K529" s="26"/>
      <c r="M529" s="26"/>
      <c r="N529" s="26"/>
      <c r="O529" s="26"/>
      <c r="P529" s="26"/>
      <c r="Q529" s="26"/>
      <c r="R529" s="26"/>
      <c r="S529" s="26"/>
      <c r="T529" s="26"/>
    </row>
    <row r="530">
      <c r="A530" s="35"/>
      <c r="B530" s="36"/>
      <c r="C530" s="26"/>
      <c r="D530" s="27"/>
      <c r="E530" s="27"/>
      <c r="F530" s="36"/>
      <c r="G530" s="27"/>
      <c r="H530" s="37"/>
      <c r="I530" s="36"/>
      <c r="K530" s="26"/>
      <c r="M530" s="26"/>
      <c r="N530" s="26"/>
      <c r="O530" s="26"/>
      <c r="P530" s="26"/>
      <c r="Q530" s="26"/>
      <c r="R530" s="26"/>
      <c r="S530" s="26"/>
      <c r="T530" s="26"/>
    </row>
    <row r="531">
      <c r="A531" s="35"/>
      <c r="B531" s="36"/>
      <c r="C531" s="26"/>
      <c r="D531" s="27"/>
      <c r="E531" s="27"/>
      <c r="F531" s="36"/>
      <c r="G531" s="27"/>
      <c r="H531" s="37"/>
      <c r="I531" s="36"/>
      <c r="K531" s="26"/>
      <c r="M531" s="26"/>
      <c r="N531" s="26"/>
      <c r="O531" s="26"/>
      <c r="P531" s="26"/>
      <c r="Q531" s="26"/>
      <c r="R531" s="26"/>
      <c r="S531" s="26"/>
      <c r="T531" s="26"/>
    </row>
    <row r="532">
      <c r="A532" s="35"/>
      <c r="B532" s="36"/>
      <c r="C532" s="26"/>
      <c r="D532" s="27"/>
      <c r="E532" s="27"/>
      <c r="F532" s="36"/>
      <c r="G532" s="27"/>
      <c r="H532" s="37"/>
      <c r="I532" s="36"/>
      <c r="K532" s="26"/>
      <c r="M532" s="26"/>
      <c r="N532" s="26"/>
      <c r="O532" s="26"/>
      <c r="P532" s="26"/>
      <c r="Q532" s="26"/>
      <c r="R532" s="26"/>
      <c r="S532" s="26"/>
      <c r="T532" s="26"/>
    </row>
    <row r="533">
      <c r="A533" s="35"/>
      <c r="B533" s="36"/>
      <c r="C533" s="26"/>
      <c r="D533" s="27"/>
      <c r="E533" s="27"/>
      <c r="F533" s="36"/>
      <c r="G533" s="27"/>
      <c r="H533" s="37"/>
      <c r="I533" s="36"/>
      <c r="K533" s="26"/>
      <c r="M533" s="26"/>
      <c r="N533" s="26"/>
      <c r="O533" s="26"/>
      <c r="P533" s="26"/>
      <c r="Q533" s="26"/>
      <c r="R533" s="26"/>
      <c r="S533" s="26"/>
      <c r="T533" s="26"/>
    </row>
    <row r="534">
      <c r="A534" s="35"/>
      <c r="B534" s="36"/>
      <c r="C534" s="26"/>
      <c r="D534" s="27"/>
      <c r="E534" s="27"/>
      <c r="F534" s="36"/>
      <c r="G534" s="27"/>
      <c r="H534" s="37"/>
      <c r="I534" s="36"/>
      <c r="K534" s="26"/>
      <c r="M534" s="26"/>
      <c r="N534" s="26"/>
      <c r="O534" s="26"/>
      <c r="P534" s="26"/>
      <c r="Q534" s="26"/>
      <c r="R534" s="26"/>
      <c r="S534" s="26"/>
      <c r="T534" s="26"/>
    </row>
    <row r="535">
      <c r="A535" s="35"/>
      <c r="B535" s="36"/>
      <c r="C535" s="26"/>
      <c r="D535" s="27"/>
      <c r="E535" s="27"/>
      <c r="F535" s="36"/>
      <c r="G535" s="27"/>
      <c r="H535" s="37"/>
      <c r="I535" s="36"/>
      <c r="K535" s="26"/>
      <c r="M535" s="26"/>
      <c r="N535" s="26"/>
      <c r="O535" s="26"/>
      <c r="P535" s="26"/>
      <c r="Q535" s="26"/>
      <c r="R535" s="26"/>
      <c r="S535" s="26"/>
      <c r="T535" s="26"/>
    </row>
    <row r="536">
      <c r="A536" s="35"/>
      <c r="B536" s="36"/>
      <c r="C536" s="26"/>
      <c r="D536" s="27"/>
      <c r="E536" s="27"/>
      <c r="F536" s="36"/>
      <c r="G536" s="27"/>
      <c r="H536" s="37"/>
      <c r="I536" s="36"/>
      <c r="K536" s="26"/>
      <c r="M536" s="26"/>
      <c r="N536" s="26"/>
      <c r="O536" s="26"/>
      <c r="P536" s="26"/>
      <c r="Q536" s="26"/>
      <c r="R536" s="26"/>
      <c r="S536" s="26"/>
      <c r="T536" s="26"/>
    </row>
    <row r="537">
      <c r="A537" s="35"/>
      <c r="B537" s="36"/>
      <c r="C537" s="26"/>
      <c r="D537" s="27"/>
      <c r="E537" s="27"/>
      <c r="F537" s="36"/>
      <c r="G537" s="27"/>
      <c r="H537" s="37"/>
      <c r="I537" s="36"/>
      <c r="K537" s="26"/>
      <c r="M537" s="26"/>
      <c r="N537" s="26"/>
      <c r="O537" s="26"/>
      <c r="P537" s="26"/>
      <c r="Q537" s="26"/>
      <c r="R537" s="26"/>
      <c r="S537" s="26"/>
      <c r="T537" s="26"/>
    </row>
    <row r="538">
      <c r="A538" s="35"/>
      <c r="B538" s="36"/>
      <c r="C538" s="26"/>
      <c r="D538" s="27"/>
      <c r="E538" s="27"/>
      <c r="F538" s="36"/>
      <c r="G538" s="27"/>
      <c r="H538" s="37"/>
      <c r="I538" s="36"/>
      <c r="K538" s="26"/>
      <c r="M538" s="26"/>
      <c r="N538" s="26"/>
      <c r="O538" s="26"/>
      <c r="P538" s="26"/>
      <c r="Q538" s="26"/>
      <c r="R538" s="26"/>
      <c r="S538" s="26"/>
      <c r="T538" s="26"/>
    </row>
    <row r="539">
      <c r="A539" s="35"/>
      <c r="B539" s="36"/>
      <c r="C539" s="26"/>
      <c r="D539" s="27"/>
      <c r="E539" s="27"/>
      <c r="F539" s="36"/>
      <c r="G539" s="27"/>
      <c r="H539" s="37"/>
      <c r="I539" s="36"/>
      <c r="K539" s="26"/>
      <c r="M539" s="26"/>
      <c r="N539" s="26"/>
      <c r="O539" s="26"/>
      <c r="P539" s="26"/>
      <c r="Q539" s="26"/>
      <c r="R539" s="26"/>
      <c r="S539" s="26"/>
      <c r="T539" s="26"/>
    </row>
    <row r="540">
      <c r="A540" s="35"/>
      <c r="B540" s="36"/>
      <c r="C540" s="26"/>
      <c r="D540" s="27"/>
      <c r="E540" s="27"/>
      <c r="F540" s="36"/>
      <c r="G540" s="27"/>
      <c r="H540" s="37"/>
      <c r="I540" s="36"/>
      <c r="K540" s="26"/>
      <c r="M540" s="26"/>
      <c r="N540" s="26"/>
      <c r="O540" s="26"/>
      <c r="P540" s="26"/>
      <c r="Q540" s="26"/>
      <c r="R540" s="26"/>
      <c r="S540" s="26"/>
      <c r="T540" s="26"/>
    </row>
    <row r="541">
      <c r="A541" s="35"/>
      <c r="B541" s="36"/>
      <c r="C541" s="26"/>
      <c r="D541" s="27"/>
      <c r="E541" s="27"/>
      <c r="F541" s="36"/>
      <c r="G541" s="27"/>
      <c r="H541" s="37"/>
      <c r="I541" s="36"/>
      <c r="K541" s="26"/>
      <c r="M541" s="26"/>
      <c r="N541" s="26"/>
      <c r="O541" s="26"/>
      <c r="P541" s="26"/>
      <c r="Q541" s="26"/>
      <c r="R541" s="26"/>
      <c r="S541" s="26"/>
      <c r="T541" s="26"/>
    </row>
    <row r="542">
      <c r="A542" s="35"/>
      <c r="B542" s="36"/>
      <c r="C542" s="26"/>
      <c r="D542" s="27"/>
      <c r="E542" s="27"/>
      <c r="F542" s="36"/>
      <c r="G542" s="27"/>
      <c r="H542" s="37"/>
      <c r="I542" s="36"/>
      <c r="K542" s="26"/>
      <c r="M542" s="26"/>
      <c r="N542" s="26"/>
      <c r="O542" s="26"/>
      <c r="P542" s="26"/>
      <c r="Q542" s="26"/>
      <c r="R542" s="26"/>
      <c r="S542" s="26"/>
      <c r="T542" s="26"/>
    </row>
    <row r="543">
      <c r="A543" s="35"/>
      <c r="B543" s="36"/>
      <c r="C543" s="26"/>
      <c r="D543" s="27"/>
      <c r="E543" s="27"/>
      <c r="F543" s="36"/>
      <c r="G543" s="27"/>
      <c r="H543" s="37"/>
      <c r="I543" s="36"/>
      <c r="K543" s="26"/>
      <c r="M543" s="26"/>
      <c r="N543" s="26"/>
      <c r="O543" s="26"/>
      <c r="P543" s="26"/>
      <c r="Q543" s="26"/>
      <c r="R543" s="26"/>
      <c r="S543" s="26"/>
      <c r="T543" s="26"/>
    </row>
    <row r="544">
      <c r="A544" s="35"/>
      <c r="B544" s="36"/>
      <c r="C544" s="26"/>
      <c r="D544" s="27"/>
      <c r="E544" s="27"/>
      <c r="F544" s="36"/>
      <c r="G544" s="27"/>
      <c r="H544" s="37"/>
      <c r="I544" s="36"/>
      <c r="K544" s="26"/>
      <c r="M544" s="26"/>
      <c r="N544" s="26"/>
      <c r="O544" s="26"/>
      <c r="P544" s="26"/>
      <c r="Q544" s="26"/>
      <c r="R544" s="26"/>
      <c r="S544" s="26"/>
      <c r="T544" s="26"/>
    </row>
    <row r="545">
      <c r="A545" s="35"/>
      <c r="B545" s="36"/>
      <c r="C545" s="26"/>
      <c r="D545" s="27"/>
      <c r="E545" s="27"/>
      <c r="F545" s="36"/>
      <c r="G545" s="27"/>
      <c r="H545" s="37"/>
      <c r="I545" s="36"/>
      <c r="K545" s="26"/>
      <c r="M545" s="26"/>
      <c r="N545" s="26"/>
      <c r="O545" s="26"/>
      <c r="P545" s="26"/>
      <c r="Q545" s="26"/>
      <c r="R545" s="26"/>
      <c r="S545" s="26"/>
      <c r="T545" s="26"/>
    </row>
    <row r="546">
      <c r="A546" s="35"/>
      <c r="B546" s="36"/>
      <c r="C546" s="26"/>
      <c r="D546" s="27"/>
      <c r="E546" s="27"/>
      <c r="F546" s="36"/>
      <c r="G546" s="27"/>
      <c r="H546" s="37"/>
      <c r="I546" s="36"/>
      <c r="K546" s="26"/>
      <c r="M546" s="26"/>
      <c r="N546" s="26"/>
      <c r="O546" s="26"/>
      <c r="P546" s="26"/>
      <c r="Q546" s="26"/>
      <c r="R546" s="26"/>
      <c r="S546" s="26"/>
      <c r="T546" s="26"/>
    </row>
    <row r="547">
      <c r="A547" s="35"/>
      <c r="B547" s="36"/>
      <c r="C547" s="26"/>
      <c r="D547" s="27"/>
      <c r="E547" s="27"/>
      <c r="F547" s="36"/>
      <c r="G547" s="27"/>
      <c r="H547" s="37"/>
      <c r="I547" s="36"/>
      <c r="K547" s="26"/>
      <c r="M547" s="26"/>
      <c r="N547" s="26"/>
      <c r="O547" s="26"/>
      <c r="P547" s="26"/>
      <c r="Q547" s="26"/>
      <c r="R547" s="26"/>
      <c r="S547" s="26"/>
      <c r="T547" s="26"/>
    </row>
    <row r="548">
      <c r="A548" s="35"/>
      <c r="B548" s="36"/>
      <c r="C548" s="26"/>
      <c r="D548" s="27"/>
      <c r="E548" s="27"/>
      <c r="F548" s="36"/>
      <c r="G548" s="27"/>
      <c r="H548" s="37"/>
      <c r="I548" s="36"/>
      <c r="K548" s="26"/>
      <c r="M548" s="26"/>
      <c r="N548" s="26"/>
      <c r="O548" s="26"/>
      <c r="P548" s="26"/>
      <c r="Q548" s="26"/>
      <c r="R548" s="26"/>
      <c r="S548" s="26"/>
      <c r="T548" s="26"/>
    </row>
    <row r="549">
      <c r="A549" s="35"/>
      <c r="B549" s="36"/>
      <c r="C549" s="26"/>
      <c r="D549" s="27"/>
      <c r="E549" s="27"/>
      <c r="F549" s="36"/>
      <c r="G549" s="27"/>
      <c r="H549" s="37"/>
      <c r="I549" s="36"/>
      <c r="K549" s="26"/>
      <c r="M549" s="26"/>
      <c r="N549" s="26"/>
      <c r="O549" s="26"/>
      <c r="P549" s="26"/>
      <c r="Q549" s="26"/>
      <c r="R549" s="26"/>
      <c r="S549" s="26"/>
      <c r="T549" s="26"/>
    </row>
    <row r="550">
      <c r="A550" s="35"/>
      <c r="B550" s="36"/>
      <c r="C550" s="26"/>
      <c r="D550" s="27"/>
      <c r="E550" s="27"/>
      <c r="F550" s="36"/>
      <c r="G550" s="27"/>
      <c r="H550" s="37"/>
      <c r="I550" s="36"/>
      <c r="K550" s="26"/>
      <c r="M550" s="26"/>
      <c r="N550" s="26"/>
      <c r="O550" s="26"/>
      <c r="P550" s="26"/>
      <c r="Q550" s="26"/>
      <c r="R550" s="26"/>
      <c r="S550" s="26"/>
      <c r="T550" s="26"/>
    </row>
    <row r="551">
      <c r="A551" s="35"/>
      <c r="B551" s="36"/>
      <c r="C551" s="26"/>
      <c r="D551" s="27"/>
      <c r="E551" s="27"/>
      <c r="F551" s="36"/>
      <c r="G551" s="27"/>
      <c r="H551" s="37"/>
      <c r="I551" s="36"/>
      <c r="K551" s="26"/>
      <c r="M551" s="26"/>
      <c r="N551" s="26"/>
      <c r="O551" s="26"/>
      <c r="P551" s="26"/>
      <c r="Q551" s="26"/>
      <c r="R551" s="26"/>
      <c r="S551" s="26"/>
      <c r="T551" s="26"/>
    </row>
    <row r="552">
      <c r="A552" s="35"/>
      <c r="B552" s="36"/>
      <c r="C552" s="26"/>
      <c r="D552" s="27"/>
      <c r="E552" s="27"/>
      <c r="F552" s="36"/>
      <c r="G552" s="27"/>
      <c r="H552" s="37"/>
      <c r="I552" s="36"/>
      <c r="K552" s="26"/>
      <c r="M552" s="26"/>
      <c r="N552" s="26"/>
      <c r="O552" s="26"/>
      <c r="P552" s="26"/>
      <c r="Q552" s="26"/>
      <c r="R552" s="26"/>
      <c r="S552" s="26"/>
      <c r="T552" s="26"/>
    </row>
    <row r="553">
      <c r="A553" s="35"/>
      <c r="B553" s="36"/>
      <c r="C553" s="26"/>
      <c r="D553" s="27"/>
      <c r="E553" s="27"/>
      <c r="F553" s="36"/>
      <c r="G553" s="27"/>
      <c r="H553" s="37"/>
      <c r="I553" s="36"/>
      <c r="K553" s="26"/>
      <c r="M553" s="26"/>
      <c r="N553" s="26"/>
      <c r="O553" s="26"/>
      <c r="P553" s="26"/>
      <c r="Q553" s="26"/>
      <c r="R553" s="26"/>
      <c r="S553" s="26"/>
      <c r="T553" s="26"/>
    </row>
    <row r="554">
      <c r="A554" s="35"/>
      <c r="B554" s="36"/>
      <c r="C554" s="26"/>
      <c r="D554" s="27"/>
      <c r="E554" s="27"/>
      <c r="F554" s="36"/>
      <c r="G554" s="27"/>
      <c r="H554" s="37"/>
      <c r="I554" s="36"/>
      <c r="K554" s="26"/>
      <c r="M554" s="26"/>
      <c r="N554" s="26"/>
      <c r="O554" s="26"/>
      <c r="P554" s="26"/>
      <c r="Q554" s="26"/>
      <c r="R554" s="26"/>
      <c r="S554" s="26"/>
      <c r="T554" s="26"/>
    </row>
    <row r="555">
      <c r="A555" s="35"/>
      <c r="B555" s="36"/>
      <c r="C555" s="26"/>
      <c r="D555" s="27"/>
      <c r="E555" s="27"/>
      <c r="F555" s="36"/>
      <c r="G555" s="27"/>
      <c r="H555" s="37"/>
      <c r="I555" s="36"/>
      <c r="K555" s="26"/>
      <c r="M555" s="26"/>
      <c r="N555" s="26"/>
      <c r="O555" s="26"/>
      <c r="P555" s="26"/>
      <c r="Q555" s="26"/>
      <c r="R555" s="26"/>
      <c r="S555" s="26"/>
      <c r="T555" s="26"/>
    </row>
    <row r="556">
      <c r="A556" s="35"/>
      <c r="B556" s="36"/>
      <c r="C556" s="26"/>
      <c r="D556" s="27"/>
      <c r="E556" s="27"/>
      <c r="F556" s="36"/>
      <c r="G556" s="27"/>
      <c r="H556" s="37"/>
      <c r="I556" s="36"/>
      <c r="K556" s="26"/>
      <c r="M556" s="26"/>
      <c r="N556" s="26"/>
      <c r="O556" s="26"/>
      <c r="P556" s="26"/>
      <c r="Q556" s="26"/>
      <c r="R556" s="26"/>
      <c r="S556" s="26"/>
      <c r="T556" s="26"/>
    </row>
    <row r="557">
      <c r="A557" s="35"/>
      <c r="B557" s="36"/>
      <c r="C557" s="26"/>
      <c r="D557" s="27"/>
      <c r="E557" s="27"/>
      <c r="F557" s="36"/>
      <c r="G557" s="27"/>
      <c r="H557" s="37"/>
      <c r="I557" s="36"/>
      <c r="K557" s="26"/>
      <c r="M557" s="26"/>
      <c r="N557" s="26"/>
      <c r="O557" s="26"/>
      <c r="P557" s="26"/>
      <c r="Q557" s="26"/>
      <c r="R557" s="26"/>
      <c r="S557" s="26"/>
      <c r="T557" s="26"/>
    </row>
    <row r="558">
      <c r="A558" s="35"/>
      <c r="B558" s="36"/>
      <c r="C558" s="26"/>
      <c r="D558" s="27"/>
      <c r="E558" s="27"/>
      <c r="F558" s="36"/>
      <c r="G558" s="27"/>
      <c r="H558" s="37"/>
      <c r="I558" s="36"/>
      <c r="K558" s="26"/>
      <c r="M558" s="26"/>
      <c r="N558" s="26"/>
      <c r="O558" s="26"/>
      <c r="P558" s="26"/>
      <c r="Q558" s="26"/>
      <c r="R558" s="26"/>
      <c r="S558" s="26"/>
      <c r="T558" s="26"/>
    </row>
    <row r="559">
      <c r="A559" s="35"/>
      <c r="B559" s="36"/>
      <c r="C559" s="26"/>
      <c r="D559" s="27"/>
      <c r="E559" s="27"/>
      <c r="F559" s="36"/>
      <c r="G559" s="27"/>
      <c r="H559" s="37"/>
      <c r="I559" s="36"/>
      <c r="K559" s="26"/>
      <c r="M559" s="26"/>
      <c r="N559" s="26"/>
      <c r="O559" s="26"/>
      <c r="P559" s="26"/>
      <c r="Q559" s="26"/>
      <c r="R559" s="26"/>
      <c r="S559" s="26"/>
      <c r="T559" s="26"/>
    </row>
    <row r="560">
      <c r="A560" s="35"/>
      <c r="B560" s="36"/>
      <c r="C560" s="26"/>
      <c r="D560" s="27"/>
      <c r="E560" s="27"/>
      <c r="F560" s="36"/>
      <c r="G560" s="27"/>
      <c r="H560" s="37"/>
      <c r="I560" s="36"/>
      <c r="K560" s="26"/>
      <c r="M560" s="26"/>
      <c r="N560" s="26"/>
      <c r="O560" s="26"/>
      <c r="P560" s="26"/>
      <c r="Q560" s="26"/>
      <c r="R560" s="26"/>
      <c r="S560" s="26"/>
      <c r="T560" s="26"/>
    </row>
    <row r="561">
      <c r="A561" s="35"/>
      <c r="B561" s="36"/>
      <c r="C561" s="26"/>
      <c r="D561" s="27"/>
      <c r="E561" s="27"/>
      <c r="F561" s="36"/>
      <c r="G561" s="27"/>
      <c r="H561" s="37"/>
      <c r="I561" s="36"/>
      <c r="K561" s="26"/>
      <c r="M561" s="26"/>
      <c r="N561" s="26"/>
      <c r="O561" s="26"/>
      <c r="P561" s="26"/>
      <c r="Q561" s="26"/>
      <c r="R561" s="26"/>
      <c r="S561" s="26"/>
      <c r="T561" s="26"/>
    </row>
    <row r="562">
      <c r="A562" s="35"/>
      <c r="B562" s="36"/>
      <c r="C562" s="26"/>
      <c r="D562" s="27"/>
      <c r="E562" s="27"/>
      <c r="F562" s="36"/>
      <c r="G562" s="27"/>
      <c r="H562" s="37"/>
      <c r="I562" s="36"/>
      <c r="K562" s="26"/>
      <c r="M562" s="26"/>
      <c r="N562" s="26"/>
      <c r="O562" s="26"/>
      <c r="P562" s="26"/>
      <c r="Q562" s="26"/>
      <c r="R562" s="26"/>
      <c r="S562" s="26"/>
      <c r="T562" s="26"/>
    </row>
    <row r="563">
      <c r="A563" s="35"/>
      <c r="B563" s="36"/>
      <c r="C563" s="26"/>
      <c r="D563" s="27"/>
      <c r="E563" s="27"/>
      <c r="F563" s="36"/>
      <c r="G563" s="27"/>
      <c r="H563" s="37"/>
      <c r="I563" s="36"/>
      <c r="K563" s="26"/>
      <c r="M563" s="26"/>
      <c r="N563" s="26"/>
      <c r="O563" s="26"/>
      <c r="P563" s="26"/>
      <c r="Q563" s="26"/>
      <c r="R563" s="26"/>
      <c r="S563" s="26"/>
      <c r="T563" s="26"/>
    </row>
    <row r="564">
      <c r="A564" s="35"/>
      <c r="B564" s="36"/>
      <c r="C564" s="26"/>
      <c r="D564" s="27"/>
      <c r="E564" s="27"/>
      <c r="F564" s="36"/>
      <c r="G564" s="27"/>
      <c r="H564" s="37"/>
      <c r="I564" s="36"/>
      <c r="K564" s="26"/>
      <c r="M564" s="26"/>
      <c r="N564" s="26"/>
      <c r="O564" s="26"/>
      <c r="P564" s="26"/>
      <c r="Q564" s="26"/>
      <c r="R564" s="26"/>
      <c r="S564" s="26"/>
      <c r="T564" s="26"/>
    </row>
    <row r="565">
      <c r="A565" s="35"/>
      <c r="B565" s="36"/>
      <c r="C565" s="26"/>
      <c r="D565" s="27"/>
      <c r="E565" s="27"/>
      <c r="F565" s="36"/>
      <c r="G565" s="27"/>
      <c r="H565" s="37"/>
      <c r="I565" s="36"/>
      <c r="K565" s="26"/>
      <c r="M565" s="26"/>
      <c r="N565" s="26"/>
      <c r="O565" s="26"/>
      <c r="P565" s="26"/>
      <c r="Q565" s="26"/>
      <c r="R565" s="26"/>
      <c r="S565" s="26"/>
      <c r="T565" s="26"/>
    </row>
    <row r="566">
      <c r="A566" s="35"/>
      <c r="B566" s="36"/>
      <c r="C566" s="26"/>
      <c r="D566" s="27"/>
      <c r="E566" s="27"/>
      <c r="F566" s="36"/>
      <c r="G566" s="27"/>
      <c r="H566" s="37"/>
      <c r="I566" s="36"/>
      <c r="K566" s="26"/>
      <c r="M566" s="26"/>
      <c r="N566" s="26"/>
      <c r="O566" s="26"/>
      <c r="P566" s="26"/>
      <c r="Q566" s="26"/>
      <c r="R566" s="26"/>
      <c r="S566" s="26"/>
      <c r="T566" s="26"/>
    </row>
    <row r="567">
      <c r="A567" s="35"/>
      <c r="B567" s="36"/>
      <c r="C567" s="26"/>
      <c r="D567" s="27"/>
      <c r="E567" s="27"/>
      <c r="F567" s="36"/>
      <c r="G567" s="27"/>
      <c r="H567" s="37"/>
      <c r="I567" s="36"/>
      <c r="K567" s="26"/>
      <c r="M567" s="26"/>
      <c r="N567" s="26"/>
      <c r="O567" s="26"/>
      <c r="P567" s="26"/>
      <c r="Q567" s="26"/>
      <c r="R567" s="26"/>
      <c r="S567" s="26"/>
      <c r="T567" s="26"/>
    </row>
    <row r="568">
      <c r="A568" s="35"/>
      <c r="B568" s="36"/>
      <c r="C568" s="26"/>
      <c r="D568" s="27"/>
      <c r="E568" s="27"/>
      <c r="F568" s="36"/>
      <c r="G568" s="27"/>
      <c r="H568" s="37"/>
      <c r="I568" s="36"/>
      <c r="K568" s="26"/>
      <c r="M568" s="26"/>
      <c r="N568" s="26"/>
      <c r="O568" s="26"/>
      <c r="P568" s="26"/>
      <c r="Q568" s="26"/>
      <c r="R568" s="26"/>
      <c r="S568" s="26"/>
      <c r="T568" s="26"/>
    </row>
    <row r="569">
      <c r="A569" s="35"/>
      <c r="B569" s="36"/>
      <c r="C569" s="26"/>
      <c r="D569" s="27"/>
      <c r="E569" s="27"/>
      <c r="F569" s="36"/>
      <c r="G569" s="27"/>
      <c r="H569" s="37"/>
      <c r="I569" s="36"/>
      <c r="K569" s="26"/>
      <c r="M569" s="26"/>
      <c r="N569" s="26"/>
      <c r="O569" s="26"/>
      <c r="P569" s="26"/>
      <c r="Q569" s="26"/>
      <c r="R569" s="26"/>
      <c r="S569" s="26"/>
      <c r="T569" s="26"/>
    </row>
    <row r="570">
      <c r="A570" s="35"/>
      <c r="B570" s="36"/>
      <c r="C570" s="26"/>
      <c r="D570" s="27"/>
      <c r="E570" s="27"/>
      <c r="F570" s="36"/>
      <c r="G570" s="27"/>
      <c r="H570" s="37"/>
      <c r="I570" s="36"/>
      <c r="K570" s="26"/>
      <c r="M570" s="26"/>
      <c r="N570" s="26"/>
      <c r="O570" s="26"/>
      <c r="P570" s="26"/>
      <c r="Q570" s="26"/>
      <c r="R570" s="26"/>
      <c r="S570" s="26"/>
      <c r="T570" s="26"/>
    </row>
    <row r="571">
      <c r="A571" s="35"/>
      <c r="B571" s="36"/>
      <c r="C571" s="26"/>
      <c r="D571" s="27"/>
      <c r="E571" s="27"/>
      <c r="F571" s="36"/>
      <c r="G571" s="27"/>
      <c r="H571" s="37"/>
      <c r="I571" s="36"/>
      <c r="K571" s="26"/>
      <c r="M571" s="26"/>
      <c r="N571" s="26"/>
      <c r="O571" s="26"/>
      <c r="P571" s="26"/>
      <c r="Q571" s="26"/>
      <c r="R571" s="26"/>
      <c r="S571" s="26"/>
      <c r="T571" s="26"/>
    </row>
    <row r="572">
      <c r="A572" s="35"/>
      <c r="B572" s="36"/>
      <c r="C572" s="26"/>
      <c r="D572" s="27"/>
      <c r="E572" s="27"/>
      <c r="F572" s="36"/>
      <c r="G572" s="27"/>
      <c r="H572" s="37"/>
      <c r="I572" s="36"/>
      <c r="K572" s="26"/>
      <c r="M572" s="26"/>
      <c r="N572" s="26"/>
      <c r="O572" s="26"/>
      <c r="P572" s="26"/>
      <c r="Q572" s="26"/>
      <c r="R572" s="26"/>
      <c r="S572" s="26"/>
      <c r="T572" s="26"/>
    </row>
    <row r="573">
      <c r="A573" s="35"/>
      <c r="B573" s="36"/>
      <c r="C573" s="26"/>
      <c r="D573" s="27"/>
      <c r="E573" s="27"/>
      <c r="F573" s="36"/>
      <c r="G573" s="27"/>
      <c r="H573" s="37"/>
      <c r="I573" s="36"/>
      <c r="K573" s="26"/>
      <c r="M573" s="26"/>
      <c r="N573" s="26"/>
      <c r="O573" s="26"/>
      <c r="P573" s="26"/>
      <c r="Q573" s="26"/>
      <c r="R573" s="26"/>
      <c r="S573" s="26"/>
      <c r="T573" s="26"/>
    </row>
    <row r="574">
      <c r="A574" s="35"/>
      <c r="B574" s="36"/>
      <c r="C574" s="26"/>
      <c r="D574" s="27"/>
      <c r="E574" s="27"/>
      <c r="F574" s="36"/>
      <c r="G574" s="27"/>
      <c r="H574" s="37"/>
      <c r="I574" s="36"/>
      <c r="K574" s="26"/>
      <c r="M574" s="26"/>
      <c r="N574" s="26"/>
      <c r="O574" s="26"/>
      <c r="P574" s="26"/>
      <c r="Q574" s="26"/>
      <c r="R574" s="26"/>
      <c r="S574" s="26"/>
      <c r="T574" s="26"/>
    </row>
    <row r="575">
      <c r="A575" s="35"/>
      <c r="B575" s="36"/>
      <c r="C575" s="26"/>
      <c r="D575" s="27"/>
      <c r="E575" s="27"/>
      <c r="F575" s="36"/>
      <c r="G575" s="27"/>
      <c r="H575" s="37"/>
      <c r="I575" s="36"/>
      <c r="K575" s="26"/>
      <c r="M575" s="26"/>
      <c r="N575" s="26"/>
      <c r="O575" s="26"/>
      <c r="P575" s="26"/>
      <c r="Q575" s="26"/>
      <c r="R575" s="26"/>
      <c r="S575" s="26"/>
      <c r="T575" s="26"/>
    </row>
    <row r="576">
      <c r="A576" s="35"/>
      <c r="B576" s="36"/>
      <c r="C576" s="26"/>
      <c r="D576" s="27"/>
      <c r="E576" s="27"/>
      <c r="F576" s="36"/>
      <c r="G576" s="27"/>
      <c r="H576" s="37"/>
      <c r="I576" s="36"/>
      <c r="K576" s="26"/>
      <c r="M576" s="26"/>
      <c r="N576" s="26"/>
      <c r="O576" s="26"/>
      <c r="P576" s="26"/>
      <c r="Q576" s="26"/>
      <c r="R576" s="26"/>
      <c r="S576" s="26"/>
      <c r="T576" s="26"/>
    </row>
    <row r="577">
      <c r="A577" s="35"/>
      <c r="B577" s="36"/>
      <c r="C577" s="26"/>
      <c r="D577" s="27"/>
      <c r="E577" s="27"/>
      <c r="F577" s="36"/>
      <c r="G577" s="27"/>
      <c r="H577" s="37"/>
      <c r="I577" s="36"/>
      <c r="K577" s="26"/>
      <c r="M577" s="26"/>
      <c r="N577" s="26"/>
      <c r="O577" s="26"/>
      <c r="P577" s="26"/>
      <c r="Q577" s="26"/>
      <c r="R577" s="26"/>
      <c r="S577" s="26"/>
      <c r="T577" s="26"/>
    </row>
    <row r="578">
      <c r="A578" s="35"/>
      <c r="B578" s="36"/>
      <c r="C578" s="26"/>
      <c r="D578" s="27"/>
      <c r="E578" s="27"/>
      <c r="F578" s="36"/>
      <c r="G578" s="27"/>
      <c r="H578" s="37"/>
      <c r="I578" s="36"/>
      <c r="K578" s="26"/>
      <c r="M578" s="26"/>
      <c r="N578" s="26"/>
      <c r="O578" s="26"/>
      <c r="P578" s="26"/>
      <c r="Q578" s="26"/>
      <c r="R578" s="26"/>
      <c r="S578" s="26"/>
      <c r="T578" s="26"/>
    </row>
    <row r="579">
      <c r="A579" s="35"/>
      <c r="B579" s="36"/>
      <c r="C579" s="26"/>
      <c r="D579" s="27"/>
      <c r="E579" s="27"/>
      <c r="F579" s="36"/>
      <c r="G579" s="27"/>
      <c r="H579" s="37"/>
      <c r="I579" s="36"/>
      <c r="K579" s="26"/>
      <c r="M579" s="26"/>
      <c r="N579" s="26"/>
      <c r="O579" s="26"/>
      <c r="P579" s="26"/>
      <c r="Q579" s="26"/>
      <c r="R579" s="26"/>
      <c r="S579" s="26"/>
      <c r="T579" s="26"/>
    </row>
    <row r="580">
      <c r="A580" s="35"/>
      <c r="B580" s="36"/>
      <c r="C580" s="26"/>
      <c r="D580" s="27"/>
      <c r="E580" s="27"/>
      <c r="F580" s="36"/>
      <c r="G580" s="27"/>
      <c r="H580" s="37"/>
      <c r="I580" s="36"/>
      <c r="K580" s="26"/>
      <c r="M580" s="26"/>
      <c r="N580" s="26"/>
      <c r="O580" s="26"/>
      <c r="P580" s="26"/>
      <c r="Q580" s="26"/>
      <c r="R580" s="26"/>
      <c r="S580" s="26"/>
      <c r="T580" s="26"/>
    </row>
    <row r="581">
      <c r="A581" s="35"/>
      <c r="B581" s="36"/>
      <c r="C581" s="26"/>
      <c r="D581" s="27"/>
      <c r="E581" s="27"/>
      <c r="F581" s="36"/>
      <c r="G581" s="27"/>
      <c r="H581" s="37"/>
      <c r="I581" s="36"/>
      <c r="K581" s="26"/>
      <c r="M581" s="26"/>
      <c r="N581" s="26"/>
      <c r="O581" s="26"/>
      <c r="P581" s="26"/>
      <c r="Q581" s="26"/>
      <c r="R581" s="26"/>
      <c r="S581" s="26"/>
      <c r="T581" s="26"/>
    </row>
    <row r="582">
      <c r="A582" s="35"/>
      <c r="B582" s="36"/>
      <c r="C582" s="26"/>
      <c r="D582" s="27"/>
      <c r="E582" s="27"/>
      <c r="F582" s="36"/>
      <c r="G582" s="27"/>
      <c r="H582" s="37"/>
      <c r="I582" s="36"/>
      <c r="K582" s="26"/>
      <c r="M582" s="26"/>
      <c r="N582" s="26"/>
      <c r="O582" s="26"/>
      <c r="P582" s="26"/>
      <c r="Q582" s="26"/>
      <c r="R582" s="26"/>
      <c r="S582" s="26"/>
      <c r="T582" s="26"/>
    </row>
    <row r="583">
      <c r="A583" s="35"/>
      <c r="B583" s="36"/>
      <c r="C583" s="26"/>
      <c r="D583" s="27"/>
      <c r="E583" s="27"/>
      <c r="F583" s="36"/>
      <c r="G583" s="27"/>
      <c r="H583" s="37"/>
      <c r="I583" s="36"/>
      <c r="K583" s="26"/>
      <c r="M583" s="26"/>
      <c r="N583" s="26"/>
      <c r="O583" s="26"/>
      <c r="P583" s="26"/>
      <c r="Q583" s="26"/>
      <c r="R583" s="26"/>
      <c r="S583" s="26"/>
      <c r="T583" s="26"/>
    </row>
    <row r="584">
      <c r="A584" s="35"/>
      <c r="B584" s="36"/>
      <c r="C584" s="26"/>
      <c r="D584" s="27"/>
      <c r="E584" s="27"/>
      <c r="F584" s="36"/>
      <c r="G584" s="27"/>
      <c r="H584" s="37"/>
      <c r="I584" s="36"/>
      <c r="K584" s="26"/>
      <c r="M584" s="26"/>
      <c r="N584" s="26"/>
      <c r="O584" s="26"/>
      <c r="P584" s="26"/>
      <c r="Q584" s="26"/>
      <c r="R584" s="26"/>
      <c r="S584" s="26"/>
      <c r="T584" s="26"/>
    </row>
    <row r="585">
      <c r="A585" s="35"/>
      <c r="B585" s="36"/>
      <c r="C585" s="26"/>
      <c r="D585" s="27"/>
      <c r="E585" s="27"/>
      <c r="F585" s="36"/>
      <c r="G585" s="27"/>
      <c r="H585" s="37"/>
      <c r="I585" s="36"/>
      <c r="K585" s="26"/>
      <c r="M585" s="26"/>
      <c r="N585" s="26"/>
      <c r="O585" s="26"/>
      <c r="P585" s="26"/>
      <c r="Q585" s="26"/>
      <c r="R585" s="26"/>
      <c r="S585" s="26"/>
      <c r="T585" s="26"/>
    </row>
    <row r="586">
      <c r="A586" s="35"/>
      <c r="B586" s="36"/>
      <c r="C586" s="26"/>
      <c r="D586" s="27"/>
      <c r="E586" s="27"/>
      <c r="F586" s="36"/>
      <c r="G586" s="27"/>
      <c r="H586" s="37"/>
      <c r="I586" s="36"/>
      <c r="K586" s="26"/>
      <c r="M586" s="26"/>
      <c r="N586" s="26"/>
      <c r="O586" s="26"/>
      <c r="P586" s="26"/>
      <c r="Q586" s="26"/>
      <c r="R586" s="26"/>
      <c r="S586" s="26"/>
      <c r="T586" s="26"/>
    </row>
    <row r="587">
      <c r="A587" s="35"/>
      <c r="B587" s="36"/>
      <c r="C587" s="26"/>
      <c r="D587" s="27"/>
      <c r="E587" s="27"/>
      <c r="F587" s="36"/>
      <c r="G587" s="27"/>
      <c r="H587" s="37"/>
      <c r="I587" s="36"/>
      <c r="K587" s="26"/>
      <c r="M587" s="26"/>
      <c r="N587" s="26"/>
      <c r="O587" s="26"/>
      <c r="P587" s="26"/>
      <c r="Q587" s="26"/>
      <c r="R587" s="26"/>
      <c r="S587" s="26"/>
      <c r="T587" s="26"/>
    </row>
    <row r="588">
      <c r="A588" s="35"/>
      <c r="B588" s="36"/>
      <c r="C588" s="26"/>
      <c r="D588" s="27"/>
      <c r="E588" s="27"/>
      <c r="F588" s="36"/>
      <c r="G588" s="27"/>
      <c r="H588" s="37"/>
      <c r="I588" s="36"/>
      <c r="K588" s="26"/>
      <c r="M588" s="26"/>
      <c r="N588" s="26"/>
      <c r="O588" s="26"/>
      <c r="P588" s="26"/>
      <c r="Q588" s="26"/>
      <c r="R588" s="26"/>
      <c r="S588" s="26"/>
      <c r="T588" s="26"/>
    </row>
    <row r="589">
      <c r="A589" s="35"/>
      <c r="B589" s="36"/>
      <c r="C589" s="26"/>
      <c r="D589" s="27"/>
      <c r="E589" s="27"/>
      <c r="F589" s="36"/>
      <c r="G589" s="27"/>
      <c r="H589" s="37"/>
      <c r="I589" s="36"/>
      <c r="K589" s="26"/>
      <c r="M589" s="26"/>
      <c r="N589" s="26"/>
      <c r="O589" s="26"/>
      <c r="P589" s="26"/>
      <c r="Q589" s="26"/>
      <c r="R589" s="26"/>
      <c r="S589" s="26"/>
      <c r="T589" s="26"/>
    </row>
    <row r="590">
      <c r="A590" s="35"/>
      <c r="B590" s="36"/>
      <c r="C590" s="26"/>
      <c r="D590" s="27"/>
      <c r="E590" s="27"/>
      <c r="F590" s="36"/>
      <c r="G590" s="27"/>
      <c r="H590" s="37"/>
      <c r="I590" s="36"/>
      <c r="K590" s="26"/>
      <c r="M590" s="26"/>
      <c r="N590" s="26"/>
      <c r="O590" s="26"/>
      <c r="P590" s="26"/>
      <c r="Q590" s="26"/>
      <c r="R590" s="26"/>
      <c r="S590" s="26"/>
      <c r="T590" s="26"/>
    </row>
    <row r="591">
      <c r="A591" s="35"/>
      <c r="B591" s="36"/>
      <c r="C591" s="26"/>
      <c r="D591" s="27"/>
      <c r="E591" s="27"/>
      <c r="F591" s="36"/>
      <c r="G591" s="27"/>
      <c r="H591" s="37"/>
      <c r="I591" s="36"/>
      <c r="K591" s="26"/>
      <c r="M591" s="26"/>
      <c r="N591" s="26"/>
      <c r="O591" s="26"/>
      <c r="P591" s="26"/>
      <c r="Q591" s="26"/>
      <c r="R591" s="26"/>
      <c r="S591" s="26"/>
      <c r="T591" s="26"/>
    </row>
    <row r="592">
      <c r="A592" s="35"/>
      <c r="B592" s="36"/>
      <c r="C592" s="26"/>
      <c r="D592" s="27"/>
      <c r="E592" s="27"/>
      <c r="F592" s="36"/>
      <c r="G592" s="27"/>
      <c r="H592" s="37"/>
      <c r="I592" s="36"/>
      <c r="K592" s="26"/>
      <c r="M592" s="26"/>
      <c r="N592" s="26"/>
      <c r="O592" s="26"/>
      <c r="P592" s="26"/>
      <c r="Q592" s="26"/>
      <c r="R592" s="26"/>
      <c r="S592" s="26"/>
      <c r="T592" s="26"/>
    </row>
    <row r="593">
      <c r="A593" s="35"/>
      <c r="B593" s="36"/>
      <c r="C593" s="26"/>
      <c r="D593" s="27"/>
      <c r="E593" s="27"/>
      <c r="F593" s="36"/>
      <c r="G593" s="27"/>
      <c r="H593" s="37"/>
      <c r="I593" s="36"/>
      <c r="K593" s="26"/>
      <c r="M593" s="26"/>
      <c r="N593" s="26"/>
      <c r="O593" s="26"/>
      <c r="P593" s="26"/>
      <c r="Q593" s="26"/>
      <c r="R593" s="26"/>
      <c r="S593" s="26"/>
      <c r="T593" s="26"/>
    </row>
    <row r="594">
      <c r="A594" s="35"/>
      <c r="B594" s="36"/>
      <c r="C594" s="26"/>
      <c r="D594" s="27"/>
      <c r="E594" s="27"/>
      <c r="F594" s="36"/>
      <c r="G594" s="27"/>
      <c r="H594" s="37"/>
      <c r="I594" s="36"/>
      <c r="K594" s="26"/>
      <c r="M594" s="26"/>
      <c r="N594" s="26"/>
      <c r="O594" s="26"/>
      <c r="P594" s="26"/>
      <c r="Q594" s="26"/>
      <c r="R594" s="26"/>
      <c r="S594" s="26"/>
      <c r="T594" s="26"/>
    </row>
    <row r="595">
      <c r="A595" s="35"/>
      <c r="B595" s="36"/>
      <c r="C595" s="26"/>
      <c r="D595" s="27"/>
      <c r="E595" s="27"/>
      <c r="F595" s="36"/>
      <c r="G595" s="27"/>
      <c r="H595" s="37"/>
      <c r="I595" s="36"/>
      <c r="K595" s="26"/>
      <c r="M595" s="26"/>
      <c r="N595" s="26"/>
      <c r="O595" s="26"/>
      <c r="P595" s="26"/>
      <c r="Q595" s="26"/>
      <c r="R595" s="26"/>
      <c r="S595" s="26"/>
      <c r="T595" s="26"/>
    </row>
    <row r="596">
      <c r="A596" s="35"/>
      <c r="B596" s="36"/>
      <c r="C596" s="26"/>
      <c r="D596" s="27"/>
      <c r="E596" s="27"/>
      <c r="F596" s="36"/>
      <c r="G596" s="27"/>
      <c r="H596" s="37"/>
      <c r="I596" s="36"/>
      <c r="K596" s="26"/>
      <c r="M596" s="26"/>
      <c r="N596" s="26"/>
      <c r="O596" s="26"/>
      <c r="P596" s="26"/>
      <c r="Q596" s="26"/>
      <c r="R596" s="26"/>
      <c r="S596" s="26"/>
      <c r="T596" s="26"/>
    </row>
    <row r="597">
      <c r="A597" s="35"/>
      <c r="B597" s="36"/>
      <c r="C597" s="26"/>
      <c r="D597" s="27"/>
      <c r="E597" s="27"/>
      <c r="F597" s="36"/>
      <c r="G597" s="27"/>
      <c r="H597" s="37"/>
      <c r="I597" s="36"/>
      <c r="K597" s="26"/>
      <c r="M597" s="26"/>
      <c r="N597" s="26"/>
      <c r="O597" s="26"/>
      <c r="P597" s="26"/>
      <c r="Q597" s="26"/>
      <c r="R597" s="26"/>
      <c r="S597" s="26"/>
      <c r="T597" s="26"/>
    </row>
    <row r="598">
      <c r="A598" s="35"/>
      <c r="B598" s="36"/>
      <c r="C598" s="26"/>
      <c r="D598" s="27"/>
      <c r="E598" s="27"/>
      <c r="F598" s="36"/>
      <c r="G598" s="27"/>
      <c r="H598" s="37"/>
      <c r="I598" s="36"/>
      <c r="K598" s="26"/>
      <c r="M598" s="26"/>
      <c r="N598" s="26"/>
      <c r="O598" s="26"/>
      <c r="P598" s="26"/>
      <c r="Q598" s="26"/>
      <c r="R598" s="26"/>
      <c r="S598" s="26"/>
      <c r="T598" s="26"/>
    </row>
    <row r="599">
      <c r="A599" s="35"/>
      <c r="B599" s="36"/>
      <c r="C599" s="26"/>
      <c r="D599" s="27"/>
      <c r="E599" s="27"/>
      <c r="F599" s="36"/>
      <c r="G599" s="27"/>
      <c r="H599" s="37"/>
      <c r="I599" s="36"/>
      <c r="K599" s="26"/>
      <c r="M599" s="26"/>
      <c r="N599" s="26"/>
      <c r="O599" s="26"/>
      <c r="P599" s="26"/>
      <c r="Q599" s="26"/>
      <c r="R599" s="26"/>
      <c r="S599" s="26"/>
      <c r="T599" s="26"/>
    </row>
    <row r="600">
      <c r="A600" s="35"/>
      <c r="B600" s="36"/>
      <c r="C600" s="26"/>
      <c r="D600" s="27"/>
      <c r="E600" s="27"/>
      <c r="F600" s="36"/>
      <c r="G600" s="27"/>
      <c r="H600" s="37"/>
      <c r="I600" s="36"/>
      <c r="K600" s="26"/>
      <c r="M600" s="26"/>
      <c r="N600" s="26"/>
      <c r="O600" s="26"/>
      <c r="P600" s="26"/>
      <c r="Q600" s="26"/>
      <c r="R600" s="26"/>
      <c r="S600" s="26"/>
      <c r="T600" s="26"/>
    </row>
    <row r="601">
      <c r="A601" s="35"/>
      <c r="B601" s="36"/>
      <c r="C601" s="26"/>
      <c r="D601" s="27"/>
      <c r="E601" s="27"/>
      <c r="F601" s="36"/>
      <c r="G601" s="27"/>
      <c r="H601" s="37"/>
      <c r="I601" s="36"/>
      <c r="K601" s="26"/>
      <c r="M601" s="26"/>
      <c r="N601" s="26"/>
      <c r="O601" s="26"/>
      <c r="P601" s="26"/>
      <c r="Q601" s="26"/>
      <c r="R601" s="26"/>
      <c r="S601" s="26"/>
      <c r="T601" s="26"/>
    </row>
    <row r="602">
      <c r="A602" s="35"/>
      <c r="B602" s="36"/>
      <c r="C602" s="26"/>
      <c r="D602" s="27"/>
      <c r="E602" s="27"/>
      <c r="F602" s="36"/>
      <c r="G602" s="27"/>
      <c r="H602" s="37"/>
      <c r="I602" s="36"/>
      <c r="K602" s="26"/>
      <c r="M602" s="26"/>
      <c r="N602" s="26"/>
      <c r="O602" s="26"/>
      <c r="P602" s="26"/>
      <c r="Q602" s="26"/>
      <c r="R602" s="26"/>
      <c r="S602" s="26"/>
      <c r="T602" s="26"/>
    </row>
    <row r="603">
      <c r="A603" s="35"/>
      <c r="B603" s="36"/>
      <c r="C603" s="26"/>
      <c r="D603" s="27"/>
      <c r="E603" s="27"/>
      <c r="F603" s="36"/>
      <c r="G603" s="27"/>
      <c r="H603" s="37"/>
      <c r="I603" s="36"/>
      <c r="K603" s="26"/>
      <c r="M603" s="26"/>
      <c r="N603" s="26"/>
      <c r="O603" s="26"/>
      <c r="P603" s="26"/>
      <c r="Q603" s="26"/>
      <c r="R603" s="26"/>
      <c r="S603" s="26"/>
      <c r="T603" s="26"/>
    </row>
    <row r="604">
      <c r="A604" s="35"/>
      <c r="B604" s="36"/>
      <c r="C604" s="26"/>
      <c r="D604" s="27"/>
      <c r="E604" s="27"/>
      <c r="F604" s="36"/>
      <c r="G604" s="27"/>
      <c r="H604" s="37"/>
      <c r="I604" s="36"/>
      <c r="K604" s="26"/>
      <c r="M604" s="26"/>
      <c r="N604" s="26"/>
      <c r="O604" s="26"/>
      <c r="P604" s="26"/>
      <c r="Q604" s="26"/>
      <c r="R604" s="26"/>
      <c r="S604" s="26"/>
      <c r="T604" s="26"/>
    </row>
    <row r="605">
      <c r="A605" s="35"/>
      <c r="B605" s="36"/>
      <c r="C605" s="26"/>
      <c r="D605" s="27"/>
      <c r="E605" s="27"/>
      <c r="F605" s="36"/>
      <c r="G605" s="27"/>
      <c r="H605" s="37"/>
      <c r="I605" s="36"/>
      <c r="K605" s="26"/>
      <c r="M605" s="26"/>
      <c r="N605" s="26"/>
      <c r="O605" s="26"/>
      <c r="P605" s="26"/>
      <c r="Q605" s="26"/>
      <c r="R605" s="26"/>
      <c r="S605" s="26"/>
      <c r="T605" s="26"/>
    </row>
    <row r="606">
      <c r="A606" s="35"/>
      <c r="B606" s="36"/>
      <c r="C606" s="26"/>
      <c r="D606" s="27"/>
      <c r="E606" s="27"/>
      <c r="F606" s="36"/>
      <c r="G606" s="27"/>
      <c r="H606" s="37"/>
      <c r="I606" s="36"/>
      <c r="K606" s="26"/>
      <c r="M606" s="26"/>
      <c r="N606" s="26"/>
      <c r="O606" s="26"/>
      <c r="P606" s="26"/>
      <c r="Q606" s="26"/>
      <c r="R606" s="26"/>
      <c r="S606" s="26"/>
      <c r="T606" s="26"/>
    </row>
    <row r="607">
      <c r="A607" s="35"/>
      <c r="B607" s="36"/>
      <c r="C607" s="26"/>
      <c r="D607" s="27"/>
      <c r="E607" s="27"/>
      <c r="F607" s="36"/>
      <c r="G607" s="27"/>
      <c r="H607" s="37"/>
      <c r="I607" s="36"/>
      <c r="K607" s="26"/>
      <c r="M607" s="26"/>
      <c r="N607" s="26"/>
      <c r="O607" s="26"/>
      <c r="P607" s="26"/>
      <c r="Q607" s="26"/>
      <c r="R607" s="26"/>
      <c r="S607" s="26"/>
      <c r="T607" s="26"/>
    </row>
    <row r="608">
      <c r="A608" s="35"/>
      <c r="B608" s="36"/>
      <c r="C608" s="26"/>
      <c r="D608" s="27"/>
      <c r="E608" s="27"/>
      <c r="F608" s="36"/>
      <c r="G608" s="27"/>
      <c r="H608" s="37"/>
      <c r="I608" s="36"/>
      <c r="K608" s="26"/>
      <c r="M608" s="26"/>
      <c r="N608" s="26"/>
      <c r="O608" s="26"/>
      <c r="P608" s="26"/>
      <c r="Q608" s="26"/>
      <c r="R608" s="26"/>
      <c r="S608" s="26"/>
      <c r="T608" s="26"/>
    </row>
    <row r="609">
      <c r="A609" s="35"/>
      <c r="B609" s="36"/>
      <c r="C609" s="26"/>
      <c r="D609" s="27"/>
      <c r="E609" s="27"/>
      <c r="F609" s="36"/>
      <c r="G609" s="27"/>
      <c r="H609" s="37"/>
      <c r="I609" s="36"/>
      <c r="K609" s="26"/>
      <c r="M609" s="26"/>
      <c r="N609" s="26"/>
      <c r="O609" s="26"/>
      <c r="P609" s="26"/>
      <c r="Q609" s="26"/>
      <c r="R609" s="26"/>
      <c r="S609" s="26"/>
      <c r="T609" s="26"/>
    </row>
    <row r="610">
      <c r="A610" s="35"/>
      <c r="B610" s="36"/>
      <c r="C610" s="26"/>
      <c r="D610" s="27"/>
      <c r="E610" s="27"/>
      <c r="F610" s="36"/>
      <c r="G610" s="27"/>
      <c r="H610" s="37"/>
      <c r="I610" s="36"/>
      <c r="K610" s="26"/>
      <c r="M610" s="26"/>
      <c r="N610" s="26"/>
      <c r="O610" s="26"/>
      <c r="P610" s="26"/>
      <c r="Q610" s="26"/>
      <c r="R610" s="26"/>
      <c r="S610" s="26"/>
      <c r="T610" s="26"/>
    </row>
    <row r="611">
      <c r="A611" s="35"/>
      <c r="B611" s="36"/>
      <c r="C611" s="26"/>
      <c r="D611" s="27"/>
      <c r="E611" s="27"/>
      <c r="F611" s="36"/>
      <c r="G611" s="27"/>
      <c r="H611" s="37"/>
      <c r="I611" s="36"/>
      <c r="K611" s="26"/>
      <c r="M611" s="26"/>
      <c r="N611" s="26"/>
      <c r="O611" s="26"/>
      <c r="P611" s="26"/>
      <c r="Q611" s="26"/>
      <c r="R611" s="26"/>
      <c r="S611" s="26"/>
      <c r="T611" s="26"/>
    </row>
    <row r="612">
      <c r="A612" s="35"/>
      <c r="B612" s="36"/>
      <c r="C612" s="26"/>
      <c r="D612" s="27"/>
      <c r="E612" s="27"/>
      <c r="F612" s="36"/>
      <c r="G612" s="27"/>
      <c r="H612" s="37"/>
      <c r="I612" s="36"/>
      <c r="K612" s="26"/>
      <c r="M612" s="26"/>
      <c r="N612" s="26"/>
      <c r="O612" s="26"/>
      <c r="P612" s="26"/>
      <c r="Q612" s="26"/>
      <c r="R612" s="26"/>
      <c r="S612" s="26"/>
      <c r="T612" s="26"/>
    </row>
    <row r="613">
      <c r="A613" s="35"/>
      <c r="B613" s="36"/>
      <c r="C613" s="26"/>
      <c r="D613" s="27"/>
      <c r="E613" s="27"/>
      <c r="F613" s="36"/>
      <c r="G613" s="27"/>
      <c r="H613" s="37"/>
      <c r="I613" s="36"/>
      <c r="K613" s="26"/>
      <c r="M613" s="26"/>
      <c r="N613" s="26"/>
      <c r="O613" s="26"/>
      <c r="P613" s="26"/>
      <c r="Q613" s="26"/>
      <c r="R613" s="26"/>
      <c r="S613" s="26"/>
      <c r="T613" s="26"/>
    </row>
    <row r="614">
      <c r="A614" s="35"/>
      <c r="B614" s="36"/>
      <c r="C614" s="26"/>
      <c r="D614" s="27"/>
      <c r="E614" s="27"/>
      <c r="F614" s="36"/>
      <c r="G614" s="27"/>
      <c r="H614" s="37"/>
      <c r="I614" s="36"/>
      <c r="K614" s="26"/>
      <c r="M614" s="26"/>
      <c r="N614" s="26"/>
      <c r="O614" s="26"/>
      <c r="P614" s="26"/>
      <c r="Q614" s="26"/>
      <c r="R614" s="26"/>
      <c r="S614" s="26"/>
      <c r="T614" s="26"/>
    </row>
    <row r="615">
      <c r="A615" s="35"/>
      <c r="B615" s="36"/>
      <c r="C615" s="26"/>
      <c r="D615" s="27"/>
      <c r="E615" s="27"/>
      <c r="F615" s="36"/>
      <c r="G615" s="27"/>
      <c r="H615" s="37"/>
      <c r="I615" s="36"/>
      <c r="K615" s="26"/>
      <c r="M615" s="26"/>
      <c r="N615" s="26"/>
      <c r="O615" s="26"/>
      <c r="P615" s="26"/>
      <c r="Q615" s="26"/>
      <c r="R615" s="26"/>
      <c r="S615" s="26"/>
      <c r="T615" s="26"/>
    </row>
    <row r="616">
      <c r="A616" s="35"/>
      <c r="B616" s="36"/>
      <c r="C616" s="26"/>
      <c r="D616" s="27"/>
      <c r="E616" s="27"/>
      <c r="F616" s="36"/>
      <c r="G616" s="27"/>
      <c r="H616" s="37"/>
      <c r="I616" s="36"/>
      <c r="K616" s="26"/>
      <c r="M616" s="26"/>
      <c r="N616" s="26"/>
      <c r="O616" s="26"/>
      <c r="P616" s="26"/>
      <c r="Q616" s="26"/>
      <c r="R616" s="26"/>
      <c r="S616" s="26"/>
      <c r="T616" s="26"/>
    </row>
    <row r="617">
      <c r="A617" s="35"/>
      <c r="B617" s="36"/>
      <c r="C617" s="26"/>
      <c r="D617" s="27"/>
      <c r="E617" s="27"/>
      <c r="F617" s="36"/>
      <c r="G617" s="27"/>
      <c r="H617" s="37"/>
      <c r="I617" s="36"/>
      <c r="K617" s="26"/>
      <c r="M617" s="26"/>
      <c r="N617" s="26"/>
      <c r="O617" s="26"/>
      <c r="P617" s="26"/>
      <c r="Q617" s="26"/>
      <c r="R617" s="26"/>
      <c r="S617" s="26"/>
      <c r="T617" s="26"/>
    </row>
    <row r="618">
      <c r="A618" s="35"/>
      <c r="B618" s="36"/>
      <c r="C618" s="26"/>
      <c r="D618" s="27"/>
      <c r="E618" s="27"/>
      <c r="F618" s="36"/>
      <c r="G618" s="27"/>
      <c r="H618" s="37"/>
      <c r="I618" s="36"/>
      <c r="K618" s="26"/>
      <c r="M618" s="26"/>
      <c r="N618" s="26"/>
      <c r="O618" s="26"/>
      <c r="P618" s="26"/>
      <c r="Q618" s="26"/>
      <c r="R618" s="26"/>
      <c r="S618" s="26"/>
      <c r="T618" s="26"/>
    </row>
    <row r="619">
      <c r="A619" s="35"/>
      <c r="B619" s="36"/>
      <c r="C619" s="26"/>
      <c r="D619" s="27"/>
      <c r="E619" s="27"/>
      <c r="F619" s="36"/>
      <c r="G619" s="27"/>
      <c r="H619" s="37"/>
      <c r="I619" s="36"/>
      <c r="K619" s="26"/>
      <c r="M619" s="26"/>
      <c r="N619" s="26"/>
      <c r="O619" s="26"/>
      <c r="P619" s="26"/>
      <c r="Q619" s="26"/>
      <c r="R619" s="26"/>
      <c r="S619" s="26"/>
      <c r="T619" s="26"/>
    </row>
    <row r="620">
      <c r="A620" s="35"/>
      <c r="B620" s="36"/>
      <c r="C620" s="26"/>
      <c r="D620" s="27"/>
      <c r="E620" s="27"/>
      <c r="F620" s="36"/>
      <c r="G620" s="27"/>
      <c r="H620" s="37"/>
      <c r="I620" s="36"/>
      <c r="K620" s="26"/>
      <c r="M620" s="26"/>
      <c r="N620" s="26"/>
      <c r="O620" s="26"/>
      <c r="P620" s="26"/>
      <c r="Q620" s="26"/>
      <c r="R620" s="26"/>
      <c r="S620" s="26"/>
      <c r="T620" s="26"/>
    </row>
    <row r="621">
      <c r="A621" s="35"/>
      <c r="B621" s="36"/>
      <c r="C621" s="26"/>
      <c r="D621" s="27"/>
      <c r="E621" s="27"/>
      <c r="F621" s="36"/>
      <c r="G621" s="27"/>
      <c r="H621" s="37"/>
      <c r="I621" s="36"/>
      <c r="K621" s="26"/>
      <c r="M621" s="26"/>
      <c r="N621" s="26"/>
      <c r="O621" s="26"/>
      <c r="P621" s="26"/>
      <c r="Q621" s="26"/>
      <c r="R621" s="26"/>
      <c r="S621" s="26"/>
      <c r="T621" s="26"/>
    </row>
    <row r="622">
      <c r="A622" s="35"/>
      <c r="B622" s="36"/>
      <c r="C622" s="26"/>
      <c r="D622" s="27"/>
      <c r="E622" s="27"/>
      <c r="F622" s="36"/>
      <c r="G622" s="27"/>
      <c r="H622" s="37"/>
      <c r="I622" s="36"/>
      <c r="K622" s="26"/>
      <c r="M622" s="26"/>
      <c r="N622" s="26"/>
      <c r="O622" s="26"/>
      <c r="P622" s="26"/>
      <c r="Q622" s="26"/>
      <c r="R622" s="26"/>
      <c r="S622" s="26"/>
      <c r="T622" s="26"/>
    </row>
    <row r="623">
      <c r="A623" s="35"/>
      <c r="B623" s="36"/>
      <c r="C623" s="26"/>
      <c r="D623" s="27"/>
      <c r="E623" s="27"/>
      <c r="F623" s="36"/>
      <c r="G623" s="27"/>
      <c r="H623" s="37"/>
      <c r="I623" s="36"/>
      <c r="K623" s="26"/>
      <c r="M623" s="26"/>
      <c r="N623" s="26"/>
      <c r="O623" s="26"/>
      <c r="P623" s="26"/>
      <c r="Q623" s="26"/>
      <c r="R623" s="26"/>
      <c r="S623" s="26"/>
      <c r="T623" s="26"/>
    </row>
    <row r="624">
      <c r="A624" s="35"/>
      <c r="B624" s="36"/>
      <c r="C624" s="26"/>
      <c r="D624" s="27"/>
      <c r="E624" s="27"/>
      <c r="F624" s="36"/>
      <c r="G624" s="27"/>
      <c r="H624" s="37"/>
      <c r="I624" s="36"/>
      <c r="K624" s="26"/>
      <c r="M624" s="26"/>
      <c r="N624" s="26"/>
      <c r="O624" s="26"/>
      <c r="P624" s="26"/>
      <c r="Q624" s="26"/>
      <c r="R624" s="26"/>
      <c r="S624" s="26"/>
      <c r="T624" s="26"/>
    </row>
    <row r="625">
      <c r="A625" s="35"/>
      <c r="B625" s="36"/>
      <c r="C625" s="26"/>
      <c r="D625" s="27"/>
      <c r="E625" s="27"/>
      <c r="F625" s="36"/>
      <c r="G625" s="27"/>
      <c r="H625" s="37"/>
      <c r="I625" s="36"/>
      <c r="K625" s="26"/>
      <c r="M625" s="26"/>
      <c r="N625" s="26"/>
      <c r="O625" s="26"/>
      <c r="P625" s="26"/>
      <c r="Q625" s="26"/>
      <c r="R625" s="26"/>
      <c r="S625" s="26"/>
      <c r="T625" s="26"/>
    </row>
    <row r="626">
      <c r="A626" s="35"/>
      <c r="B626" s="36"/>
      <c r="C626" s="26"/>
      <c r="D626" s="27"/>
      <c r="E626" s="27"/>
      <c r="F626" s="36"/>
      <c r="G626" s="27"/>
      <c r="H626" s="37"/>
      <c r="I626" s="36"/>
      <c r="K626" s="26"/>
      <c r="M626" s="26"/>
      <c r="N626" s="26"/>
      <c r="O626" s="26"/>
      <c r="P626" s="26"/>
      <c r="Q626" s="26"/>
      <c r="R626" s="26"/>
      <c r="S626" s="26"/>
      <c r="T626" s="26"/>
    </row>
    <row r="627">
      <c r="A627" s="35"/>
      <c r="B627" s="36"/>
      <c r="C627" s="26"/>
      <c r="D627" s="27"/>
      <c r="E627" s="27"/>
      <c r="F627" s="36"/>
      <c r="G627" s="27"/>
      <c r="H627" s="37"/>
      <c r="I627" s="36"/>
      <c r="K627" s="26"/>
      <c r="M627" s="26"/>
      <c r="N627" s="26"/>
      <c r="O627" s="26"/>
      <c r="P627" s="26"/>
      <c r="Q627" s="26"/>
      <c r="R627" s="26"/>
      <c r="S627" s="26"/>
      <c r="T627" s="26"/>
    </row>
    <row r="628">
      <c r="A628" s="35"/>
      <c r="B628" s="36"/>
      <c r="C628" s="26"/>
      <c r="D628" s="27"/>
      <c r="E628" s="27"/>
      <c r="F628" s="36"/>
      <c r="G628" s="27"/>
      <c r="H628" s="37"/>
      <c r="I628" s="36"/>
      <c r="K628" s="26"/>
      <c r="M628" s="26"/>
      <c r="N628" s="26"/>
      <c r="O628" s="26"/>
      <c r="P628" s="26"/>
      <c r="Q628" s="26"/>
      <c r="R628" s="26"/>
      <c r="S628" s="26"/>
      <c r="T628" s="26"/>
    </row>
    <row r="629">
      <c r="A629" s="35"/>
      <c r="B629" s="36"/>
      <c r="C629" s="26"/>
      <c r="D629" s="27"/>
      <c r="E629" s="27"/>
      <c r="F629" s="36"/>
      <c r="G629" s="27"/>
      <c r="H629" s="37"/>
      <c r="I629" s="36"/>
      <c r="K629" s="26"/>
      <c r="M629" s="26"/>
      <c r="N629" s="26"/>
      <c r="O629" s="26"/>
      <c r="P629" s="26"/>
      <c r="Q629" s="26"/>
      <c r="R629" s="26"/>
      <c r="S629" s="26"/>
      <c r="T629" s="26"/>
    </row>
    <row r="630">
      <c r="A630" s="35"/>
      <c r="B630" s="36"/>
      <c r="C630" s="26"/>
      <c r="D630" s="27"/>
      <c r="E630" s="27"/>
      <c r="F630" s="36"/>
      <c r="G630" s="27"/>
      <c r="H630" s="37"/>
      <c r="I630" s="36"/>
      <c r="K630" s="26"/>
      <c r="M630" s="26"/>
      <c r="N630" s="26"/>
      <c r="O630" s="26"/>
      <c r="P630" s="26"/>
      <c r="Q630" s="26"/>
      <c r="R630" s="26"/>
      <c r="S630" s="26"/>
      <c r="T630" s="26"/>
    </row>
    <row r="631">
      <c r="A631" s="35"/>
      <c r="B631" s="36"/>
      <c r="C631" s="26"/>
      <c r="D631" s="27"/>
      <c r="E631" s="27"/>
      <c r="F631" s="36"/>
      <c r="G631" s="27"/>
      <c r="H631" s="37"/>
      <c r="I631" s="36"/>
      <c r="K631" s="26"/>
      <c r="M631" s="26"/>
      <c r="N631" s="26"/>
      <c r="O631" s="26"/>
      <c r="P631" s="26"/>
      <c r="Q631" s="26"/>
      <c r="R631" s="26"/>
      <c r="S631" s="26"/>
      <c r="T631" s="26"/>
    </row>
    <row r="632">
      <c r="A632" s="35"/>
      <c r="B632" s="36"/>
      <c r="C632" s="26"/>
      <c r="D632" s="27"/>
      <c r="E632" s="27"/>
      <c r="F632" s="36"/>
      <c r="G632" s="27"/>
      <c r="H632" s="37"/>
      <c r="I632" s="36"/>
      <c r="K632" s="26"/>
      <c r="M632" s="26"/>
      <c r="N632" s="26"/>
      <c r="O632" s="26"/>
      <c r="P632" s="26"/>
      <c r="Q632" s="26"/>
      <c r="R632" s="26"/>
      <c r="S632" s="26"/>
      <c r="T632" s="26"/>
    </row>
    <row r="633">
      <c r="A633" s="35"/>
      <c r="B633" s="36"/>
      <c r="C633" s="26"/>
      <c r="D633" s="27"/>
      <c r="E633" s="27"/>
      <c r="F633" s="36"/>
      <c r="G633" s="27"/>
      <c r="H633" s="37"/>
      <c r="I633" s="36"/>
      <c r="K633" s="26"/>
      <c r="M633" s="26"/>
      <c r="N633" s="26"/>
      <c r="O633" s="26"/>
      <c r="P633" s="26"/>
      <c r="Q633" s="26"/>
      <c r="R633" s="26"/>
      <c r="S633" s="26"/>
      <c r="T633" s="26"/>
    </row>
    <row r="634">
      <c r="A634" s="35"/>
      <c r="B634" s="36"/>
      <c r="C634" s="26"/>
      <c r="D634" s="27"/>
      <c r="E634" s="27"/>
      <c r="F634" s="36"/>
      <c r="G634" s="27"/>
      <c r="H634" s="37"/>
      <c r="I634" s="36"/>
      <c r="K634" s="26"/>
      <c r="M634" s="26"/>
      <c r="N634" s="26"/>
      <c r="O634" s="26"/>
      <c r="P634" s="26"/>
      <c r="Q634" s="26"/>
      <c r="R634" s="26"/>
      <c r="S634" s="26"/>
      <c r="T634" s="26"/>
    </row>
    <row r="635">
      <c r="A635" s="35"/>
      <c r="B635" s="36"/>
      <c r="C635" s="26"/>
      <c r="D635" s="27"/>
      <c r="E635" s="27"/>
      <c r="F635" s="36"/>
      <c r="G635" s="27"/>
      <c r="H635" s="37"/>
      <c r="I635" s="36"/>
      <c r="K635" s="26"/>
      <c r="M635" s="26"/>
      <c r="N635" s="26"/>
      <c r="O635" s="26"/>
      <c r="P635" s="26"/>
      <c r="Q635" s="26"/>
      <c r="R635" s="26"/>
      <c r="S635" s="26"/>
      <c r="T635" s="26"/>
    </row>
    <row r="636">
      <c r="A636" s="35"/>
      <c r="B636" s="36"/>
      <c r="C636" s="26"/>
      <c r="D636" s="27"/>
      <c r="E636" s="27"/>
      <c r="F636" s="36"/>
      <c r="G636" s="27"/>
      <c r="H636" s="37"/>
      <c r="I636" s="36"/>
      <c r="K636" s="26"/>
      <c r="M636" s="26"/>
      <c r="N636" s="26"/>
      <c r="O636" s="26"/>
      <c r="P636" s="26"/>
      <c r="Q636" s="26"/>
      <c r="R636" s="26"/>
      <c r="S636" s="26"/>
      <c r="T636" s="26"/>
    </row>
    <row r="637">
      <c r="A637" s="35"/>
      <c r="B637" s="36"/>
      <c r="C637" s="26"/>
      <c r="D637" s="27"/>
      <c r="E637" s="27"/>
      <c r="F637" s="36"/>
      <c r="G637" s="27"/>
      <c r="H637" s="37"/>
      <c r="I637" s="36"/>
      <c r="K637" s="26"/>
      <c r="M637" s="26"/>
      <c r="N637" s="26"/>
      <c r="O637" s="26"/>
      <c r="P637" s="26"/>
      <c r="Q637" s="26"/>
      <c r="R637" s="26"/>
      <c r="S637" s="26"/>
      <c r="T637" s="26"/>
    </row>
    <row r="638">
      <c r="A638" s="35"/>
      <c r="B638" s="36"/>
      <c r="C638" s="26"/>
      <c r="D638" s="27"/>
      <c r="E638" s="27"/>
      <c r="F638" s="36"/>
      <c r="G638" s="27"/>
      <c r="H638" s="37"/>
      <c r="I638" s="36"/>
      <c r="K638" s="26"/>
      <c r="M638" s="26"/>
      <c r="N638" s="26"/>
      <c r="O638" s="26"/>
      <c r="P638" s="26"/>
      <c r="Q638" s="26"/>
      <c r="R638" s="26"/>
      <c r="S638" s="26"/>
      <c r="T638" s="26"/>
    </row>
    <row r="639">
      <c r="A639" s="35"/>
      <c r="B639" s="36"/>
      <c r="C639" s="26"/>
      <c r="D639" s="27"/>
      <c r="E639" s="27"/>
      <c r="F639" s="36"/>
      <c r="G639" s="27"/>
      <c r="H639" s="37"/>
      <c r="I639" s="36"/>
      <c r="K639" s="26"/>
      <c r="M639" s="26"/>
      <c r="N639" s="26"/>
      <c r="O639" s="26"/>
      <c r="P639" s="26"/>
      <c r="Q639" s="26"/>
      <c r="R639" s="26"/>
      <c r="S639" s="26"/>
      <c r="T639" s="26"/>
    </row>
    <row r="640">
      <c r="A640" s="35"/>
      <c r="B640" s="36"/>
      <c r="C640" s="26"/>
      <c r="D640" s="27"/>
      <c r="E640" s="27"/>
      <c r="F640" s="36"/>
      <c r="G640" s="27"/>
      <c r="H640" s="37"/>
      <c r="I640" s="36"/>
      <c r="K640" s="26"/>
      <c r="M640" s="26"/>
      <c r="N640" s="26"/>
      <c r="O640" s="26"/>
      <c r="P640" s="26"/>
      <c r="Q640" s="26"/>
      <c r="R640" s="26"/>
      <c r="S640" s="26"/>
      <c r="T640" s="26"/>
    </row>
    <row r="641">
      <c r="A641" s="35"/>
      <c r="B641" s="36"/>
      <c r="C641" s="26"/>
      <c r="D641" s="27"/>
      <c r="E641" s="27"/>
      <c r="F641" s="36"/>
      <c r="G641" s="27"/>
      <c r="H641" s="37"/>
      <c r="I641" s="36"/>
      <c r="K641" s="26"/>
      <c r="M641" s="26"/>
      <c r="N641" s="26"/>
      <c r="O641" s="26"/>
      <c r="P641" s="26"/>
      <c r="Q641" s="26"/>
      <c r="R641" s="26"/>
      <c r="S641" s="26"/>
      <c r="T641" s="26"/>
    </row>
    <row r="642">
      <c r="A642" s="35"/>
      <c r="B642" s="36"/>
      <c r="C642" s="26"/>
      <c r="D642" s="27"/>
      <c r="E642" s="27"/>
      <c r="F642" s="36"/>
      <c r="G642" s="27"/>
      <c r="H642" s="37"/>
      <c r="I642" s="36"/>
      <c r="K642" s="26"/>
      <c r="M642" s="26"/>
      <c r="N642" s="26"/>
      <c r="O642" s="26"/>
      <c r="P642" s="26"/>
      <c r="Q642" s="26"/>
      <c r="R642" s="26"/>
      <c r="S642" s="26"/>
      <c r="T642" s="26"/>
    </row>
    <row r="643">
      <c r="A643" s="35"/>
      <c r="B643" s="36"/>
      <c r="C643" s="26"/>
      <c r="D643" s="27"/>
      <c r="E643" s="27"/>
      <c r="F643" s="36"/>
      <c r="G643" s="27"/>
      <c r="H643" s="37"/>
      <c r="I643" s="36"/>
      <c r="K643" s="26"/>
      <c r="M643" s="26"/>
      <c r="N643" s="26"/>
      <c r="O643" s="26"/>
      <c r="P643" s="26"/>
      <c r="Q643" s="26"/>
      <c r="R643" s="26"/>
      <c r="S643" s="26"/>
      <c r="T643" s="26"/>
    </row>
    <row r="644">
      <c r="A644" s="35"/>
      <c r="B644" s="36"/>
      <c r="C644" s="26"/>
      <c r="D644" s="27"/>
      <c r="E644" s="27"/>
      <c r="F644" s="36"/>
      <c r="G644" s="27"/>
      <c r="H644" s="37"/>
      <c r="I644" s="36"/>
      <c r="K644" s="26"/>
      <c r="M644" s="26"/>
      <c r="N644" s="26"/>
      <c r="O644" s="26"/>
      <c r="P644" s="26"/>
      <c r="Q644" s="26"/>
      <c r="R644" s="26"/>
      <c r="S644" s="26"/>
      <c r="T644" s="26"/>
    </row>
    <row r="645">
      <c r="A645" s="35"/>
      <c r="B645" s="36"/>
      <c r="C645" s="26"/>
      <c r="D645" s="27"/>
      <c r="E645" s="27"/>
      <c r="F645" s="36"/>
      <c r="G645" s="27"/>
      <c r="H645" s="37"/>
      <c r="I645" s="36"/>
      <c r="K645" s="26"/>
      <c r="M645" s="26"/>
      <c r="N645" s="26"/>
      <c r="O645" s="26"/>
      <c r="P645" s="26"/>
      <c r="Q645" s="26"/>
      <c r="R645" s="26"/>
      <c r="S645" s="26"/>
      <c r="T645" s="26"/>
    </row>
    <row r="646">
      <c r="A646" s="35"/>
      <c r="B646" s="36"/>
      <c r="C646" s="26"/>
      <c r="D646" s="27"/>
      <c r="E646" s="27"/>
      <c r="F646" s="36"/>
      <c r="G646" s="27"/>
      <c r="H646" s="37"/>
      <c r="I646" s="36"/>
      <c r="K646" s="26"/>
      <c r="M646" s="26"/>
      <c r="N646" s="26"/>
      <c r="O646" s="26"/>
      <c r="P646" s="26"/>
      <c r="Q646" s="26"/>
      <c r="R646" s="26"/>
      <c r="S646" s="26"/>
      <c r="T646" s="26"/>
    </row>
    <row r="647">
      <c r="A647" s="35"/>
      <c r="B647" s="36"/>
      <c r="C647" s="26"/>
      <c r="D647" s="27"/>
      <c r="E647" s="27"/>
      <c r="F647" s="36"/>
      <c r="G647" s="27"/>
      <c r="H647" s="37"/>
      <c r="I647" s="36"/>
      <c r="K647" s="26"/>
      <c r="M647" s="26"/>
      <c r="N647" s="26"/>
      <c r="O647" s="26"/>
      <c r="P647" s="26"/>
      <c r="Q647" s="26"/>
      <c r="R647" s="26"/>
      <c r="S647" s="26"/>
      <c r="T647" s="26"/>
    </row>
    <row r="648">
      <c r="A648" s="35"/>
      <c r="B648" s="36"/>
      <c r="C648" s="26"/>
      <c r="D648" s="27"/>
      <c r="E648" s="27"/>
      <c r="F648" s="36"/>
      <c r="G648" s="27"/>
      <c r="H648" s="37"/>
      <c r="I648" s="36"/>
      <c r="K648" s="26"/>
      <c r="M648" s="26"/>
      <c r="N648" s="26"/>
      <c r="O648" s="26"/>
      <c r="P648" s="26"/>
      <c r="Q648" s="26"/>
      <c r="R648" s="26"/>
      <c r="S648" s="26"/>
      <c r="T648" s="26"/>
    </row>
    <row r="649">
      <c r="A649" s="35"/>
      <c r="B649" s="36"/>
      <c r="C649" s="26"/>
      <c r="D649" s="27"/>
      <c r="E649" s="27"/>
      <c r="F649" s="36"/>
      <c r="G649" s="27"/>
      <c r="H649" s="37"/>
      <c r="I649" s="36"/>
      <c r="K649" s="26"/>
      <c r="M649" s="26"/>
      <c r="N649" s="26"/>
      <c r="O649" s="26"/>
      <c r="P649" s="26"/>
      <c r="Q649" s="26"/>
      <c r="R649" s="26"/>
      <c r="S649" s="26"/>
      <c r="T649" s="26"/>
    </row>
    <row r="650">
      <c r="A650" s="35"/>
      <c r="B650" s="36"/>
      <c r="C650" s="26"/>
      <c r="D650" s="27"/>
      <c r="E650" s="27"/>
      <c r="F650" s="36"/>
      <c r="G650" s="27"/>
      <c r="H650" s="37"/>
      <c r="I650" s="36"/>
      <c r="K650" s="26"/>
      <c r="M650" s="26"/>
      <c r="N650" s="26"/>
      <c r="O650" s="26"/>
      <c r="P650" s="26"/>
      <c r="Q650" s="26"/>
      <c r="R650" s="26"/>
      <c r="S650" s="26"/>
      <c r="T650" s="26"/>
    </row>
    <row r="651">
      <c r="A651" s="35"/>
      <c r="B651" s="36"/>
      <c r="C651" s="26"/>
      <c r="D651" s="27"/>
      <c r="E651" s="27"/>
      <c r="F651" s="36"/>
      <c r="G651" s="27"/>
      <c r="H651" s="37"/>
      <c r="I651" s="36"/>
      <c r="K651" s="26"/>
      <c r="M651" s="26"/>
      <c r="N651" s="26"/>
      <c r="O651" s="26"/>
      <c r="P651" s="26"/>
      <c r="Q651" s="26"/>
      <c r="R651" s="26"/>
      <c r="S651" s="26"/>
      <c r="T651" s="26"/>
    </row>
    <row r="652">
      <c r="A652" s="35"/>
      <c r="B652" s="36"/>
      <c r="C652" s="26"/>
      <c r="D652" s="27"/>
      <c r="E652" s="27"/>
      <c r="F652" s="36"/>
      <c r="G652" s="27"/>
      <c r="H652" s="37"/>
      <c r="I652" s="36"/>
      <c r="K652" s="26"/>
      <c r="M652" s="26"/>
      <c r="N652" s="26"/>
      <c r="O652" s="26"/>
      <c r="P652" s="26"/>
      <c r="Q652" s="26"/>
      <c r="R652" s="26"/>
      <c r="S652" s="26"/>
      <c r="T652" s="26"/>
    </row>
    <row r="653">
      <c r="A653" s="35"/>
      <c r="B653" s="36"/>
      <c r="C653" s="26"/>
      <c r="D653" s="27"/>
      <c r="E653" s="27"/>
      <c r="F653" s="36"/>
      <c r="G653" s="27"/>
      <c r="H653" s="37"/>
      <c r="I653" s="36"/>
      <c r="K653" s="26"/>
      <c r="M653" s="26"/>
      <c r="N653" s="26"/>
      <c r="O653" s="26"/>
      <c r="P653" s="26"/>
      <c r="Q653" s="26"/>
      <c r="R653" s="26"/>
      <c r="S653" s="26"/>
      <c r="T653" s="26"/>
    </row>
    <row r="654">
      <c r="A654" s="35"/>
      <c r="B654" s="36"/>
      <c r="C654" s="26"/>
      <c r="D654" s="27"/>
      <c r="E654" s="27"/>
      <c r="F654" s="36"/>
      <c r="G654" s="27"/>
      <c r="H654" s="37"/>
      <c r="I654" s="36"/>
      <c r="K654" s="26"/>
      <c r="M654" s="26"/>
      <c r="N654" s="26"/>
      <c r="O654" s="26"/>
      <c r="P654" s="26"/>
      <c r="Q654" s="26"/>
      <c r="R654" s="26"/>
      <c r="S654" s="26"/>
      <c r="T654" s="26"/>
    </row>
    <row r="655">
      <c r="A655" s="35"/>
      <c r="B655" s="36"/>
      <c r="C655" s="26"/>
      <c r="D655" s="27"/>
      <c r="E655" s="27"/>
      <c r="F655" s="36"/>
      <c r="G655" s="27"/>
      <c r="H655" s="37"/>
      <c r="I655" s="36"/>
      <c r="K655" s="26"/>
      <c r="M655" s="26"/>
      <c r="N655" s="26"/>
      <c r="O655" s="26"/>
      <c r="P655" s="26"/>
      <c r="Q655" s="26"/>
      <c r="R655" s="26"/>
      <c r="S655" s="26"/>
      <c r="T655" s="26"/>
    </row>
    <row r="656">
      <c r="A656" s="35"/>
      <c r="B656" s="36"/>
      <c r="C656" s="26"/>
      <c r="D656" s="27"/>
      <c r="E656" s="27"/>
      <c r="F656" s="36"/>
      <c r="G656" s="27"/>
      <c r="H656" s="37"/>
      <c r="I656" s="36"/>
      <c r="K656" s="26"/>
      <c r="M656" s="26"/>
      <c r="N656" s="26"/>
      <c r="O656" s="26"/>
      <c r="P656" s="26"/>
      <c r="Q656" s="26"/>
      <c r="R656" s="26"/>
      <c r="S656" s="26"/>
      <c r="T656" s="26"/>
    </row>
    <row r="657">
      <c r="A657" s="35"/>
      <c r="B657" s="36"/>
      <c r="C657" s="26"/>
      <c r="D657" s="27"/>
      <c r="E657" s="27"/>
      <c r="F657" s="36"/>
      <c r="G657" s="27"/>
      <c r="H657" s="37"/>
      <c r="I657" s="36"/>
      <c r="K657" s="26"/>
      <c r="M657" s="26"/>
      <c r="N657" s="26"/>
      <c r="O657" s="26"/>
      <c r="P657" s="26"/>
      <c r="Q657" s="26"/>
      <c r="R657" s="26"/>
      <c r="S657" s="26"/>
      <c r="T657" s="26"/>
    </row>
    <row r="658">
      <c r="A658" s="35"/>
      <c r="B658" s="36"/>
      <c r="C658" s="26"/>
      <c r="D658" s="27"/>
      <c r="E658" s="27"/>
      <c r="F658" s="36"/>
      <c r="G658" s="27"/>
      <c r="H658" s="37"/>
      <c r="I658" s="36"/>
      <c r="K658" s="26"/>
      <c r="M658" s="26"/>
      <c r="N658" s="26"/>
      <c r="O658" s="26"/>
      <c r="P658" s="26"/>
      <c r="Q658" s="26"/>
      <c r="R658" s="26"/>
      <c r="S658" s="26"/>
      <c r="T658" s="26"/>
    </row>
    <row r="659">
      <c r="A659" s="35"/>
      <c r="B659" s="36"/>
      <c r="C659" s="26"/>
      <c r="D659" s="27"/>
      <c r="E659" s="27"/>
      <c r="F659" s="36"/>
      <c r="G659" s="27"/>
      <c r="H659" s="37"/>
      <c r="I659" s="36"/>
      <c r="K659" s="26"/>
      <c r="M659" s="26"/>
      <c r="N659" s="26"/>
      <c r="O659" s="26"/>
      <c r="P659" s="26"/>
      <c r="Q659" s="26"/>
      <c r="R659" s="26"/>
      <c r="S659" s="26"/>
      <c r="T659" s="26"/>
    </row>
    <row r="660">
      <c r="A660" s="35"/>
      <c r="B660" s="36"/>
      <c r="C660" s="26"/>
      <c r="D660" s="27"/>
      <c r="E660" s="27"/>
      <c r="F660" s="36"/>
      <c r="G660" s="27"/>
      <c r="H660" s="37"/>
      <c r="I660" s="36"/>
      <c r="K660" s="26"/>
      <c r="M660" s="26"/>
      <c r="N660" s="26"/>
      <c r="O660" s="26"/>
      <c r="P660" s="26"/>
      <c r="Q660" s="26"/>
      <c r="R660" s="26"/>
      <c r="S660" s="26"/>
      <c r="T660" s="26"/>
    </row>
    <row r="661">
      <c r="A661" s="35"/>
      <c r="B661" s="36"/>
      <c r="C661" s="26"/>
      <c r="D661" s="27"/>
      <c r="E661" s="27"/>
      <c r="F661" s="36"/>
      <c r="G661" s="27"/>
      <c r="H661" s="37"/>
      <c r="I661" s="36"/>
      <c r="K661" s="26"/>
      <c r="M661" s="26"/>
      <c r="N661" s="26"/>
      <c r="O661" s="26"/>
      <c r="P661" s="26"/>
      <c r="Q661" s="26"/>
      <c r="R661" s="26"/>
      <c r="S661" s="26"/>
      <c r="T661" s="26"/>
    </row>
    <row r="662">
      <c r="A662" s="35"/>
      <c r="B662" s="36"/>
      <c r="C662" s="26"/>
      <c r="D662" s="27"/>
      <c r="E662" s="27"/>
      <c r="F662" s="36"/>
      <c r="G662" s="27"/>
      <c r="H662" s="37"/>
      <c r="I662" s="36"/>
      <c r="K662" s="26"/>
      <c r="M662" s="26"/>
      <c r="N662" s="26"/>
      <c r="O662" s="26"/>
      <c r="P662" s="26"/>
      <c r="Q662" s="26"/>
      <c r="R662" s="26"/>
      <c r="S662" s="26"/>
      <c r="T662" s="26"/>
    </row>
    <row r="663">
      <c r="A663" s="35"/>
      <c r="B663" s="36"/>
      <c r="C663" s="26"/>
      <c r="D663" s="27"/>
      <c r="E663" s="27"/>
      <c r="F663" s="36"/>
      <c r="G663" s="27"/>
      <c r="H663" s="37"/>
      <c r="I663" s="36"/>
      <c r="K663" s="26"/>
      <c r="M663" s="26"/>
      <c r="N663" s="26"/>
      <c r="O663" s="26"/>
      <c r="P663" s="26"/>
      <c r="Q663" s="26"/>
      <c r="R663" s="26"/>
      <c r="S663" s="26"/>
      <c r="T663" s="26"/>
    </row>
    <row r="664">
      <c r="A664" s="35"/>
      <c r="B664" s="36"/>
      <c r="C664" s="26"/>
      <c r="D664" s="27"/>
      <c r="E664" s="27"/>
      <c r="F664" s="36"/>
      <c r="G664" s="27"/>
      <c r="H664" s="37"/>
      <c r="I664" s="36"/>
      <c r="K664" s="26"/>
      <c r="M664" s="26"/>
      <c r="N664" s="26"/>
      <c r="O664" s="26"/>
      <c r="P664" s="26"/>
      <c r="Q664" s="26"/>
      <c r="R664" s="26"/>
      <c r="S664" s="26"/>
      <c r="T664" s="26"/>
    </row>
    <row r="665">
      <c r="A665" s="35"/>
      <c r="B665" s="36"/>
      <c r="C665" s="26"/>
      <c r="D665" s="27"/>
      <c r="E665" s="27"/>
      <c r="F665" s="36"/>
      <c r="G665" s="27"/>
      <c r="H665" s="37"/>
      <c r="I665" s="36"/>
      <c r="K665" s="26"/>
      <c r="M665" s="26"/>
      <c r="N665" s="26"/>
      <c r="O665" s="26"/>
      <c r="P665" s="26"/>
      <c r="Q665" s="26"/>
      <c r="R665" s="26"/>
      <c r="S665" s="26"/>
      <c r="T665" s="26"/>
    </row>
    <row r="666">
      <c r="A666" s="35"/>
      <c r="B666" s="36"/>
      <c r="C666" s="26"/>
      <c r="D666" s="27"/>
      <c r="E666" s="27"/>
      <c r="F666" s="36"/>
      <c r="G666" s="27"/>
      <c r="H666" s="37"/>
      <c r="I666" s="36"/>
      <c r="K666" s="26"/>
      <c r="M666" s="26"/>
      <c r="N666" s="26"/>
      <c r="O666" s="26"/>
      <c r="P666" s="26"/>
      <c r="Q666" s="26"/>
      <c r="R666" s="26"/>
      <c r="S666" s="26"/>
      <c r="T666" s="26"/>
    </row>
    <row r="667">
      <c r="A667" s="35"/>
      <c r="B667" s="36"/>
      <c r="C667" s="26"/>
      <c r="D667" s="27"/>
      <c r="E667" s="27"/>
      <c r="F667" s="36"/>
      <c r="G667" s="27"/>
      <c r="H667" s="37"/>
      <c r="I667" s="36"/>
      <c r="K667" s="26"/>
      <c r="M667" s="26"/>
      <c r="N667" s="26"/>
      <c r="O667" s="26"/>
      <c r="P667" s="26"/>
      <c r="Q667" s="26"/>
      <c r="R667" s="26"/>
      <c r="S667" s="26"/>
      <c r="T667" s="26"/>
    </row>
    <row r="668">
      <c r="A668" s="35"/>
      <c r="B668" s="36"/>
      <c r="C668" s="26"/>
      <c r="D668" s="27"/>
      <c r="E668" s="27"/>
      <c r="F668" s="36"/>
      <c r="G668" s="27"/>
      <c r="H668" s="37"/>
      <c r="I668" s="36"/>
      <c r="K668" s="26"/>
      <c r="M668" s="26"/>
      <c r="N668" s="26"/>
      <c r="O668" s="26"/>
      <c r="P668" s="26"/>
      <c r="Q668" s="26"/>
      <c r="R668" s="26"/>
      <c r="S668" s="26"/>
      <c r="T668" s="26"/>
    </row>
    <row r="669">
      <c r="A669" s="35"/>
      <c r="B669" s="36"/>
      <c r="C669" s="26"/>
      <c r="D669" s="27"/>
      <c r="E669" s="27"/>
      <c r="F669" s="36"/>
      <c r="G669" s="27"/>
      <c r="H669" s="37"/>
      <c r="I669" s="36"/>
      <c r="K669" s="26"/>
      <c r="M669" s="26"/>
      <c r="N669" s="26"/>
      <c r="O669" s="26"/>
      <c r="P669" s="26"/>
      <c r="Q669" s="26"/>
      <c r="R669" s="26"/>
      <c r="S669" s="26"/>
      <c r="T669" s="26"/>
    </row>
    <row r="670">
      <c r="A670" s="35"/>
      <c r="B670" s="36"/>
      <c r="C670" s="26"/>
      <c r="D670" s="27"/>
      <c r="E670" s="27"/>
      <c r="F670" s="36"/>
      <c r="G670" s="27"/>
      <c r="H670" s="37"/>
      <c r="I670" s="36"/>
      <c r="K670" s="26"/>
      <c r="M670" s="26"/>
      <c r="N670" s="26"/>
      <c r="O670" s="26"/>
      <c r="P670" s="26"/>
      <c r="Q670" s="26"/>
      <c r="R670" s="26"/>
      <c r="S670" s="26"/>
      <c r="T670" s="26"/>
    </row>
    <row r="671">
      <c r="A671" s="35"/>
      <c r="B671" s="36"/>
      <c r="C671" s="26"/>
      <c r="D671" s="27"/>
      <c r="E671" s="27"/>
      <c r="F671" s="36"/>
      <c r="G671" s="27"/>
      <c r="H671" s="37"/>
      <c r="I671" s="36"/>
      <c r="K671" s="26"/>
      <c r="M671" s="26"/>
      <c r="N671" s="26"/>
      <c r="O671" s="26"/>
      <c r="P671" s="26"/>
      <c r="Q671" s="26"/>
      <c r="R671" s="26"/>
      <c r="S671" s="26"/>
      <c r="T671" s="26"/>
    </row>
    <row r="672">
      <c r="A672" s="35"/>
      <c r="B672" s="36"/>
      <c r="C672" s="26"/>
      <c r="D672" s="27"/>
      <c r="E672" s="27"/>
      <c r="F672" s="36"/>
      <c r="G672" s="27"/>
      <c r="H672" s="37"/>
      <c r="I672" s="36"/>
      <c r="K672" s="26"/>
      <c r="M672" s="26"/>
      <c r="N672" s="26"/>
      <c r="O672" s="26"/>
      <c r="P672" s="26"/>
      <c r="Q672" s="26"/>
      <c r="R672" s="26"/>
      <c r="S672" s="26"/>
      <c r="T672" s="26"/>
    </row>
    <row r="673">
      <c r="A673" s="35"/>
      <c r="B673" s="36"/>
      <c r="C673" s="26"/>
      <c r="D673" s="27"/>
      <c r="E673" s="27"/>
      <c r="F673" s="36"/>
      <c r="G673" s="27"/>
      <c r="H673" s="37"/>
      <c r="I673" s="36"/>
      <c r="K673" s="26"/>
      <c r="M673" s="26"/>
      <c r="N673" s="26"/>
      <c r="O673" s="26"/>
      <c r="P673" s="26"/>
      <c r="Q673" s="26"/>
      <c r="R673" s="26"/>
      <c r="S673" s="26"/>
      <c r="T673" s="26"/>
    </row>
    <row r="674">
      <c r="A674" s="35"/>
      <c r="B674" s="36"/>
      <c r="C674" s="26"/>
      <c r="D674" s="27"/>
      <c r="E674" s="27"/>
      <c r="F674" s="36"/>
      <c r="G674" s="27"/>
      <c r="H674" s="37"/>
      <c r="I674" s="36"/>
      <c r="K674" s="26"/>
      <c r="M674" s="26"/>
      <c r="N674" s="26"/>
      <c r="O674" s="26"/>
      <c r="P674" s="26"/>
      <c r="Q674" s="26"/>
      <c r="R674" s="26"/>
      <c r="S674" s="26"/>
      <c r="T674" s="26"/>
    </row>
    <row r="675">
      <c r="A675" s="35"/>
      <c r="B675" s="36"/>
      <c r="C675" s="26"/>
      <c r="D675" s="27"/>
      <c r="E675" s="27"/>
      <c r="F675" s="36"/>
      <c r="G675" s="27"/>
      <c r="H675" s="37"/>
      <c r="I675" s="36"/>
      <c r="K675" s="26"/>
      <c r="M675" s="26"/>
      <c r="N675" s="26"/>
      <c r="O675" s="26"/>
      <c r="P675" s="26"/>
      <c r="Q675" s="26"/>
      <c r="R675" s="26"/>
      <c r="S675" s="26"/>
      <c r="T675" s="26"/>
    </row>
    <row r="676">
      <c r="A676" s="35"/>
      <c r="B676" s="36"/>
      <c r="C676" s="26"/>
      <c r="D676" s="27"/>
      <c r="E676" s="27"/>
      <c r="F676" s="36"/>
      <c r="G676" s="27"/>
      <c r="H676" s="37"/>
      <c r="I676" s="36"/>
      <c r="K676" s="26"/>
      <c r="M676" s="26"/>
      <c r="N676" s="26"/>
      <c r="O676" s="26"/>
      <c r="P676" s="26"/>
      <c r="Q676" s="26"/>
      <c r="R676" s="26"/>
      <c r="S676" s="26"/>
      <c r="T676" s="26"/>
    </row>
    <row r="677">
      <c r="A677" s="35"/>
      <c r="B677" s="36"/>
      <c r="C677" s="26"/>
      <c r="D677" s="27"/>
      <c r="E677" s="27"/>
      <c r="F677" s="36"/>
      <c r="G677" s="27"/>
      <c r="H677" s="37"/>
      <c r="I677" s="36"/>
      <c r="K677" s="26"/>
      <c r="M677" s="26"/>
      <c r="N677" s="26"/>
      <c r="O677" s="26"/>
      <c r="P677" s="26"/>
      <c r="Q677" s="26"/>
      <c r="R677" s="26"/>
      <c r="S677" s="26"/>
      <c r="T677" s="26"/>
    </row>
    <row r="678">
      <c r="A678" s="35"/>
      <c r="B678" s="36"/>
      <c r="C678" s="26"/>
      <c r="D678" s="27"/>
      <c r="E678" s="27"/>
      <c r="F678" s="36"/>
      <c r="G678" s="27"/>
      <c r="H678" s="37"/>
      <c r="I678" s="36"/>
      <c r="K678" s="26"/>
      <c r="M678" s="26"/>
      <c r="N678" s="26"/>
      <c r="O678" s="26"/>
      <c r="P678" s="26"/>
      <c r="Q678" s="26"/>
      <c r="R678" s="26"/>
      <c r="S678" s="26"/>
      <c r="T678" s="26"/>
    </row>
    <row r="679">
      <c r="A679" s="35"/>
      <c r="B679" s="36"/>
      <c r="C679" s="26"/>
      <c r="D679" s="27"/>
      <c r="E679" s="27"/>
      <c r="F679" s="36"/>
      <c r="G679" s="27"/>
      <c r="H679" s="37"/>
      <c r="I679" s="36"/>
      <c r="K679" s="26"/>
      <c r="M679" s="26"/>
      <c r="N679" s="26"/>
      <c r="O679" s="26"/>
      <c r="P679" s="26"/>
      <c r="Q679" s="26"/>
      <c r="R679" s="26"/>
      <c r="S679" s="26"/>
      <c r="T679" s="26"/>
    </row>
    <row r="680">
      <c r="A680" s="35"/>
      <c r="B680" s="36"/>
      <c r="C680" s="26"/>
      <c r="D680" s="27"/>
      <c r="E680" s="27"/>
      <c r="F680" s="36"/>
      <c r="G680" s="27"/>
      <c r="H680" s="37"/>
      <c r="I680" s="36"/>
      <c r="K680" s="26"/>
      <c r="M680" s="26"/>
      <c r="N680" s="26"/>
      <c r="O680" s="26"/>
      <c r="P680" s="26"/>
      <c r="Q680" s="26"/>
      <c r="R680" s="26"/>
      <c r="S680" s="26"/>
      <c r="T680" s="26"/>
    </row>
    <row r="681">
      <c r="A681" s="35"/>
      <c r="B681" s="36"/>
      <c r="C681" s="26"/>
      <c r="D681" s="27"/>
      <c r="E681" s="27"/>
      <c r="F681" s="36"/>
      <c r="G681" s="27"/>
      <c r="H681" s="37"/>
      <c r="I681" s="36"/>
      <c r="K681" s="26"/>
      <c r="M681" s="26"/>
      <c r="N681" s="26"/>
      <c r="O681" s="26"/>
      <c r="P681" s="26"/>
      <c r="Q681" s="26"/>
      <c r="R681" s="26"/>
      <c r="S681" s="26"/>
      <c r="T681" s="26"/>
    </row>
    <row r="682">
      <c r="A682" s="35"/>
      <c r="B682" s="36"/>
      <c r="C682" s="26"/>
      <c r="D682" s="27"/>
      <c r="E682" s="27"/>
      <c r="F682" s="36"/>
      <c r="G682" s="27"/>
      <c r="H682" s="37"/>
      <c r="I682" s="36"/>
      <c r="K682" s="26"/>
      <c r="M682" s="26"/>
      <c r="N682" s="26"/>
      <c r="O682" s="26"/>
      <c r="P682" s="26"/>
      <c r="Q682" s="26"/>
      <c r="R682" s="26"/>
      <c r="S682" s="26"/>
      <c r="T682" s="26"/>
    </row>
    <row r="683">
      <c r="A683" s="35"/>
      <c r="B683" s="36"/>
      <c r="C683" s="26"/>
      <c r="D683" s="27"/>
      <c r="E683" s="27"/>
      <c r="F683" s="36"/>
      <c r="G683" s="27"/>
      <c r="H683" s="37"/>
      <c r="I683" s="36"/>
      <c r="K683" s="26"/>
      <c r="M683" s="26"/>
      <c r="N683" s="26"/>
      <c r="O683" s="26"/>
      <c r="P683" s="26"/>
      <c r="Q683" s="26"/>
      <c r="R683" s="26"/>
      <c r="S683" s="26"/>
      <c r="T683" s="26"/>
    </row>
    <row r="684">
      <c r="A684" s="35"/>
      <c r="B684" s="36"/>
      <c r="C684" s="26"/>
      <c r="D684" s="27"/>
      <c r="E684" s="27"/>
      <c r="F684" s="36"/>
      <c r="G684" s="27"/>
      <c r="H684" s="37"/>
      <c r="I684" s="36"/>
      <c r="K684" s="26"/>
      <c r="M684" s="26"/>
      <c r="N684" s="26"/>
      <c r="O684" s="26"/>
      <c r="P684" s="26"/>
      <c r="Q684" s="26"/>
      <c r="R684" s="26"/>
      <c r="S684" s="26"/>
      <c r="T684" s="26"/>
    </row>
    <row r="685">
      <c r="A685" s="35"/>
      <c r="B685" s="36"/>
      <c r="C685" s="26"/>
      <c r="D685" s="27"/>
      <c r="E685" s="27"/>
      <c r="F685" s="36"/>
      <c r="G685" s="27"/>
      <c r="H685" s="37"/>
      <c r="I685" s="36"/>
      <c r="K685" s="26"/>
      <c r="M685" s="26"/>
      <c r="N685" s="26"/>
      <c r="O685" s="26"/>
      <c r="P685" s="26"/>
      <c r="Q685" s="26"/>
      <c r="R685" s="26"/>
      <c r="S685" s="26"/>
      <c r="T685" s="26"/>
    </row>
    <row r="686">
      <c r="A686" s="35"/>
      <c r="B686" s="36"/>
      <c r="C686" s="26"/>
      <c r="D686" s="27"/>
      <c r="E686" s="27"/>
      <c r="F686" s="36"/>
      <c r="G686" s="27"/>
      <c r="H686" s="37"/>
      <c r="I686" s="36"/>
      <c r="K686" s="26"/>
      <c r="M686" s="26"/>
      <c r="N686" s="26"/>
      <c r="O686" s="26"/>
      <c r="P686" s="26"/>
      <c r="Q686" s="26"/>
      <c r="R686" s="26"/>
      <c r="S686" s="26"/>
      <c r="T686" s="26"/>
    </row>
    <row r="687">
      <c r="A687" s="35"/>
      <c r="B687" s="36"/>
      <c r="C687" s="26"/>
      <c r="D687" s="27"/>
      <c r="E687" s="27"/>
      <c r="F687" s="36"/>
      <c r="G687" s="27"/>
      <c r="H687" s="37"/>
      <c r="I687" s="36"/>
      <c r="K687" s="26"/>
      <c r="M687" s="26"/>
      <c r="N687" s="26"/>
      <c r="O687" s="26"/>
      <c r="P687" s="26"/>
      <c r="Q687" s="26"/>
      <c r="R687" s="26"/>
      <c r="S687" s="26"/>
      <c r="T687" s="26"/>
    </row>
    <row r="688">
      <c r="A688" s="35"/>
      <c r="B688" s="36"/>
      <c r="C688" s="26"/>
      <c r="D688" s="27"/>
      <c r="E688" s="27"/>
      <c r="F688" s="36"/>
      <c r="G688" s="27"/>
      <c r="H688" s="37"/>
      <c r="I688" s="36"/>
      <c r="K688" s="26"/>
      <c r="M688" s="26"/>
      <c r="N688" s="26"/>
      <c r="O688" s="26"/>
      <c r="P688" s="26"/>
      <c r="Q688" s="26"/>
      <c r="R688" s="26"/>
      <c r="S688" s="26"/>
      <c r="T688" s="26"/>
    </row>
    <row r="689">
      <c r="A689" s="35"/>
      <c r="B689" s="36"/>
      <c r="C689" s="26"/>
      <c r="D689" s="27"/>
      <c r="E689" s="27"/>
      <c r="F689" s="36"/>
      <c r="G689" s="27"/>
      <c r="H689" s="37"/>
      <c r="I689" s="36"/>
      <c r="K689" s="26"/>
      <c r="M689" s="26"/>
      <c r="N689" s="26"/>
      <c r="O689" s="26"/>
      <c r="P689" s="26"/>
      <c r="Q689" s="26"/>
      <c r="R689" s="26"/>
      <c r="S689" s="26"/>
      <c r="T689" s="26"/>
    </row>
    <row r="690">
      <c r="A690" s="35"/>
      <c r="B690" s="36"/>
      <c r="C690" s="26"/>
      <c r="D690" s="27"/>
      <c r="E690" s="27"/>
      <c r="F690" s="36"/>
      <c r="G690" s="27"/>
      <c r="H690" s="37"/>
      <c r="I690" s="36"/>
      <c r="K690" s="26"/>
      <c r="M690" s="26"/>
      <c r="N690" s="26"/>
      <c r="O690" s="26"/>
      <c r="P690" s="26"/>
      <c r="Q690" s="26"/>
      <c r="R690" s="26"/>
      <c r="S690" s="26"/>
      <c r="T690" s="26"/>
    </row>
    <row r="691">
      <c r="A691" s="35"/>
      <c r="B691" s="36"/>
      <c r="C691" s="26"/>
      <c r="D691" s="27"/>
      <c r="E691" s="27"/>
      <c r="F691" s="36"/>
      <c r="G691" s="27"/>
      <c r="H691" s="37"/>
      <c r="I691" s="36"/>
      <c r="K691" s="26"/>
      <c r="M691" s="26"/>
      <c r="N691" s="26"/>
      <c r="O691" s="26"/>
      <c r="P691" s="26"/>
      <c r="Q691" s="26"/>
      <c r="R691" s="26"/>
      <c r="S691" s="26"/>
      <c r="T691" s="26"/>
    </row>
    <row r="692">
      <c r="A692" s="35"/>
      <c r="B692" s="36"/>
      <c r="C692" s="26"/>
      <c r="D692" s="27"/>
      <c r="E692" s="27"/>
      <c r="F692" s="36"/>
      <c r="G692" s="27"/>
      <c r="H692" s="37"/>
      <c r="I692" s="36"/>
      <c r="K692" s="26"/>
      <c r="M692" s="26"/>
      <c r="N692" s="26"/>
      <c r="O692" s="26"/>
      <c r="P692" s="26"/>
      <c r="Q692" s="26"/>
      <c r="R692" s="26"/>
      <c r="S692" s="26"/>
      <c r="T692" s="26"/>
    </row>
    <row r="693">
      <c r="A693" s="35"/>
      <c r="B693" s="36"/>
      <c r="C693" s="26"/>
      <c r="D693" s="27"/>
      <c r="E693" s="27"/>
      <c r="F693" s="36"/>
      <c r="G693" s="27"/>
      <c r="H693" s="37"/>
      <c r="I693" s="36"/>
      <c r="K693" s="26"/>
      <c r="M693" s="26"/>
      <c r="N693" s="26"/>
      <c r="O693" s="26"/>
      <c r="P693" s="26"/>
      <c r="Q693" s="26"/>
      <c r="R693" s="26"/>
      <c r="S693" s="26"/>
      <c r="T693" s="26"/>
    </row>
    <row r="694">
      <c r="A694" s="35"/>
      <c r="B694" s="36"/>
      <c r="C694" s="26"/>
      <c r="D694" s="27"/>
      <c r="E694" s="27"/>
      <c r="F694" s="36"/>
      <c r="G694" s="27"/>
      <c r="H694" s="37"/>
      <c r="I694" s="36"/>
      <c r="K694" s="26"/>
      <c r="M694" s="26"/>
      <c r="N694" s="26"/>
      <c r="O694" s="26"/>
      <c r="P694" s="26"/>
      <c r="Q694" s="26"/>
      <c r="R694" s="26"/>
      <c r="S694" s="26"/>
      <c r="T694" s="26"/>
    </row>
    <row r="695">
      <c r="A695" s="35"/>
      <c r="B695" s="36"/>
      <c r="C695" s="26"/>
      <c r="D695" s="27"/>
      <c r="E695" s="27"/>
      <c r="F695" s="36"/>
      <c r="G695" s="27"/>
      <c r="H695" s="37"/>
      <c r="I695" s="36"/>
      <c r="K695" s="26"/>
      <c r="M695" s="26"/>
      <c r="N695" s="26"/>
      <c r="O695" s="26"/>
      <c r="P695" s="26"/>
      <c r="Q695" s="26"/>
      <c r="R695" s="26"/>
      <c r="S695" s="26"/>
      <c r="T695" s="26"/>
    </row>
    <row r="696">
      <c r="A696" s="35"/>
      <c r="B696" s="36"/>
      <c r="C696" s="26"/>
      <c r="D696" s="27"/>
      <c r="E696" s="27"/>
      <c r="F696" s="36"/>
      <c r="G696" s="27"/>
      <c r="H696" s="37"/>
      <c r="I696" s="36"/>
      <c r="K696" s="26"/>
      <c r="M696" s="26"/>
      <c r="N696" s="26"/>
      <c r="O696" s="26"/>
      <c r="P696" s="26"/>
      <c r="Q696" s="26"/>
      <c r="R696" s="26"/>
      <c r="S696" s="26"/>
      <c r="T696" s="26"/>
    </row>
    <row r="697">
      <c r="A697" s="35"/>
      <c r="B697" s="36"/>
      <c r="C697" s="26"/>
      <c r="D697" s="27"/>
      <c r="E697" s="27"/>
      <c r="F697" s="36"/>
      <c r="G697" s="27"/>
      <c r="H697" s="37"/>
      <c r="I697" s="36"/>
      <c r="K697" s="26"/>
      <c r="M697" s="26"/>
      <c r="N697" s="26"/>
      <c r="O697" s="26"/>
      <c r="P697" s="26"/>
      <c r="Q697" s="26"/>
      <c r="R697" s="26"/>
      <c r="S697" s="26"/>
      <c r="T697" s="26"/>
    </row>
    <row r="698">
      <c r="A698" s="35"/>
      <c r="B698" s="36"/>
      <c r="C698" s="26"/>
      <c r="D698" s="27"/>
      <c r="E698" s="27"/>
      <c r="F698" s="36"/>
      <c r="G698" s="27"/>
      <c r="H698" s="37"/>
      <c r="I698" s="36"/>
      <c r="K698" s="26"/>
      <c r="M698" s="26"/>
      <c r="N698" s="26"/>
      <c r="O698" s="26"/>
      <c r="P698" s="26"/>
      <c r="Q698" s="26"/>
      <c r="R698" s="26"/>
      <c r="S698" s="26"/>
      <c r="T698" s="26"/>
    </row>
    <row r="699">
      <c r="A699" s="35"/>
      <c r="B699" s="36"/>
      <c r="C699" s="26"/>
      <c r="D699" s="27"/>
      <c r="E699" s="27"/>
      <c r="F699" s="36"/>
      <c r="G699" s="27"/>
      <c r="H699" s="37"/>
      <c r="I699" s="36"/>
      <c r="K699" s="26"/>
      <c r="M699" s="26"/>
      <c r="N699" s="26"/>
      <c r="O699" s="26"/>
      <c r="P699" s="26"/>
      <c r="Q699" s="26"/>
      <c r="R699" s="26"/>
      <c r="S699" s="26"/>
      <c r="T699" s="26"/>
    </row>
    <row r="700">
      <c r="A700" s="35"/>
      <c r="B700" s="36"/>
      <c r="C700" s="26"/>
      <c r="D700" s="27"/>
      <c r="E700" s="27"/>
      <c r="F700" s="36"/>
      <c r="G700" s="27"/>
      <c r="H700" s="37"/>
      <c r="I700" s="36"/>
      <c r="K700" s="26"/>
      <c r="M700" s="26"/>
      <c r="N700" s="26"/>
      <c r="O700" s="26"/>
      <c r="P700" s="26"/>
      <c r="Q700" s="26"/>
      <c r="R700" s="26"/>
      <c r="S700" s="26"/>
      <c r="T700" s="26"/>
    </row>
    <row r="701">
      <c r="A701" s="35"/>
      <c r="B701" s="36"/>
      <c r="C701" s="26"/>
      <c r="D701" s="27"/>
      <c r="E701" s="27"/>
      <c r="F701" s="36"/>
      <c r="G701" s="27"/>
      <c r="H701" s="37"/>
      <c r="I701" s="36"/>
      <c r="K701" s="26"/>
      <c r="M701" s="26"/>
      <c r="N701" s="26"/>
      <c r="O701" s="26"/>
      <c r="P701" s="26"/>
      <c r="Q701" s="26"/>
      <c r="R701" s="26"/>
      <c r="S701" s="26"/>
      <c r="T701" s="26"/>
    </row>
    <row r="702">
      <c r="A702" s="35"/>
      <c r="B702" s="36"/>
      <c r="C702" s="26"/>
      <c r="D702" s="27"/>
      <c r="E702" s="27"/>
      <c r="F702" s="36"/>
      <c r="G702" s="27"/>
      <c r="H702" s="37"/>
      <c r="I702" s="36"/>
      <c r="K702" s="26"/>
      <c r="M702" s="26"/>
      <c r="N702" s="26"/>
      <c r="O702" s="26"/>
      <c r="P702" s="26"/>
      <c r="Q702" s="26"/>
      <c r="R702" s="26"/>
      <c r="S702" s="26"/>
      <c r="T702" s="26"/>
    </row>
    <row r="703">
      <c r="A703" s="35"/>
      <c r="B703" s="36"/>
      <c r="C703" s="26"/>
      <c r="D703" s="27"/>
      <c r="E703" s="27"/>
      <c r="F703" s="36"/>
      <c r="G703" s="27"/>
      <c r="H703" s="37"/>
      <c r="I703" s="36"/>
      <c r="K703" s="26"/>
      <c r="M703" s="26"/>
      <c r="N703" s="26"/>
      <c r="O703" s="26"/>
      <c r="P703" s="26"/>
      <c r="Q703" s="26"/>
      <c r="R703" s="26"/>
      <c r="S703" s="26"/>
      <c r="T703" s="26"/>
    </row>
    <row r="704">
      <c r="A704" s="35"/>
      <c r="B704" s="36"/>
      <c r="C704" s="26"/>
      <c r="D704" s="27"/>
      <c r="E704" s="27"/>
      <c r="F704" s="36"/>
      <c r="G704" s="27"/>
      <c r="H704" s="37"/>
      <c r="I704" s="36"/>
      <c r="K704" s="26"/>
      <c r="M704" s="26"/>
      <c r="N704" s="26"/>
      <c r="O704" s="26"/>
      <c r="P704" s="26"/>
      <c r="Q704" s="26"/>
      <c r="R704" s="26"/>
      <c r="S704" s="26"/>
      <c r="T704" s="26"/>
    </row>
    <row r="705">
      <c r="A705" s="35"/>
      <c r="B705" s="36"/>
      <c r="C705" s="26"/>
      <c r="D705" s="27"/>
      <c r="E705" s="27"/>
      <c r="F705" s="36"/>
      <c r="G705" s="27"/>
      <c r="H705" s="37"/>
      <c r="I705" s="36"/>
      <c r="K705" s="26"/>
      <c r="M705" s="26"/>
      <c r="N705" s="26"/>
      <c r="O705" s="26"/>
      <c r="P705" s="26"/>
      <c r="Q705" s="26"/>
      <c r="R705" s="26"/>
      <c r="S705" s="26"/>
      <c r="T705" s="26"/>
    </row>
    <row r="706">
      <c r="A706" s="35"/>
      <c r="B706" s="36"/>
      <c r="C706" s="26"/>
      <c r="D706" s="27"/>
      <c r="E706" s="27"/>
      <c r="F706" s="36"/>
      <c r="G706" s="27"/>
      <c r="H706" s="37"/>
      <c r="I706" s="36"/>
      <c r="K706" s="26"/>
      <c r="M706" s="26"/>
      <c r="N706" s="26"/>
      <c r="O706" s="26"/>
      <c r="P706" s="26"/>
      <c r="Q706" s="26"/>
      <c r="R706" s="26"/>
      <c r="S706" s="26"/>
      <c r="T706" s="26"/>
    </row>
    <row r="707">
      <c r="A707" s="35"/>
      <c r="B707" s="36"/>
      <c r="C707" s="26"/>
      <c r="D707" s="27"/>
      <c r="E707" s="27"/>
      <c r="F707" s="36"/>
      <c r="G707" s="27"/>
      <c r="H707" s="37"/>
      <c r="I707" s="36"/>
      <c r="K707" s="26"/>
      <c r="M707" s="26"/>
      <c r="N707" s="26"/>
      <c r="O707" s="26"/>
      <c r="P707" s="26"/>
      <c r="Q707" s="26"/>
      <c r="R707" s="26"/>
      <c r="S707" s="26"/>
      <c r="T707" s="26"/>
    </row>
    <row r="708">
      <c r="A708" s="35"/>
      <c r="B708" s="36"/>
      <c r="C708" s="26"/>
      <c r="D708" s="27"/>
      <c r="E708" s="27"/>
      <c r="F708" s="36"/>
      <c r="G708" s="27"/>
      <c r="H708" s="37"/>
      <c r="I708" s="36"/>
      <c r="K708" s="26"/>
      <c r="M708" s="26"/>
      <c r="N708" s="26"/>
      <c r="O708" s="26"/>
      <c r="P708" s="26"/>
      <c r="Q708" s="26"/>
      <c r="R708" s="26"/>
      <c r="S708" s="26"/>
      <c r="T708" s="26"/>
    </row>
    <row r="709">
      <c r="A709" s="35"/>
      <c r="B709" s="36"/>
      <c r="C709" s="26"/>
      <c r="D709" s="27"/>
      <c r="E709" s="27"/>
      <c r="F709" s="36"/>
      <c r="G709" s="27"/>
      <c r="H709" s="37"/>
      <c r="I709" s="36"/>
      <c r="K709" s="26"/>
      <c r="M709" s="26"/>
      <c r="N709" s="26"/>
      <c r="O709" s="26"/>
      <c r="P709" s="26"/>
      <c r="Q709" s="26"/>
      <c r="R709" s="26"/>
      <c r="S709" s="26"/>
      <c r="T709" s="26"/>
    </row>
    <row r="710">
      <c r="A710" s="35"/>
      <c r="B710" s="36"/>
      <c r="C710" s="26"/>
      <c r="D710" s="27"/>
      <c r="E710" s="27"/>
      <c r="F710" s="36"/>
      <c r="G710" s="27"/>
      <c r="H710" s="37"/>
      <c r="I710" s="36"/>
      <c r="K710" s="26"/>
      <c r="M710" s="26"/>
      <c r="N710" s="26"/>
      <c r="O710" s="26"/>
      <c r="P710" s="26"/>
      <c r="Q710" s="26"/>
      <c r="R710" s="26"/>
      <c r="S710" s="26"/>
      <c r="T710" s="26"/>
    </row>
    <row r="711">
      <c r="A711" s="35"/>
      <c r="B711" s="36"/>
      <c r="C711" s="26"/>
      <c r="D711" s="27"/>
      <c r="E711" s="27"/>
      <c r="F711" s="36"/>
      <c r="G711" s="27"/>
      <c r="H711" s="37"/>
      <c r="I711" s="36"/>
      <c r="K711" s="26"/>
      <c r="M711" s="26"/>
      <c r="N711" s="26"/>
      <c r="O711" s="26"/>
      <c r="P711" s="26"/>
      <c r="Q711" s="26"/>
      <c r="R711" s="26"/>
      <c r="S711" s="26"/>
      <c r="T711" s="26"/>
    </row>
    <row r="712">
      <c r="A712" s="35"/>
      <c r="B712" s="36"/>
      <c r="C712" s="26"/>
      <c r="D712" s="27"/>
      <c r="E712" s="27"/>
      <c r="F712" s="36"/>
      <c r="G712" s="27"/>
      <c r="H712" s="37"/>
      <c r="I712" s="36"/>
      <c r="K712" s="26"/>
      <c r="M712" s="26"/>
      <c r="N712" s="26"/>
      <c r="O712" s="26"/>
      <c r="P712" s="26"/>
      <c r="Q712" s="26"/>
      <c r="R712" s="26"/>
      <c r="S712" s="26"/>
      <c r="T712" s="26"/>
    </row>
    <row r="713">
      <c r="A713" s="35"/>
      <c r="B713" s="36"/>
      <c r="C713" s="26"/>
      <c r="D713" s="27"/>
      <c r="E713" s="27"/>
      <c r="F713" s="36"/>
      <c r="G713" s="27"/>
      <c r="H713" s="37"/>
      <c r="I713" s="36"/>
      <c r="K713" s="26"/>
      <c r="M713" s="26"/>
      <c r="N713" s="26"/>
      <c r="O713" s="26"/>
      <c r="P713" s="26"/>
      <c r="Q713" s="26"/>
      <c r="R713" s="26"/>
      <c r="S713" s="26"/>
      <c r="T713" s="26"/>
    </row>
    <row r="714">
      <c r="A714" s="35"/>
      <c r="B714" s="36"/>
      <c r="C714" s="26"/>
      <c r="D714" s="27"/>
      <c r="E714" s="27"/>
      <c r="F714" s="36"/>
      <c r="G714" s="27"/>
      <c r="H714" s="37"/>
      <c r="I714" s="36"/>
      <c r="K714" s="26"/>
      <c r="M714" s="26"/>
      <c r="N714" s="26"/>
      <c r="O714" s="26"/>
      <c r="P714" s="26"/>
      <c r="Q714" s="26"/>
      <c r="R714" s="26"/>
      <c r="S714" s="26"/>
      <c r="T714" s="26"/>
    </row>
    <row r="715">
      <c r="A715" s="35"/>
      <c r="B715" s="36"/>
      <c r="C715" s="26"/>
      <c r="D715" s="27"/>
      <c r="E715" s="27"/>
      <c r="F715" s="36"/>
      <c r="G715" s="27"/>
      <c r="H715" s="37"/>
      <c r="I715" s="36"/>
      <c r="K715" s="26"/>
      <c r="M715" s="26"/>
      <c r="N715" s="26"/>
      <c r="O715" s="26"/>
      <c r="P715" s="26"/>
      <c r="Q715" s="26"/>
      <c r="R715" s="26"/>
      <c r="S715" s="26"/>
      <c r="T715" s="26"/>
    </row>
    <row r="716">
      <c r="A716" s="35"/>
      <c r="B716" s="36"/>
      <c r="C716" s="26"/>
      <c r="D716" s="27"/>
      <c r="E716" s="27"/>
      <c r="F716" s="36"/>
      <c r="G716" s="27"/>
      <c r="H716" s="37"/>
      <c r="I716" s="36"/>
      <c r="K716" s="26"/>
      <c r="M716" s="26"/>
      <c r="N716" s="26"/>
      <c r="O716" s="26"/>
      <c r="P716" s="26"/>
      <c r="Q716" s="26"/>
      <c r="R716" s="26"/>
      <c r="S716" s="26"/>
      <c r="T716" s="26"/>
    </row>
    <row r="717">
      <c r="A717" s="35"/>
      <c r="B717" s="36"/>
      <c r="C717" s="26"/>
      <c r="D717" s="27"/>
      <c r="E717" s="27"/>
      <c r="F717" s="36"/>
      <c r="G717" s="27"/>
      <c r="H717" s="37"/>
      <c r="I717" s="36"/>
      <c r="K717" s="26"/>
      <c r="M717" s="26"/>
      <c r="N717" s="26"/>
      <c r="O717" s="26"/>
      <c r="P717" s="26"/>
      <c r="Q717" s="26"/>
      <c r="R717" s="26"/>
      <c r="S717" s="26"/>
      <c r="T717" s="26"/>
    </row>
    <row r="718">
      <c r="A718" s="35"/>
      <c r="B718" s="36"/>
      <c r="C718" s="26"/>
      <c r="D718" s="27"/>
      <c r="E718" s="27"/>
      <c r="F718" s="36"/>
      <c r="G718" s="27"/>
      <c r="H718" s="37"/>
      <c r="I718" s="36"/>
      <c r="K718" s="26"/>
      <c r="M718" s="26"/>
      <c r="N718" s="26"/>
      <c r="O718" s="26"/>
      <c r="P718" s="26"/>
      <c r="Q718" s="26"/>
      <c r="R718" s="26"/>
      <c r="S718" s="26"/>
      <c r="T718" s="26"/>
    </row>
    <row r="719">
      <c r="A719" s="35"/>
      <c r="B719" s="36"/>
      <c r="C719" s="26"/>
      <c r="D719" s="27"/>
      <c r="E719" s="27"/>
      <c r="F719" s="36"/>
      <c r="G719" s="27"/>
      <c r="H719" s="37"/>
      <c r="I719" s="36"/>
      <c r="K719" s="26"/>
      <c r="M719" s="26"/>
      <c r="N719" s="26"/>
      <c r="O719" s="26"/>
      <c r="P719" s="26"/>
      <c r="Q719" s="26"/>
      <c r="R719" s="26"/>
      <c r="S719" s="26"/>
      <c r="T719" s="26"/>
    </row>
    <row r="720">
      <c r="A720" s="35"/>
      <c r="B720" s="36"/>
      <c r="C720" s="26"/>
      <c r="D720" s="27"/>
      <c r="E720" s="27"/>
      <c r="F720" s="36"/>
      <c r="G720" s="27"/>
      <c r="H720" s="37"/>
      <c r="I720" s="36"/>
      <c r="K720" s="26"/>
      <c r="M720" s="26"/>
      <c r="N720" s="26"/>
      <c r="O720" s="26"/>
      <c r="P720" s="26"/>
      <c r="Q720" s="26"/>
      <c r="R720" s="26"/>
      <c r="S720" s="26"/>
      <c r="T720" s="26"/>
    </row>
    <row r="721">
      <c r="A721" s="35"/>
      <c r="B721" s="36"/>
      <c r="C721" s="26"/>
      <c r="D721" s="27"/>
      <c r="E721" s="27"/>
      <c r="F721" s="36"/>
      <c r="G721" s="27"/>
      <c r="H721" s="37"/>
      <c r="I721" s="36"/>
      <c r="K721" s="26"/>
      <c r="M721" s="26"/>
      <c r="N721" s="26"/>
      <c r="O721" s="26"/>
      <c r="P721" s="26"/>
      <c r="Q721" s="26"/>
      <c r="R721" s="26"/>
      <c r="S721" s="26"/>
      <c r="T721" s="26"/>
    </row>
    <row r="722">
      <c r="A722" s="35"/>
      <c r="B722" s="36"/>
      <c r="C722" s="26"/>
      <c r="D722" s="27"/>
      <c r="E722" s="27"/>
      <c r="F722" s="36"/>
      <c r="G722" s="27"/>
      <c r="H722" s="37"/>
      <c r="I722" s="36"/>
      <c r="K722" s="26"/>
      <c r="M722" s="26"/>
      <c r="N722" s="26"/>
      <c r="O722" s="26"/>
      <c r="P722" s="26"/>
      <c r="Q722" s="26"/>
      <c r="R722" s="26"/>
      <c r="S722" s="26"/>
      <c r="T722" s="26"/>
    </row>
    <row r="723">
      <c r="A723" s="35"/>
      <c r="B723" s="36"/>
      <c r="C723" s="26"/>
      <c r="D723" s="27"/>
      <c r="E723" s="27"/>
      <c r="F723" s="36"/>
      <c r="G723" s="27"/>
      <c r="H723" s="37"/>
      <c r="I723" s="36"/>
      <c r="K723" s="26"/>
      <c r="M723" s="26"/>
      <c r="N723" s="26"/>
      <c r="O723" s="26"/>
      <c r="P723" s="26"/>
      <c r="Q723" s="26"/>
      <c r="R723" s="26"/>
      <c r="S723" s="26"/>
      <c r="T723" s="26"/>
    </row>
    <row r="724">
      <c r="A724" s="35"/>
      <c r="B724" s="36"/>
      <c r="C724" s="26"/>
      <c r="D724" s="27"/>
      <c r="E724" s="27"/>
      <c r="F724" s="36"/>
      <c r="G724" s="27"/>
      <c r="H724" s="37"/>
      <c r="I724" s="36"/>
      <c r="K724" s="26"/>
      <c r="M724" s="26"/>
      <c r="N724" s="26"/>
      <c r="O724" s="26"/>
      <c r="P724" s="26"/>
      <c r="Q724" s="26"/>
      <c r="R724" s="26"/>
      <c r="S724" s="26"/>
      <c r="T724" s="26"/>
    </row>
    <row r="725">
      <c r="A725" s="35"/>
      <c r="B725" s="36"/>
      <c r="C725" s="26"/>
      <c r="D725" s="27"/>
      <c r="E725" s="27"/>
      <c r="F725" s="36"/>
      <c r="G725" s="27"/>
      <c r="H725" s="37"/>
      <c r="I725" s="36"/>
      <c r="K725" s="26"/>
      <c r="M725" s="26"/>
      <c r="N725" s="26"/>
      <c r="O725" s="26"/>
      <c r="P725" s="26"/>
      <c r="Q725" s="26"/>
      <c r="R725" s="26"/>
      <c r="S725" s="26"/>
      <c r="T725" s="26"/>
    </row>
    <row r="726">
      <c r="A726" s="35"/>
      <c r="B726" s="36"/>
      <c r="C726" s="26"/>
      <c r="D726" s="27"/>
      <c r="E726" s="27"/>
      <c r="F726" s="36"/>
      <c r="G726" s="27"/>
      <c r="H726" s="37"/>
      <c r="I726" s="36"/>
      <c r="K726" s="26"/>
      <c r="M726" s="26"/>
      <c r="N726" s="26"/>
      <c r="O726" s="26"/>
      <c r="P726" s="26"/>
      <c r="Q726" s="26"/>
      <c r="R726" s="26"/>
      <c r="S726" s="26"/>
      <c r="T726" s="26"/>
    </row>
    <row r="727">
      <c r="A727" s="35"/>
      <c r="B727" s="36"/>
      <c r="C727" s="26"/>
      <c r="D727" s="27"/>
      <c r="E727" s="27"/>
      <c r="F727" s="36"/>
      <c r="G727" s="27"/>
      <c r="H727" s="37"/>
      <c r="I727" s="36"/>
      <c r="K727" s="26"/>
      <c r="M727" s="26"/>
      <c r="N727" s="26"/>
      <c r="O727" s="26"/>
      <c r="P727" s="26"/>
      <c r="Q727" s="26"/>
      <c r="R727" s="26"/>
      <c r="S727" s="26"/>
      <c r="T727" s="26"/>
    </row>
    <row r="728">
      <c r="A728" s="35"/>
      <c r="B728" s="36"/>
      <c r="C728" s="26"/>
      <c r="D728" s="27"/>
      <c r="E728" s="27"/>
      <c r="F728" s="36"/>
      <c r="G728" s="27"/>
      <c r="H728" s="37"/>
      <c r="I728" s="36"/>
      <c r="K728" s="26"/>
      <c r="M728" s="26"/>
      <c r="N728" s="26"/>
      <c r="O728" s="26"/>
      <c r="P728" s="26"/>
      <c r="Q728" s="26"/>
      <c r="R728" s="26"/>
      <c r="S728" s="26"/>
      <c r="T728" s="26"/>
    </row>
    <row r="729">
      <c r="A729" s="35"/>
      <c r="B729" s="36"/>
      <c r="C729" s="26"/>
      <c r="D729" s="27"/>
      <c r="E729" s="27"/>
      <c r="F729" s="36"/>
      <c r="G729" s="27"/>
      <c r="H729" s="37"/>
      <c r="I729" s="36"/>
      <c r="K729" s="26"/>
      <c r="M729" s="26"/>
      <c r="N729" s="26"/>
      <c r="O729" s="26"/>
      <c r="P729" s="26"/>
      <c r="Q729" s="26"/>
      <c r="R729" s="26"/>
      <c r="S729" s="26"/>
      <c r="T729" s="26"/>
    </row>
    <row r="730">
      <c r="A730" s="35"/>
      <c r="B730" s="36"/>
      <c r="C730" s="26"/>
      <c r="D730" s="27"/>
      <c r="E730" s="27"/>
      <c r="F730" s="36"/>
      <c r="G730" s="27"/>
      <c r="H730" s="37"/>
      <c r="I730" s="36"/>
      <c r="K730" s="26"/>
      <c r="M730" s="26"/>
      <c r="N730" s="26"/>
      <c r="O730" s="26"/>
      <c r="P730" s="26"/>
      <c r="Q730" s="26"/>
      <c r="R730" s="26"/>
      <c r="S730" s="26"/>
      <c r="T730" s="26"/>
    </row>
    <row r="731">
      <c r="A731" s="35"/>
      <c r="B731" s="36"/>
      <c r="C731" s="26"/>
      <c r="D731" s="27"/>
      <c r="E731" s="27"/>
      <c r="F731" s="36"/>
      <c r="G731" s="27"/>
      <c r="H731" s="37"/>
      <c r="I731" s="36"/>
      <c r="K731" s="26"/>
      <c r="M731" s="26"/>
      <c r="N731" s="26"/>
      <c r="O731" s="26"/>
      <c r="P731" s="26"/>
      <c r="Q731" s="26"/>
      <c r="R731" s="26"/>
      <c r="S731" s="26"/>
      <c r="T731" s="26"/>
    </row>
    <row r="732">
      <c r="A732" s="35"/>
      <c r="B732" s="36"/>
      <c r="C732" s="26"/>
      <c r="D732" s="27"/>
      <c r="E732" s="27"/>
      <c r="F732" s="36"/>
      <c r="G732" s="27"/>
      <c r="H732" s="37"/>
      <c r="I732" s="36"/>
      <c r="K732" s="26"/>
      <c r="M732" s="26"/>
      <c r="N732" s="26"/>
      <c r="O732" s="26"/>
      <c r="P732" s="26"/>
      <c r="Q732" s="26"/>
      <c r="R732" s="26"/>
      <c r="S732" s="26"/>
      <c r="T732" s="26"/>
    </row>
    <row r="733">
      <c r="A733" s="35"/>
      <c r="B733" s="36"/>
      <c r="C733" s="26"/>
      <c r="D733" s="27"/>
      <c r="E733" s="27"/>
      <c r="F733" s="36"/>
      <c r="G733" s="27"/>
      <c r="H733" s="37"/>
      <c r="I733" s="36"/>
      <c r="K733" s="26"/>
      <c r="M733" s="26"/>
      <c r="N733" s="26"/>
      <c r="O733" s="26"/>
      <c r="P733" s="26"/>
      <c r="Q733" s="26"/>
      <c r="R733" s="26"/>
      <c r="S733" s="26"/>
      <c r="T733" s="26"/>
    </row>
    <row r="734">
      <c r="A734" s="35"/>
      <c r="B734" s="36"/>
      <c r="C734" s="26"/>
      <c r="D734" s="27"/>
      <c r="E734" s="27"/>
      <c r="F734" s="36"/>
      <c r="G734" s="27"/>
      <c r="H734" s="37"/>
      <c r="I734" s="36"/>
      <c r="K734" s="26"/>
      <c r="M734" s="26"/>
      <c r="N734" s="26"/>
      <c r="O734" s="26"/>
      <c r="P734" s="26"/>
      <c r="Q734" s="26"/>
      <c r="R734" s="26"/>
      <c r="S734" s="26"/>
      <c r="T734" s="26"/>
    </row>
    <row r="735">
      <c r="A735" s="35"/>
      <c r="B735" s="36"/>
      <c r="C735" s="26"/>
      <c r="D735" s="27"/>
      <c r="E735" s="27"/>
      <c r="F735" s="36"/>
      <c r="G735" s="27"/>
      <c r="H735" s="37"/>
      <c r="I735" s="36"/>
      <c r="K735" s="26"/>
      <c r="M735" s="26"/>
      <c r="N735" s="26"/>
      <c r="O735" s="26"/>
      <c r="P735" s="26"/>
      <c r="Q735" s="26"/>
      <c r="R735" s="26"/>
      <c r="S735" s="26"/>
      <c r="T735" s="26"/>
    </row>
    <row r="736">
      <c r="A736" s="35"/>
      <c r="B736" s="36"/>
      <c r="C736" s="26"/>
      <c r="D736" s="27"/>
      <c r="E736" s="27"/>
      <c r="F736" s="36"/>
      <c r="G736" s="27"/>
      <c r="H736" s="37"/>
      <c r="I736" s="36"/>
      <c r="K736" s="26"/>
      <c r="M736" s="26"/>
      <c r="N736" s="26"/>
      <c r="O736" s="26"/>
      <c r="P736" s="26"/>
      <c r="Q736" s="26"/>
      <c r="R736" s="26"/>
      <c r="S736" s="26"/>
      <c r="T736" s="26"/>
    </row>
    <row r="737">
      <c r="A737" s="35"/>
      <c r="B737" s="36"/>
      <c r="C737" s="26"/>
      <c r="D737" s="27"/>
      <c r="E737" s="27"/>
      <c r="F737" s="36"/>
      <c r="G737" s="27"/>
      <c r="H737" s="37"/>
      <c r="I737" s="36"/>
      <c r="K737" s="26"/>
      <c r="M737" s="26"/>
      <c r="N737" s="26"/>
      <c r="O737" s="26"/>
      <c r="P737" s="26"/>
      <c r="Q737" s="26"/>
      <c r="R737" s="26"/>
      <c r="S737" s="26"/>
      <c r="T737" s="26"/>
    </row>
    <row r="738">
      <c r="A738" s="35"/>
      <c r="B738" s="36"/>
      <c r="C738" s="26"/>
      <c r="D738" s="27"/>
      <c r="E738" s="27"/>
      <c r="F738" s="36"/>
      <c r="G738" s="27"/>
      <c r="H738" s="37"/>
      <c r="I738" s="36"/>
      <c r="K738" s="26"/>
      <c r="M738" s="26"/>
      <c r="N738" s="26"/>
      <c r="O738" s="26"/>
      <c r="P738" s="26"/>
      <c r="Q738" s="26"/>
      <c r="R738" s="26"/>
      <c r="S738" s="26"/>
      <c r="T738" s="26"/>
    </row>
    <row r="739">
      <c r="A739" s="35"/>
      <c r="B739" s="36"/>
      <c r="C739" s="26"/>
      <c r="D739" s="27"/>
      <c r="E739" s="27"/>
      <c r="F739" s="36"/>
      <c r="G739" s="27"/>
      <c r="H739" s="37"/>
      <c r="I739" s="36"/>
      <c r="K739" s="26"/>
      <c r="M739" s="26"/>
      <c r="N739" s="26"/>
      <c r="O739" s="26"/>
      <c r="P739" s="26"/>
      <c r="Q739" s="26"/>
      <c r="R739" s="26"/>
      <c r="S739" s="26"/>
      <c r="T739" s="26"/>
    </row>
    <row r="740">
      <c r="A740" s="35"/>
      <c r="B740" s="36"/>
      <c r="C740" s="26"/>
      <c r="D740" s="27"/>
      <c r="E740" s="27"/>
      <c r="F740" s="36"/>
      <c r="G740" s="27"/>
      <c r="H740" s="37"/>
      <c r="I740" s="36"/>
      <c r="K740" s="26"/>
      <c r="M740" s="26"/>
      <c r="N740" s="26"/>
      <c r="O740" s="26"/>
      <c r="P740" s="26"/>
      <c r="Q740" s="26"/>
      <c r="R740" s="26"/>
      <c r="S740" s="26"/>
      <c r="T740" s="26"/>
    </row>
    <row r="741">
      <c r="A741" s="35"/>
      <c r="B741" s="36"/>
      <c r="C741" s="26"/>
      <c r="D741" s="27"/>
      <c r="E741" s="27"/>
      <c r="F741" s="36"/>
      <c r="G741" s="27"/>
      <c r="H741" s="37"/>
      <c r="I741" s="36"/>
      <c r="K741" s="26"/>
      <c r="M741" s="26"/>
      <c r="N741" s="26"/>
      <c r="O741" s="26"/>
      <c r="P741" s="26"/>
      <c r="Q741" s="26"/>
      <c r="R741" s="26"/>
      <c r="S741" s="26"/>
      <c r="T741" s="26"/>
    </row>
    <row r="742">
      <c r="A742" s="35"/>
      <c r="B742" s="36"/>
      <c r="C742" s="26"/>
      <c r="D742" s="27"/>
      <c r="E742" s="27"/>
      <c r="F742" s="36"/>
      <c r="G742" s="27"/>
      <c r="H742" s="37"/>
      <c r="I742" s="36"/>
      <c r="K742" s="26"/>
      <c r="M742" s="26"/>
      <c r="N742" s="26"/>
      <c r="O742" s="26"/>
      <c r="P742" s="26"/>
      <c r="Q742" s="26"/>
      <c r="R742" s="26"/>
      <c r="S742" s="26"/>
      <c r="T742" s="26"/>
    </row>
    <row r="743">
      <c r="A743" s="35"/>
      <c r="B743" s="36"/>
      <c r="C743" s="26"/>
      <c r="D743" s="27"/>
      <c r="E743" s="27"/>
      <c r="F743" s="36"/>
      <c r="G743" s="27"/>
      <c r="H743" s="37"/>
      <c r="I743" s="36"/>
      <c r="K743" s="26"/>
      <c r="M743" s="26"/>
      <c r="N743" s="26"/>
      <c r="O743" s="26"/>
      <c r="P743" s="26"/>
      <c r="Q743" s="26"/>
      <c r="R743" s="26"/>
      <c r="S743" s="26"/>
      <c r="T743" s="26"/>
    </row>
    <row r="744">
      <c r="A744" s="35"/>
      <c r="B744" s="36"/>
      <c r="C744" s="26"/>
      <c r="D744" s="27"/>
      <c r="E744" s="27"/>
      <c r="F744" s="36"/>
      <c r="G744" s="27"/>
      <c r="H744" s="37"/>
      <c r="I744" s="36"/>
      <c r="K744" s="26"/>
      <c r="M744" s="26"/>
      <c r="N744" s="26"/>
      <c r="O744" s="26"/>
      <c r="P744" s="26"/>
      <c r="Q744" s="26"/>
      <c r="R744" s="26"/>
      <c r="S744" s="26"/>
      <c r="T744" s="26"/>
    </row>
    <row r="745">
      <c r="A745" s="35"/>
      <c r="B745" s="36"/>
      <c r="C745" s="26"/>
      <c r="D745" s="27"/>
      <c r="E745" s="27"/>
      <c r="F745" s="36"/>
      <c r="G745" s="27"/>
      <c r="H745" s="37"/>
      <c r="I745" s="36"/>
      <c r="K745" s="26"/>
      <c r="M745" s="26"/>
      <c r="N745" s="26"/>
      <c r="O745" s="26"/>
      <c r="P745" s="26"/>
      <c r="Q745" s="26"/>
      <c r="R745" s="26"/>
      <c r="S745" s="26"/>
      <c r="T745" s="26"/>
    </row>
    <row r="746">
      <c r="A746" s="35"/>
      <c r="B746" s="36"/>
      <c r="C746" s="26"/>
      <c r="D746" s="27"/>
      <c r="E746" s="27"/>
      <c r="F746" s="36"/>
      <c r="G746" s="27"/>
      <c r="H746" s="37"/>
      <c r="I746" s="36"/>
      <c r="K746" s="26"/>
      <c r="M746" s="26"/>
      <c r="N746" s="26"/>
      <c r="O746" s="26"/>
      <c r="P746" s="26"/>
      <c r="Q746" s="26"/>
      <c r="R746" s="26"/>
      <c r="S746" s="26"/>
      <c r="T746" s="26"/>
    </row>
    <row r="747">
      <c r="A747" s="35"/>
      <c r="B747" s="36"/>
      <c r="C747" s="26"/>
      <c r="D747" s="27"/>
      <c r="E747" s="27"/>
      <c r="F747" s="36"/>
      <c r="G747" s="27"/>
      <c r="H747" s="37"/>
      <c r="I747" s="36"/>
      <c r="K747" s="26"/>
      <c r="M747" s="26"/>
      <c r="N747" s="26"/>
      <c r="O747" s="26"/>
      <c r="P747" s="26"/>
      <c r="Q747" s="26"/>
      <c r="R747" s="26"/>
      <c r="S747" s="26"/>
      <c r="T747" s="26"/>
    </row>
    <row r="748">
      <c r="A748" s="35"/>
      <c r="B748" s="36"/>
      <c r="C748" s="26"/>
      <c r="D748" s="27"/>
      <c r="E748" s="27"/>
      <c r="F748" s="36"/>
      <c r="G748" s="27"/>
      <c r="H748" s="37"/>
      <c r="I748" s="36"/>
      <c r="K748" s="26"/>
      <c r="M748" s="26"/>
      <c r="N748" s="26"/>
      <c r="O748" s="26"/>
      <c r="P748" s="26"/>
      <c r="Q748" s="26"/>
      <c r="R748" s="26"/>
      <c r="S748" s="26"/>
      <c r="T748" s="26"/>
    </row>
    <row r="749">
      <c r="A749" s="35"/>
      <c r="B749" s="36"/>
      <c r="C749" s="26"/>
      <c r="D749" s="27"/>
      <c r="E749" s="27"/>
      <c r="F749" s="36"/>
      <c r="G749" s="27"/>
      <c r="H749" s="37"/>
      <c r="I749" s="36"/>
      <c r="K749" s="26"/>
      <c r="M749" s="26"/>
      <c r="N749" s="26"/>
      <c r="O749" s="26"/>
      <c r="P749" s="26"/>
      <c r="Q749" s="26"/>
      <c r="R749" s="26"/>
      <c r="S749" s="26"/>
      <c r="T749" s="26"/>
    </row>
    <row r="750">
      <c r="A750" s="35"/>
      <c r="B750" s="36"/>
      <c r="C750" s="26"/>
      <c r="D750" s="27"/>
      <c r="E750" s="27"/>
      <c r="F750" s="36"/>
      <c r="G750" s="27"/>
      <c r="H750" s="37"/>
      <c r="I750" s="36"/>
      <c r="K750" s="26"/>
      <c r="M750" s="26"/>
      <c r="N750" s="26"/>
      <c r="O750" s="26"/>
      <c r="P750" s="26"/>
      <c r="Q750" s="26"/>
      <c r="R750" s="26"/>
      <c r="S750" s="26"/>
      <c r="T750" s="26"/>
    </row>
    <row r="751">
      <c r="A751" s="35"/>
      <c r="B751" s="36"/>
      <c r="C751" s="26"/>
      <c r="D751" s="27"/>
      <c r="E751" s="27"/>
      <c r="F751" s="36"/>
      <c r="G751" s="27"/>
      <c r="H751" s="37"/>
      <c r="I751" s="36"/>
      <c r="K751" s="26"/>
      <c r="M751" s="26"/>
      <c r="N751" s="26"/>
      <c r="O751" s="26"/>
      <c r="P751" s="26"/>
      <c r="Q751" s="26"/>
      <c r="R751" s="26"/>
      <c r="S751" s="26"/>
      <c r="T751" s="26"/>
    </row>
    <row r="752">
      <c r="A752" s="35"/>
      <c r="B752" s="36"/>
      <c r="C752" s="26"/>
      <c r="D752" s="27"/>
      <c r="E752" s="27"/>
      <c r="F752" s="36"/>
      <c r="G752" s="27"/>
      <c r="H752" s="37"/>
      <c r="I752" s="36"/>
      <c r="K752" s="26"/>
      <c r="M752" s="26"/>
      <c r="N752" s="26"/>
      <c r="O752" s="26"/>
      <c r="P752" s="26"/>
      <c r="Q752" s="26"/>
      <c r="R752" s="26"/>
      <c r="S752" s="26"/>
      <c r="T752" s="26"/>
    </row>
    <row r="753">
      <c r="A753" s="35"/>
      <c r="B753" s="36"/>
      <c r="C753" s="26"/>
      <c r="D753" s="27"/>
      <c r="E753" s="27"/>
      <c r="F753" s="36"/>
      <c r="G753" s="27"/>
      <c r="H753" s="37"/>
      <c r="I753" s="36"/>
      <c r="K753" s="26"/>
      <c r="M753" s="26"/>
      <c r="N753" s="26"/>
      <c r="O753" s="26"/>
      <c r="P753" s="26"/>
      <c r="Q753" s="26"/>
      <c r="R753" s="26"/>
      <c r="S753" s="26"/>
      <c r="T753" s="26"/>
    </row>
    <row r="754">
      <c r="A754" s="35"/>
      <c r="B754" s="36"/>
      <c r="C754" s="26"/>
      <c r="D754" s="27"/>
      <c r="E754" s="27"/>
      <c r="F754" s="36"/>
      <c r="G754" s="27"/>
      <c r="H754" s="37"/>
      <c r="I754" s="36"/>
      <c r="K754" s="26"/>
      <c r="M754" s="26"/>
      <c r="N754" s="26"/>
      <c r="O754" s="26"/>
      <c r="P754" s="26"/>
      <c r="Q754" s="26"/>
      <c r="R754" s="26"/>
      <c r="S754" s="26"/>
      <c r="T754" s="26"/>
    </row>
    <row r="755">
      <c r="A755" s="35"/>
      <c r="B755" s="36"/>
      <c r="C755" s="26"/>
      <c r="D755" s="27"/>
      <c r="E755" s="27"/>
      <c r="F755" s="36"/>
      <c r="G755" s="27"/>
      <c r="H755" s="37"/>
      <c r="I755" s="36"/>
      <c r="K755" s="26"/>
      <c r="M755" s="26"/>
      <c r="N755" s="26"/>
      <c r="O755" s="26"/>
      <c r="P755" s="26"/>
      <c r="Q755" s="26"/>
      <c r="R755" s="26"/>
      <c r="S755" s="26"/>
      <c r="T755" s="26"/>
    </row>
    <row r="756">
      <c r="A756" s="35"/>
      <c r="B756" s="36"/>
      <c r="C756" s="26"/>
      <c r="D756" s="27"/>
      <c r="E756" s="27"/>
      <c r="F756" s="36"/>
      <c r="G756" s="27"/>
      <c r="H756" s="37"/>
      <c r="I756" s="36"/>
      <c r="K756" s="26"/>
      <c r="M756" s="26"/>
      <c r="N756" s="26"/>
      <c r="O756" s="26"/>
      <c r="P756" s="26"/>
      <c r="Q756" s="26"/>
      <c r="R756" s="26"/>
      <c r="S756" s="26"/>
      <c r="T756" s="26"/>
    </row>
    <row r="757">
      <c r="A757" s="35"/>
      <c r="B757" s="36"/>
      <c r="C757" s="26"/>
      <c r="D757" s="27"/>
      <c r="E757" s="27"/>
      <c r="F757" s="36"/>
      <c r="G757" s="27"/>
      <c r="H757" s="37"/>
      <c r="I757" s="36"/>
      <c r="K757" s="26"/>
      <c r="M757" s="26"/>
      <c r="N757" s="26"/>
      <c r="O757" s="26"/>
      <c r="P757" s="26"/>
      <c r="Q757" s="26"/>
      <c r="R757" s="26"/>
      <c r="S757" s="26"/>
      <c r="T757" s="26"/>
    </row>
    <row r="758">
      <c r="A758" s="35"/>
      <c r="B758" s="36"/>
      <c r="C758" s="26"/>
      <c r="D758" s="27"/>
      <c r="E758" s="27"/>
      <c r="F758" s="36"/>
      <c r="G758" s="27"/>
      <c r="H758" s="37"/>
      <c r="I758" s="36"/>
      <c r="K758" s="26"/>
      <c r="M758" s="26"/>
      <c r="N758" s="26"/>
      <c r="O758" s="26"/>
      <c r="P758" s="26"/>
      <c r="Q758" s="26"/>
      <c r="R758" s="26"/>
      <c r="S758" s="26"/>
      <c r="T758" s="26"/>
    </row>
    <row r="759">
      <c r="A759" s="35"/>
      <c r="B759" s="36"/>
      <c r="C759" s="26"/>
      <c r="D759" s="27"/>
      <c r="E759" s="27"/>
      <c r="F759" s="36"/>
      <c r="G759" s="27"/>
      <c r="H759" s="37"/>
      <c r="I759" s="36"/>
      <c r="K759" s="26"/>
      <c r="M759" s="26"/>
      <c r="N759" s="26"/>
      <c r="O759" s="26"/>
      <c r="P759" s="26"/>
      <c r="Q759" s="26"/>
      <c r="R759" s="26"/>
      <c r="S759" s="26"/>
      <c r="T759" s="26"/>
    </row>
    <row r="760">
      <c r="A760" s="35"/>
      <c r="B760" s="36"/>
      <c r="C760" s="26"/>
      <c r="D760" s="27"/>
      <c r="E760" s="27"/>
      <c r="F760" s="36"/>
      <c r="G760" s="27"/>
      <c r="H760" s="37"/>
      <c r="I760" s="36"/>
      <c r="K760" s="26"/>
      <c r="M760" s="26"/>
      <c r="N760" s="26"/>
      <c r="O760" s="26"/>
      <c r="P760" s="26"/>
      <c r="Q760" s="26"/>
      <c r="R760" s="26"/>
      <c r="S760" s="26"/>
      <c r="T760" s="26"/>
    </row>
    <row r="761">
      <c r="A761" s="35"/>
      <c r="B761" s="36"/>
      <c r="C761" s="26"/>
      <c r="D761" s="27"/>
      <c r="E761" s="27"/>
      <c r="F761" s="36"/>
      <c r="G761" s="27"/>
      <c r="H761" s="37"/>
      <c r="I761" s="36"/>
      <c r="K761" s="26"/>
      <c r="M761" s="26"/>
      <c r="N761" s="26"/>
      <c r="O761" s="26"/>
      <c r="P761" s="26"/>
      <c r="Q761" s="26"/>
      <c r="R761" s="26"/>
      <c r="S761" s="26"/>
      <c r="T761" s="26"/>
    </row>
    <row r="762">
      <c r="A762" s="35"/>
      <c r="B762" s="36"/>
      <c r="C762" s="26"/>
      <c r="D762" s="27"/>
      <c r="E762" s="27"/>
      <c r="F762" s="36"/>
      <c r="G762" s="27"/>
      <c r="H762" s="37"/>
      <c r="I762" s="36"/>
      <c r="K762" s="26"/>
      <c r="M762" s="26"/>
      <c r="N762" s="26"/>
      <c r="O762" s="26"/>
      <c r="P762" s="26"/>
      <c r="Q762" s="26"/>
      <c r="R762" s="26"/>
      <c r="S762" s="26"/>
      <c r="T762" s="26"/>
    </row>
    <row r="763">
      <c r="A763" s="35"/>
      <c r="B763" s="36"/>
      <c r="C763" s="26"/>
      <c r="D763" s="27"/>
      <c r="E763" s="27"/>
      <c r="F763" s="36"/>
      <c r="G763" s="27"/>
      <c r="H763" s="37"/>
      <c r="I763" s="36"/>
      <c r="K763" s="26"/>
      <c r="M763" s="26"/>
      <c r="N763" s="26"/>
      <c r="O763" s="26"/>
      <c r="P763" s="26"/>
      <c r="Q763" s="26"/>
      <c r="R763" s="26"/>
      <c r="S763" s="26"/>
      <c r="T763" s="26"/>
    </row>
    <row r="764">
      <c r="A764" s="35"/>
      <c r="B764" s="36"/>
      <c r="C764" s="26"/>
      <c r="D764" s="27"/>
      <c r="E764" s="27"/>
      <c r="F764" s="36"/>
      <c r="G764" s="27"/>
      <c r="H764" s="37"/>
      <c r="I764" s="36"/>
      <c r="K764" s="26"/>
      <c r="M764" s="26"/>
      <c r="N764" s="26"/>
      <c r="O764" s="26"/>
      <c r="P764" s="26"/>
      <c r="Q764" s="26"/>
      <c r="R764" s="26"/>
      <c r="S764" s="26"/>
      <c r="T764" s="26"/>
    </row>
    <row r="765">
      <c r="A765" s="35"/>
      <c r="B765" s="36"/>
      <c r="C765" s="26"/>
      <c r="D765" s="27"/>
      <c r="E765" s="27"/>
      <c r="F765" s="36"/>
      <c r="G765" s="27"/>
      <c r="H765" s="37"/>
      <c r="I765" s="36"/>
      <c r="K765" s="26"/>
      <c r="M765" s="26"/>
      <c r="N765" s="26"/>
      <c r="O765" s="26"/>
      <c r="P765" s="26"/>
      <c r="Q765" s="26"/>
      <c r="R765" s="26"/>
      <c r="S765" s="26"/>
      <c r="T765" s="26"/>
    </row>
    <row r="766">
      <c r="A766" s="35"/>
      <c r="B766" s="36"/>
      <c r="C766" s="26"/>
      <c r="D766" s="27"/>
      <c r="E766" s="27"/>
      <c r="F766" s="36"/>
      <c r="G766" s="27"/>
      <c r="H766" s="37"/>
      <c r="I766" s="36"/>
      <c r="K766" s="26"/>
      <c r="M766" s="26"/>
      <c r="N766" s="26"/>
      <c r="O766" s="26"/>
      <c r="P766" s="26"/>
      <c r="Q766" s="26"/>
      <c r="R766" s="26"/>
      <c r="S766" s="26"/>
      <c r="T766" s="26"/>
    </row>
    <row r="767">
      <c r="A767" s="35"/>
      <c r="B767" s="36"/>
      <c r="C767" s="26"/>
      <c r="D767" s="27"/>
      <c r="E767" s="27"/>
      <c r="F767" s="36"/>
      <c r="G767" s="27"/>
      <c r="H767" s="37"/>
      <c r="I767" s="36"/>
      <c r="K767" s="26"/>
      <c r="M767" s="26"/>
      <c r="N767" s="26"/>
      <c r="O767" s="26"/>
      <c r="P767" s="26"/>
      <c r="Q767" s="26"/>
      <c r="R767" s="26"/>
      <c r="S767" s="26"/>
      <c r="T767" s="26"/>
    </row>
    <row r="768">
      <c r="A768" s="35"/>
      <c r="B768" s="36"/>
      <c r="C768" s="26"/>
      <c r="D768" s="27"/>
      <c r="E768" s="27"/>
      <c r="F768" s="36"/>
      <c r="G768" s="27"/>
      <c r="H768" s="37"/>
      <c r="I768" s="36"/>
      <c r="K768" s="26"/>
      <c r="M768" s="26"/>
      <c r="N768" s="26"/>
      <c r="O768" s="26"/>
      <c r="P768" s="26"/>
      <c r="Q768" s="26"/>
      <c r="R768" s="26"/>
      <c r="S768" s="26"/>
      <c r="T768" s="26"/>
    </row>
    <row r="769">
      <c r="A769" s="35"/>
      <c r="B769" s="36"/>
      <c r="C769" s="26"/>
      <c r="D769" s="27"/>
      <c r="E769" s="27"/>
      <c r="F769" s="36"/>
      <c r="G769" s="27"/>
      <c r="H769" s="37"/>
      <c r="I769" s="36"/>
      <c r="K769" s="26"/>
      <c r="M769" s="26"/>
      <c r="N769" s="26"/>
      <c r="O769" s="26"/>
      <c r="P769" s="26"/>
      <c r="Q769" s="26"/>
      <c r="R769" s="26"/>
      <c r="S769" s="26"/>
      <c r="T769" s="26"/>
    </row>
    <row r="770">
      <c r="A770" s="35"/>
      <c r="B770" s="36"/>
      <c r="C770" s="26"/>
      <c r="D770" s="27"/>
      <c r="E770" s="27"/>
      <c r="F770" s="36"/>
      <c r="G770" s="27"/>
      <c r="H770" s="37"/>
      <c r="I770" s="36"/>
      <c r="K770" s="26"/>
      <c r="M770" s="26"/>
      <c r="N770" s="26"/>
      <c r="O770" s="26"/>
      <c r="P770" s="26"/>
      <c r="Q770" s="26"/>
      <c r="R770" s="26"/>
      <c r="S770" s="26"/>
      <c r="T770" s="26"/>
    </row>
    <row r="771">
      <c r="A771" s="35"/>
      <c r="B771" s="36"/>
      <c r="C771" s="26"/>
      <c r="D771" s="27"/>
      <c r="E771" s="27"/>
      <c r="F771" s="36"/>
      <c r="G771" s="27"/>
      <c r="H771" s="37"/>
      <c r="I771" s="36"/>
      <c r="K771" s="26"/>
      <c r="M771" s="26"/>
      <c r="N771" s="26"/>
      <c r="O771" s="26"/>
      <c r="P771" s="26"/>
      <c r="Q771" s="26"/>
      <c r="R771" s="26"/>
      <c r="S771" s="26"/>
      <c r="T771" s="26"/>
    </row>
    <row r="772">
      <c r="A772" s="35"/>
      <c r="B772" s="36"/>
      <c r="C772" s="26"/>
      <c r="D772" s="27"/>
      <c r="E772" s="27"/>
      <c r="F772" s="36"/>
      <c r="G772" s="27"/>
      <c r="H772" s="37"/>
      <c r="I772" s="36"/>
      <c r="K772" s="26"/>
      <c r="M772" s="26"/>
      <c r="N772" s="26"/>
      <c r="O772" s="26"/>
      <c r="P772" s="26"/>
      <c r="Q772" s="26"/>
      <c r="R772" s="26"/>
      <c r="S772" s="26"/>
      <c r="T772" s="26"/>
    </row>
    <row r="773">
      <c r="A773" s="35"/>
      <c r="B773" s="36"/>
      <c r="C773" s="26"/>
      <c r="D773" s="27"/>
      <c r="E773" s="27"/>
      <c r="F773" s="36"/>
      <c r="G773" s="27"/>
      <c r="H773" s="37"/>
      <c r="I773" s="36"/>
      <c r="K773" s="26"/>
      <c r="M773" s="26"/>
      <c r="N773" s="26"/>
      <c r="O773" s="26"/>
      <c r="P773" s="26"/>
      <c r="Q773" s="26"/>
      <c r="R773" s="26"/>
      <c r="S773" s="26"/>
      <c r="T773" s="26"/>
    </row>
    <row r="774">
      <c r="A774" s="35"/>
      <c r="B774" s="36"/>
      <c r="C774" s="26"/>
      <c r="D774" s="27"/>
      <c r="E774" s="27"/>
      <c r="F774" s="36"/>
      <c r="G774" s="27"/>
      <c r="H774" s="37"/>
      <c r="I774" s="36"/>
      <c r="K774" s="26"/>
      <c r="M774" s="26"/>
      <c r="N774" s="26"/>
      <c r="O774" s="26"/>
      <c r="P774" s="26"/>
      <c r="Q774" s="26"/>
      <c r="R774" s="26"/>
      <c r="S774" s="26"/>
      <c r="T774" s="26"/>
    </row>
    <row r="775">
      <c r="A775" s="35"/>
      <c r="B775" s="36"/>
      <c r="C775" s="26"/>
      <c r="D775" s="27"/>
      <c r="E775" s="27"/>
      <c r="F775" s="36"/>
      <c r="G775" s="27"/>
      <c r="H775" s="37"/>
      <c r="I775" s="36"/>
      <c r="K775" s="26"/>
      <c r="M775" s="26"/>
      <c r="N775" s="26"/>
      <c r="O775" s="26"/>
      <c r="P775" s="26"/>
      <c r="Q775" s="26"/>
      <c r="R775" s="26"/>
      <c r="S775" s="26"/>
      <c r="T775" s="26"/>
    </row>
    <row r="776">
      <c r="A776" s="35"/>
      <c r="B776" s="36"/>
      <c r="C776" s="26"/>
      <c r="D776" s="27"/>
      <c r="E776" s="27"/>
      <c r="F776" s="36"/>
      <c r="G776" s="27"/>
      <c r="H776" s="37"/>
      <c r="I776" s="36"/>
      <c r="K776" s="26"/>
      <c r="M776" s="26"/>
      <c r="N776" s="26"/>
      <c r="O776" s="26"/>
      <c r="P776" s="26"/>
      <c r="Q776" s="26"/>
      <c r="R776" s="26"/>
      <c r="S776" s="26"/>
      <c r="T776" s="26"/>
    </row>
    <row r="777">
      <c r="A777" s="35"/>
      <c r="B777" s="36"/>
      <c r="C777" s="26"/>
      <c r="D777" s="27"/>
      <c r="E777" s="27"/>
      <c r="F777" s="36"/>
      <c r="G777" s="27"/>
      <c r="H777" s="37"/>
      <c r="I777" s="36"/>
      <c r="K777" s="26"/>
      <c r="M777" s="26"/>
      <c r="N777" s="26"/>
      <c r="O777" s="26"/>
      <c r="P777" s="26"/>
      <c r="Q777" s="26"/>
      <c r="R777" s="26"/>
      <c r="S777" s="26"/>
      <c r="T777" s="26"/>
    </row>
    <row r="778">
      <c r="A778" s="35"/>
      <c r="B778" s="36"/>
      <c r="C778" s="26"/>
      <c r="D778" s="27"/>
      <c r="E778" s="27"/>
      <c r="F778" s="36"/>
      <c r="G778" s="27"/>
      <c r="H778" s="37"/>
      <c r="I778" s="36"/>
      <c r="K778" s="26"/>
      <c r="M778" s="26"/>
      <c r="N778" s="26"/>
      <c r="O778" s="26"/>
      <c r="P778" s="26"/>
      <c r="Q778" s="26"/>
      <c r="R778" s="26"/>
      <c r="S778" s="26"/>
      <c r="T778" s="26"/>
    </row>
    <row r="779">
      <c r="A779" s="35"/>
      <c r="B779" s="36"/>
      <c r="C779" s="26"/>
      <c r="D779" s="27"/>
      <c r="E779" s="27"/>
      <c r="F779" s="36"/>
      <c r="G779" s="27"/>
      <c r="H779" s="37"/>
      <c r="I779" s="36"/>
      <c r="K779" s="26"/>
      <c r="M779" s="26"/>
      <c r="N779" s="26"/>
      <c r="O779" s="26"/>
      <c r="P779" s="26"/>
      <c r="Q779" s="26"/>
      <c r="R779" s="26"/>
      <c r="S779" s="26"/>
      <c r="T779" s="26"/>
    </row>
    <row r="780">
      <c r="A780" s="35"/>
      <c r="B780" s="36"/>
      <c r="C780" s="26"/>
      <c r="D780" s="27"/>
      <c r="E780" s="27"/>
      <c r="F780" s="36"/>
      <c r="G780" s="27"/>
      <c r="H780" s="37"/>
      <c r="I780" s="36"/>
      <c r="K780" s="26"/>
      <c r="M780" s="26"/>
      <c r="N780" s="26"/>
      <c r="O780" s="26"/>
      <c r="P780" s="26"/>
      <c r="Q780" s="26"/>
      <c r="R780" s="26"/>
      <c r="S780" s="26"/>
      <c r="T780" s="26"/>
    </row>
    <row r="781">
      <c r="A781" s="35"/>
      <c r="B781" s="36"/>
      <c r="C781" s="26"/>
      <c r="D781" s="27"/>
      <c r="E781" s="27"/>
      <c r="F781" s="36"/>
      <c r="G781" s="27"/>
      <c r="H781" s="37"/>
      <c r="I781" s="36"/>
      <c r="K781" s="26"/>
      <c r="M781" s="26"/>
      <c r="N781" s="26"/>
      <c r="O781" s="26"/>
      <c r="P781" s="26"/>
      <c r="Q781" s="26"/>
      <c r="R781" s="26"/>
      <c r="S781" s="26"/>
      <c r="T781" s="26"/>
    </row>
    <row r="782">
      <c r="A782" s="35"/>
      <c r="B782" s="36"/>
      <c r="C782" s="26"/>
      <c r="D782" s="27"/>
      <c r="E782" s="27"/>
      <c r="F782" s="36"/>
      <c r="G782" s="27"/>
      <c r="H782" s="37"/>
      <c r="I782" s="36"/>
      <c r="K782" s="26"/>
      <c r="M782" s="26"/>
      <c r="N782" s="26"/>
      <c r="O782" s="26"/>
      <c r="P782" s="26"/>
      <c r="Q782" s="26"/>
      <c r="R782" s="26"/>
      <c r="S782" s="26"/>
      <c r="T782" s="26"/>
    </row>
    <row r="783">
      <c r="A783" s="35"/>
      <c r="B783" s="36"/>
      <c r="C783" s="26"/>
      <c r="D783" s="27"/>
      <c r="E783" s="27"/>
      <c r="F783" s="36"/>
      <c r="G783" s="27"/>
      <c r="H783" s="37"/>
      <c r="I783" s="36"/>
      <c r="K783" s="26"/>
      <c r="M783" s="26"/>
      <c r="N783" s="26"/>
      <c r="O783" s="26"/>
      <c r="P783" s="26"/>
      <c r="Q783" s="26"/>
      <c r="R783" s="26"/>
      <c r="S783" s="26"/>
      <c r="T783" s="26"/>
    </row>
    <row r="784">
      <c r="A784" s="35"/>
      <c r="B784" s="36"/>
      <c r="C784" s="26"/>
      <c r="D784" s="27"/>
      <c r="E784" s="27"/>
      <c r="F784" s="36"/>
      <c r="G784" s="27"/>
      <c r="H784" s="37"/>
      <c r="I784" s="36"/>
      <c r="K784" s="26"/>
      <c r="M784" s="26"/>
      <c r="N784" s="26"/>
      <c r="O784" s="26"/>
      <c r="P784" s="26"/>
      <c r="Q784" s="26"/>
      <c r="R784" s="26"/>
      <c r="S784" s="26"/>
      <c r="T784" s="26"/>
    </row>
    <row r="785">
      <c r="A785" s="35"/>
      <c r="B785" s="36"/>
      <c r="C785" s="26"/>
      <c r="D785" s="27"/>
      <c r="E785" s="27"/>
      <c r="F785" s="36"/>
      <c r="G785" s="27"/>
      <c r="H785" s="37"/>
      <c r="I785" s="36"/>
      <c r="K785" s="26"/>
      <c r="M785" s="26"/>
      <c r="N785" s="26"/>
      <c r="O785" s="26"/>
      <c r="P785" s="26"/>
      <c r="Q785" s="26"/>
      <c r="R785" s="26"/>
      <c r="S785" s="26"/>
      <c r="T785" s="26"/>
    </row>
    <row r="786">
      <c r="A786" s="35"/>
      <c r="B786" s="36"/>
      <c r="C786" s="26"/>
      <c r="D786" s="27"/>
      <c r="E786" s="27"/>
      <c r="F786" s="36"/>
      <c r="G786" s="27"/>
      <c r="H786" s="37"/>
      <c r="I786" s="36"/>
      <c r="K786" s="26"/>
      <c r="M786" s="26"/>
      <c r="N786" s="26"/>
      <c r="O786" s="26"/>
      <c r="P786" s="26"/>
      <c r="Q786" s="26"/>
      <c r="R786" s="26"/>
      <c r="S786" s="26"/>
      <c r="T786" s="26"/>
    </row>
    <row r="787">
      <c r="A787" s="35"/>
      <c r="B787" s="36"/>
      <c r="C787" s="26"/>
      <c r="D787" s="27"/>
      <c r="E787" s="27"/>
      <c r="F787" s="36"/>
      <c r="G787" s="27"/>
      <c r="H787" s="37"/>
      <c r="I787" s="36"/>
      <c r="K787" s="26"/>
      <c r="M787" s="26"/>
      <c r="N787" s="26"/>
      <c r="O787" s="26"/>
      <c r="P787" s="26"/>
      <c r="Q787" s="26"/>
      <c r="R787" s="26"/>
      <c r="S787" s="26"/>
      <c r="T787" s="26"/>
    </row>
    <row r="788">
      <c r="A788" s="35"/>
      <c r="B788" s="36"/>
      <c r="C788" s="26"/>
      <c r="D788" s="27"/>
      <c r="E788" s="27"/>
      <c r="F788" s="36"/>
      <c r="G788" s="27"/>
      <c r="H788" s="37"/>
      <c r="I788" s="36"/>
      <c r="K788" s="26"/>
      <c r="M788" s="26"/>
      <c r="N788" s="26"/>
      <c r="O788" s="26"/>
      <c r="P788" s="26"/>
      <c r="Q788" s="26"/>
      <c r="R788" s="26"/>
      <c r="S788" s="26"/>
      <c r="T788" s="26"/>
    </row>
    <row r="789">
      <c r="A789" s="35"/>
      <c r="B789" s="36"/>
      <c r="C789" s="26"/>
      <c r="D789" s="27"/>
      <c r="E789" s="27"/>
      <c r="F789" s="36"/>
      <c r="G789" s="27"/>
      <c r="H789" s="37"/>
      <c r="I789" s="36"/>
      <c r="K789" s="26"/>
      <c r="M789" s="26"/>
      <c r="N789" s="26"/>
      <c r="O789" s="26"/>
      <c r="P789" s="26"/>
      <c r="Q789" s="26"/>
      <c r="R789" s="26"/>
      <c r="S789" s="26"/>
      <c r="T789" s="26"/>
    </row>
    <row r="790">
      <c r="A790" s="35"/>
      <c r="B790" s="36"/>
      <c r="C790" s="26"/>
      <c r="D790" s="27"/>
      <c r="E790" s="27"/>
      <c r="F790" s="36"/>
      <c r="G790" s="27"/>
      <c r="H790" s="37"/>
      <c r="I790" s="36"/>
      <c r="K790" s="26"/>
      <c r="M790" s="26"/>
      <c r="N790" s="26"/>
      <c r="O790" s="26"/>
      <c r="P790" s="26"/>
      <c r="Q790" s="26"/>
      <c r="R790" s="26"/>
      <c r="S790" s="26"/>
      <c r="T790" s="26"/>
    </row>
    <row r="791">
      <c r="A791" s="35"/>
      <c r="B791" s="36"/>
      <c r="C791" s="26"/>
      <c r="D791" s="27"/>
      <c r="E791" s="27"/>
      <c r="F791" s="36"/>
      <c r="G791" s="27"/>
      <c r="H791" s="37"/>
      <c r="I791" s="36"/>
      <c r="K791" s="26"/>
      <c r="M791" s="26"/>
      <c r="N791" s="26"/>
      <c r="O791" s="26"/>
      <c r="P791" s="26"/>
      <c r="Q791" s="26"/>
      <c r="R791" s="26"/>
      <c r="S791" s="26"/>
      <c r="T791" s="26"/>
    </row>
    <row r="792">
      <c r="A792" s="35"/>
      <c r="B792" s="36"/>
      <c r="C792" s="26"/>
      <c r="D792" s="27"/>
      <c r="E792" s="27"/>
      <c r="F792" s="36"/>
      <c r="G792" s="27"/>
      <c r="H792" s="37"/>
      <c r="I792" s="36"/>
      <c r="K792" s="26"/>
      <c r="M792" s="26"/>
      <c r="N792" s="26"/>
      <c r="O792" s="26"/>
      <c r="P792" s="26"/>
      <c r="Q792" s="26"/>
      <c r="R792" s="26"/>
      <c r="S792" s="26"/>
      <c r="T792" s="26"/>
    </row>
    <row r="793">
      <c r="A793" s="35"/>
      <c r="B793" s="36"/>
      <c r="C793" s="26"/>
      <c r="D793" s="27"/>
      <c r="E793" s="27"/>
      <c r="F793" s="36"/>
      <c r="G793" s="27"/>
      <c r="H793" s="37"/>
      <c r="I793" s="36"/>
      <c r="K793" s="26"/>
      <c r="M793" s="26"/>
      <c r="N793" s="26"/>
      <c r="O793" s="26"/>
      <c r="P793" s="26"/>
      <c r="Q793" s="26"/>
      <c r="R793" s="26"/>
      <c r="S793" s="26"/>
      <c r="T793" s="26"/>
    </row>
    <row r="794">
      <c r="A794" s="35"/>
      <c r="B794" s="36"/>
      <c r="C794" s="26"/>
      <c r="D794" s="27"/>
      <c r="E794" s="27"/>
      <c r="F794" s="36"/>
      <c r="G794" s="27"/>
      <c r="H794" s="37"/>
      <c r="I794" s="36"/>
      <c r="K794" s="26"/>
      <c r="M794" s="26"/>
      <c r="N794" s="26"/>
      <c r="O794" s="26"/>
      <c r="P794" s="26"/>
      <c r="Q794" s="26"/>
      <c r="R794" s="26"/>
      <c r="S794" s="26"/>
      <c r="T794" s="26"/>
    </row>
    <row r="795">
      <c r="A795" s="35"/>
      <c r="B795" s="36"/>
      <c r="C795" s="26"/>
      <c r="D795" s="27"/>
      <c r="E795" s="27"/>
      <c r="F795" s="36"/>
      <c r="G795" s="27"/>
      <c r="H795" s="37"/>
      <c r="I795" s="36"/>
      <c r="K795" s="26"/>
      <c r="M795" s="26"/>
      <c r="N795" s="26"/>
      <c r="O795" s="26"/>
      <c r="P795" s="26"/>
      <c r="Q795" s="26"/>
      <c r="R795" s="26"/>
      <c r="S795" s="26"/>
      <c r="T795" s="26"/>
    </row>
    <row r="796">
      <c r="A796" s="35"/>
      <c r="B796" s="36"/>
      <c r="C796" s="26"/>
      <c r="D796" s="27"/>
      <c r="E796" s="27"/>
      <c r="F796" s="36"/>
      <c r="G796" s="27"/>
      <c r="H796" s="37"/>
      <c r="I796" s="36"/>
      <c r="K796" s="26"/>
      <c r="M796" s="26"/>
      <c r="N796" s="26"/>
      <c r="O796" s="26"/>
      <c r="P796" s="26"/>
      <c r="Q796" s="26"/>
      <c r="R796" s="26"/>
      <c r="S796" s="26"/>
      <c r="T796" s="26"/>
    </row>
    <row r="797">
      <c r="A797" s="35"/>
      <c r="B797" s="36"/>
      <c r="C797" s="26"/>
      <c r="D797" s="27"/>
      <c r="E797" s="27"/>
      <c r="F797" s="36"/>
      <c r="G797" s="27"/>
      <c r="H797" s="37"/>
      <c r="I797" s="36"/>
      <c r="K797" s="26"/>
      <c r="M797" s="26"/>
      <c r="N797" s="26"/>
      <c r="O797" s="26"/>
      <c r="P797" s="26"/>
      <c r="Q797" s="26"/>
      <c r="R797" s="26"/>
      <c r="S797" s="26"/>
      <c r="T797" s="26"/>
    </row>
    <row r="798">
      <c r="A798" s="35"/>
      <c r="B798" s="36"/>
      <c r="C798" s="26"/>
      <c r="D798" s="27"/>
      <c r="E798" s="27"/>
      <c r="F798" s="36"/>
      <c r="G798" s="27"/>
      <c r="H798" s="37"/>
      <c r="I798" s="36"/>
      <c r="K798" s="26"/>
      <c r="M798" s="26"/>
      <c r="N798" s="26"/>
      <c r="O798" s="26"/>
      <c r="P798" s="26"/>
      <c r="Q798" s="26"/>
      <c r="R798" s="26"/>
      <c r="S798" s="26"/>
      <c r="T798" s="26"/>
    </row>
    <row r="799">
      <c r="A799" s="35"/>
      <c r="B799" s="36"/>
      <c r="C799" s="26"/>
      <c r="D799" s="27"/>
      <c r="E799" s="27"/>
      <c r="F799" s="36"/>
      <c r="G799" s="27"/>
      <c r="H799" s="37"/>
      <c r="I799" s="36"/>
      <c r="K799" s="26"/>
      <c r="M799" s="26"/>
      <c r="N799" s="26"/>
      <c r="O799" s="26"/>
      <c r="P799" s="26"/>
      <c r="Q799" s="26"/>
      <c r="R799" s="26"/>
      <c r="S799" s="26"/>
      <c r="T799" s="26"/>
    </row>
    <row r="800">
      <c r="A800" s="35"/>
      <c r="B800" s="36"/>
      <c r="C800" s="26"/>
      <c r="D800" s="27"/>
      <c r="E800" s="27"/>
      <c r="F800" s="36"/>
      <c r="G800" s="27"/>
      <c r="H800" s="37"/>
      <c r="I800" s="36"/>
      <c r="K800" s="26"/>
      <c r="M800" s="26"/>
      <c r="N800" s="26"/>
      <c r="O800" s="26"/>
      <c r="P800" s="26"/>
      <c r="Q800" s="26"/>
      <c r="R800" s="26"/>
      <c r="S800" s="26"/>
      <c r="T800" s="26"/>
    </row>
    <row r="801">
      <c r="A801" s="35"/>
      <c r="B801" s="36"/>
      <c r="C801" s="26"/>
      <c r="D801" s="27"/>
      <c r="E801" s="27"/>
      <c r="F801" s="36"/>
      <c r="G801" s="27"/>
      <c r="H801" s="37"/>
      <c r="I801" s="36"/>
      <c r="K801" s="26"/>
      <c r="M801" s="26"/>
      <c r="N801" s="26"/>
      <c r="O801" s="26"/>
      <c r="P801" s="26"/>
      <c r="Q801" s="26"/>
      <c r="R801" s="26"/>
      <c r="S801" s="26"/>
      <c r="T801" s="26"/>
    </row>
    <row r="802">
      <c r="A802" s="35"/>
      <c r="B802" s="36"/>
      <c r="C802" s="26"/>
      <c r="D802" s="27"/>
      <c r="E802" s="27"/>
      <c r="F802" s="36"/>
      <c r="G802" s="27"/>
      <c r="H802" s="37"/>
      <c r="I802" s="36"/>
      <c r="K802" s="26"/>
      <c r="M802" s="26"/>
      <c r="N802" s="26"/>
      <c r="O802" s="26"/>
      <c r="P802" s="26"/>
      <c r="Q802" s="26"/>
      <c r="R802" s="26"/>
      <c r="S802" s="26"/>
      <c r="T802" s="26"/>
    </row>
    <row r="803">
      <c r="A803" s="35"/>
      <c r="B803" s="36"/>
      <c r="C803" s="26"/>
      <c r="D803" s="27"/>
      <c r="E803" s="27"/>
      <c r="F803" s="36"/>
      <c r="G803" s="27"/>
      <c r="H803" s="37"/>
      <c r="I803" s="36"/>
      <c r="K803" s="26"/>
      <c r="M803" s="26"/>
      <c r="N803" s="26"/>
      <c r="O803" s="26"/>
      <c r="P803" s="26"/>
      <c r="Q803" s="26"/>
      <c r="R803" s="26"/>
      <c r="S803" s="26"/>
      <c r="T803" s="26"/>
    </row>
    <row r="804">
      <c r="A804" s="35"/>
      <c r="B804" s="36"/>
      <c r="C804" s="26"/>
      <c r="D804" s="27"/>
      <c r="E804" s="27"/>
      <c r="F804" s="36"/>
      <c r="G804" s="27"/>
      <c r="H804" s="37"/>
      <c r="I804" s="36"/>
      <c r="K804" s="26"/>
      <c r="M804" s="26"/>
      <c r="N804" s="26"/>
      <c r="O804" s="26"/>
      <c r="P804" s="26"/>
      <c r="Q804" s="26"/>
      <c r="R804" s="26"/>
      <c r="S804" s="26"/>
      <c r="T804" s="26"/>
    </row>
    <row r="805">
      <c r="A805" s="35"/>
      <c r="B805" s="36"/>
      <c r="C805" s="26"/>
      <c r="D805" s="27"/>
      <c r="E805" s="27"/>
      <c r="F805" s="36"/>
      <c r="G805" s="27"/>
      <c r="H805" s="37"/>
      <c r="I805" s="36"/>
      <c r="K805" s="26"/>
      <c r="M805" s="26"/>
      <c r="N805" s="26"/>
      <c r="O805" s="26"/>
      <c r="P805" s="26"/>
      <c r="Q805" s="26"/>
      <c r="R805" s="26"/>
      <c r="S805" s="26"/>
      <c r="T805" s="26"/>
    </row>
    <row r="806">
      <c r="A806" s="35"/>
      <c r="B806" s="36"/>
      <c r="C806" s="26"/>
      <c r="D806" s="27"/>
      <c r="E806" s="27"/>
      <c r="F806" s="36"/>
      <c r="G806" s="27"/>
      <c r="H806" s="37"/>
      <c r="I806" s="36"/>
      <c r="K806" s="26"/>
      <c r="M806" s="26"/>
      <c r="N806" s="26"/>
      <c r="O806" s="26"/>
      <c r="P806" s="26"/>
      <c r="Q806" s="26"/>
      <c r="R806" s="26"/>
      <c r="S806" s="26"/>
      <c r="T806" s="26"/>
    </row>
    <row r="807">
      <c r="A807" s="35"/>
      <c r="B807" s="36"/>
      <c r="C807" s="26"/>
      <c r="D807" s="27"/>
      <c r="E807" s="27"/>
      <c r="F807" s="36"/>
      <c r="G807" s="27"/>
      <c r="H807" s="37"/>
      <c r="I807" s="36"/>
      <c r="K807" s="26"/>
      <c r="M807" s="26"/>
      <c r="N807" s="26"/>
      <c r="O807" s="26"/>
      <c r="P807" s="26"/>
      <c r="Q807" s="26"/>
      <c r="R807" s="26"/>
      <c r="S807" s="26"/>
      <c r="T807" s="26"/>
    </row>
    <row r="808">
      <c r="A808" s="35"/>
      <c r="B808" s="36"/>
      <c r="C808" s="26"/>
      <c r="D808" s="27"/>
      <c r="E808" s="27"/>
      <c r="F808" s="36"/>
      <c r="G808" s="27"/>
      <c r="H808" s="37"/>
      <c r="I808" s="36"/>
      <c r="K808" s="26"/>
      <c r="M808" s="26"/>
      <c r="N808" s="26"/>
      <c r="O808" s="26"/>
      <c r="P808" s="26"/>
      <c r="Q808" s="26"/>
      <c r="R808" s="26"/>
      <c r="S808" s="26"/>
      <c r="T808" s="26"/>
    </row>
    <row r="809">
      <c r="A809" s="35"/>
      <c r="B809" s="36"/>
      <c r="C809" s="26"/>
      <c r="D809" s="27"/>
      <c r="E809" s="27"/>
      <c r="F809" s="36"/>
      <c r="G809" s="27"/>
      <c r="H809" s="37"/>
      <c r="I809" s="36"/>
      <c r="K809" s="26"/>
      <c r="M809" s="26"/>
      <c r="N809" s="26"/>
      <c r="O809" s="26"/>
      <c r="P809" s="26"/>
      <c r="Q809" s="26"/>
      <c r="R809" s="26"/>
      <c r="S809" s="26"/>
      <c r="T809" s="26"/>
    </row>
    <row r="810">
      <c r="A810" s="35"/>
      <c r="B810" s="36"/>
      <c r="C810" s="26"/>
      <c r="D810" s="27"/>
      <c r="E810" s="27"/>
      <c r="F810" s="36"/>
      <c r="G810" s="27"/>
      <c r="H810" s="37"/>
      <c r="I810" s="36"/>
      <c r="K810" s="26"/>
      <c r="M810" s="26"/>
      <c r="N810" s="26"/>
      <c r="O810" s="26"/>
      <c r="P810" s="26"/>
      <c r="Q810" s="26"/>
      <c r="R810" s="26"/>
      <c r="S810" s="26"/>
      <c r="T810" s="26"/>
    </row>
    <row r="811">
      <c r="A811" s="35"/>
      <c r="B811" s="36"/>
      <c r="C811" s="26"/>
      <c r="D811" s="27"/>
      <c r="E811" s="27"/>
      <c r="F811" s="36"/>
      <c r="G811" s="27"/>
      <c r="H811" s="37"/>
      <c r="I811" s="36"/>
      <c r="K811" s="26"/>
      <c r="M811" s="26"/>
      <c r="N811" s="26"/>
      <c r="O811" s="26"/>
      <c r="P811" s="26"/>
      <c r="Q811" s="26"/>
      <c r="R811" s="26"/>
      <c r="S811" s="26"/>
      <c r="T811" s="26"/>
    </row>
    <row r="812">
      <c r="A812" s="35"/>
      <c r="B812" s="36"/>
      <c r="C812" s="26"/>
      <c r="D812" s="27"/>
      <c r="E812" s="27"/>
      <c r="F812" s="36"/>
      <c r="G812" s="27"/>
      <c r="H812" s="37"/>
      <c r="I812" s="36"/>
      <c r="K812" s="26"/>
      <c r="M812" s="26"/>
      <c r="N812" s="26"/>
      <c r="O812" s="26"/>
      <c r="P812" s="26"/>
      <c r="Q812" s="26"/>
      <c r="R812" s="26"/>
      <c r="S812" s="26"/>
      <c r="T812" s="26"/>
    </row>
    <row r="813">
      <c r="A813" s="35"/>
      <c r="B813" s="36"/>
      <c r="C813" s="26"/>
      <c r="D813" s="27"/>
      <c r="E813" s="27"/>
      <c r="F813" s="36"/>
      <c r="G813" s="27"/>
      <c r="H813" s="37"/>
      <c r="I813" s="36"/>
      <c r="K813" s="26"/>
      <c r="M813" s="26"/>
      <c r="N813" s="26"/>
      <c r="O813" s="26"/>
      <c r="P813" s="26"/>
      <c r="Q813" s="26"/>
      <c r="R813" s="26"/>
      <c r="S813" s="26"/>
      <c r="T813" s="26"/>
    </row>
    <row r="814">
      <c r="A814" s="35"/>
      <c r="B814" s="36"/>
      <c r="C814" s="26"/>
      <c r="D814" s="27"/>
      <c r="E814" s="27"/>
      <c r="F814" s="36"/>
      <c r="G814" s="27"/>
      <c r="H814" s="37"/>
      <c r="I814" s="36"/>
      <c r="K814" s="26"/>
      <c r="M814" s="26"/>
      <c r="N814" s="26"/>
      <c r="O814" s="26"/>
      <c r="P814" s="26"/>
      <c r="Q814" s="26"/>
      <c r="R814" s="26"/>
      <c r="S814" s="26"/>
      <c r="T814" s="26"/>
    </row>
    <row r="815">
      <c r="A815" s="35"/>
      <c r="B815" s="36"/>
      <c r="C815" s="26"/>
      <c r="D815" s="27"/>
      <c r="E815" s="27"/>
      <c r="F815" s="36"/>
      <c r="G815" s="27"/>
      <c r="H815" s="37"/>
      <c r="I815" s="36"/>
      <c r="K815" s="26"/>
      <c r="M815" s="26"/>
      <c r="N815" s="26"/>
      <c r="O815" s="26"/>
      <c r="P815" s="26"/>
      <c r="Q815" s="26"/>
      <c r="R815" s="26"/>
      <c r="S815" s="26"/>
      <c r="T815" s="26"/>
    </row>
    <row r="816">
      <c r="A816" s="35"/>
      <c r="B816" s="36"/>
      <c r="C816" s="26"/>
      <c r="D816" s="27"/>
      <c r="E816" s="27"/>
      <c r="F816" s="36"/>
      <c r="G816" s="27"/>
      <c r="H816" s="37"/>
      <c r="I816" s="36"/>
      <c r="K816" s="26"/>
      <c r="M816" s="26"/>
      <c r="N816" s="26"/>
      <c r="O816" s="26"/>
      <c r="P816" s="26"/>
      <c r="Q816" s="26"/>
      <c r="R816" s="26"/>
      <c r="S816" s="26"/>
      <c r="T816" s="26"/>
    </row>
    <row r="817">
      <c r="A817" s="35"/>
      <c r="B817" s="36"/>
      <c r="C817" s="26"/>
      <c r="D817" s="27"/>
      <c r="E817" s="27"/>
      <c r="F817" s="36"/>
      <c r="G817" s="27"/>
      <c r="H817" s="37"/>
      <c r="I817" s="36"/>
      <c r="K817" s="26"/>
      <c r="M817" s="26"/>
      <c r="N817" s="26"/>
      <c r="O817" s="26"/>
      <c r="P817" s="26"/>
      <c r="Q817" s="26"/>
      <c r="R817" s="26"/>
      <c r="S817" s="26"/>
      <c r="T817" s="26"/>
    </row>
    <row r="818">
      <c r="A818" s="35"/>
      <c r="B818" s="36"/>
      <c r="C818" s="26"/>
      <c r="D818" s="27"/>
      <c r="E818" s="27"/>
      <c r="F818" s="36"/>
      <c r="G818" s="27"/>
      <c r="H818" s="37"/>
      <c r="I818" s="36"/>
      <c r="K818" s="26"/>
      <c r="M818" s="26"/>
      <c r="N818" s="26"/>
      <c r="O818" s="26"/>
      <c r="P818" s="26"/>
      <c r="Q818" s="26"/>
      <c r="R818" s="26"/>
      <c r="S818" s="26"/>
      <c r="T818" s="26"/>
    </row>
    <row r="819">
      <c r="A819" s="35"/>
      <c r="B819" s="36"/>
      <c r="C819" s="26"/>
      <c r="D819" s="27"/>
      <c r="E819" s="27"/>
      <c r="F819" s="36"/>
      <c r="G819" s="27"/>
      <c r="H819" s="37"/>
      <c r="I819" s="36"/>
      <c r="K819" s="26"/>
      <c r="M819" s="26"/>
      <c r="N819" s="26"/>
      <c r="O819" s="26"/>
      <c r="P819" s="26"/>
      <c r="Q819" s="26"/>
      <c r="R819" s="26"/>
      <c r="S819" s="26"/>
      <c r="T819" s="26"/>
    </row>
    <row r="820">
      <c r="A820" s="35"/>
      <c r="B820" s="36"/>
      <c r="C820" s="26"/>
      <c r="D820" s="27"/>
      <c r="E820" s="27"/>
      <c r="F820" s="36"/>
      <c r="G820" s="27"/>
      <c r="H820" s="37"/>
      <c r="I820" s="36"/>
      <c r="K820" s="26"/>
      <c r="M820" s="26"/>
      <c r="N820" s="26"/>
      <c r="O820" s="26"/>
      <c r="P820" s="26"/>
      <c r="Q820" s="26"/>
      <c r="R820" s="26"/>
      <c r="S820" s="26"/>
      <c r="T820" s="26"/>
    </row>
    <row r="821">
      <c r="A821" s="35"/>
      <c r="B821" s="36"/>
      <c r="C821" s="26"/>
      <c r="D821" s="27"/>
      <c r="E821" s="27"/>
      <c r="F821" s="36"/>
      <c r="G821" s="27"/>
      <c r="H821" s="37"/>
      <c r="I821" s="36"/>
      <c r="K821" s="26"/>
      <c r="M821" s="26"/>
      <c r="N821" s="26"/>
      <c r="O821" s="26"/>
      <c r="P821" s="26"/>
      <c r="Q821" s="26"/>
      <c r="R821" s="26"/>
      <c r="S821" s="26"/>
      <c r="T821" s="26"/>
    </row>
    <row r="822">
      <c r="A822" s="35"/>
      <c r="B822" s="36"/>
      <c r="C822" s="26"/>
      <c r="D822" s="27"/>
      <c r="E822" s="27"/>
      <c r="F822" s="36"/>
      <c r="G822" s="27"/>
      <c r="H822" s="37"/>
      <c r="I822" s="36"/>
      <c r="K822" s="26"/>
      <c r="M822" s="26"/>
      <c r="N822" s="26"/>
      <c r="O822" s="26"/>
      <c r="P822" s="26"/>
      <c r="Q822" s="26"/>
      <c r="R822" s="26"/>
      <c r="S822" s="26"/>
      <c r="T822" s="26"/>
    </row>
    <row r="823">
      <c r="A823" s="35"/>
      <c r="B823" s="36"/>
      <c r="C823" s="26"/>
      <c r="D823" s="27"/>
      <c r="E823" s="27"/>
      <c r="F823" s="36"/>
      <c r="G823" s="27"/>
      <c r="H823" s="37"/>
      <c r="I823" s="36"/>
      <c r="K823" s="26"/>
      <c r="M823" s="26"/>
      <c r="N823" s="26"/>
      <c r="O823" s="26"/>
      <c r="P823" s="26"/>
      <c r="Q823" s="26"/>
      <c r="R823" s="26"/>
      <c r="S823" s="26"/>
      <c r="T823" s="26"/>
    </row>
    <row r="824">
      <c r="A824" s="35"/>
      <c r="B824" s="36"/>
      <c r="C824" s="26"/>
      <c r="D824" s="27"/>
      <c r="E824" s="27"/>
      <c r="F824" s="36"/>
      <c r="G824" s="27"/>
      <c r="H824" s="37"/>
      <c r="I824" s="36"/>
      <c r="K824" s="26"/>
      <c r="M824" s="26"/>
      <c r="N824" s="26"/>
      <c r="O824" s="26"/>
      <c r="P824" s="26"/>
      <c r="Q824" s="26"/>
      <c r="R824" s="26"/>
      <c r="S824" s="26"/>
      <c r="T824" s="26"/>
    </row>
    <row r="825">
      <c r="A825" s="35"/>
      <c r="B825" s="36"/>
      <c r="C825" s="26"/>
      <c r="D825" s="27"/>
      <c r="E825" s="27"/>
      <c r="F825" s="36"/>
      <c r="G825" s="27"/>
      <c r="H825" s="37"/>
      <c r="I825" s="36"/>
      <c r="K825" s="26"/>
      <c r="M825" s="26"/>
      <c r="N825" s="26"/>
      <c r="O825" s="26"/>
      <c r="P825" s="26"/>
      <c r="Q825" s="26"/>
      <c r="R825" s="26"/>
      <c r="S825" s="26"/>
      <c r="T825" s="26"/>
    </row>
    <row r="826">
      <c r="A826" s="35"/>
      <c r="B826" s="36"/>
      <c r="C826" s="26"/>
      <c r="D826" s="27"/>
      <c r="E826" s="27"/>
      <c r="F826" s="36"/>
      <c r="G826" s="27"/>
      <c r="H826" s="37"/>
      <c r="I826" s="36"/>
      <c r="K826" s="26"/>
      <c r="M826" s="26"/>
      <c r="N826" s="26"/>
      <c r="O826" s="26"/>
      <c r="P826" s="26"/>
      <c r="Q826" s="26"/>
      <c r="R826" s="26"/>
      <c r="S826" s="26"/>
      <c r="T826" s="26"/>
    </row>
    <row r="827">
      <c r="A827" s="35"/>
      <c r="B827" s="36"/>
      <c r="C827" s="26"/>
      <c r="D827" s="27"/>
      <c r="E827" s="27"/>
      <c r="F827" s="36"/>
      <c r="G827" s="27"/>
      <c r="H827" s="37"/>
      <c r="I827" s="36"/>
      <c r="K827" s="26"/>
      <c r="M827" s="26"/>
      <c r="N827" s="26"/>
      <c r="O827" s="26"/>
      <c r="P827" s="26"/>
      <c r="Q827" s="26"/>
      <c r="R827" s="26"/>
      <c r="S827" s="26"/>
      <c r="T827" s="26"/>
    </row>
    <row r="828">
      <c r="A828" s="35"/>
      <c r="B828" s="36"/>
      <c r="C828" s="26"/>
      <c r="D828" s="27"/>
      <c r="E828" s="27"/>
      <c r="F828" s="36"/>
      <c r="G828" s="27"/>
      <c r="H828" s="37"/>
      <c r="I828" s="36"/>
      <c r="K828" s="26"/>
      <c r="M828" s="26"/>
      <c r="N828" s="26"/>
      <c r="O828" s="26"/>
      <c r="P828" s="26"/>
      <c r="Q828" s="26"/>
      <c r="R828" s="26"/>
      <c r="S828" s="26"/>
      <c r="T828" s="26"/>
    </row>
    <row r="829">
      <c r="A829" s="35"/>
      <c r="B829" s="36"/>
      <c r="C829" s="26"/>
      <c r="D829" s="27"/>
      <c r="E829" s="27"/>
      <c r="F829" s="36"/>
      <c r="G829" s="27"/>
      <c r="H829" s="37"/>
      <c r="I829" s="36"/>
      <c r="K829" s="26"/>
      <c r="M829" s="26"/>
      <c r="N829" s="26"/>
      <c r="O829" s="26"/>
      <c r="P829" s="26"/>
      <c r="Q829" s="26"/>
      <c r="R829" s="26"/>
      <c r="S829" s="26"/>
      <c r="T829" s="26"/>
    </row>
    <row r="830">
      <c r="A830" s="35"/>
      <c r="B830" s="36"/>
      <c r="C830" s="26"/>
      <c r="D830" s="27"/>
      <c r="E830" s="27"/>
      <c r="F830" s="36"/>
      <c r="G830" s="27"/>
      <c r="H830" s="37"/>
      <c r="I830" s="36"/>
      <c r="K830" s="26"/>
      <c r="M830" s="26"/>
      <c r="N830" s="26"/>
      <c r="O830" s="26"/>
      <c r="P830" s="26"/>
      <c r="Q830" s="26"/>
      <c r="R830" s="26"/>
      <c r="S830" s="26"/>
      <c r="T830" s="26"/>
    </row>
    <row r="831">
      <c r="A831" s="35"/>
      <c r="B831" s="36"/>
      <c r="C831" s="26"/>
      <c r="D831" s="27"/>
      <c r="E831" s="27"/>
      <c r="F831" s="36"/>
      <c r="G831" s="27"/>
      <c r="H831" s="37"/>
      <c r="I831" s="36"/>
      <c r="K831" s="26"/>
      <c r="M831" s="26"/>
      <c r="N831" s="26"/>
      <c r="O831" s="26"/>
      <c r="P831" s="26"/>
      <c r="Q831" s="26"/>
      <c r="R831" s="26"/>
      <c r="S831" s="26"/>
      <c r="T831" s="26"/>
    </row>
    <row r="832">
      <c r="A832" s="35"/>
      <c r="B832" s="36"/>
      <c r="C832" s="26"/>
      <c r="D832" s="27"/>
      <c r="E832" s="27"/>
      <c r="F832" s="36"/>
      <c r="G832" s="27"/>
      <c r="H832" s="37"/>
      <c r="I832" s="36"/>
      <c r="K832" s="26"/>
      <c r="M832" s="26"/>
      <c r="N832" s="26"/>
      <c r="O832" s="26"/>
      <c r="P832" s="26"/>
      <c r="Q832" s="26"/>
      <c r="R832" s="26"/>
      <c r="S832" s="26"/>
      <c r="T832" s="26"/>
    </row>
    <row r="833">
      <c r="A833" s="35"/>
      <c r="B833" s="36"/>
      <c r="C833" s="26"/>
      <c r="D833" s="27"/>
      <c r="E833" s="27"/>
      <c r="F833" s="36"/>
      <c r="G833" s="27"/>
      <c r="H833" s="37"/>
      <c r="I833" s="36"/>
      <c r="K833" s="26"/>
      <c r="M833" s="26"/>
      <c r="N833" s="26"/>
      <c r="O833" s="26"/>
      <c r="P833" s="26"/>
      <c r="Q833" s="26"/>
      <c r="R833" s="26"/>
      <c r="S833" s="26"/>
      <c r="T833" s="26"/>
    </row>
    <row r="834">
      <c r="A834" s="35"/>
      <c r="B834" s="36"/>
      <c r="C834" s="26"/>
      <c r="D834" s="27"/>
      <c r="E834" s="27"/>
      <c r="F834" s="36"/>
      <c r="G834" s="27"/>
      <c r="H834" s="37"/>
      <c r="I834" s="36"/>
      <c r="K834" s="26"/>
      <c r="M834" s="26"/>
      <c r="N834" s="26"/>
      <c r="O834" s="26"/>
      <c r="P834" s="26"/>
      <c r="Q834" s="26"/>
      <c r="R834" s="26"/>
      <c r="S834" s="26"/>
      <c r="T834" s="26"/>
    </row>
    <row r="835">
      <c r="A835" s="35"/>
      <c r="B835" s="36"/>
      <c r="C835" s="26"/>
      <c r="D835" s="27"/>
      <c r="E835" s="27"/>
      <c r="F835" s="36"/>
      <c r="G835" s="27"/>
      <c r="H835" s="37"/>
      <c r="I835" s="36"/>
      <c r="K835" s="26"/>
      <c r="M835" s="26"/>
      <c r="N835" s="26"/>
      <c r="O835" s="26"/>
      <c r="P835" s="26"/>
      <c r="Q835" s="26"/>
      <c r="R835" s="26"/>
      <c r="S835" s="26"/>
      <c r="T835" s="26"/>
    </row>
    <row r="836">
      <c r="A836" s="35"/>
      <c r="B836" s="36"/>
      <c r="C836" s="26"/>
      <c r="D836" s="27"/>
      <c r="E836" s="27"/>
      <c r="F836" s="36"/>
      <c r="G836" s="27"/>
      <c r="H836" s="37"/>
      <c r="I836" s="36"/>
      <c r="K836" s="26"/>
      <c r="M836" s="26"/>
      <c r="N836" s="26"/>
      <c r="O836" s="26"/>
      <c r="P836" s="26"/>
      <c r="Q836" s="26"/>
      <c r="R836" s="26"/>
      <c r="S836" s="26"/>
      <c r="T836" s="26"/>
    </row>
    <row r="837">
      <c r="A837" s="35"/>
      <c r="B837" s="36"/>
      <c r="C837" s="26"/>
      <c r="D837" s="27"/>
      <c r="E837" s="27"/>
      <c r="F837" s="36"/>
      <c r="G837" s="27"/>
      <c r="H837" s="37"/>
      <c r="I837" s="36"/>
      <c r="K837" s="26"/>
      <c r="M837" s="26"/>
      <c r="N837" s="26"/>
      <c r="O837" s="26"/>
      <c r="P837" s="26"/>
      <c r="Q837" s="26"/>
      <c r="R837" s="26"/>
      <c r="S837" s="26"/>
      <c r="T837" s="26"/>
    </row>
    <row r="838">
      <c r="A838" s="35"/>
      <c r="B838" s="36"/>
      <c r="C838" s="26"/>
      <c r="D838" s="27"/>
      <c r="E838" s="27"/>
      <c r="F838" s="36"/>
      <c r="G838" s="27"/>
      <c r="H838" s="37"/>
      <c r="I838" s="36"/>
      <c r="K838" s="26"/>
      <c r="M838" s="26"/>
      <c r="N838" s="26"/>
      <c r="O838" s="26"/>
      <c r="P838" s="26"/>
      <c r="Q838" s="26"/>
      <c r="R838" s="26"/>
      <c r="S838" s="26"/>
      <c r="T838" s="26"/>
    </row>
    <row r="839">
      <c r="A839" s="35"/>
      <c r="B839" s="36"/>
      <c r="C839" s="26"/>
      <c r="D839" s="27"/>
      <c r="E839" s="27"/>
      <c r="F839" s="36"/>
      <c r="G839" s="27"/>
      <c r="H839" s="37"/>
      <c r="I839" s="36"/>
      <c r="K839" s="26"/>
      <c r="M839" s="26"/>
      <c r="N839" s="26"/>
      <c r="O839" s="26"/>
      <c r="P839" s="26"/>
      <c r="Q839" s="26"/>
      <c r="R839" s="26"/>
      <c r="S839" s="26"/>
      <c r="T839" s="26"/>
    </row>
    <row r="840">
      <c r="A840" s="35"/>
      <c r="B840" s="36"/>
      <c r="C840" s="26"/>
      <c r="D840" s="27"/>
      <c r="E840" s="27"/>
      <c r="F840" s="36"/>
      <c r="G840" s="27"/>
      <c r="H840" s="37"/>
      <c r="I840" s="36"/>
      <c r="K840" s="26"/>
      <c r="M840" s="26"/>
      <c r="N840" s="26"/>
      <c r="O840" s="26"/>
      <c r="P840" s="26"/>
      <c r="Q840" s="26"/>
      <c r="R840" s="26"/>
      <c r="S840" s="26"/>
      <c r="T840" s="26"/>
    </row>
    <row r="841">
      <c r="A841" s="35"/>
      <c r="B841" s="36"/>
      <c r="C841" s="26"/>
      <c r="D841" s="27"/>
      <c r="E841" s="27"/>
      <c r="F841" s="36"/>
      <c r="G841" s="27"/>
      <c r="H841" s="37"/>
      <c r="I841" s="36"/>
      <c r="K841" s="26"/>
      <c r="M841" s="26"/>
      <c r="N841" s="26"/>
      <c r="O841" s="26"/>
      <c r="P841" s="26"/>
      <c r="Q841" s="26"/>
      <c r="R841" s="26"/>
      <c r="S841" s="26"/>
      <c r="T841" s="26"/>
    </row>
    <row r="842">
      <c r="A842" s="35"/>
      <c r="B842" s="36"/>
      <c r="C842" s="26"/>
      <c r="D842" s="27"/>
      <c r="E842" s="27"/>
      <c r="F842" s="36"/>
      <c r="G842" s="27"/>
      <c r="H842" s="37"/>
      <c r="I842" s="36"/>
      <c r="K842" s="26"/>
      <c r="M842" s="26"/>
      <c r="N842" s="26"/>
      <c r="O842" s="26"/>
      <c r="P842" s="26"/>
      <c r="Q842" s="26"/>
      <c r="R842" s="26"/>
      <c r="S842" s="26"/>
      <c r="T842" s="26"/>
    </row>
    <row r="843">
      <c r="A843" s="35"/>
      <c r="B843" s="36"/>
      <c r="C843" s="26"/>
      <c r="D843" s="27"/>
      <c r="E843" s="27"/>
      <c r="F843" s="36"/>
      <c r="G843" s="27"/>
      <c r="H843" s="37"/>
      <c r="I843" s="36"/>
      <c r="K843" s="26"/>
      <c r="M843" s="26"/>
      <c r="N843" s="26"/>
      <c r="O843" s="26"/>
      <c r="P843" s="26"/>
      <c r="Q843" s="26"/>
      <c r="R843" s="26"/>
      <c r="S843" s="26"/>
      <c r="T843" s="26"/>
    </row>
    <row r="844">
      <c r="A844" s="35"/>
      <c r="B844" s="36"/>
      <c r="C844" s="26"/>
      <c r="D844" s="27"/>
      <c r="E844" s="27"/>
      <c r="F844" s="36"/>
      <c r="G844" s="27"/>
      <c r="H844" s="37"/>
      <c r="I844" s="36"/>
      <c r="K844" s="26"/>
      <c r="M844" s="26"/>
      <c r="N844" s="26"/>
      <c r="O844" s="26"/>
      <c r="P844" s="26"/>
      <c r="Q844" s="26"/>
      <c r="R844" s="26"/>
      <c r="S844" s="26"/>
      <c r="T844" s="26"/>
    </row>
    <row r="845">
      <c r="A845" s="35"/>
      <c r="B845" s="36"/>
      <c r="C845" s="26"/>
      <c r="D845" s="27"/>
      <c r="E845" s="27"/>
      <c r="F845" s="36"/>
      <c r="G845" s="27"/>
      <c r="H845" s="37"/>
      <c r="I845" s="36"/>
      <c r="K845" s="26"/>
      <c r="M845" s="26"/>
      <c r="N845" s="26"/>
      <c r="O845" s="26"/>
      <c r="P845" s="26"/>
      <c r="Q845" s="26"/>
      <c r="R845" s="26"/>
      <c r="S845" s="26"/>
      <c r="T845" s="26"/>
    </row>
    <row r="846">
      <c r="A846" s="35"/>
      <c r="B846" s="36"/>
      <c r="C846" s="26"/>
      <c r="D846" s="27"/>
      <c r="E846" s="27"/>
      <c r="F846" s="36"/>
      <c r="G846" s="27"/>
      <c r="H846" s="37"/>
      <c r="I846" s="36"/>
      <c r="K846" s="26"/>
      <c r="M846" s="26"/>
      <c r="N846" s="26"/>
      <c r="O846" s="26"/>
      <c r="P846" s="26"/>
      <c r="Q846" s="26"/>
      <c r="R846" s="26"/>
      <c r="S846" s="26"/>
      <c r="T846" s="26"/>
    </row>
    <row r="847">
      <c r="A847" s="35"/>
      <c r="B847" s="36"/>
      <c r="C847" s="26"/>
      <c r="D847" s="27"/>
      <c r="E847" s="27"/>
      <c r="F847" s="36"/>
      <c r="G847" s="27"/>
      <c r="H847" s="37"/>
      <c r="I847" s="36"/>
      <c r="K847" s="26"/>
      <c r="M847" s="26"/>
      <c r="N847" s="26"/>
      <c r="O847" s="26"/>
      <c r="P847" s="26"/>
      <c r="Q847" s="26"/>
      <c r="R847" s="26"/>
      <c r="S847" s="26"/>
      <c r="T847" s="26"/>
    </row>
    <row r="848">
      <c r="A848" s="35"/>
      <c r="B848" s="36"/>
      <c r="C848" s="26"/>
      <c r="D848" s="27"/>
      <c r="E848" s="27"/>
      <c r="F848" s="36"/>
      <c r="G848" s="27"/>
      <c r="H848" s="37"/>
      <c r="I848" s="36"/>
      <c r="K848" s="26"/>
      <c r="M848" s="26"/>
      <c r="N848" s="26"/>
      <c r="O848" s="26"/>
      <c r="P848" s="26"/>
      <c r="Q848" s="26"/>
      <c r="R848" s="26"/>
      <c r="S848" s="26"/>
      <c r="T848" s="26"/>
    </row>
    <row r="849">
      <c r="A849" s="35"/>
      <c r="B849" s="36"/>
      <c r="C849" s="26"/>
      <c r="D849" s="27"/>
      <c r="E849" s="27"/>
      <c r="F849" s="36"/>
      <c r="G849" s="27"/>
      <c r="H849" s="37"/>
      <c r="I849" s="36"/>
      <c r="K849" s="26"/>
      <c r="M849" s="26"/>
      <c r="N849" s="26"/>
      <c r="O849" s="26"/>
      <c r="P849" s="26"/>
      <c r="Q849" s="26"/>
      <c r="R849" s="26"/>
      <c r="S849" s="26"/>
      <c r="T849" s="26"/>
    </row>
    <row r="850">
      <c r="A850" s="35"/>
      <c r="B850" s="36"/>
      <c r="C850" s="26"/>
      <c r="D850" s="27"/>
      <c r="E850" s="27"/>
      <c r="F850" s="36"/>
      <c r="G850" s="27"/>
      <c r="H850" s="37"/>
      <c r="I850" s="36"/>
      <c r="K850" s="26"/>
      <c r="M850" s="26"/>
      <c r="N850" s="26"/>
      <c r="O850" s="26"/>
      <c r="P850" s="26"/>
      <c r="Q850" s="26"/>
      <c r="R850" s="26"/>
      <c r="S850" s="26"/>
      <c r="T850" s="26"/>
    </row>
    <row r="851">
      <c r="A851" s="35"/>
      <c r="B851" s="36"/>
      <c r="C851" s="26"/>
      <c r="D851" s="27"/>
      <c r="E851" s="27"/>
      <c r="F851" s="36"/>
      <c r="G851" s="27"/>
      <c r="H851" s="37"/>
      <c r="I851" s="36"/>
      <c r="K851" s="26"/>
      <c r="M851" s="26"/>
      <c r="N851" s="26"/>
      <c r="O851" s="26"/>
      <c r="P851" s="26"/>
      <c r="Q851" s="26"/>
      <c r="R851" s="26"/>
      <c r="S851" s="26"/>
      <c r="T851" s="26"/>
    </row>
    <row r="852">
      <c r="A852" s="35"/>
      <c r="B852" s="36"/>
      <c r="C852" s="26"/>
      <c r="D852" s="27"/>
      <c r="E852" s="27"/>
      <c r="F852" s="36"/>
      <c r="G852" s="27"/>
      <c r="H852" s="37"/>
      <c r="I852" s="36"/>
      <c r="K852" s="26"/>
      <c r="M852" s="26"/>
      <c r="N852" s="26"/>
      <c r="O852" s="26"/>
      <c r="P852" s="26"/>
      <c r="Q852" s="26"/>
      <c r="R852" s="26"/>
      <c r="S852" s="26"/>
      <c r="T852" s="26"/>
    </row>
    <row r="853">
      <c r="A853" s="35"/>
      <c r="B853" s="36"/>
      <c r="C853" s="26"/>
      <c r="D853" s="27"/>
      <c r="E853" s="27"/>
      <c r="F853" s="36"/>
      <c r="G853" s="27"/>
      <c r="H853" s="37"/>
      <c r="I853" s="36"/>
      <c r="K853" s="26"/>
      <c r="M853" s="26"/>
      <c r="N853" s="26"/>
      <c r="O853" s="26"/>
      <c r="P853" s="26"/>
      <c r="Q853" s="26"/>
      <c r="R853" s="26"/>
      <c r="S853" s="26"/>
      <c r="T853" s="26"/>
    </row>
    <row r="854">
      <c r="A854" s="35"/>
      <c r="B854" s="36"/>
      <c r="C854" s="26"/>
      <c r="D854" s="27"/>
      <c r="E854" s="27"/>
      <c r="F854" s="36"/>
      <c r="G854" s="27"/>
      <c r="H854" s="37"/>
      <c r="I854" s="36"/>
      <c r="K854" s="26"/>
      <c r="M854" s="26"/>
      <c r="N854" s="26"/>
      <c r="O854" s="26"/>
      <c r="P854" s="26"/>
      <c r="Q854" s="26"/>
      <c r="R854" s="26"/>
      <c r="S854" s="26"/>
      <c r="T854" s="26"/>
    </row>
    <row r="855">
      <c r="A855" s="35"/>
      <c r="B855" s="36"/>
      <c r="C855" s="26"/>
      <c r="D855" s="27"/>
      <c r="E855" s="27"/>
      <c r="F855" s="36"/>
      <c r="G855" s="27"/>
      <c r="H855" s="37"/>
      <c r="I855" s="36"/>
      <c r="K855" s="26"/>
      <c r="M855" s="26"/>
      <c r="N855" s="26"/>
      <c r="O855" s="26"/>
      <c r="P855" s="26"/>
      <c r="Q855" s="26"/>
      <c r="R855" s="26"/>
      <c r="S855" s="26"/>
      <c r="T855" s="26"/>
    </row>
    <row r="856">
      <c r="A856" s="35"/>
      <c r="B856" s="36"/>
      <c r="C856" s="26"/>
      <c r="D856" s="27"/>
      <c r="E856" s="27"/>
      <c r="F856" s="36"/>
      <c r="G856" s="27"/>
      <c r="H856" s="37"/>
      <c r="I856" s="36"/>
      <c r="K856" s="26"/>
      <c r="M856" s="26"/>
      <c r="N856" s="26"/>
      <c r="O856" s="26"/>
      <c r="P856" s="26"/>
      <c r="Q856" s="26"/>
      <c r="R856" s="26"/>
      <c r="S856" s="26"/>
      <c r="T856" s="26"/>
    </row>
    <row r="857">
      <c r="A857" s="35"/>
      <c r="B857" s="36"/>
      <c r="C857" s="26"/>
      <c r="D857" s="27"/>
      <c r="E857" s="27"/>
      <c r="F857" s="36"/>
      <c r="G857" s="27"/>
      <c r="H857" s="37"/>
      <c r="I857" s="36"/>
      <c r="K857" s="26"/>
      <c r="M857" s="26"/>
      <c r="N857" s="26"/>
      <c r="O857" s="26"/>
      <c r="P857" s="26"/>
      <c r="Q857" s="26"/>
      <c r="R857" s="26"/>
      <c r="S857" s="26"/>
      <c r="T857" s="26"/>
    </row>
    <row r="858">
      <c r="A858" s="35"/>
      <c r="B858" s="36"/>
      <c r="C858" s="26"/>
      <c r="D858" s="27"/>
      <c r="E858" s="27"/>
      <c r="F858" s="36"/>
      <c r="G858" s="27"/>
      <c r="H858" s="37"/>
      <c r="I858" s="36"/>
      <c r="K858" s="26"/>
    </row>
    <row r="859">
      <c r="A859" s="35"/>
      <c r="B859" s="36"/>
      <c r="C859" s="26"/>
      <c r="D859" s="27"/>
      <c r="E859" s="27"/>
      <c r="F859" s="36"/>
      <c r="G859" s="27"/>
      <c r="H859" s="37"/>
      <c r="I859" s="36"/>
      <c r="K859" s="26"/>
    </row>
    <row r="860">
      <c r="A860" s="35"/>
      <c r="B860" s="36"/>
      <c r="C860" s="26"/>
      <c r="D860" s="27"/>
      <c r="E860" s="27"/>
      <c r="F860" s="36"/>
      <c r="G860" s="27"/>
      <c r="H860" s="37"/>
      <c r="I860" s="36"/>
      <c r="K860" s="26"/>
    </row>
    <row r="861">
      <c r="A861" s="35"/>
      <c r="B861" s="36"/>
      <c r="C861" s="26"/>
      <c r="D861" s="27"/>
      <c r="E861" s="27"/>
      <c r="F861" s="36"/>
      <c r="G861" s="27"/>
      <c r="H861" s="37"/>
      <c r="I861" s="36"/>
      <c r="K861" s="26"/>
    </row>
    <row r="862">
      <c r="A862" s="35"/>
      <c r="B862" s="36"/>
      <c r="C862" s="26"/>
      <c r="D862" s="27"/>
      <c r="E862" s="27"/>
      <c r="F862" s="36"/>
      <c r="G862" s="27"/>
      <c r="H862" s="37"/>
      <c r="I862" s="36"/>
      <c r="K862" s="26"/>
    </row>
    <row r="863">
      <c r="A863" s="35"/>
      <c r="B863" s="36"/>
      <c r="C863" s="26"/>
      <c r="D863" s="27"/>
      <c r="E863" s="27"/>
      <c r="F863" s="36"/>
      <c r="G863" s="27"/>
      <c r="H863" s="37"/>
      <c r="I863" s="36"/>
      <c r="K863" s="26"/>
    </row>
    <row r="864">
      <c r="A864" s="35"/>
      <c r="B864" s="36"/>
      <c r="C864" s="26"/>
      <c r="D864" s="27"/>
      <c r="E864" s="27"/>
      <c r="F864" s="36"/>
      <c r="G864" s="27"/>
      <c r="H864" s="37"/>
      <c r="I864" s="36"/>
      <c r="K864" s="26"/>
    </row>
    <row r="865">
      <c r="A865" s="35"/>
      <c r="B865" s="36"/>
      <c r="C865" s="26"/>
      <c r="D865" s="27"/>
      <c r="E865" s="27"/>
      <c r="F865" s="36"/>
      <c r="G865" s="27"/>
      <c r="H865" s="37"/>
      <c r="I865" s="36"/>
      <c r="K865" s="26"/>
    </row>
    <row r="866">
      <c r="A866" s="35"/>
      <c r="B866" s="36"/>
      <c r="C866" s="26"/>
      <c r="D866" s="27"/>
      <c r="E866" s="27"/>
      <c r="F866" s="36"/>
      <c r="G866" s="27"/>
      <c r="H866" s="37"/>
      <c r="I866" s="36"/>
      <c r="K866" s="26"/>
    </row>
    <row r="867">
      <c r="A867" s="35"/>
      <c r="B867" s="36"/>
      <c r="C867" s="26"/>
      <c r="D867" s="27"/>
      <c r="E867" s="27"/>
      <c r="F867" s="36"/>
      <c r="G867" s="27"/>
      <c r="H867" s="37"/>
      <c r="I867" s="36"/>
      <c r="K867" s="26"/>
    </row>
    <row r="868">
      <c r="A868" s="35"/>
      <c r="B868" s="36"/>
      <c r="C868" s="26"/>
      <c r="D868" s="27"/>
      <c r="E868" s="27"/>
      <c r="F868" s="36"/>
      <c r="G868" s="27"/>
      <c r="H868" s="37"/>
      <c r="I868" s="36"/>
      <c r="K868" s="26"/>
    </row>
    <row r="869">
      <c r="A869" s="35"/>
      <c r="B869" s="36"/>
      <c r="C869" s="26"/>
      <c r="D869" s="27"/>
      <c r="E869" s="27"/>
      <c r="F869" s="36"/>
      <c r="G869" s="27"/>
      <c r="H869" s="37"/>
      <c r="I869" s="36"/>
      <c r="K869" s="26"/>
    </row>
    <row r="870">
      <c r="A870" s="35"/>
      <c r="B870" s="36"/>
      <c r="C870" s="26"/>
      <c r="D870" s="27"/>
      <c r="E870" s="27"/>
      <c r="F870" s="36"/>
      <c r="G870" s="27"/>
      <c r="H870" s="37"/>
      <c r="I870" s="36"/>
      <c r="K870" s="26"/>
    </row>
    <row r="871">
      <c r="A871" s="35"/>
      <c r="B871" s="36"/>
      <c r="C871" s="26"/>
      <c r="D871" s="27"/>
      <c r="E871" s="27"/>
      <c r="F871" s="36"/>
      <c r="G871" s="27"/>
      <c r="H871" s="37"/>
      <c r="I871" s="36"/>
      <c r="K871" s="26"/>
    </row>
    <row r="872">
      <c r="A872" s="35"/>
      <c r="B872" s="36"/>
      <c r="C872" s="26"/>
      <c r="D872" s="27"/>
      <c r="E872" s="27"/>
      <c r="F872" s="36"/>
      <c r="G872" s="27"/>
      <c r="H872" s="37"/>
      <c r="I872" s="36"/>
      <c r="K872" s="26"/>
    </row>
    <row r="873">
      <c r="A873" s="35"/>
      <c r="B873" s="36"/>
      <c r="C873" s="26"/>
      <c r="D873" s="27"/>
      <c r="E873" s="27"/>
      <c r="F873" s="36"/>
      <c r="G873" s="27"/>
      <c r="H873" s="37"/>
      <c r="I873" s="36"/>
      <c r="K873" s="26"/>
    </row>
    <row r="874">
      <c r="A874" s="35"/>
      <c r="B874" s="36"/>
      <c r="C874" s="26"/>
      <c r="D874" s="27"/>
      <c r="E874" s="27"/>
      <c r="F874" s="36"/>
      <c r="G874" s="27"/>
      <c r="H874" s="37"/>
      <c r="I874" s="36"/>
      <c r="K874" s="26"/>
    </row>
    <row r="875">
      <c r="A875" s="35"/>
      <c r="B875" s="36"/>
      <c r="C875" s="26"/>
      <c r="D875" s="27"/>
      <c r="E875" s="27"/>
      <c r="F875" s="36"/>
      <c r="G875" s="27"/>
      <c r="H875" s="37"/>
      <c r="I875" s="36"/>
      <c r="K875" s="26"/>
    </row>
    <row r="876">
      <c r="A876" s="35"/>
      <c r="B876" s="36"/>
      <c r="C876" s="26"/>
      <c r="D876" s="27"/>
      <c r="E876" s="27"/>
      <c r="F876" s="36"/>
      <c r="G876" s="27"/>
      <c r="H876" s="37"/>
      <c r="I876" s="36"/>
      <c r="K876" s="26"/>
    </row>
    <row r="877">
      <c r="A877" s="35"/>
      <c r="B877" s="36"/>
      <c r="C877" s="26"/>
      <c r="D877" s="27"/>
      <c r="E877" s="27"/>
      <c r="F877" s="36"/>
      <c r="G877" s="27"/>
      <c r="H877" s="37"/>
      <c r="I877" s="36"/>
      <c r="K877" s="26"/>
    </row>
    <row r="878">
      <c r="A878" s="35"/>
      <c r="B878" s="36"/>
      <c r="C878" s="26"/>
      <c r="D878" s="27"/>
      <c r="E878" s="27"/>
      <c r="F878" s="36"/>
      <c r="G878" s="27"/>
      <c r="H878" s="37"/>
      <c r="I878" s="36"/>
      <c r="K878" s="26"/>
    </row>
    <row r="879">
      <c r="A879" s="35"/>
      <c r="B879" s="36"/>
      <c r="C879" s="26"/>
      <c r="D879" s="27"/>
      <c r="E879" s="27"/>
      <c r="F879" s="36"/>
      <c r="G879" s="27"/>
      <c r="H879" s="37"/>
      <c r="I879" s="36"/>
      <c r="K879" s="26"/>
    </row>
    <row r="880">
      <c r="A880" s="35"/>
      <c r="B880" s="36"/>
      <c r="C880" s="26"/>
      <c r="D880" s="27"/>
      <c r="E880" s="27"/>
      <c r="F880" s="36"/>
      <c r="G880" s="27"/>
      <c r="H880" s="37"/>
      <c r="I880" s="36"/>
      <c r="K880" s="26"/>
    </row>
    <row r="881">
      <c r="A881" s="35"/>
      <c r="B881" s="36"/>
      <c r="C881" s="26"/>
      <c r="D881" s="27"/>
      <c r="E881" s="27"/>
      <c r="F881" s="36"/>
      <c r="G881" s="27"/>
      <c r="H881" s="37"/>
      <c r="I881" s="36"/>
      <c r="K881" s="26"/>
    </row>
    <row r="882">
      <c r="A882" s="35"/>
      <c r="B882" s="36"/>
      <c r="C882" s="26"/>
      <c r="D882" s="27"/>
      <c r="E882" s="27"/>
      <c r="F882" s="36"/>
      <c r="G882" s="27"/>
      <c r="H882" s="37"/>
      <c r="I882" s="36"/>
      <c r="K882" s="26"/>
    </row>
    <row r="883">
      <c r="A883" s="35"/>
      <c r="B883" s="36"/>
      <c r="C883" s="26"/>
      <c r="D883" s="27"/>
      <c r="E883" s="27"/>
      <c r="F883" s="36"/>
      <c r="G883" s="27"/>
      <c r="H883" s="37"/>
      <c r="I883" s="36"/>
      <c r="K883" s="26"/>
    </row>
    <row r="884">
      <c r="A884" s="35"/>
      <c r="B884" s="36"/>
      <c r="C884" s="26"/>
      <c r="D884" s="27"/>
      <c r="E884" s="27"/>
      <c r="F884" s="36"/>
      <c r="G884" s="27"/>
      <c r="H884" s="37"/>
      <c r="I884" s="36"/>
      <c r="K884" s="26"/>
    </row>
    <row r="885">
      <c r="A885" s="35"/>
      <c r="B885" s="36"/>
      <c r="C885" s="26"/>
      <c r="D885" s="27"/>
      <c r="E885" s="27"/>
      <c r="F885" s="36"/>
      <c r="G885" s="27"/>
      <c r="H885" s="37"/>
      <c r="I885" s="36"/>
      <c r="K885" s="26"/>
    </row>
    <row r="886">
      <c r="A886" s="35"/>
      <c r="B886" s="36"/>
      <c r="C886" s="26"/>
      <c r="D886" s="27"/>
      <c r="E886" s="27"/>
      <c r="F886" s="36"/>
      <c r="G886" s="27"/>
      <c r="H886" s="37"/>
      <c r="I886" s="36"/>
      <c r="K886" s="26"/>
    </row>
    <row r="887">
      <c r="A887" s="35"/>
      <c r="B887" s="36"/>
      <c r="C887" s="26"/>
      <c r="D887" s="27"/>
      <c r="E887" s="27"/>
      <c r="F887" s="36"/>
      <c r="G887" s="27"/>
      <c r="H887" s="37"/>
      <c r="I887" s="36"/>
      <c r="K887" s="26"/>
    </row>
    <row r="888">
      <c r="A888" s="35"/>
      <c r="B888" s="36"/>
      <c r="C888" s="26"/>
      <c r="D888" s="27"/>
      <c r="E888" s="27"/>
      <c r="F888" s="36"/>
      <c r="G888" s="27"/>
      <c r="H888" s="37"/>
      <c r="I888" s="36"/>
      <c r="K888" s="26"/>
    </row>
    <row r="889">
      <c r="A889" s="35"/>
      <c r="B889" s="36"/>
      <c r="C889" s="26"/>
      <c r="D889" s="27"/>
      <c r="E889" s="27"/>
      <c r="F889" s="36"/>
      <c r="G889" s="27"/>
      <c r="H889" s="37"/>
      <c r="I889" s="36"/>
      <c r="K889" s="26"/>
    </row>
    <row r="890">
      <c r="A890" s="35"/>
      <c r="B890" s="36"/>
      <c r="C890" s="26"/>
      <c r="D890" s="27"/>
      <c r="E890" s="27"/>
      <c r="F890" s="36"/>
      <c r="G890" s="27"/>
      <c r="H890" s="37"/>
      <c r="I890" s="36"/>
      <c r="K890" s="26"/>
    </row>
    <row r="891">
      <c r="A891" s="35"/>
      <c r="B891" s="36"/>
      <c r="C891" s="26"/>
      <c r="D891" s="27"/>
      <c r="E891" s="27"/>
      <c r="F891" s="36"/>
      <c r="G891" s="27"/>
      <c r="H891" s="37"/>
      <c r="I891" s="36"/>
      <c r="K891" s="26"/>
    </row>
    <row r="892">
      <c r="A892" s="35"/>
      <c r="B892" s="36"/>
      <c r="C892" s="26"/>
      <c r="D892" s="27"/>
      <c r="E892" s="27"/>
      <c r="F892" s="36"/>
      <c r="G892" s="27"/>
      <c r="H892" s="37"/>
      <c r="I892" s="36"/>
      <c r="K892" s="26"/>
    </row>
    <row r="893">
      <c r="A893" s="35"/>
      <c r="B893" s="36"/>
      <c r="C893" s="26"/>
      <c r="D893" s="27"/>
      <c r="E893" s="27"/>
      <c r="F893" s="36"/>
      <c r="G893" s="27"/>
      <c r="H893" s="37"/>
      <c r="I893" s="36"/>
      <c r="K893" s="26"/>
    </row>
    <row r="894">
      <c r="A894" s="35"/>
      <c r="B894" s="36"/>
      <c r="C894" s="26"/>
      <c r="D894" s="27"/>
      <c r="E894" s="27"/>
      <c r="F894" s="36"/>
      <c r="G894" s="27"/>
      <c r="H894" s="37"/>
      <c r="I894" s="36"/>
      <c r="K894" s="26"/>
    </row>
    <row r="895">
      <c r="A895" s="35"/>
      <c r="B895" s="36"/>
      <c r="C895" s="26"/>
      <c r="D895" s="27"/>
      <c r="E895" s="27"/>
      <c r="F895" s="36"/>
      <c r="G895" s="27"/>
      <c r="H895" s="37"/>
      <c r="I895" s="36"/>
      <c r="K895" s="26"/>
    </row>
    <row r="896">
      <c r="A896" s="35"/>
      <c r="B896" s="36"/>
      <c r="C896" s="26"/>
      <c r="D896" s="27"/>
      <c r="E896" s="27"/>
      <c r="F896" s="36"/>
      <c r="G896" s="27"/>
      <c r="H896" s="37"/>
      <c r="I896" s="36"/>
      <c r="K896" s="26"/>
    </row>
    <row r="897">
      <c r="A897" s="35"/>
      <c r="B897" s="36"/>
      <c r="C897" s="26"/>
      <c r="D897" s="27"/>
      <c r="E897" s="27"/>
      <c r="F897" s="36"/>
      <c r="G897" s="27"/>
      <c r="H897" s="37"/>
      <c r="I897" s="36"/>
      <c r="K897" s="26"/>
    </row>
    <row r="898">
      <c r="A898" s="35"/>
      <c r="B898" s="36"/>
      <c r="C898" s="26"/>
      <c r="D898" s="27"/>
      <c r="E898" s="27"/>
      <c r="F898" s="36"/>
      <c r="G898" s="27"/>
      <c r="H898" s="37"/>
      <c r="I898" s="36"/>
      <c r="K898" s="26"/>
    </row>
    <row r="899">
      <c r="A899" s="35"/>
      <c r="B899" s="36"/>
      <c r="C899" s="26"/>
      <c r="D899" s="27"/>
      <c r="E899" s="27"/>
      <c r="F899" s="36"/>
      <c r="G899" s="27"/>
      <c r="H899" s="37"/>
      <c r="I899" s="36"/>
      <c r="K899" s="26"/>
    </row>
    <row r="900">
      <c r="A900" s="35"/>
      <c r="B900" s="36"/>
      <c r="C900" s="26"/>
      <c r="D900" s="27"/>
      <c r="E900" s="27"/>
      <c r="F900" s="36"/>
      <c r="G900" s="27"/>
      <c r="H900" s="37"/>
      <c r="I900" s="36"/>
      <c r="K900" s="26"/>
    </row>
    <row r="901">
      <c r="A901" s="35"/>
      <c r="B901" s="36"/>
      <c r="C901" s="26"/>
      <c r="D901" s="27"/>
      <c r="E901" s="27"/>
      <c r="F901" s="36"/>
      <c r="G901" s="27"/>
      <c r="H901" s="37"/>
      <c r="I901" s="36"/>
      <c r="K901" s="26"/>
    </row>
    <row r="902">
      <c r="A902" s="35"/>
      <c r="B902" s="36"/>
      <c r="C902" s="26"/>
      <c r="D902" s="27"/>
      <c r="E902" s="27"/>
      <c r="F902" s="36"/>
      <c r="G902" s="27"/>
      <c r="H902" s="37"/>
      <c r="I902" s="36"/>
      <c r="K902" s="26"/>
    </row>
    <row r="903">
      <c r="A903" s="35"/>
      <c r="B903" s="36"/>
      <c r="C903" s="26"/>
      <c r="D903" s="27"/>
      <c r="E903" s="27"/>
      <c r="F903" s="36"/>
      <c r="G903" s="27"/>
      <c r="H903" s="37"/>
      <c r="I903" s="36"/>
      <c r="K903" s="26"/>
    </row>
    <row r="904">
      <c r="A904" s="35"/>
      <c r="B904" s="36"/>
      <c r="C904" s="26"/>
      <c r="D904" s="27"/>
      <c r="E904" s="27"/>
      <c r="F904" s="36"/>
      <c r="G904" s="27"/>
      <c r="H904" s="37"/>
      <c r="I904" s="36"/>
      <c r="K904" s="26"/>
    </row>
    <row r="905">
      <c r="A905" s="35"/>
      <c r="B905" s="36"/>
      <c r="C905" s="26"/>
      <c r="D905" s="27"/>
      <c r="E905" s="27"/>
      <c r="F905" s="36"/>
      <c r="G905" s="27"/>
      <c r="H905" s="37"/>
      <c r="I905" s="36"/>
      <c r="K905" s="26"/>
    </row>
    <row r="906">
      <c r="A906" s="35"/>
      <c r="B906" s="36"/>
      <c r="C906" s="26"/>
      <c r="D906" s="27"/>
      <c r="E906" s="27"/>
      <c r="F906" s="36"/>
      <c r="G906" s="27"/>
      <c r="H906" s="37"/>
      <c r="I906" s="36"/>
      <c r="K906" s="26"/>
    </row>
    <row r="907">
      <c r="A907" s="35"/>
      <c r="B907" s="36"/>
      <c r="C907" s="26"/>
      <c r="D907" s="27"/>
      <c r="E907" s="27"/>
      <c r="F907" s="36"/>
      <c r="G907" s="27"/>
      <c r="H907" s="37"/>
      <c r="I907" s="36"/>
      <c r="K907" s="26"/>
    </row>
    <row r="908">
      <c r="A908" s="35"/>
      <c r="B908" s="36"/>
      <c r="C908" s="26"/>
      <c r="D908" s="27"/>
      <c r="E908" s="27"/>
      <c r="F908" s="36"/>
      <c r="G908" s="27"/>
      <c r="H908" s="37"/>
      <c r="I908" s="36"/>
      <c r="K908" s="26"/>
    </row>
    <row r="909">
      <c r="A909" s="35"/>
      <c r="B909" s="36"/>
      <c r="C909" s="26"/>
      <c r="D909" s="27"/>
      <c r="E909" s="27"/>
      <c r="F909" s="36"/>
      <c r="G909" s="27"/>
      <c r="H909" s="37"/>
      <c r="I909" s="36"/>
      <c r="K909" s="26"/>
    </row>
    <row r="910">
      <c r="A910" s="35"/>
      <c r="B910" s="36"/>
      <c r="C910" s="26"/>
      <c r="D910" s="27"/>
      <c r="E910" s="27"/>
      <c r="F910" s="36"/>
      <c r="G910" s="27"/>
      <c r="H910" s="37"/>
      <c r="I910" s="36"/>
      <c r="K910" s="26"/>
    </row>
    <row r="911">
      <c r="A911" s="35"/>
      <c r="B911" s="36"/>
      <c r="C911" s="26"/>
      <c r="D911" s="27"/>
      <c r="E911" s="27"/>
      <c r="F911" s="36"/>
      <c r="G911" s="27"/>
      <c r="H911" s="37"/>
      <c r="I911" s="36"/>
      <c r="K911" s="26"/>
    </row>
    <row r="912">
      <c r="A912" s="35"/>
      <c r="B912" s="36"/>
      <c r="C912" s="26"/>
      <c r="D912" s="27"/>
      <c r="E912" s="27"/>
      <c r="F912" s="36"/>
      <c r="G912" s="27"/>
      <c r="H912" s="37"/>
      <c r="I912" s="36"/>
      <c r="K912" s="26"/>
    </row>
    <row r="913">
      <c r="A913" s="35"/>
      <c r="B913" s="36"/>
      <c r="C913" s="26"/>
      <c r="D913" s="27"/>
      <c r="E913" s="27"/>
      <c r="F913" s="36"/>
      <c r="G913" s="27"/>
      <c r="H913" s="37"/>
      <c r="I913" s="36"/>
      <c r="K913" s="26"/>
    </row>
    <row r="914">
      <c r="A914" s="35"/>
      <c r="B914" s="36"/>
      <c r="C914" s="26"/>
      <c r="D914" s="27"/>
      <c r="E914" s="27"/>
      <c r="F914" s="36"/>
      <c r="G914" s="27"/>
      <c r="H914" s="37"/>
      <c r="I914" s="36"/>
      <c r="K914" s="26"/>
    </row>
    <row r="915">
      <c r="A915" s="35"/>
      <c r="B915" s="36"/>
      <c r="C915" s="26"/>
      <c r="D915" s="27"/>
      <c r="E915" s="27"/>
      <c r="F915" s="36"/>
      <c r="G915" s="27"/>
      <c r="H915" s="37"/>
      <c r="I915" s="36"/>
      <c r="K915" s="26"/>
    </row>
    <row r="916">
      <c r="A916" s="35"/>
      <c r="B916" s="36"/>
      <c r="C916" s="26"/>
      <c r="D916" s="27"/>
      <c r="E916" s="27"/>
      <c r="F916" s="36"/>
      <c r="G916" s="27"/>
      <c r="H916" s="37"/>
      <c r="I916" s="36"/>
      <c r="K916" s="26"/>
    </row>
    <row r="917">
      <c r="A917" s="35"/>
      <c r="B917" s="36"/>
      <c r="C917" s="26"/>
      <c r="D917" s="27"/>
      <c r="E917" s="27"/>
      <c r="F917" s="36"/>
      <c r="G917" s="27"/>
      <c r="H917" s="37"/>
      <c r="I917" s="36"/>
      <c r="K917" s="26"/>
    </row>
    <row r="918">
      <c r="A918" s="35"/>
      <c r="B918" s="36"/>
      <c r="C918" s="26"/>
      <c r="D918" s="27"/>
      <c r="E918" s="27"/>
      <c r="F918" s="36"/>
      <c r="G918" s="27"/>
      <c r="H918" s="37"/>
      <c r="I918" s="36"/>
      <c r="K918" s="26"/>
    </row>
    <row r="919">
      <c r="A919" s="35"/>
      <c r="B919" s="36"/>
      <c r="C919" s="26"/>
      <c r="D919" s="27"/>
      <c r="E919" s="27"/>
      <c r="F919" s="36"/>
      <c r="G919" s="27"/>
      <c r="H919" s="37"/>
      <c r="I919" s="36"/>
      <c r="K919" s="26"/>
    </row>
    <row r="920">
      <c r="A920" s="35"/>
      <c r="B920" s="36"/>
      <c r="C920" s="26"/>
      <c r="D920" s="27"/>
      <c r="E920" s="27"/>
      <c r="F920" s="36"/>
      <c r="G920" s="27"/>
      <c r="H920" s="37"/>
      <c r="I920" s="36"/>
      <c r="K920" s="26"/>
    </row>
    <row r="921">
      <c r="A921" s="35"/>
      <c r="B921" s="36"/>
      <c r="C921" s="26"/>
      <c r="D921" s="27"/>
      <c r="E921" s="27"/>
      <c r="F921" s="36"/>
      <c r="G921" s="27"/>
      <c r="H921" s="37"/>
      <c r="I921" s="36"/>
      <c r="K921" s="26"/>
    </row>
    <row r="922">
      <c r="A922" s="35"/>
      <c r="B922" s="36"/>
      <c r="C922" s="26"/>
      <c r="D922" s="27"/>
      <c r="E922" s="27"/>
      <c r="F922" s="36"/>
      <c r="G922" s="27"/>
      <c r="H922" s="37"/>
      <c r="I922" s="36"/>
      <c r="K922" s="26"/>
    </row>
    <row r="923">
      <c r="A923" s="35"/>
      <c r="B923" s="36"/>
      <c r="C923" s="26"/>
      <c r="D923" s="27"/>
      <c r="E923" s="27"/>
      <c r="F923" s="36"/>
      <c r="G923" s="27"/>
      <c r="H923" s="37"/>
      <c r="I923" s="36"/>
      <c r="K923" s="26"/>
    </row>
    <row r="924">
      <c r="A924" s="35"/>
      <c r="B924" s="36"/>
      <c r="C924" s="26"/>
      <c r="D924" s="27"/>
      <c r="E924" s="27"/>
      <c r="F924" s="36"/>
      <c r="G924" s="27"/>
      <c r="H924" s="37"/>
      <c r="I924" s="36"/>
      <c r="K924" s="26"/>
    </row>
    <row r="925">
      <c r="A925" s="35"/>
      <c r="B925" s="36"/>
      <c r="C925" s="26"/>
      <c r="D925" s="27"/>
      <c r="E925" s="27"/>
      <c r="F925" s="36"/>
      <c r="G925" s="27"/>
      <c r="H925" s="37"/>
      <c r="I925" s="36"/>
      <c r="K925" s="26"/>
    </row>
    <row r="926">
      <c r="A926" s="35"/>
      <c r="B926" s="36"/>
      <c r="C926" s="26"/>
      <c r="D926" s="27"/>
      <c r="E926" s="27"/>
      <c r="F926" s="36"/>
      <c r="G926" s="27"/>
      <c r="H926" s="37"/>
      <c r="I926" s="36"/>
      <c r="K926" s="26"/>
    </row>
    <row r="927">
      <c r="A927" s="35"/>
      <c r="B927" s="36"/>
      <c r="C927" s="26"/>
      <c r="D927" s="27"/>
      <c r="E927" s="27"/>
      <c r="F927" s="36"/>
      <c r="G927" s="27"/>
      <c r="H927" s="37"/>
      <c r="I927" s="36"/>
      <c r="K927" s="26"/>
    </row>
    <row r="928">
      <c r="A928" s="35"/>
      <c r="B928" s="36"/>
      <c r="C928" s="26"/>
      <c r="D928" s="27"/>
      <c r="E928" s="27"/>
      <c r="F928" s="36"/>
      <c r="G928" s="27"/>
      <c r="H928" s="37"/>
      <c r="I928" s="36"/>
      <c r="K928" s="26"/>
    </row>
    <row r="929">
      <c r="A929" s="35"/>
      <c r="B929" s="36"/>
      <c r="C929" s="26"/>
      <c r="D929" s="27"/>
      <c r="E929" s="27"/>
      <c r="F929" s="36"/>
      <c r="G929" s="27"/>
      <c r="H929" s="37"/>
      <c r="I929" s="36"/>
      <c r="K929" s="26"/>
    </row>
    <row r="930">
      <c r="A930" s="35"/>
      <c r="B930" s="36"/>
      <c r="C930" s="26"/>
      <c r="D930" s="27"/>
      <c r="E930" s="27"/>
      <c r="F930" s="36"/>
      <c r="G930" s="27"/>
      <c r="H930" s="37"/>
      <c r="I930" s="36"/>
      <c r="K930" s="26"/>
    </row>
    <row r="931">
      <c r="A931" s="35"/>
      <c r="B931" s="36"/>
      <c r="C931" s="26"/>
      <c r="D931" s="27"/>
      <c r="E931" s="27"/>
      <c r="F931" s="36"/>
      <c r="G931" s="27"/>
      <c r="H931" s="37"/>
      <c r="I931" s="36"/>
      <c r="K931" s="26"/>
    </row>
    <row r="932">
      <c r="A932" s="35"/>
      <c r="B932" s="36"/>
      <c r="C932" s="26"/>
      <c r="D932" s="27"/>
      <c r="E932" s="27"/>
      <c r="F932" s="36"/>
      <c r="G932" s="27"/>
      <c r="H932" s="37"/>
      <c r="I932" s="36"/>
      <c r="K932" s="26"/>
    </row>
    <row r="933">
      <c r="A933" s="35"/>
      <c r="B933" s="36"/>
      <c r="C933" s="26"/>
      <c r="D933" s="27"/>
      <c r="E933" s="27"/>
      <c r="F933" s="36"/>
      <c r="G933" s="27"/>
      <c r="H933" s="37"/>
      <c r="I933" s="36"/>
      <c r="K933" s="26"/>
    </row>
    <row r="934">
      <c r="A934" s="35"/>
      <c r="B934" s="36"/>
      <c r="C934" s="26"/>
      <c r="D934" s="27"/>
      <c r="E934" s="27"/>
      <c r="F934" s="36"/>
      <c r="G934" s="27"/>
      <c r="H934" s="37"/>
      <c r="I934" s="36"/>
      <c r="K934" s="26"/>
    </row>
    <row r="935">
      <c r="A935" s="35"/>
      <c r="B935" s="36"/>
      <c r="C935" s="26"/>
      <c r="D935" s="27"/>
      <c r="E935" s="27"/>
      <c r="F935" s="36"/>
      <c r="G935" s="27"/>
      <c r="H935" s="37"/>
      <c r="I935" s="36"/>
      <c r="K935" s="26"/>
    </row>
    <row r="936">
      <c r="A936" s="35"/>
      <c r="B936" s="36"/>
      <c r="C936" s="26"/>
      <c r="D936" s="27"/>
      <c r="E936" s="27"/>
      <c r="F936" s="36"/>
      <c r="G936" s="27"/>
      <c r="H936" s="37"/>
      <c r="I936" s="36"/>
      <c r="K936" s="26"/>
    </row>
    <row r="937">
      <c r="A937" s="35"/>
      <c r="B937" s="36"/>
      <c r="C937" s="26"/>
      <c r="D937" s="27"/>
      <c r="E937" s="27"/>
      <c r="F937" s="36"/>
      <c r="G937" s="27"/>
      <c r="H937" s="37"/>
      <c r="I937" s="36"/>
      <c r="K937" s="26"/>
    </row>
    <row r="938">
      <c r="A938" s="35"/>
      <c r="B938" s="36"/>
      <c r="C938" s="26"/>
      <c r="D938" s="27"/>
      <c r="E938" s="27"/>
      <c r="F938" s="36"/>
      <c r="G938" s="27"/>
      <c r="H938" s="37"/>
      <c r="I938" s="36"/>
      <c r="K938" s="26"/>
    </row>
    <row r="939">
      <c r="A939" s="35"/>
      <c r="B939" s="36"/>
      <c r="C939" s="26"/>
      <c r="D939" s="27"/>
      <c r="E939" s="27"/>
      <c r="F939" s="36"/>
      <c r="G939" s="27"/>
      <c r="H939" s="37"/>
      <c r="I939" s="36"/>
      <c r="K939" s="26"/>
    </row>
    <row r="940">
      <c r="A940" s="35"/>
      <c r="B940" s="36"/>
      <c r="C940" s="26"/>
      <c r="D940" s="27"/>
      <c r="E940" s="27"/>
      <c r="F940" s="36"/>
      <c r="G940" s="27"/>
      <c r="H940" s="37"/>
      <c r="I940" s="36"/>
      <c r="K940" s="26"/>
    </row>
    <row r="941">
      <c r="A941" s="35"/>
      <c r="B941" s="36"/>
      <c r="C941" s="26"/>
      <c r="D941" s="27"/>
      <c r="E941" s="27"/>
      <c r="F941" s="36"/>
      <c r="G941" s="27"/>
      <c r="H941" s="37"/>
      <c r="I941" s="36"/>
      <c r="K941" s="26"/>
    </row>
    <row r="942">
      <c r="A942" s="35"/>
      <c r="B942" s="36"/>
      <c r="C942" s="26"/>
      <c r="D942" s="27"/>
      <c r="E942" s="27"/>
      <c r="F942" s="36"/>
      <c r="G942" s="27"/>
      <c r="H942" s="37"/>
      <c r="I942" s="36"/>
      <c r="K942" s="26"/>
    </row>
    <row r="943">
      <c r="A943" s="35"/>
      <c r="B943" s="36"/>
      <c r="C943" s="26"/>
      <c r="D943" s="27"/>
      <c r="E943" s="27"/>
      <c r="F943" s="36"/>
      <c r="G943" s="27"/>
      <c r="H943" s="37"/>
      <c r="I943" s="36"/>
      <c r="K943" s="26"/>
    </row>
    <row r="944">
      <c r="A944" s="35"/>
      <c r="B944" s="36"/>
      <c r="C944" s="26"/>
      <c r="D944" s="27"/>
      <c r="E944" s="27"/>
      <c r="F944" s="36"/>
      <c r="G944" s="27"/>
      <c r="H944" s="37"/>
      <c r="I944" s="36"/>
      <c r="K944" s="26"/>
    </row>
    <row r="945">
      <c r="A945" s="35"/>
      <c r="B945" s="36"/>
      <c r="C945" s="26"/>
      <c r="D945" s="27"/>
      <c r="E945" s="27"/>
      <c r="F945" s="36"/>
      <c r="G945" s="27"/>
      <c r="H945" s="37"/>
      <c r="I945" s="36"/>
      <c r="K945" s="26"/>
    </row>
    <row r="946">
      <c r="A946" s="35"/>
      <c r="B946" s="36"/>
      <c r="C946" s="26"/>
      <c r="D946" s="27"/>
      <c r="E946" s="27"/>
      <c r="F946" s="36"/>
      <c r="G946" s="27"/>
      <c r="H946" s="37"/>
      <c r="I946" s="36"/>
      <c r="K946" s="26"/>
    </row>
    <row r="947">
      <c r="A947" s="35"/>
      <c r="B947" s="36"/>
      <c r="C947" s="26"/>
      <c r="D947" s="27"/>
      <c r="E947" s="27"/>
      <c r="F947" s="36"/>
      <c r="G947" s="27"/>
      <c r="H947" s="37"/>
      <c r="I947" s="36"/>
      <c r="K947" s="26"/>
    </row>
    <row r="948">
      <c r="A948" s="35"/>
      <c r="B948" s="36"/>
      <c r="C948" s="26"/>
      <c r="D948" s="27"/>
      <c r="E948" s="27"/>
      <c r="F948" s="36"/>
      <c r="G948" s="27"/>
      <c r="H948" s="37"/>
      <c r="I948" s="36"/>
      <c r="K948" s="26"/>
    </row>
    <row r="949">
      <c r="A949" s="35"/>
      <c r="B949" s="36"/>
      <c r="C949" s="26"/>
      <c r="D949" s="27"/>
      <c r="E949" s="27"/>
      <c r="F949" s="36"/>
      <c r="G949" s="27"/>
      <c r="H949" s="37"/>
      <c r="I949" s="36"/>
      <c r="K949" s="26"/>
    </row>
    <row r="950">
      <c r="A950" s="35"/>
      <c r="B950" s="36"/>
      <c r="C950" s="26"/>
      <c r="D950" s="27"/>
      <c r="E950" s="27"/>
      <c r="F950" s="36"/>
      <c r="G950" s="27"/>
      <c r="H950" s="37"/>
      <c r="I950" s="36"/>
      <c r="K950" s="26"/>
    </row>
    <row r="951">
      <c r="A951" s="35"/>
      <c r="B951" s="36"/>
      <c r="C951" s="26"/>
      <c r="D951" s="27"/>
      <c r="E951" s="27"/>
      <c r="F951" s="36"/>
      <c r="G951" s="27"/>
      <c r="H951" s="37"/>
      <c r="I951" s="36"/>
      <c r="K951" s="26"/>
    </row>
    <row r="952">
      <c r="A952" s="35"/>
      <c r="B952" s="36"/>
      <c r="C952" s="26"/>
      <c r="D952" s="27"/>
      <c r="E952" s="27"/>
      <c r="F952" s="36"/>
      <c r="G952" s="27"/>
      <c r="H952" s="37"/>
      <c r="I952" s="36"/>
      <c r="K952" s="26"/>
    </row>
    <row r="953">
      <c r="A953" s="35"/>
      <c r="B953" s="36"/>
      <c r="C953" s="26"/>
      <c r="D953" s="27"/>
      <c r="E953" s="27"/>
      <c r="F953" s="36"/>
      <c r="G953" s="27"/>
      <c r="H953" s="37"/>
      <c r="I953" s="36"/>
      <c r="K953" s="26"/>
    </row>
    <row r="954">
      <c r="A954" s="35"/>
      <c r="B954" s="36"/>
      <c r="C954" s="26"/>
      <c r="D954" s="27"/>
      <c r="E954" s="27"/>
      <c r="F954" s="36"/>
      <c r="G954" s="27"/>
      <c r="H954" s="37"/>
      <c r="I954" s="36"/>
      <c r="K954" s="26"/>
    </row>
    <row r="955">
      <c r="A955" s="35"/>
      <c r="B955" s="36"/>
      <c r="C955" s="26"/>
      <c r="D955" s="27"/>
      <c r="E955" s="27"/>
      <c r="F955" s="36"/>
      <c r="G955" s="27"/>
      <c r="H955" s="37"/>
      <c r="I955" s="36"/>
      <c r="K955" s="26"/>
    </row>
    <row r="956">
      <c r="A956" s="35"/>
      <c r="B956" s="36"/>
      <c r="C956" s="26"/>
      <c r="D956" s="27"/>
      <c r="E956" s="27"/>
      <c r="F956" s="36"/>
      <c r="G956" s="27"/>
      <c r="H956" s="37"/>
      <c r="I956" s="36"/>
      <c r="K956" s="26"/>
    </row>
    <row r="957">
      <c r="A957" s="35"/>
      <c r="B957" s="36"/>
      <c r="C957" s="26"/>
      <c r="D957" s="27"/>
      <c r="E957" s="27"/>
      <c r="F957" s="36"/>
      <c r="G957" s="27"/>
      <c r="H957" s="37"/>
      <c r="I957" s="36"/>
      <c r="K957" s="26"/>
    </row>
    <row r="958">
      <c r="A958" s="35"/>
      <c r="B958" s="36"/>
      <c r="C958" s="26"/>
      <c r="D958" s="27"/>
      <c r="E958" s="27"/>
      <c r="F958" s="36"/>
      <c r="G958" s="27"/>
      <c r="H958" s="37"/>
      <c r="I958" s="36"/>
      <c r="K958" s="26"/>
    </row>
    <row r="959">
      <c r="A959" s="35"/>
      <c r="B959" s="36"/>
      <c r="C959" s="26"/>
      <c r="D959" s="27"/>
      <c r="E959" s="27"/>
      <c r="F959" s="36"/>
      <c r="G959" s="27"/>
      <c r="H959" s="37"/>
      <c r="I959" s="36"/>
      <c r="K959" s="26"/>
    </row>
    <row r="960">
      <c r="A960" s="35"/>
      <c r="B960" s="36"/>
      <c r="C960" s="26"/>
      <c r="D960" s="27"/>
      <c r="E960" s="27"/>
      <c r="F960" s="36"/>
      <c r="G960" s="27"/>
      <c r="H960" s="37"/>
      <c r="I960" s="36"/>
      <c r="K960" s="26"/>
    </row>
    <row r="961">
      <c r="A961" s="35"/>
      <c r="B961" s="36"/>
      <c r="C961" s="26"/>
      <c r="D961" s="27"/>
      <c r="E961" s="27"/>
      <c r="F961" s="36"/>
      <c r="G961" s="27"/>
      <c r="H961" s="37"/>
      <c r="I961" s="36"/>
      <c r="K961" s="26"/>
    </row>
    <row r="962">
      <c r="A962" s="35"/>
      <c r="B962" s="36"/>
      <c r="C962" s="26"/>
      <c r="D962" s="27"/>
      <c r="E962" s="27"/>
      <c r="F962" s="36"/>
      <c r="G962" s="27"/>
      <c r="H962" s="37"/>
      <c r="I962" s="36"/>
      <c r="K962" s="26"/>
    </row>
    <row r="963">
      <c r="A963" s="35"/>
      <c r="B963" s="36"/>
      <c r="C963" s="26"/>
      <c r="D963" s="27"/>
      <c r="E963" s="27"/>
      <c r="F963" s="36"/>
      <c r="G963" s="27"/>
      <c r="H963" s="37"/>
      <c r="I963" s="36"/>
      <c r="K963" s="26"/>
    </row>
    <row r="964">
      <c r="A964" s="35"/>
      <c r="B964" s="36"/>
      <c r="C964" s="26"/>
      <c r="D964" s="27"/>
      <c r="E964" s="27"/>
      <c r="F964" s="36"/>
      <c r="G964" s="27"/>
      <c r="H964" s="37"/>
      <c r="I964" s="36"/>
      <c r="K964" s="26"/>
    </row>
    <row r="965">
      <c r="A965" s="35"/>
      <c r="B965" s="36"/>
      <c r="C965" s="26"/>
      <c r="D965" s="27"/>
      <c r="E965" s="27"/>
      <c r="F965" s="36"/>
      <c r="G965" s="27"/>
      <c r="H965" s="37"/>
      <c r="I965" s="36"/>
      <c r="K965" s="26"/>
    </row>
    <row r="966">
      <c r="A966" s="35"/>
      <c r="B966" s="36"/>
      <c r="C966" s="26"/>
      <c r="D966" s="27"/>
      <c r="E966" s="27"/>
      <c r="F966" s="36"/>
      <c r="G966" s="27"/>
      <c r="H966" s="37"/>
      <c r="I966" s="36"/>
      <c r="K966" s="26"/>
    </row>
    <row r="967">
      <c r="A967" s="35"/>
      <c r="B967" s="36"/>
      <c r="C967" s="26"/>
      <c r="D967" s="27"/>
      <c r="E967" s="27"/>
      <c r="F967" s="36"/>
      <c r="G967" s="27"/>
      <c r="H967" s="37"/>
      <c r="I967" s="36"/>
      <c r="K967" s="26"/>
    </row>
    <row r="968">
      <c r="A968" s="35"/>
      <c r="B968" s="36"/>
      <c r="C968" s="26"/>
      <c r="D968" s="27"/>
      <c r="E968" s="27"/>
      <c r="F968" s="36"/>
      <c r="G968" s="27"/>
      <c r="H968" s="37"/>
      <c r="I968" s="36"/>
      <c r="K968" s="26"/>
    </row>
    <row r="969">
      <c r="A969" s="35"/>
      <c r="B969" s="36"/>
      <c r="C969" s="26"/>
      <c r="D969" s="27"/>
      <c r="E969" s="27"/>
      <c r="F969" s="36"/>
      <c r="G969" s="27"/>
      <c r="H969" s="37"/>
      <c r="I969" s="36"/>
      <c r="K969" s="26"/>
    </row>
    <row r="970">
      <c r="A970" s="35"/>
      <c r="B970" s="36"/>
      <c r="C970" s="26"/>
      <c r="D970" s="27"/>
      <c r="E970" s="27"/>
      <c r="F970" s="36"/>
      <c r="G970" s="27"/>
      <c r="H970" s="37"/>
      <c r="I970" s="36"/>
      <c r="K970" s="26"/>
    </row>
    <row r="971">
      <c r="A971" s="35"/>
      <c r="B971" s="36"/>
      <c r="C971" s="26"/>
      <c r="D971" s="27"/>
      <c r="E971" s="27"/>
      <c r="F971" s="36"/>
      <c r="G971" s="27"/>
      <c r="H971" s="37"/>
      <c r="I971" s="36"/>
      <c r="K971" s="26"/>
    </row>
    <row r="972">
      <c r="A972" s="35"/>
      <c r="B972" s="36"/>
      <c r="C972" s="26"/>
      <c r="D972" s="27"/>
      <c r="E972" s="27"/>
      <c r="F972" s="36"/>
      <c r="G972" s="27"/>
      <c r="H972" s="37"/>
      <c r="I972" s="36"/>
      <c r="K972" s="26"/>
    </row>
    <row r="973">
      <c r="A973" s="35"/>
      <c r="B973" s="36"/>
      <c r="C973" s="26"/>
      <c r="D973" s="27"/>
      <c r="E973" s="27"/>
      <c r="F973" s="36"/>
      <c r="G973" s="27"/>
      <c r="H973" s="37"/>
      <c r="I973" s="36"/>
      <c r="K973" s="26"/>
    </row>
    <row r="974">
      <c r="A974" s="35"/>
      <c r="B974" s="36"/>
      <c r="C974" s="26"/>
      <c r="D974" s="27"/>
      <c r="E974" s="27"/>
      <c r="F974" s="36"/>
      <c r="G974" s="27"/>
      <c r="H974" s="37"/>
      <c r="I974" s="36"/>
      <c r="K974" s="26"/>
    </row>
    <row r="975">
      <c r="A975" s="35"/>
      <c r="B975" s="36"/>
      <c r="C975" s="26"/>
      <c r="D975" s="27"/>
      <c r="E975" s="27"/>
      <c r="F975" s="36"/>
      <c r="G975" s="27"/>
      <c r="H975" s="37"/>
      <c r="I975" s="36"/>
      <c r="K975" s="26"/>
    </row>
    <row r="976">
      <c r="A976" s="35"/>
      <c r="B976" s="36"/>
      <c r="C976" s="26"/>
      <c r="D976" s="27"/>
      <c r="E976" s="27"/>
      <c r="F976" s="36"/>
      <c r="G976" s="27"/>
      <c r="H976" s="37"/>
      <c r="I976" s="36"/>
      <c r="K976" s="26"/>
    </row>
    <row r="977">
      <c r="A977" s="35"/>
      <c r="B977" s="36"/>
      <c r="C977" s="26"/>
      <c r="D977" s="27"/>
      <c r="E977" s="27"/>
      <c r="F977" s="36"/>
      <c r="G977" s="27"/>
      <c r="H977" s="37"/>
      <c r="I977" s="36"/>
      <c r="K977" s="26"/>
    </row>
    <row r="978">
      <c r="A978" s="35"/>
      <c r="B978" s="36"/>
      <c r="C978" s="26"/>
      <c r="D978" s="27"/>
      <c r="E978" s="27"/>
      <c r="F978" s="36"/>
      <c r="G978" s="27"/>
      <c r="H978" s="37"/>
      <c r="I978" s="36"/>
      <c r="K978" s="26"/>
    </row>
    <row r="979">
      <c r="A979" s="35"/>
      <c r="B979" s="36"/>
      <c r="C979" s="26"/>
      <c r="D979" s="27"/>
      <c r="E979" s="27"/>
      <c r="F979" s="36"/>
      <c r="G979" s="27"/>
      <c r="H979" s="37"/>
      <c r="I979" s="36"/>
      <c r="K979" s="26"/>
    </row>
    <row r="980">
      <c r="A980" s="35"/>
      <c r="B980" s="36"/>
      <c r="C980" s="26"/>
      <c r="D980" s="27"/>
      <c r="E980" s="27"/>
      <c r="F980" s="36"/>
      <c r="G980" s="27"/>
      <c r="H980" s="37"/>
      <c r="I980" s="36"/>
      <c r="K980" s="26"/>
    </row>
    <row r="981">
      <c r="A981" s="35"/>
      <c r="B981" s="36"/>
      <c r="C981" s="26"/>
      <c r="D981" s="27"/>
      <c r="E981" s="27"/>
      <c r="F981" s="36"/>
      <c r="G981" s="27"/>
      <c r="H981" s="37"/>
      <c r="I981" s="36"/>
      <c r="K981" s="26"/>
    </row>
    <row r="982">
      <c r="A982" s="35"/>
      <c r="B982" s="36"/>
      <c r="C982" s="26"/>
      <c r="D982" s="27"/>
      <c r="E982" s="27"/>
      <c r="F982" s="36"/>
      <c r="G982" s="27"/>
      <c r="H982" s="37"/>
      <c r="I982" s="36"/>
      <c r="K982" s="26"/>
    </row>
    <row r="983">
      <c r="A983" s="35"/>
      <c r="B983" s="36"/>
      <c r="C983" s="26"/>
      <c r="D983" s="27"/>
      <c r="E983" s="27"/>
      <c r="F983" s="36"/>
      <c r="G983" s="27"/>
      <c r="H983" s="37"/>
      <c r="I983" s="36"/>
      <c r="K983" s="26"/>
    </row>
    <row r="984">
      <c r="A984" s="35"/>
      <c r="B984" s="36"/>
      <c r="C984" s="26"/>
      <c r="D984" s="27"/>
      <c r="E984" s="27"/>
      <c r="F984" s="36"/>
      <c r="G984" s="27"/>
      <c r="H984" s="37"/>
      <c r="I984" s="36"/>
      <c r="K984" s="26"/>
    </row>
    <row r="985">
      <c r="A985" s="35"/>
      <c r="B985" s="36"/>
      <c r="C985" s="26"/>
      <c r="D985" s="27"/>
      <c r="E985" s="27"/>
      <c r="F985" s="36"/>
      <c r="G985" s="27"/>
      <c r="H985" s="37"/>
      <c r="I985" s="36"/>
      <c r="K985" s="26"/>
    </row>
    <row r="986">
      <c r="A986" s="35"/>
      <c r="B986" s="36"/>
      <c r="C986" s="26"/>
      <c r="D986" s="27"/>
      <c r="E986" s="27"/>
      <c r="F986" s="36"/>
      <c r="G986" s="27"/>
      <c r="H986" s="37"/>
      <c r="I986" s="36"/>
      <c r="K986" s="26"/>
    </row>
    <row r="987">
      <c r="A987" s="35"/>
      <c r="B987" s="36"/>
      <c r="C987" s="26"/>
      <c r="D987" s="27"/>
      <c r="E987" s="27"/>
      <c r="F987" s="36"/>
      <c r="G987" s="27"/>
      <c r="H987" s="37"/>
      <c r="I987" s="36"/>
      <c r="K987" s="26"/>
    </row>
    <row r="988">
      <c r="A988" s="35"/>
      <c r="B988" s="36"/>
      <c r="C988" s="26"/>
      <c r="D988" s="27"/>
      <c r="E988" s="27"/>
      <c r="F988" s="36"/>
      <c r="G988" s="27"/>
      <c r="H988" s="37"/>
      <c r="I988" s="36"/>
      <c r="K988" s="26"/>
    </row>
    <row r="989">
      <c r="A989" s="35"/>
      <c r="B989" s="36"/>
      <c r="C989" s="26"/>
      <c r="D989" s="27"/>
      <c r="E989" s="27"/>
      <c r="F989" s="36"/>
      <c r="G989" s="27"/>
      <c r="H989" s="37"/>
      <c r="I989" s="36"/>
      <c r="K989" s="26"/>
    </row>
    <row r="990">
      <c r="A990" s="35"/>
      <c r="B990" s="36"/>
      <c r="C990" s="26"/>
      <c r="D990" s="27"/>
      <c r="E990" s="27"/>
      <c r="F990" s="36"/>
      <c r="G990" s="27"/>
      <c r="H990" s="37"/>
      <c r="I990" s="36"/>
      <c r="K990" s="26"/>
    </row>
    <row r="991">
      <c r="A991" s="35"/>
      <c r="B991" s="36"/>
      <c r="C991" s="26"/>
      <c r="D991" s="27"/>
      <c r="E991" s="27"/>
      <c r="F991" s="36"/>
      <c r="G991" s="27"/>
      <c r="H991" s="37"/>
      <c r="I991" s="36"/>
      <c r="K991" s="26"/>
    </row>
    <row r="992">
      <c r="A992" s="35"/>
      <c r="B992" s="36"/>
      <c r="C992" s="26"/>
      <c r="D992" s="27"/>
      <c r="E992" s="27"/>
      <c r="F992" s="36"/>
      <c r="G992" s="27"/>
      <c r="H992" s="37"/>
      <c r="I992" s="36"/>
      <c r="K992" s="26"/>
    </row>
    <row r="993">
      <c r="A993" s="35"/>
      <c r="B993" s="36"/>
      <c r="C993" s="26"/>
      <c r="D993" s="27"/>
      <c r="E993" s="27"/>
      <c r="F993" s="36"/>
      <c r="G993" s="27"/>
      <c r="H993" s="37"/>
      <c r="I993" s="36"/>
      <c r="K993" s="26"/>
    </row>
    <row r="994">
      <c r="A994" s="35"/>
      <c r="B994" s="36"/>
      <c r="C994" s="26"/>
      <c r="D994" s="27"/>
      <c r="E994" s="27"/>
      <c r="F994" s="36"/>
      <c r="G994" s="27"/>
      <c r="H994" s="37"/>
      <c r="I994" s="36"/>
      <c r="K994" s="26"/>
    </row>
    <row r="995">
      <c r="A995" s="35"/>
      <c r="B995" s="36"/>
      <c r="C995" s="26"/>
      <c r="D995" s="27"/>
      <c r="E995" s="27"/>
      <c r="F995" s="36"/>
      <c r="G995" s="27"/>
      <c r="H995" s="37"/>
      <c r="I995" s="36"/>
      <c r="K995" s="26"/>
    </row>
    <row r="996">
      <c r="A996" s="35"/>
      <c r="B996" s="36"/>
      <c r="C996" s="26"/>
      <c r="D996" s="27"/>
      <c r="E996" s="27"/>
      <c r="F996" s="36"/>
      <c r="G996" s="27"/>
      <c r="H996" s="37"/>
      <c r="I996" s="36"/>
      <c r="K996" s="26"/>
    </row>
    <row r="997">
      <c r="A997" s="35"/>
      <c r="B997" s="36"/>
      <c r="C997" s="26"/>
      <c r="D997" s="27"/>
      <c r="E997" s="27"/>
      <c r="F997" s="36"/>
      <c r="G997" s="27"/>
      <c r="H997" s="37"/>
      <c r="I997" s="36"/>
      <c r="K997" s="26"/>
    </row>
    <row r="998">
      <c r="A998" s="35"/>
      <c r="B998" s="36"/>
      <c r="C998" s="26"/>
      <c r="D998" s="27"/>
      <c r="E998" s="27"/>
      <c r="F998" s="36"/>
      <c r="G998" s="27"/>
      <c r="H998" s="37"/>
      <c r="I998" s="36"/>
      <c r="K998" s="26"/>
    </row>
    <row r="999">
      <c r="A999" s="35"/>
      <c r="B999" s="36"/>
      <c r="C999" s="26"/>
      <c r="D999" s="27"/>
      <c r="E999" s="27"/>
      <c r="F999" s="36"/>
      <c r="G999" s="27"/>
      <c r="H999" s="37"/>
      <c r="I999" s="36"/>
      <c r="K999" s="26"/>
    </row>
    <row r="1000">
      <c r="A1000" s="35"/>
      <c r="B1000" s="36"/>
      <c r="C1000" s="26"/>
      <c r="D1000" s="27"/>
      <c r="E1000" s="27"/>
      <c r="F1000" s="36"/>
      <c r="G1000" s="27"/>
      <c r="H1000" s="37"/>
      <c r="I1000" s="36"/>
      <c r="K1000" s="26"/>
    </row>
    <row r="1001">
      <c r="A1001" s="35"/>
      <c r="B1001" s="36"/>
      <c r="C1001" s="26"/>
      <c r="D1001" s="27"/>
      <c r="E1001" s="27"/>
      <c r="F1001" s="36"/>
      <c r="G1001" s="27"/>
      <c r="H1001" s="37"/>
      <c r="I1001" s="36"/>
      <c r="K1001" s="26"/>
    </row>
    <row r="1002">
      <c r="A1002" s="35"/>
      <c r="B1002" s="36"/>
      <c r="C1002" s="26"/>
      <c r="D1002" s="27"/>
      <c r="E1002" s="27"/>
      <c r="F1002" s="36"/>
      <c r="G1002" s="27"/>
      <c r="H1002" s="37"/>
      <c r="I1002" s="36"/>
      <c r="K1002" s="26"/>
    </row>
    <row r="1003">
      <c r="A1003" s="35"/>
      <c r="B1003" s="36"/>
      <c r="C1003" s="26"/>
      <c r="D1003" s="27"/>
      <c r="E1003" s="27"/>
      <c r="F1003" s="36"/>
      <c r="G1003" s="27"/>
      <c r="H1003" s="37"/>
      <c r="I1003" s="36"/>
      <c r="K1003" s="26"/>
    </row>
    <row r="1004">
      <c r="A1004" s="35"/>
      <c r="B1004" s="36"/>
      <c r="C1004" s="26"/>
      <c r="D1004" s="27"/>
      <c r="E1004" s="27"/>
      <c r="F1004" s="36"/>
      <c r="G1004" s="27"/>
      <c r="H1004" s="37"/>
      <c r="I1004" s="36"/>
      <c r="K1004" s="26"/>
    </row>
    <row r="1005">
      <c r="A1005" s="35"/>
      <c r="B1005" s="36"/>
      <c r="C1005" s="26"/>
      <c r="D1005" s="27"/>
      <c r="E1005" s="27"/>
      <c r="F1005" s="36"/>
      <c r="G1005" s="27"/>
      <c r="H1005" s="37"/>
      <c r="I1005" s="36"/>
      <c r="K1005" s="26"/>
    </row>
    <row r="1006">
      <c r="A1006" s="35"/>
      <c r="B1006" s="36"/>
      <c r="C1006" s="26"/>
      <c r="D1006" s="27"/>
      <c r="E1006" s="27"/>
      <c r="F1006" s="36"/>
      <c r="G1006" s="27"/>
      <c r="H1006" s="37"/>
      <c r="I1006" s="36"/>
      <c r="K1006" s="26"/>
    </row>
    <row r="1007">
      <c r="A1007" s="35"/>
      <c r="B1007" s="36"/>
      <c r="C1007" s="26"/>
      <c r="D1007" s="27"/>
      <c r="E1007" s="27"/>
      <c r="F1007" s="36"/>
      <c r="G1007" s="27"/>
      <c r="H1007" s="37"/>
      <c r="I1007" s="36"/>
      <c r="K1007" s="26"/>
    </row>
    <row r="1008">
      <c r="A1008" s="35"/>
      <c r="B1008" s="36"/>
      <c r="C1008" s="26"/>
      <c r="D1008" s="27"/>
      <c r="E1008" s="27"/>
      <c r="F1008" s="36"/>
      <c r="G1008" s="27"/>
      <c r="H1008" s="37"/>
      <c r="I1008" s="36"/>
      <c r="K1008" s="26"/>
    </row>
    <row r="1009">
      <c r="A1009" s="35"/>
      <c r="B1009" s="36"/>
      <c r="C1009" s="26"/>
      <c r="D1009" s="27"/>
      <c r="E1009" s="27"/>
      <c r="F1009" s="36"/>
      <c r="G1009" s="27"/>
      <c r="H1009" s="37"/>
      <c r="I1009" s="36"/>
      <c r="K1009" s="26"/>
    </row>
    <row r="1010">
      <c r="A1010" s="35"/>
      <c r="B1010" s="36"/>
      <c r="C1010" s="26"/>
      <c r="D1010" s="27"/>
      <c r="E1010" s="27"/>
      <c r="F1010" s="36"/>
      <c r="G1010" s="27"/>
      <c r="H1010" s="37"/>
      <c r="I1010" s="36"/>
      <c r="K1010" s="26"/>
    </row>
    <row r="1011">
      <c r="A1011" s="35"/>
      <c r="B1011" s="36"/>
      <c r="C1011" s="26"/>
      <c r="D1011" s="27"/>
      <c r="E1011" s="27"/>
      <c r="F1011" s="36"/>
      <c r="G1011" s="27"/>
      <c r="H1011" s="37"/>
      <c r="I1011" s="36"/>
      <c r="K1011" s="26"/>
    </row>
    <row r="1012">
      <c r="A1012" s="35"/>
      <c r="B1012" s="36"/>
      <c r="C1012" s="26"/>
      <c r="D1012" s="27"/>
      <c r="E1012" s="27"/>
      <c r="F1012" s="36"/>
      <c r="G1012" s="27"/>
      <c r="H1012" s="37"/>
      <c r="I1012" s="36"/>
      <c r="K1012" s="26"/>
    </row>
    <row r="1013">
      <c r="A1013" s="35"/>
      <c r="B1013" s="36"/>
      <c r="C1013" s="26"/>
      <c r="D1013" s="27"/>
      <c r="E1013" s="27"/>
      <c r="F1013" s="36"/>
      <c r="G1013" s="27"/>
      <c r="H1013" s="37"/>
      <c r="I1013" s="36"/>
      <c r="K1013" s="26"/>
    </row>
    <row r="1014">
      <c r="A1014" s="35"/>
      <c r="B1014" s="36"/>
      <c r="C1014" s="26"/>
      <c r="D1014" s="27"/>
      <c r="E1014" s="27"/>
      <c r="F1014" s="36"/>
      <c r="G1014" s="27"/>
      <c r="H1014" s="37"/>
      <c r="I1014" s="36"/>
      <c r="K1014" s="26"/>
    </row>
    <row r="1015">
      <c r="A1015" s="35"/>
      <c r="B1015" s="36"/>
      <c r="C1015" s="26"/>
      <c r="D1015" s="27"/>
      <c r="E1015" s="27"/>
      <c r="F1015" s="36"/>
      <c r="G1015" s="27"/>
      <c r="H1015" s="37"/>
      <c r="I1015" s="36"/>
      <c r="K1015" s="26"/>
    </row>
    <row r="1016">
      <c r="A1016" s="35"/>
      <c r="B1016" s="36"/>
      <c r="C1016" s="26"/>
      <c r="D1016" s="27"/>
      <c r="E1016" s="27"/>
      <c r="F1016" s="36"/>
      <c r="G1016" s="27"/>
      <c r="H1016" s="37"/>
      <c r="I1016" s="36"/>
      <c r="K1016" s="26"/>
    </row>
    <row r="1017">
      <c r="A1017" s="35"/>
      <c r="B1017" s="36"/>
      <c r="C1017" s="26"/>
      <c r="D1017" s="27"/>
      <c r="E1017" s="27"/>
      <c r="F1017" s="36"/>
      <c r="G1017" s="27"/>
      <c r="H1017" s="37"/>
      <c r="I1017" s="36"/>
      <c r="K1017" s="26"/>
    </row>
    <row r="1018">
      <c r="A1018" s="35"/>
      <c r="B1018" s="36"/>
      <c r="C1018" s="26"/>
      <c r="D1018" s="27"/>
      <c r="E1018" s="27"/>
      <c r="F1018" s="36"/>
      <c r="G1018" s="27"/>
      <c r="H1018" s="37"/>
      <c r="I1018" s="36"/>
      <c r="K1018" s="26"/>
    </row>
    <row r="1019">
      <c r="A1019" s="35"/>
      <c r="B1019" s="36"/>
      <c r="C1019" s="26"/>
      <c r="D1019" s="27"/>
      <c r="E1019" s="27"/>
      <c r="F1019" s="36"/>
      <c r="G1019" s="27"/>
      <c r="H1019" s="37"/>
      <c r="I1019" s="36"/>
      <c r="K1019" s="26"/>
    </row>
    <row r="1020">
      <c r="A1020" s="35"/>
      <c r="B1020" s="36"/>
      <c r="C1020" s="26"/>
      <c r="D1020" s="27"/>
      <c r="E1020" s="27"/>
      <c r="F1020" s="36"/>
      <c r="G1020" s="27"/>
      <c r="H1020" s="37"/>
      <c r="I1020" s="36"/>
      <c r="K1020" s="26"/>
    </row>
    <row r="1021">
      <c r="A1021" s="35"/>
      <c r="B1021" s="36"/>
      <c r="C1021" s="26"/>
      <c r="D1021" s="27"/>
      <c r="E1021" s="27"/>
      <c r="F1021" s="36"/>
      <c r="G1021" s="27"/>
      <c r="H1021" s="37"/>
      <c r="I1021" s="36"/>
      <c r="K1021" s="26"/>
    </row>
    <row r="1022">
      <c r="A1022" s="35"/>
      <c r="B1022" s="36"/>
      <c r="C1022" s="26"/>
      <c r="D1022" s="27"/>
      <c r="E1022" s="27"/>
      <c r="F1022" s="36"/>
      <c r="G1022" s="27"/>
      <c r="H1022" s="37"/>
      <c r="I1022" s="36"/>
      <c r="K1022" s="26"/>
    </row>
    <row r="1023">
      <c r="A1023" s="35"/>
      <c r="B1023" s="36"/>
      <c r="C1023" s="26"/>
      <c r="D1023" s="27"/>
      <c r="E1023" s="27"/>
      <c r="F1023" s="36"/>
      <c r="G1023" s="27"/>
      <c r="H1023" s="37"/>
      <c r="I1023" s="36"/>
      <c r="K1023" s="26"/>
    </row>
    <row r="1024">
      <c r="A1024" s="35"/>
      <c r="B1024" s="36"/>
      <c r="C1024" s="26"/>
      <c r="D1024" s="27"/>
      <c r="E1024" s="27"/>
      <c r="F1024" s="36"/>
      <c r="G1024" s="27"/>
      <c r="H1024" s="37"/>
      <c r="I1024" s="36"/>
      <c r="K1024" s="26"/>
    </row>
    <row r="1025">
      <c r="A1025" s="35"/>
      <c r="B1025" s="36"/>
      <c r="C1025" s="26"/>
      <c r="D1025" s="27"/>
      <c r="E1025" s="27"/>
      <c r="F1025" s="36"/>
      <c r="G1025" s="27"/>
      <c r="H1025" s="37"/>
      <c r="I1025" s="36"/>
      <c r="K1025" s="26"/>
    </row>
    <row r="1026">
      <c r="A1026" s="35"/>
      <c r="B1026" s="36"/>
      <c r="C1026" s="26"/>
      <c r="D1026" s="27"/>
      <c r="E1026" s="27"/>
      <c r="F1026" s="36"/>
      <c r="G1026" s="27"/>
      <c r="H1026" s="37"/>
      <c r="I1026" s="36"/>
      <c r="K1026" s="26"/>
    </row>
    <row r="1027">
      <c r="A1027" s="35"/>
      <c r="B1027" s="36"/>
      <c r="C1027" s="26"/>
      <c r="D1027" s="27"/>
      <c r="E1027" s="27"/>
      <c r="F1027" s="36"/>
      <c r="G1027" s="27"/>
      <c r="H1027" s="37"/>
      <c r="I1027" s="36"/>
      <c r="K1027" s="26"/>
    </row>
    <row r="1028">
      <c r="A1028" s="35"/>
      <c r="B1028" s="36"/>
      <c r="C1028" s="26"/>
      <c r="D1028" s="27"/>
      <c r="E1028" s="27"/>
      <c r="F1028" s="36"/>
      <c r="G1028" s="27"/>
      <c r="H1028" s="37"/>
      <c r="I1028" s="36"/>
      <c r="K1028" s="26"/>
    </row>
    <row r="1029">
      <c r="A1029" s="35"/>
      <c r="B1029" s="36"/>
      <c r="C1029" s="26"/>
      <c r="D1029" s="27"/>
      <c r="E1029" s="27"/>
      <c r="F1029" s="36"/>
      <c r="G1029" s="27"/>
      <c r="H1029" s="37"/>
      <c r="I1029" s="36"/>
      <c r="K1029" s="26"/>
    </row>
    <row r="1030">
      <c r="A1030" s="35"/>
      <c r="B1030" s="36"/>
      <c r="C1030" s="26"/>
      <c r="D1030" s="27"/>
      <c r="E1030" s="27"/>
      <c r="F1030" s="36"/>
      <c r="G1030" s="27"/>
      <c r="H1030" s="37"/>
      <c r="I1030" s="36"/>
      <c r="K1030" s="26"/>
    </row>
    <row r="1031">
      <c r="A1031" s="35"/>
      <c r="B1031" s="36"/>
      <c r="C1031" s="26"/>
      <c r="D1031" s="27"/>
      <c r="E1031" s="27"/>
      <c r="F1031" s="36"/>
      <c r="G1031" s="27"/>
      <c r="H1031" s="37"/>
      <c r="I1031" s="36"/>
      <c r="K1031" s="26"/>
    </row>
    <row r="1032">
      <c r="A1032" s="35"/>
      <c r="B1032" s="36"/>
      <c r="C1032" s="26"/>
      <c r="D1032" s="27"/>
      <c r="E1032" s="27"/>
      <c r="F1032" s="36"/>
      <c r="G1032" s="27"/>
      <c r="H1032" s="37"/>
      <c r="I1032" s="36"/>
      <c r="K1032" s="26"/>
    </row>
    <row r="1033">
      <c r="A1033" s="35"/>
      <c r="B1033" s="36"/>
      <c r="C1033" s="26"/>
      <c r="D1033" s="27"/>
      <c r="E1033" s="27"/>
      <c r="F1033" s="36"/>
      <c r="G1033" s="27"/>
      <c r="H1033" s="37"/>
      <c r="I1033" s="36"/>
      <c r="K1033" s="26"/>
    </row>
    <row r="1034">
      <c r="A1034" s="35"/>
      <c r="B1034" s="36"/>
      <c r="C1034" s="26"/>
      <c r="D1034" s="27"/>
      <c r="E1034" s="27"/>
      <c r="F1034" s="36"/>
      <c r="G1034" s="27"/>
      <c r="H1034" s="37"/>
      <c r="I1034" s="36"/>
      <c r="K1034" s="26"/>
    </row>
    <row r="1035">
      <c r="A1035" s="35"/>
      <c r="B1035" s="36"/>
      <c r="C1035" s="26"/>
      <c r="D1035" s="27"/>
      <c r="E1035" s="27"/>
      <c r="F1035" s="36"/>
      <c r="G1035" s="27"/>
      <c r="H1035" s="37"/>
      <c r="I1035" s="36"/>
      <c r="K1035" s="26"/>
    </row>
    <row r="1036">
      <c r="A1036" s="35"/>
      <c r="B1036" s="36"/>
      <c r="C1036" s="26"/>
      <c r="D1036" s="27"/>
      <c r="E1036" s="27"/>
      <c r="F1036" s="36"/>
      <c r="G1036" s="27"/>
      <c r="H1036" s="37"/>
      <c r="I1036" s="36"/>
      <c r="K1036" s="26"/>
    </row>
    <row r="1037">
      <c r="A1037" s="35"/>
      <c r="B1037" s="36"/>
      <c r="C1037" s="26"/>
      <c r="D1037" s="27"/>
      <c r="E1037" s="27"/>
      <c r="F1037" s="36"/>
      <c r="G1037" s="27"/>
      <c r="H1037" s="37"/>
      <c r="I1037" s="36"/>
      <c r="K1037" s="26"/>
    </row>
    <row r="1038">
      <c r="A1038" s="35"/>
      <c r="B1038" s="36"/>
      <c r="C1038" s="26"/>
      <c r="D1038" s="27"/>
      <c r="E1038" s="27"/>
      <c r="F1038" s="36"/>
      <c r="G1038" s="27"/>
      <c r="H1038" s="37"/>
      <c r="I1038" s="36"/>
      <c r="K1038" s="26"/>
    </row>
    <row r="1039">
      <c r="A1039" s="35"/>
      <c r="B1039" s="36"/>
      <c r="C1039" s="26"/>
      <c r="D1039" s="27"/>
      <c r="E1039" s="27"/>
      <c r="F1039" s="36"/>
      <c r="G1039" s="27"/>
      <c r="H1039" s="37"/>
      <c r="I1039" s="36"/>
      <c r="K1039" s="26"/>
    </row>
    <row r="1040">
      <c r="A1040" s="35"/>
      <c r="B1040" s="36"/>
      <c r="C1040" s="26"/>
      <c r="D1040" s="27"/>
      <c r="E1040" s="27"/>
      <c r="F1040" s="36"/>
      <c r="G1040" s="27"/>
      <c r="H1040" s="37"/>
      <c r="I1040" s="36"/>
      <c r="K1040" s="26"/>
    </row>
    <row r="1041">
      <c r="A1041" s="35"/>
      <c r="B1041" s="36"/>
      <c r="C1041" s="26"/>
      <c r="D1041" s="27"/>
      <c r="E1041" s="27"/>
      <c r="F1041" s="36"/>
      <c r="G1041" s="27"/>
      <c r="H1041" s="37"/>
      <c r="I1041" s="36"/>
      <c r="K1041" s="26"/>
    </row>
    <row r="1042">
      <c r="A1042" s="35"/>
      <c r="B1042" s="36"/>
      <c r="C1042" s="26"/>
      <c r="D1042" s="27"/>
      <c r="E1042" s="27"/>
      <c r="F1042" s="36"/>
      <c r="G1042" s="27"/>
      <c r="H1042" s="37"/>
      <c r="I1042" s="36"/>
      <c r="K1042" s="26"/>
    </row>
    <row r="1043">
      <c r="A1043" s="35"/>
      <c r="B1043" s="36"/>
      <c r="C1043" s="26"/>
      <c r="D1043" s="27"/>
      <c r="E1043" s="27"/>
      <c r="F1043" s="36"/>
      <c r="G1043" s="27"/>
      <c r="H1043" s="37"/>
      <c r="I1043" s="36"/>
      <c r="K1043" s="26"/>
    </row>
    <row r="1044">
      <c r="A1044" s="35"/>
      <c r="B1044" s="36"/>
      <c r="C1044" s="26"/>
      <c r="D1044" s="27"/>
      <c r="E1044" s="27"/>
      <c r="F1044" s="36"/>
      <c r="G1044" s="27"/>
      <c r="H1044" s="37"/>
      <c r="I1044" s="36"/>
      <c r="K1044" s="26"/>
    </row>
    <row r="1045">
      <c r="A1045" s="35"/>
      <c r="B1045" s="36"/>
      <c r="C1045" s="26"/>
      <c r="D1045" s="27"/>
      <c r="E1045" s="27"/>
      <c r="F1045" s="36"/>
      <c r="G1045" s="27"/>
      <c r="H1045" s="37"/>
      <c r="I1045" s="36"/>
      <c r="K1045" s="26"/>
    </row>
    <row r="1046">
      <c r="A1046" s="35"/>
      <c r="B1046" s="36"/>
      <c r="C1046" s="26"/>
      <c r="D1046" s="27"/>
      <c r="E1046" s="27"/>
      <c r="F1046" s="36"/>
      <c r="G1046" s="27"/>
      <c r="H1046" s="37"/>
      <c r="I1046" s="36"/>
      <c r="K1046" s="26"/>
    </row>
    <row r="1047">
      <c r="A1047" s="35"/>
      <c r="B1047" s="36"/>
      <c r="C1047" s="26"/>
      <c r="D1047" s="27"/>
      <c r="E1047" s="27"/>
      <c r="F1047" s="36"/>
      <c r="G1047" s="27"/>
      <c r="H1047" s="37"/>
      <c r="I1047" s="36"/>
      <c r="K1047" s="26"/>
    </row>
    <row r="1048">
      <c r="A1048" s="35"/>
      <c r="B1048" s="36"/>
      <c r="C1048" s="26"/>
      <c r="D1048" s="27"/>
      <c r="E1048" s="27"/>
      <c r="F1048" s="36"/>
      <c r="G1048" s="27"/>
      <c r="H1048" s="37"/>
      <c r="I1048" s="36"/>
      <c r="K1048" s="26"/>
    </row>
    <row r="1049">
      <c r="A1049" s="35"/>
      <c r="B1049" s="36"/>
      <c r="C1049" s="26"/>
      <c r="D1049" s="27"/>
      <c r="E1049" s="27"/>
      <c r="F1049" s="36"/>
      <c r="G1049" s="27"/>
      <c r="H1049" s="37"/>
      <c r="I1049" s="36"/>
      <c r="K1049" s="26"/>
    </row>
    <row r="1050">
      <c r="A1050" s="35"/>
      <c r="B1050" s="36"/>
      <c r="C1050" s="26"/>
      <c r="D1050" s="27"/>
      <c r="E1050" s="27"/>
      <c r="F1050" s="36"/>
      <c r="G1050" s="27"/>
      <c r="H1050" s="37"/>
      <c r="I1050" s="36"/>
      <c r="K1050" s="26"/>
    </row>
    <row r="1051">
      <c r="A1051" s="35"/>
      <c r="B1051" s="36"/>
      <c r="C1051" s="26"/>
      <c r="D1051" s="27"/>
      <c r="E1051" s="27"/>
      <c r="F1051" s="36"/>
      <c r="G1051" s="27"/>
      <c r="H1051" s="37"/>
      <c r="I1051" s="36"/>
      <c r="K1051" s="26"/>
    </row>
    <row r="1052">
      <c r="A1052" s="35"/>
      <c r="B1052" s="36"/>
      <c r="C1052" s="26"/>
      <c r="D1052" s="27"/>
      <c r="E1052" s="27"/>
      <c r="F1052" s="36"/>
      <c r="G1052" s="27"/>
      <c r="H1052" s="37"/>
      <c r="I1052" s="36"/>
      <c r="K1052" s="26"/>
    </row>
    <row r="1053">
      <c r="A1053" s="35"/>
      <c r="B1053" s="36"/>
      <c r="C1053" s="26"/>
      <c r="D1053" s="27"/>
      <c r="E1053" s="27"/>
      <c r="F1053" s="36"/>
      <c r="G1053" s="27"/>
      <c r="H1053" s="37"/>
      <c r="I1053" s="36"/>
      <c r="K1053" s="26"/>
    </row>
    <row r="1054">
      <c r="A1054" s="35"/>
      <c r="B1054" s="36"/>
      <c r="C1054" s="26"/>
      <c r="D1054" s="27"/>
      <c r="E1054" s="27"/>
      <c r="F1054" s="36"/>
      <c r="G1054" s="27"/>
      <c r="H1054" s="37"/>
      <c r="I1054" s="36"/>
      <c r="K1054" s="26"/>
    </row>
    <row r="1055">
      <c r="A1055" s="35"/>
      <c r="B1055" s="36"/>
      <c r="C1055" s="26"/>
      <c r="D1055" s="27"/>
      <c r="E1055" s="27"/>
      <c r="F1055" s="36"/>
      <c r="G1055" s="27"/>
      <c r="H1055" s="37"/>
      <c r="I1055" s="36"/>
      <c r="K1055" s="26"/>
    </row>
    <row r="1056">
      <c r="A1056" s="35"/>
      <c r="B1056" s="36"/>
      <c r="C1056" s="26"/>
      <c r="D1056" s="27"/>
      <c r="E1056" s="27"/>
      <c r="F1056" s="36"/>
      <c r="G1056" s="27"/>
      <c r="H1056" s="37"/>
      <c r="I1056" s="36"/>
      <c r="K1056" s="26"/>
    </row>
    <row r="1057">
      <c r="A1057" s="35"/>
      <c r="B1057" s="36"/>
      <c r="C1057" s="26"/>
      <c r="D1057" s="27"/>
      <c r="E1057" s="27"/>
      <c r="F1057" s="36"/>
      <c r="G1057" s="27"/>
      <c r="H1057" s="37"/>
      <c r="I1057" s="36"/>
      <c r="K1057" s="26"/>
    </row>
    <row r="1058">
      <c r="A1058" s="35"/>
      <c r="B1058" s="36"/>
      <c r="C1058" s="26"/>
      <c r="D1058" s="27"/>
      <c r="E1058" s="27"/>
      <c r="F1058" s="36"/>
      <c r="G1058" s="27"/>
      <c r="H1058" s="37"/>
      <c r="I1058" s="36"/>
      <c r="K1058" s="26"/>
    </row>
    <row r="1059">
      <c r="A1059" s="35"/>
      <c r="B1059" s="36"/>
      <c r="C1059" s="26"/>
      <c r="D1059" s="27"/>
      <c r="E1059" s="27"/>
      <c r="F1059" s="36"/>
      <c r="G1059" s="27"/>
      <c r="H1059" s="37"/>
      <c r="I1059" s="36"/>
      <c r="K1059" s="26"/>
    </row>
    <row r="1060">
      <c r="A1060" s="35"/>
      <c r="B1060" s="36"/>
      <c r="C1060" s="26"/>
      <c r="D1060" s="27"/>
      <c r="E1060" s="27"/>
      <c r="F1060" s="36"/>
      <c r="G1060" s="27"/>
      <c r="H1060" s="37"/>
      <c r="I1060" s="36"/>
      <c r="K1060" s="26"/>
    </row>
    <row r="1061">
      <c r="A1061" s="35"/>
      <c r="B1061" s="36"/>
      <c r="C1061" s="26"/>
      <c r="D1061" s="27"/>
      <c r="E1061" s="27"/>
      <c r="F1061" s="36"/>
      <c r="G1061" s="27"/>
      <c r="H1061" s="37"/>
      <c r="I1061" s="36"/>
      <c r="K1061" s="26"/>
    </row>
    <row r="1062">
      <c r="A1062" s="35"/>
      <c r="B1062" s="36"/>
      <c r="C1062" s="26"/>
      <c r="D1062" s="27"/>
      <c r="E1062" s="27"/>
      <c r="F1062" s="36"/>
      <c r="G1062" s="27"/>
      <c r="H1062" s="37"/>
      <c r="I1062" s="36"/>
      <c r="K1062" s="26"/>
    </row>
    <row r="1063">
      <c r="A1063" s="35"/>
      <c r="B1063" s="36"/>
      <c r="C1063" s="26"/>
      <c r="D1063" s="27"/>
      <c r="E1063" s="27"/>
      <c r="F1063" s="36"/>
      <c r="G1063" s="27"/>
      <c r="H1063" s="37"/>
      <c r="I1063" s="36"/>
      <c r="K1063" s="26"/>
    </row>
    <row r="1064">
      <c r="A1064" s="35"/>
      <c r="B1064" s="36"/>
      <c r="C1064" s="26"/>
      <c r="D1064" s="27"/>
      <c r="E1064" s="27"/>
      <c r="F1064" s="36"/>
      <c r="G1064" s="27"/>
      <c r="H1064" s="37"/>
      <c r="I1064" s="36"/>
      <c r="K1064" s="26"/>
    </row>
    <row r="1065">
      <c r="A1065" s="35"/>
      <c r="B1065" s="36"/>
      <c r="C1065" s="26"/>
      <c r="D1065" s="27"/>
      <c r="E1065" s="27"/>
      <c r="F1065" s="36"/>
      <c r="G1065" s="27"/>
      <c r="H1065" s="37"/>
      <c r="I1065" s="36"/>
      <c r="K1065" s="26"/>
    </row>
    <row r="1066">
      <c r="A1066" s="35"/>
      <c r="B1066" s="36"/>
      <c r="C1066" s="26"/>
      <c r="D1066" s="27"/>
      <c r="E1066" s="27"/>
      <c r="F1066" s="36"/>
      <c r="G1066" s="27"/>
      <c r="H1066" s="37"/>
      <c r="I1066" s="36"/>
      <c r="K1066" s="26"/>
    </row>
    <row r="1067">
      <c r="A1067" s="35"/>
      <c r="B1067" s="36"/>
      <c r="C1067" s="26"/>
      <c r="D1067" s="27"/>
      <c r="E1067" s="27"/>
      <c r="F1067" s="36"/>
      <c r="G1067" s="27"/>
      <c r="H1067" s="37"/>
      <c r="I1067" s="36"/>
      <c r="K1067" s="26"/>
    </row>
    <row r="1068">
      <c r="A1068" s="35"/>
      <c r="B1068" s="36"/>
      <c r="C1068" s="26"/>
      <c r="D1068" s="27"/>
      <c r="E1068" s="27"/>
      <c r="F1068" s="36"/>
      <c r="G1068" s="27"/>
      <c r="H1068" s="37"/>
      <c r="I1068" s="36"/>
      <c r="K1068" s="26"/>
    </row>
    <row r="1069">
      <c r="A1069" s="35"/>
      <c r="B1069" s="36"/>
      <c r="C1069" s="26"/>
      <c r="D1069" s="27"/>
      <c r="E1069" s="27"/>
      <c r="F1069" s="36"/>
      <c r="G1069" s="27"/>
      <c r="H1069" s="37"/>
      <c r="I1069" s="36"/>
      <c r="K1069" s="26"/>
    </row>
    <row r="1070">
      <c r="A1070" s="35"/>
      <c r="B1070" s="36"/>
      <c r="C1070" s="26"/>
      <c r="D1070" s="27"/>
      <c r="E1070" s="27"/>
      <c r="F1070" s="36"/>
      <c r="G1070" s="27"/>
      <c r="H1070" s="37"/>
      <c r="I1070" s="36"/>
      <c r="K1070" s="26"/>
    </row>
    <row r="1071">
      <c r="A1071" s="35"/>
      <c r="B1071" s="36"/>
      <c r="C1071" s="26"/>
      <c r="D1071" s="27"/>
      <c r="E1071" s="27"/>
      <c r="F1071" s="36"/>
      <c r="G1071" s="27"/>
      <c r="H1071" s="37"/>
      <c r="I1071" s="36"/>
      <c r="K1071" s="26"/>
    </row>
    <row r="1072">
      <c r="A1072" s="35"/>
      <c r="B1072" s="36"/>
      <c r="C1072" s="26"/>
      <c r="D1072" s="27"/>
      <c r="E1072" s="27"/>
      <c r="F1072" s="36"/>
      <c r="G1072" s="27"/>
      <c r="H1072" s="37"/>
      <c r="I1072" s="36"/>
      <c r="K1072" s="26"/>
    </row>
    <row r="1073">
      <c r="A1073" s="35"/>
      <c r="B1073" s="36"/>
      <c r="C1073" s="26"/>
      <c r="D1073" s="27"/>
      <c r="E1073" s="27"/>
      <c r="F1073" s="36"/>
      <c r="G1073" s="27"/>
      <c r="H1073" s="37"/>
      <c r="I1073" s="36"/>
      <c r="K1073" s="26"/>
    </row>
    <row r="1074">
      <c r="A1074" s="35"/>
      <c r="B1074" s="36"/>
      <c r="C1074" s="26"/>
      <c r="D1074" s="27"/>
      <c r="E1074" s="27"/>
      <c r="F1074" s="36"/>
      <c r="G1074" s="27"/>
      <c r="H1074" s="37"/>
      <c r="I1074" s="36"/>
      <c r="K1074" s="26"/>
    </row>
    <row r="1075">
      <c r="A1075" s="35"/>
      <c r="B1075" s="36"/>
      <c r="C1075" s="26"/>
      <c r="D1075" s="27"/>
      <c r="E1075" s="27"/>
      <c r="F1075" s="36"/>
      <c r="G1075" s="27"/>
      <c r="H1075" s="37"/>
      <c r="I1075" s="36"/>
      <c r="K1075" s="26"/>
    </row>
    <row r="1076">
      <c r="A1076" s="35"/>
      <c r="B1076" s="36"/>
      <c r="C1076" s="26"/>
      <c r="D1076" s="27"/>
      <c r="E1076" s="27"/>
      <c r="F1076" s="36"/>
      <c r="G1076" s="27"/>
      <c r="H1076" s="37"/>
      <c r="I1076" s="36"/>
      <c r="K1076" s="26"/>
    </row>
    <row r="1077">
      <c r="A1077" s="35"/>
      <c r="B1077" s="36"/>
      <c r="C1077" s="26"/>
      <c r="D1077" s="27"/>
      <c r="E1077" s="27"/>
      <c r="F1077" s="36"/>
      <c r="G1077" s="27"/>
      <c r="H1077" s="37"/>
      <c r="I1077" s="36"/>
      <c r="K1077" s="26"/>
    </row>
    <row r="1078">
      <c r="A1078" s="35"/>
      <c r="B1078" s="36"/>
      <c r="C1078" s="26"/>
      <c r="D1078" s="27"/>
      <c r="E1078" s="27"/>
      <c r="F1078" s="36"/>
      <c r="G1078" s="27"/>
      <c r="H1078" s="37"/>
      <c r="I1078" s="36"/>
      <c r="K1078" s="26"/>
    </row>
    <row r="1079">
      <c r="A1079" s="35"/>
      <c r="B1079" s="36"/>
      <c r="C1079" s="26"/>
      <c r="D1079" s="27"/>
      <c r="E1079" s="27"/>
      <c r="F1079" s="36"/>
      <c r="G1079" s="27"/>
      <c r="H1079" s="37"/>
      <c r="I1079" s="36"/>
      <c r="K1079" s="26"/>
    </row>
    <row r="1080">
      <c r="A1080" s="35"/>
      <c r="B1080" s="36"/>
      <c r="C1080" s="26"/>
      <c r="D1080" s="27"/>
      <c r="E1080" s="27"/>
      <c r="F1080" s="36"/>
      <c r="G1080" s="27"/>
      <c r="H1080" s="37"/>
      <c r="I1080" s="36"/>
      <c r="K1080" s="26"/>
    </row>
    <row r="1081">
      <c r="A1081" s="35"/>
      <c r="B1081" s="36"/>
      <c r="C1081" s="26"/>
      <c r="D1081" s="27"/>
      <c r="E1081" s="27"/>
      <c r="F1081" s="36"/>
      <c r="G1081" s="27"/>
      <c r="H1081" s="37"/>
      <c r="I1081" s="36"/>
      <c r="K1081" s="26"/>
    </row>
    <row r="1082">
      <c r="A1082" s="35"/>
      <c r="B1082" s="36"/>
      <c r="C1082" s="26"/>
      <c r="D1082" s="27"/>
      <c r="E1082" s="27"/>
      <c r="F1082" s="36"/>
      <c r="G1082" s="27"/>
      <c r="H1082" s="37"/>
      <c r="I1082" s="36"/>
      <c r="K1082" s="26"/>
    </row>
    <row r="1083">
      <c r="A1083" s="35"/>
      <c r="B1083" s="36"/>
      <c r="C1083" s="26"/>
      <c r="D1083" s="27"/>
      <c r="E1083" s="27"/>
      <c r="F1083" s="36"/>
      <c r="G1083" s="27"/>
      <c r="H1083" s="37"/>
      <c r="I1083" s="36"/>
      <c r="K1083" s="26"/>
    </row>
    <row r="1084">
      <c r="A1084" s="35"/>
      <c r="B1084" s="36"/>
      <c r="C1084" s="26"/>
      <c r="D1084" s="27"/>
      <c r="E1084" s="27"/>
      <c r="F1084" s="36"/>
      <c r="G1084" s="27"/>
      <c r="H1084" s="37"/>
      <c r="I1084" s="36"/>
      <c r="K1084" s="26"/>
    </row>
    <row r="1085">
      <c r="A1085" s="35"/>
      <c r="B1085" s="36"/>
      <c r="C1085" s="26"/>
      <c r="D1085" s="27"/>
      <c r="E1085" s="27"/>
      <c r="F1085" s="36"/>
      <c r="G1085" s="27"/>
      <c r="H1085" s="37"/>
      <c r="I1085" s="36"/>
      <c r="K1085" s="26"/>
    </row>
    <row r="1086">
      <c r="A1086" s="35"/>
      <c r="B1086" s="36"/>
      <c r="C1086" s="26"/>
      <c r="D1086" s="27"/>
      <c r="E1086" s="27"/>
      <c r="F1086" s="36"/>
      <c r="G1086" s="27"/>
      <c r="H1086" s="37"/>
      <c r="I1086" s="36"/>
      <c r="K1086" s="26"/>
    </row>
    <row r="1087">
      <c r="A1087" s="35"/>
      <c r="B1087" s="36"/>
      <c r="C1087" s="26"/>
      <c r="D1087" s="27"/>
      <c r="E1087" s="27"/>
      <c r="F1087" s="36"/>
      <c r="G1087" s="27"/>
      <c r="H1087" s="37"/>
      <c r="I1087" s="36"/>
      <c r="K1087" s="26"/>
    </row>
    <row r="1088">
      <c r="A1088" s="35"/>
      <c r="B1088" s="36"/>
      <c r="C1088" s="26"/>
      <c r="D1088" s="27"/>
      <c r="E1088" s="27"/>
      <c r="F1088" s="36"/>
      <c r="G1088" s="27"/>
      <c r="H1088" s="37"/>
      <c r="I1088" s="36"/>
      <c r="K1088" s="26"/>
    </row>
    <row r="1089">
      <c r="A1089" s="35"/>
      <c r="B1089" s="36"/>
      <c r="C1089" s="26"/>
      <c r="D1089" s="27"/>
      <c r="E1089" s="27"/>
      <c r="F1089" s="36"/>
      <c r="G1089" s="27"/>
      <c r="H1089" s="37"/>
      <c r="I1089" s="36"/>
      <c r="K1089" s="26"/>
    </row>
    <row r="1090">
      <c r="A1090" s="35"/>
      <c r="B1090" s="36"/>
      <c r="C1090" s="26"/>
      <c r="D1090" s="27"/>
      <c r="E1090" s="27"/>
      <c r="F1090" s="36"/>
      <c r="G1090" s="27"/>
      <c r="H1090" s="37"/>
      <c r="I1090" s="36"/>
      <c r="K1090" s="26"/>
    </row>
    <row r="1091">
      <c r="A1091" s="35"/>
      <c r="B1091" s="36"/>
      <c r="C1091" s="26"/>
      <c r="D1091" s="27"/>
      <c r="E1091" s="27"/>
      <c r="F1091" s="36"/>
      <c r="G1091" s="27"/>
      <c r="H1091" s="37"/>
      <c r="I1091" s="36"/>
      <c r="K1091" s="26"/>
    </row>
    <row r="1092">
      <c r="A1092" s="35"/>
      <c r="B1092" s="36"/>
      <c r="C1092" s="26"/>
      <c r="D1092" s="27"/>
      <c r="E1092" s="27"/>
      <c r="F1092" s="36"/>
      <c r="G1092" s="27"/>
      <c r="H1092" s="37"/>
      <c r="I1092" s="36"/>
      <c r="K1092" s="26"/>
    </row>
    <row r="1093">
      <c r="A1093" s="35"/>
      <c r="B1093" s="36"/>
      <c r="C1093" s="26"/>
      <c r="D1093" s="27"/>
      <c r="E1093" s="27"/>
      <c r="F1093" s="36"/>
      <c r="G1093" s="27"/>
      <c r="H1093" s="37"/>
      <c r="I1093" s="36"/>
      <c r="K1093" s="26"/>
    </row>
    <row r="1094">
      <c r="A1094" s="35"/>
      <c r="B1094" s="36"/>
      <c r="C1094" s="26"/>
      <c r="D1094" s="27"/>
      <c r="E1094" s="27"/>
      <c r="F1094" s="36"/>
      <c r="G1094" s="27"/>
      <c r="H1094" s="37"/>
      <c r="I1094" s="36"/>
      <c r="K1094" s="26"/>
    </row>
    <row r="1095">
      <c r="A1095" s="35"/>
      <c r="B1095" s="36"/>
      <c r="C1095" s="26"/>
      <c r="D1095" s="27"/>
      <c r="E1095" s="27"/>
      <c r="F1095" s="36"/>
      <c r="G1095" s="27"/>
      <c r="H1095" s="37"/>
      <c r="I1095" s="36"/>
      <c r="K1095" s="26"/>
    </row>
    <row r="1096">
      <c r="A1096" s="35"/>
      <c r="B1096" s="36"/>
      <c r="C1096" s="26"/>
      <c r="D1096" s="27"/>
      <c r="E1096" s="27"/>
      <c r="F1096" s="36"/>
      <c r="G1096" s="27"/>
      <c r="H1096" s="37"/>
      <c r="I1096" s="36"/>
      <c r="K1096" s="26"/>
    </row>
    <row r="1097">
      <c r="A1097" s="35"/>
      <c r="B1097" s="36"/>
      <c r="C1097" s="26"/>
      <c r="D1097" s="27"/>
      <c r="E1097" s="27"/>
      <c r="F1097" s="36"/>
      <c r="G1097" s="27"/>
      <c r="H1097" s="37"/>
      <c r="I1097" s="36"/>
      <c r="K1097" s="26"/>
    </row>
    <row r="1098">
      <c r="A1098" s="35"/>
      <c r="B1098" s="36"/>
      <c r="C1098" s="26"/>
      <c r="D1098" s="27"/>
      <c r="E1098" s="27"/>
      <c r="F1098" s="36"/>
      <c r="G1098" s="27"/>
      <c r="H1098" s="37"/>
      <c r="I1098" s="36"/>
      <c r="K1098" s="26"/>
    </row>
    <row r="1099">
      <c r="A1099" s="35"/>
      <c r="B1099" s="36"/>
      <c r="C1099" s="26"/>
      <c r="D1099" s="27"/>
      <c r="E1099" s="27"/>
      <c r="F1099" s="36"/>
      <c r="G1099" s="27"/>
      <c r="H1099" s="37"/>
      <c r="I1099" s="36"/>
      <c r="K1099" s="26"/>
    </row>
    <row r="1100">
      <c r="A1100" s="35"/>
      <c r="B1100" s="36"/>
      <c r="C1100" s="26"/>
      <c r="D1100" s="27"/>
      <c r="E1100" s="27"/>
      <c r="F1100" s="36"/>
      <c r="G1100" s="27"/>
      <c r="H1100" s="37"/>
      <c r="I1100" s="36"/>
      <c r="K1100" s="26"/>
    </row>
    <row r="1101">
      <c r="A1101" s="35"/>
      <c r="B1101" s="36"/>
      <c r="C1101" s="26"/>
      <c r="D1101" s="27"/>
      <c r="E1101" s="27"/>
      <c r="F1101" s="36"/>
      <c r="G1101" s="27"/>
      <c r="H1101" s="37"/>
      <c r="I1101" s="36"/>
      <c r="K1101" s="26"/>
    </row>
    <row r="1102">
      <c r="A1102" s="35"/>
      <c r="B1102" s="36"/>
      <c r="C1102" s="26"/>
      <c r="D1102" s="27"/>
      <c r="E1102" s="27"/>
      <c r="F1102" s="36"/>
      <c r="G1102" s="27"/>
      <c r="H1102" s="37"/>
      <c r="I1102" s="36"/>
      <c r="K1102" s="26"/>
    </row>
    <row r="1103">
      <c r="A1103" s="35"/>
      <c r="B1103" s="36"/>
      <c r="C1103" s="26"/>
      <c r="D1103" s="27"/>
      <c r="E1103" s="27"/>
      <c r="F1103" s="36"/>
      <c r="G1103" s="27"/>
      <c r="H1103" s="37"/>
      <c r="I1103" s="36"/>
      <c r="K1103" s="26"/>
    </row>
    <row r="1104">
      <c r="A1104" s="35"/>
      <c r="B1104" s="36"/>
      <c r="C1104" s="26"/>
      <c r="D1104" s="27"/>
      <c r="E1104" s="27"/>
      <c r="F1104" s="36"/>
      <c r="G1104" s="27"/>
      <c r="H1104" s="37"/>
      <c r="I1104" s="36"/>
      <c r="K1104" s="26"/>
    </row>
    <row r="1105">
      <c r="A1105" s="35"/>
      <c r="B1105" s="36"/>
      <c r="C1105" s="26"/>
      <c r="D1105" s="27"/>
      <c r="E1105" s="27"/>
      <c r="F1105" s="36"/>
      <c r="G1105" s="27"/>
      <c r="H1105" s="37"/>
      <c r="I1105" s="36"/>
      <c r="K1105" s="26"/>
    </row>
    <row r="1106">
      <c r="A1106" s="35"/>
      <c r="B1106" s="36"/>
      <c r="C1106" s="26"/>
      <c r="D1106" s="27"/>
      <c r="E1106" s="27"/>
      <c r="F1106" s="36"/>
      <c r="G1106" s="27"/>
      <c r="H1106" s="37"/>
      <c r="I1106" s="36"/>
      <c r="K1106" s="26"/>
    </row>
    <row r="1107">
      <c r="A1107" s="35"/>
      <c r="B1107" s="36"/>
      <c r="C1107" s="26"/>
      <c r="D1107" s="27"/>
      <c r="E1107" s="27"/>
      <c r="F1107" s="36"/>
      <c r="G1107" s="27"/>
      <c r="H1107" s="37"/>
      <c r="I1107" s="36"/>
      <c r="K1107" s="26"/>
    </row>
    <row r="1108">
      <c r="A1108" s="35"/>
      <c r="B1108" s="36"/>
      <c r="C1108" s="26"/>
      <c r="D1108" s="27"/>
      <c r="E1108" s="27"/>
      <c r="F1108" s="36"/>
      <c r="G1108" s="27"/>
      <c r="H1108" s="37"/>
      <c r="I1108" s="36"/>
      <c r="K1108" s="26"/>
    </row>
    <row r="1109">
      <c r="A1109" s="35"/>
      <c r="B1109" s="36"/>
      <c r="C1109" s="26"/>
      <c r="D1109" s="27"/>
      <c r="E1109" s="27"/>
      <c r="F1109" s="36"/>
      <c r="G1109" s="27"/>
      <c r="H1109" s="37"/>
      <c r="I1109" s="36"/>
      <c r="K1109" s="26"/>
    </row>
    <row r="1110">
      <c r="A1110" s="35"/>
      <c r="B1110" s="36"/>
      <c r="C1110" s="26"/>
      <c r="D1110" s="27"/>
      <c r="E1110" s="27"/>
      <c r="F1110" s="36"/>
      <c r="G1110" s="27"/>
      <c r="H1110" s="37"/>
      <c r="I1110" s="36"/>
      <c r="K1110" s="26"/>
    </row>
    <row r="1111">
      <c r="A1111" s="35"/>
      <c r="B1111" s="36"/>
      <c r="C1111" s="26"/>
      <c r="D1111" s="27"/>
      <c r="E1111" s="27"/>
      <c r="F1111" s="36"/>
      <c r="G1111" s="27"/>
      <c r="H1111" s="37"/>
      <c r="I1111" s="36"/>
      <c r="K1111" s="26"/>
    </row>
    <row r="1112">
      <c r="A1112" s="35"/>
      <c r="B1112" s="36"/>
      <c r="C1112" s="26"/>
      <c r="D1112" s="27"/>
      <c r="E1112" s="27"/>
      <c r="F1112" s="36"/>
      <c r="G1112" s="27"/>
      <c r="H1112" s="37"/>
      <c r="I1112" s="36"/>
      <c r="K1112" s="26"/>
    </row>
    <row r="1113">
      <c r="A1113" s="35"/>
      <c r="B1113" s="36"/>
      <c r="C1113" s="26"/>
      <c r="D1113" s="27"/>
      <c r="E1113" s="27"/>
      <c r="F1113" s="36"/>
      <c r="G1113" s="27"/>
      <c r="H1113" s="37"/>
      <c r="I1113" s="36"/>
      <c r="K1113" s="26"/>
    </row>
    <row r="1114">
      <c r="A1114" s="35"/>
      <c r="B1114" s="36"/>
      <c r="C1114" s="26"/>
      <c r="D1114" s="27"/>
      <c r="E1114" s="27"/>
      <c r="F1114" s="36"/>
      <c r="G1114" s="27"/>
      <c r="H1114" s="37"/>
      <c r="I1114" s="36"/>
      <c r="K1114" s="26"/>
    </row>
    <row r="1115">
      <c r="A1115" s="35"/>
      <c r="B1115" s="36"/>
      <c r="C1115" s="26"/>
      <c r="D1115" s="27"/>
      <c r="E1115" s="27"/>
      <c r="F1115" s="36"/>
      <c r="G1115" s="27"/>
      <c r="H1115" s="37"/>
      <c r="I1115" s="36"/>
      <c r="K1115" s="26"/>
    </row>
    <row r="1116">
      <c r="A1116" s="35"/>
      <c r="B1116" s="36"/>
      <c r="C1116" s="26"/>
      <c r="D1116" s="27"/>
      <c r="E1116" s="27"/>
      <c r="F1116" s="36"/>
      <c r="G1116" s="27"/>
      <c r="H1116" s="37"/>
      <c r="I1116" s="36"/>
      <c r="K1116" s="26"/>
    </row>
    <row r="1117">
      <c r="A1117" s="35"/>
      <c r="B1117" s="36"/>
      <c r="C1117" s="26"/>
      <c r="D1117" s="27"/>
      <c r="E1117" s="27"/>
      <c r="F1117" s="36"/>
      <c r="G1117" s="27"/>
      <c r="H1117" s="37"/>
      <c r="I1117" s="36"/>
      <c r="K1117" s="26"/>
    </row>
    <row r="1118">
      <c r="A1118" s="35"/>
      <c r="B1118" s="36"/>
      <c r="C1118" s="26"/>
      <c r="D1118" s="27"/>
      <c r="E1118" s="27"/>
      <c r="F1118" s="36"/>
      <c r="G1118" s="27"/>
      <c r="H1118" s="37"/>
      <c r="I1118" s="36"/>
      <c r="K1118" s="26"/>
    </row>
    <row r="1119">
      <c r="A1119" s="35"/>
      <c r="B1119" s="36"/>
      <c r="C1119" s="26"/>
      <c r="D1119" s="27"/>
      <c r="E1119" s="27"/>
      <c r="F1119" s="36"/>
      <c r="G1119" s="27"/>
      <c r="H1119" s="37"/>
      <c r="I1119" s="36"/>
      <c r="K1119" s="26"/>
    </row>
    <row r="1120">
      <c r="A1120" s="35"/>
      <c r="B1120" s="36"/>
      <c r="C1120" s="26"/>
      <c r="D1120" s="27"/>
      <c r="E1120" s="27"/>
      <c r="F1120" s="36"/>
      <c r="G1120" s="27"/>
      <c r="H1120" s="37"/>
      <c r="I1120" s="36"/>
      <c r="K1120" s="26"/>
    </row>
    <row r="1121">
      <c r="A1121" s="35"/>
      <c r="B1121" s="36"/>
      <c r="C1121" s="26"/>
      <c r="D1121" s="27"/>
      <c r="E1121" s="27"/>
      <c r="F1121" s="36"/>
      <c r="G1121" s="27"/>
      <c r="H1121" s="37"/>
      <c r="I1121" s="36"/>
      <c r="K1121" s="26"/>
    </row>
    <row r="1122">
      <c r="A1122" s="35"/>
      <c r="B1122" s="36"/>
      <c r="C1122" s="26"/>
      <c r="D1122" s="27"/>
      <c r="E1122" s="27"/>
      <c r="F1122" s="36"/>
      <c r="G1122" s="27"/>
      <c r="H1122" s="37"/>
      <c r="I1122" s="36"/>
      <c r="K1122" s="26"/>
    </row>
    <row r="1123">
      <c r="A1123" s="35"/>
      <c r="B1123" s="36"/>
      <c r="C1123" s="26"/>
      <c r="D1123" s="27"/>
      <c r="E1123" s="27"/>
      <c r="F1123" s="36"/>
      <c r="G1123" s="27"/>
      <c r="H1123" s="37"/>
      <c r="I1123" s="36"/>
      <c r="K1123" s="26"/>
    </row>
    <row r="1124">
      <c r="A1124" s="35"/>
      <c r="B1124" s="36"/>
      <c r="C1124" s="26"/>
      <c r="D1124" s="27"/>
      <c r="E1124" s="27"/>
      <c r="F1124" s="36"/>
      <c r="G1124" s="27"/>
      <c r="H1124" s="37"/>
      <c r="I1124" s="36"/>
      <c r="K1124" s="26"/>
    </row>
    <row r="1125">
      <c r="A1125" s="35"/>
      <c r="B1125" s="36"/>
      <c r="C1125" s="26"/>
      <c r="D1125" s="27"/>
      <c r="E1125" s="27"/>
      <c r="F1125" s="36"/>
      <c r="G1125" s="27"/>
      <c r="H1125" s="37"/>
      <c r="I1125" s="36"/>
      <c r="K1125" s="26"/>
    </row>
    <row r="1126">
      <c r="A1126" s="35"/>
      <c r="B1126" s="36"/>
      <c r="C1126" s="26"/>
      <c r="D1126" s="27"/>
      <c r="E1126" s="27"/>
      <c r="F1126" s="36"/>
      <c r="G1126" s="27"/>
      <c r="H1126" s="37"/>
      <c r="I1126" s="36"/>
      <c r="K1126" s="26"/>
    </row>
    <row r="1127">
      <c r="A1127" s="35"/>
      <c r="B1127" s="36"/>
      <c r="C1127" s="26"/>
      <c r="D1127" s="27"/>
      <c r="E1127" s="27"/>
      <c r="F1127" s="36"/>
      <c r="G1127" s="27"/>
      <c r="H1127" s="37"/>
      <c r="I1127" s="36"/>
      <c r="K1127" s="26"/>
    </row>
    <row r="1128">
      <c r="A1128" s="35"/>
      <c r="B1128" s="36"/>
      <c r="C1128" s="26"/>
      <c r="D1128" s="27"/>
      <c r="E1128" s="27"/>
      <c r="F1128" s="36"/>
      <c r="G1128" s="27"/>
      <c r="H1128" s="37"/>
      <c r="I1128" s="36"/>
      <c r="K1128" s="26"/>
    </row>
    <row r="1129">
      <c r="A1129" s="35"/>
      <c r="B1129" s="36"/>
      <c r="C1129" s="26"/>
      <c r="D1129" s="27"/>
      <c r="E1129" s="27"/>
      <c r="F1129" s="36"/>
      <c r="G1129" s="27"/>
      <c r="H1129" s="37"/>
      <c r="I1129" s="36"/>
      <c r="K1129" s="26"/>
    </row>
    <row r="1130">
      <c r="A1130" s="35"/>
      <c r="B1130" s="36"/>
      <c r="C1130" s="26"/>
      <c r="D1130" s="27"/>
      <c r="E1130" s="27"/>
      <c r="F1130" s="36"/>
      <c r="G1130" s="27"/>
      <c r="H1130" s="37"/>
      <c r="I1130" s="36"/>
      <c r="K1130" s="26"/>
    </row>
    <row r="1131">
      <c r="A1131" s="35"/>
      <c r="B1131" s="36"/>
      <c r="C1131" s="26"/>
      <c r="D1131" s="27"/>
      <c r="E1131" s="27"/>
      <c r="F1131" s="36"/>
      <c r="G1131" s="27"/>
      <c r="H1131" s="37"/>
      <c r="I1131" s="36"/>
      <c r="K1131" s="26"/>
    </row>
    <row r="1132">
      <c r="A1132" s="35"/>
      <c r="B1132" s="36"/>
      <c r="C1132" s="26"/>
      <c r="D1132" s="27"/>
      <c r="E1132" s="27"/>
      <c r="F1132" s="36"/>
      <c r="G1132" s="27"/>
      <c r="H1132" s="37"/>
      <c r="I1132" s="36"/>
      <c r="K1132" s="26"/>
    </row>
    <row r="1133">
      <c r="A1133" s="35"/>
      <c r="B1133" s="36"/>
      <c r="C1133" s="26"/>
      <c r="D1133" s="27"/>
      <c r="E1133" s="27"/>
      <c r="F1133" s="36"/>
      <c r="G1133" s="27"/>
      <c r="H1133" s="37"/>
      <c r="I1133" s="36"/>
      <c r="K1133" s="26"/>
    </row>
    <row r="1134">
      <c r="A1134" s="35"/>
      <c r="B1134" s="36"/>
      <c r="C1134" s="26"/>
      <c r="D1134" s="27"/>
      <c r="E1134" s="27"/>
      <c r="F1134" s="36"/>
      <c r="G1134" s="27"/>
      <c r="H1134" s="37"/>
      <c r="I1134" s="36"/>
      <c r="K1134" s="26"/>
    </row>
    <row r="1135">
      <c r="A1135" s="35"/>
      <c r="B1135" s="36"/>
      <c r="C1135" s="26"/>
      <c r="D1135" s="27"/>
      <c r="E1135" s="27"/>
      <c r="F1135" s="36"/>
      <c r="G1135" s="27"/>
      <c r="H1135" s="37"/>
      <c r="I1135" s="36"/>
      <c r="K1135" s="26"/>
    </row>
    <row r="1136">
      <c r="A1136" s="35"/>
      <c r="B1136" s="36"/>
      <c r="C1136" s="26"/>
      <c r="D1136" s="27"/>
      <c r="E1136" s="27"/>
      <c r="F1136" s="36"/>
      <c r="G1136" s="27"/>
      <c r="H1136" s="37"/>
      <c r="I1136" s="36"/>
      <c r="K1136" s="26"/>
    </row>
    <row r="1137">
      <c r="A1137" s="35"/>
      <c r="B1137" s="36"/>
      <c r="C1137" s="26"/>
      <c r="D1137" s="27"/>
      <c r="E1137" s="27"/>
      <c r="F1137" s="36"/>
      <c r="G1137" s="27"/>
      <c r="H1137" s="37"/>
      <c r="I1137" s="36"/>
      <c r="K1137" s="26"/>
    </row>
    <row r="1138">
      <c r="A1138" s="35"/>
      <c r="B1138" s="36"/>
      <c r="C1138" s="26"/>
      <c r="D1138" s="27"/>
      <c r="E1138" s="27"/>
      <c r="F1138" s="36"/>
      <c r="G1138" s="27"/>
      <c r="H1138" s="37"/>
      <c r="I1138" s="36"/>
      <c r="K1138" s="26"/>
    </row>
    <row r="1139">
      <c r="A1139" s="35"/>
      <c r="B1139" s="36"/>
      <c r="C1139" s="26"/>
      <c r="D1139" s="27"/>
      <c r="E1139" s="27"/>
      <c r="F1139" s="36"/>
      <c r="G1139" s="27"/>
      <c r="H1139" s="37"/>
      <c r="I1139" s="36"/>
      <c r="K1139" s="26"/>
    </row>
    <row r="1140">
      <c r="A1140" s="35"/>
      <c r="B1140" s="36"/>
      <c r="C1140" s="26"/>
      <c r="D1140" s="27"/>
      <c r="E1140" s="27"/>
      <c r="F1140" s="36"/>
      <c r="G1140" s="27"/>
      <c r="H1140" s="37"/>
      <c r="I1140" s="36"/>
      <c r="K1140" s="26"/>
    </row>
    <row r="1141">
      <c r="A1141" s="35"/>
      <c r="B1141" s="36"/>
      <c r="C1141" s="26"/>
      <c r="D1141" s="27"/>
      <c r="E1141" s="27"/>
      <c r="F1141" s="36"/>
      <c r="G1141" s="27"/>
      <c r="H1141" s="37"/>
      <c r="I1141" s="36"/>
      <c r="K1141" s="26"/>
    </row>
    <row r="1142">
      <c r="A1142" s="35"/>
      <c r="B1142" s="36"/>
      <c r="C1142" s="26"/>
      <c r="D1142" s="27"/>
      <c r="E1142" s="27"/>
      <c r="F1142" s="36"/>
      <c r="G1142" s="27"/>
      <c r="H1142" s="37"/>
      <c r="I1142" s="36"/>
      <c r="K1142" s="26"/>
    </row>
    <row r="1143">
      <c r="A1143" s="35"/>
      <c r="B1143" s="36"/>
      <c r="C1143" s="26"/>
      <c r="D1143" s="27"/>
      <c r="E1143" s="27"/>
      <c r="F1143" s="36"/>
      <c r="G1143" s="27"/>
      <c r="H1143" s="37"/>
      <c r="I1143" s="36"/>
      <c r="K1143" s="26"/>
    </row>
    <row r="1144">
      <c r="A1144" s="35"/>
      <c r="B1144" s="36"/>
      <c r="C1144" s="26"/>
      <c r="D1144" s="27"/>
      <c r="E1144" s="27"/>
      <c r="F1144" s="36"/>
      <c r="G1144" s="27"/>
      <c r="H1144" s="37"/>
      <c r="I1144" s="36"/>
      <c r="K1144" s="26"/>
    </row>
    <row r="1145">
      <c r="A1145" s="35"/>
      <c r="B1145" s="36"/>
      <c r="C1145" s="26"/>
      <c r="D1145" s="27"/>
      <c r="E1145" s="27"/>
      <c r="F1145" s="36"/>
      <c r="G1145" s="27"/>
      <c r="H1145" s="37"/>
      <c r="I1145" s="36"/>
      <c r="K1145" s="26"/>
    </row>
    <row r="1146">
      <c r="A1146" s="35"/>
      <c r="B1146" s="36"/>
      <c r="C1146" s="26"/>
      <c r="D1146" s="27"/>
      <c r="E1146" s="27"/>
      <c r="F1146" s="36"/>
      <c r="G1146" s="27"/>
      <c r="H1146" s="37"/>
      <c r="I1146" s="36"/>
      <c r="K1146" s="26"/>
    </row>
    <row r="1147">
      <c r="A1147" s="35"/>
      <c r="B1147" s="36"/>
      <c r="C1147" s="26"/>
      <c r="D1147" s="27"/>
      <c r="E1147" s="27"/>
      <c r="F1147" s="36"/>
      <c r="G1147" s="27"/>
      <c r="H1147" s="37"/>
      <c r="I1147" s="36"/>
      <c r="K1147" s="26"/>
    </row>
    <row r="1148">
      <c r="A1148" s="35"/>
      <c r="B1148" s="36"/>
      <c r="C1148" s="26"/>
      <c r="D1148" s="27"/>
      <c r="E1148" s="27"/>
      <c r="F1148" s="36"/>
      <c r="G1148" s="27"/>
      <c r="H1148" s="37"/>
      <c r="I1148" s="36"/>
      <c r="K1148" s="26"/>
    </row>
    <row r="1149">
      <c r="A1149" s="35"/>
      <c r="B1149" s="36"/>
      <c r="C1149" s="26"/>
      <c r="D1149" s="27"/>
      <c r="E1149" s="27"/>
      <c r="F1149" s="36"/>
      <c r="G1149" s="27"/>
      <c r="H1149" s="37"/>
      <c r="I1149" s="36"/>
      <c r="K1149" s="26"/>
    </row>
    <row r="1150">
      <c r="A1150" s="35"/>
      <c r="B1150" s="36"/>
      <c r="C1150" s="26"/>
      <c r="D1150" s="27"/>
      <c r="E1150" s="27"/>
      <c r="F1150" s="36"/>
      <c r="G1150" s="27"/>
      <c r="H1150" s="37"/>
      <c r="I1150" s="36"/>
      <c r="K1150" s="26"/>
    </row>
    <row r="1151">
      <c r="A1151" s="35"/>
      <c r="B1151" s="36"/>
      <c r="C1151" s="26"/>
      <c r="D1151" s="27"/>
      <c r="E1151" s="27"/>
      <c r="F1151" s="36"/>
      <c r="G1151" s="27"/>
      <c r="H1151" s="37"/>
      <c r="I1151" s="36"/>
      <c r="K1151" s="26"/>
    </row>
    <row r="1152">
      <c r="A1152" s="35"/>
      <c r="B1152" s="36"/>
      <c r="C1152" s="26"/>
      <c r="D1152" s="27"/>
      <c r="E1152" s="27"/>
      <c r="F1152" s="36"/>
      <c r="G1152" s="27"/>
      <c r="H1152" s="37"/>
      <c r="I1152" s="36"/>
      <c r="K1152" s="26"/>
    </row>
    <row r="1153">
      <c r="A1153" s="35"/>
      <c r="B1153" s="36"/>
      <c r="C1153" s="26"/>
      <c r="D1153" s="27"/>
      <c r="E1153" s="27"/>
      <c r="F1153" s="36"/>
      <c r="G1153" s="27"/>
      <c r="H1153" s="37"/>
      <c r="I1153" s="36"/>
      <c r="K1153" s="26"/>
    </row>
    <row r="1154">
      <c r="A1154" s="35"/>
      <c r="B1154" s="36"/>
      <c r="C1154" s="26"/>
      <c r="D1154" s="27"/>
      <c r="E1154" s="27"/>
      <c r="F1154" s="36"/>
      <c r="G1154" s="27"/>
      <c r="H1154" s="37"/>
      <c r="I1154" s="36"/>
      <c r="K1154" s="26"/>
    </row>
    <row r="1155">
      <c r="A1155" s="35"/>
      <c r="B1155" s="36"/>
      <c r="C1155" s="26"/>
      <c r="D1155" s="27"/>
      <c r="E1155" s="27"/>
      <c r="F1155" s="36"/>
      <c r="G1155" s="27"/>
      <c r="H1155" s="37"/>
      <c r="I1155" s="36"/>
      <c r="K1155" s="26"/>
    </row>
    <row r="1156">
      <c r="A1156" s="35"/>
      <c r="B1156" s="36"/>
      <c r="C1156" s="26"/>
      <c r="D1156" s="27"/>
      <c r="E1156" s="27"/>
      <c r="F1156" s="36"/>
      <c r="G1156" s="27"/>
      <c r="H1156" s="37"/>
      <c r="I1156" s="36"/>
      <c r="K1156" s="26"/>
    </row>
    <row r="1157">
      <c r="A1157" s="35"/>
      <c r="B1157" s="36"/>
      <c r="C1157" s="26"/>
      <c r="D1157" s="27"/>
      <c r="E1157" s="27"/>
      <c r="F1157" s="36"/>
      <c r="G1157" s="27"/>
      <c r="H1157" s="37"/>
      <c r="I1157" s="36"/>
      <c r="K1157" s="26"/>
    </row>
    <row r="1158">
      <c r="A1158" s="35"/>
      <c r="B1158" s="36"/>
      <c r="C1158" s="26"/>
      <c r="D1158" s="27"/>
      <c r="E1158" s="27"/>
      <c r="F1158" s="36"/>
      <c r="G1158" s="27"/>
      <c r="H1158" s="37"/>
      <c r="I1158" s="36"/>
      <c r="K1158" s="26"/>
    </row>
    <row r="1159">
      <c r="A1159" s="35"/>
      <c r="B1159" s="36"/>
      <c r="C1159" s="26"/>
      <c r="D1159" s="27"/>
      <c r="E1159" s="27"/>
      <c r="F1159" s="36"/>
      <c r="G1159" s="27"/>
      <c r="H1159" s="37"/>
      <c r="I1159" s="36"/>
      <c r="K1159" s="26"/>
    </row>
    <row r="1160">
      <c r="A1160" s="35"/>
      <c r="B1160" s="36"/>
      <c r="C1160" s="26"/>
      <c r="D1160" s="27"/>
      <c r="E1160" s="27"/>
      <c r="F1160" s="36"/>
      <c r="G1160" s="27"/>
      <c r="H1160" s="37"/>
      <c r="I1160" s="36"/>
      <c r="K1160" s="26"/>
    </row>
    <row r="1161">
      <c r="A1161" s="35"/>
      <c r="B1161" s="36"/>
      <c r="C1161" s="26"/>
      <c r="D1161" s="27"/>
      <c r="E1161" s="27"/>
      <c r="F1161" s="36"/>
      <c r="G1161" s="27"/>
      <c r="H1161" s="37"/>
      <c r="I1161" s="36"/>
      <c r="K1161" s="26"/>
    </row>
    <row r="1162">
      <c r="A1162" s="35"/>
      <c r="B1162" s="36"/>
      <c r="C1162" s="26"/>
      <c r="D1162" s="27"/>
      <c r="E1162" s="27"/>
      <c r="F1162" s="36"/>
      <c r="G1162" s="27"/>
      <c r="H1162" s="37"/>
      <c r="I1162" s="36"/>
      <c r="K1162" s="26"/>
    </row>
    <row r="1163">
      <c r="A1163" s="35"/>
      <c r="B1163" s="36"/>
      <c r="C1163" s="26"/>
      <c r="D1163" s="27"/>
      <c r="E1163" s="27"/>
      <c r="F1163" s="36"/>
      <c r="G1163" s="27"/>
      <c r="H1163" s="37"/>
      <c r="I1163" s="36"/>
      <c r="K1163" s="26"/>
    </row>
    <row r="1164">
      <c r="A1164" s="35"/>
      <c r="B1164" s="36"/>
      <c r="C1164" s="26"/>
      <c r="D1164" s="27"/>
      <c r="E1164" s="27"/>
      <c r="F1164" s="36"/>
      <c r="G1164" s="27"/>
      <c r="H1164" s="37"/>
      <c r="I1164" s="36"/>
      <c r="K1164" s="26"/>
    </row>
    <row r="1165">
      <c r="A1165" s="35"/>
      <c r="B1165" s="36"/>
      <c r="C1165" s="26"/>
      <c r="D1165" s="27"/>
      <c r="E1165" s="27"/>
      <c r="F1165" s="36"/>
      <c r="G1165" s="27"/>
      <c r="H1165" s="37"/>
      <c r="I1165" s="36"/>
      <c r="K1165" s="26"/>
    </row>
    <row r="1166">
      <c r="A1166" s="35"/>
      <c r="B1166" s="36"/>
      <c r="C1166" s="26"/>
      <c r="D1166" s="27"/>
      <c r="E1166" s="27"/>
      <c r="F1166" s="36"/>
      <c r="G1166" s="27"/>
      <c r="H1166" s="37"/>
      <c r="I1166" s="36"/>
      <c r="K1166" s="26"/>
    </row>
    <row r="1167">
      <c r="A1167" s="35"/>
      <c r="B1167" s="36"/>
      <c r="C1167" s="26"/>
      <c r="D1167" s="27"/>
      <c r="E1167" s="27"/>
      <c r="F1167" s="36"/>
      <c r="G1167" s="27"/>
      <c r="H1167" s="37"/>
      <c r="I1167" s="36"/>
      <c r="K1167" s="26"/>
    </row>
    <row r="1168">
      <c r="A1168" s="35"/>
      <c r="B1168" s="36"/>
      <c r="C1168" s="26"/>
      <c r="D1168" s="27"/>
      <c r="E1168" s="27"/>
      <c r="F1168" s="36"/>
      <c r="G1168" s="27"/>
      <c r="H1168" s="37"/>
      <c r="I1168" s="36"/>
      <c r="K1168" s="26"/>
    </row>
    <row r="1169">
      <c r="A1169" s="35"/>
      <c r="B1169" s="36"/>
      <c r="C1169" s="26"/>
      <c r="D1169" s="27"/>
      <c r="E1169" s="27"/>
      <c r="F1169" s="36"/>
      <c r="G1169" s="27"/>
      <c r="H1169" s="37"/>
      <c r="I1169" s="36"/>
      <c r="K1169" s="26"/>
    </row>
    <row r="1170">
      <c r="A1170" s="35"/>
      <c r="B1170" s="36"/>
      <c r="C1170" s="26"/>
      <c r="D1170" s="27"/>
      <c r="E1170" s="27"/>
      <c r="F1170" s="36"/>
      <c r="G1170" s="27"/>
      <c r="H1170" s="37"/>
      <c r="I1170" s="36"/>
      <c r="K1170" s="26"/>
    </row>
    <row r="1171">
      <c r="A1171" s="35"/>
      <c r="B1171" s="36"/>
      <c r="C1171" s="26"/>
      <c r="D1171" s="27"/>
      <c r="E1171" s="27"/>
      <c r="F1171" s="36"/>
      <c r="G1171" s="27"/>
      <c r="H1171" s="37"/>
      <c r="I1171" s="36"/>
      <c r="K1171" s="26"/>
    </row>
    <row r="1172">
      <c r="A1172" s="35"/>
      <c r="B1172" s="36"/>
      <c r="C1172" s="26"/>
      <c r="D1172" s="27"/>
      <c r="E1172" s="27"/>
      <c r="F1172" s="36"/>
      <c r="G1172" s="27"/>
      <c r="H1172" s="37"/>
      <c r="I1172" s="36"/>
      <c r="K1172" s="26"/>
    </row>
    <row r="1173">
      <c r="A1173" s="35"/>
      <c r="B1173" s="36"/>
      <c r="C1173" s="26"/>
      <c r="D1173" s="27"/>
      <c r="E1173" s="27"/>
      <c r="F1173" s="36"/>
      <c r="G1173" s="27"/>
      <c r="H1173" s="37"/>
      <c r="I1173" s="36"/>
      <c r="K1173" s="26"/>
    </row>
    <row r="1174">
      <c r="A1174" s="35"/>
      <c r="B1174" s="36"/>
      <c r="C1174" s="26"/>
      <c r="D1174" s="27"/>
      <c r="E1174" s="27"/>
      <c r="F1174" s="36"/>
      <c r="G1174" s="27"/>
      <c r="H1174" s="37"/>
      <c r="I1174" s="36"/>
      <c r="K1174" s="26"/>
    </row>
    <row r="1175">
      <c r="A1175" s="35"/>
      <c r="B1175" s="36"/>
      <c r="C1175" s="26"/>
      <c r="D1175" s="27"/>
      <c r="E1175" s="27"/>
      <c r="F1175" s="36"/>
      <c r="G1175" s="27"/>
      <c r="H1175" s="37"/>
      <c r="I1175" s="36"/>
      <c r="K1175" s="26"/>
    </row>
    <row r="1176">
      <c r="A1176" s="35"/>
      <c r="B1176" s="36"/>
      <c r="C1176" s="26"/>
      <c r="D1176" s="27"/>
      <c r="E1176" s="27"/>
      <c r="F1176" s="36"/>
      <c r="G1176" s="27"/>
      <c r="H1176" s="37"/>
      <c r="I1176" s="36"/>
      <c r="K1176" s="26"/>
    </row>
    <row r="1177">
      <c r="A1177" s="35"/>
      <c r="B1177" s="36"/>
      <c r="C1177" s="26"/>
      <c r="D1177" s="27"/>
      <c r="E1177" s="27"/>
      <c r="F1177" s="36"/>
      <c r="G1177" s="27"/>
      <c r="H1177" s="37"/>
      <c r="I1177" s="36"/>
      <c r="K1177" s="26"/>
    </row>
    <row r="1178">
      <c r="A1178" s="35"/>
      <c r="B1178" s="36"/>
      <c r="C1178" s="26"/>
      <c r="D1178" s="27"/>
      <c r="E1178" s="27"/>
      <c r="F1178" s="36"/>
      <c r="G1178" s="27"/>
      <c r="H1178" s="37"/>
      <c r="I1178" s="36"/>
      <c r="K1178" s="26"/>
    </row>
    <row r="1179">
      <c r="A1179" s="35"/>
      <c r="B1179" s="36"/>
      <c r="C1179" s="26"/>
      <c r="D1179" s="27"/>
      <c r="E1179" s="27"/>
      <c r="F1179" s="36"/>
      <c r="G1179" s="27"/>
      <c r="H1179" s="37"/>
      <c r="I1179" s="36"/>
      <c r="K1179" s="26"/>
    </row>
    <row r="1180">
      <c r="A1180" s="35"/>
      <c r="B1180" s="36"/>
      <c r="C1180" s="26"/>
      <c r="D1180" s="27"/>
      <c r="E1180" s="27"/>
      <c r="F1180" s="36"/>
      <c r="G1180" s="27"/>
      <c r="H1180" s="37"/>
      <c r="I1180" s="36"/>
      <c r="K1180" s="26"/>
    </row>
    <row r="1181">
      <c r="A1181" s="35"/>
      <c r="B1181" s="36"/>
      <c r="C1181" s="26"/>
      <c r="D1181" s="27"/>
      <c r="E1181" s="27"/>
      <c r="F1181" s="36"/>
      <c r="G1181" s="27"/>
      <c r="H1181" s="37"/>
      <c r="I1181" s="36"/>
      <c r="K1181" s="26"/>
    </row>
    <row r="1182">
      <c r="A1182" s="35"/>
      <c r="B1182" s="36"/>
      <c r="C1182" s="26"/>
      <c r="D1182" s="27"/>
      <c r="E1182" s="27"/>
      <c r="F1182" s="36"/>
      <c r="G1182" s="27"/>
      <c r="H1182" s="37"/>
      <c r="I1182" s="36"/>
      <c r="K1182" s="26"/>
    </row>
    <row r="1183">
      <c r="A1183" s="35"/>
      <c r="B1183" s="36"/>
      <c r="C1183" s="26"/>
      <c r="D1183" s="27"/>
      <c r="E1183" s="27"/>
      <c r="F1183" s="36"/>
      <c r="G1183" s="27"/>
      <c r="H1183" s="37"/>
      <c r="I1183" s="36"/>
      <c r="K1183" s="26"/>
    </row>
    <row r="1184">
      <c r="A1184" s="35"/>
      <c r="B1184" s="36"/>
      <c r="C1184" s="26"/>
      <c r="D1184" s="27"/>
      <c r="E1184" s="27"/>
      <c r="F1184" s="36"/>
      <c r="G1184" s="27"/>
      <c r="H1184" s="37"/>
      <c r="I1184" s="36"/>
      <c r="K1184" s="26"/>
    </row>
    <row r="1185">
      <c r="A1185" s="35"/>
      <c r="B1185" s="36"/>
      <c r="C1185" s="26"/>
      <c r="D1185" s="27"/>
      <c r="E1185" s="27"/>
      <c r="F1185" s="36"/>
      <c r="G1185" s="27"/>
      <c r="H1185" s="37"/>
      <c r="I1185" s="36"/>
      <c r="K1185" s="26"/>
    </row>
    <row r="1186">
      <c r="A1186" s="35"/>
      <c r="B1186" s="36"/>
      <c r="C1186" s="26"/>
      <c r="D1186" s="27"/>
      <c r="E1186" s="27"/>
      <c r="F1186" s="36"/>
      <c r="G1186" s="27"/>
      <c r="H1186" s="37"/>
      <c r="I1186" s="36"/>
      <c r="K1186" s="26"/>
    </row>
    <row r="1187">
      <c r="A1187" s="35"/>
      <c r="B1187" s="36"/>
      <c r="C1187" s="26"/>
      <c r="D1187" s="27"/>
      <c r="E1187" s="27"/>
      <c r="F1187" s="36"/>
      <c r="G1187" s="27"/>
      <c r="H1187" s="37"/>
      <c r="I1187" s="36"/>
      <c r="K1187" s="26"/>
    </row>
    <row r="1188">
      <c r="A1188" s="35"/>
      <c r="B1188" s="36"/>
      <c r="C1188" s="26"/>
      <c r="D1188" s="27"/>
      <c r="E1188" s="27"/>
      <c r="F1188" s="36"/>
      <c r="G1188" s="27"/>
      <c r="H1188" s="37"/>
      <c r="I1188" s="36"/>
      <c r="K1188" s="26"/>
    </row>
    <row r="1189">
      <c r="A1189" s="35"/>
      <c r="B1189" s="36"/>
      <c r="C1189" s="26"/>
      <c r="D1189" s="27"/>
      <c r="E1189" s="27"/>
      <c r="F1189" s="36"/>
      <c r="G1189" s="27"/>
      <c r="H1189" s="37"/>
      <c r="I1189" s="36"/>
      <c r="K1189" s="26"/>
    </row>
    <row r="1190">
      <c r="A1190" s="35"/>
      <c r="B1190" s="36"/>
      <c r="C1190" s="26"/>
      <c r="D1190" s="27"/>
      <c r="E1190" s="27"/>
      <c r="F1190" s="36"/>
      <c r="G1190" s="27"/>
      <c r="H1190" s="37"/>
      <c r="I1190" s="36"/>
      <c r="K1190" s="26"/>
    </row>
    <row r="1191">
      <c r="A1191" s="35"/>
      <c r="B1191" s="36"/>
      <c r="C1191" s="26"/>
      <c r="D1191" s="27"/>
      <c r="E1191" s="27"/>
      <c r="F1191" s="36"/>
      <c r="G1191" s="27"/>
      <c r="H1191" s="37"/>
      <c r="I1191" s="36"/>
      <c r="K1191" s="26"/>
    </row>
    <row r="1192">
      <c r="A1192" s="35"/>
      <c r="B1192" s="36"/>
      <c r="C1192" s="26"/>
      <c r="D1192" s="27"/>
      <c r="E1192" s="27"/>
      <c r="F1192" s="36"/>
      <c r="G1192" s="27"/>
      <c r="H1192" s="37"/>
      <c r="I1192" s="36"/>
      <c r="K1192" s="26"/>
    </row>
    <row r="1193">
      <c r="A1193" s="35"/>
      <c r="B1193" s="36"/>
      <c r="C1193" s="26"/>
      <c r="D1193" s="27"/>
      <c r="E1193" s="27"/>
      <c r="F1193" s="36"/>
      <c r="G1193" s="27"/>
      <c r="H1193" s="37"/>
      <c r="I1193" s="36"/>
      <c r="K1193" s="26"/>
    </row>
    <row r="1194">
      <c r="A1194" s="35"/>
      <c r="B1194" s="36"/>
      <c r="C1194" s="26"/>
      <c r="D1194" s="27"/>
      <c r="E1194" s="27"/>
      <c r="F1194" s="36"/>
      <c r="G1194" s="27"/>
      <c r="H1194" s="37"/>
      <c r="I1194" s="36"/>
      <c r="K1194" s="26"/>
    </row>
    <row r="1195">
      <c r="A1195" s="35"/>
      <c r="B1195" s="36"/>
      <c r="C1195" s="26"/>
      <c r="D1195" s="27"/>
      <c r="E1195" s="27"/>
      <c r="F1195" s="36"/>
      <c r="G1195" s="27"/>
      <c r="H1195" s="37"/>
      <c r="I1195" s="36"/>
      <c r="K1195" s="26"/>
    </row>
    <row r="1196">
      <c r="A1196" s="35"/>
      <c r="B1196" s="36"/>
      <c r="C1196" s="26"/>
      <c r="D1196" s="27"/>
      <c r="E1196" s="27"/>
      <c r="F1196" s="36"/>
      <c r="G1196" s="27"/>
      <c r="H1196" s="37"/>
      <c r="I1196" s="36"/>
      <c r="K1196" s="26"/>
    </row>
    <row r="1197">
      <c r="A1197" s="35"/>
      <c r="B1197" s="36"/>
      <c r="C1197" s="26"/>
      <c r="D1197" s="27"/>
      <c r="E1197" s="27"/>
      <c r="F1197" s="36"/>
      <c r="G1197" s="27"/>
      <c r="H1197" s="37"/>
      <c r="I1197" s="36"/>
      <c r="K1197" s="26"/>
    </row>
    <row r="1198">
      <c r="A1198" s="35"/>
      <c r="B1198" s="36"/>
      <c r="C1198" s="26"/>
      <c r="D1198" s="27"/>
      <c r="E1198" s="27"/>
      <c r="F1198" s="36"/>
      <c r="G1198" s="27"/>
      <c r="H1198" s="37"/>
      <c r="I1198" s="36"/>
      <c r="K1198" s="26"/>
    </row>
    <row r="1199">
      <c r="A1199" s="35"/>
      <c r="B1199" s="36"/>
      <c r="C1199" s="26"/>
      <c r="D1199" s="27"/>
      <c r="E1199" s="27"/>
      <c r="F1199" s="36"/>
      <c r="G1199" s="27"/>
      <c r="H1199" s="37"/>
      <c r="I1199" s="36"/>
      <c r="K1199" s="26"/>
    </row>
    <row r="1200">
      <c r="A1200" s="35"/>
      <c r="B1200" s="36"/>
      <c r="C1200" s="26"/>
      <c r="D1200" s="27"/>
      <c r="E1200" s="27"/>
      <c r="F1200" s="36"/>
      <c r="G1200" s="27"/>
      <c r="H1200" s="37"/>
      <c r="I1200" s="36"/>
      <c r="K1200" s="26"/>
    </row>
    <row r="1201">
      <c r="A1201" s="35"/>
      <c r="B1201" s="36"/>
      <c r="C1201" s="26"/>
      <c r="D1201" s="27"/>
      <c r="E1201" s="27"/>
      <c r="F1201" s="36"/>
      <c r="G1201" s="27"/>
      <c r="H1201" s="37"/>
      <c r="I1201" s="36"/>
      <c r="K1201" s="26"/>
    </row>
    <row r="1202">
      <c r="A1202" s="35"/>
      <c r="B1202" s="36"/>
      <c r="C1202" s="26"/>
      <c r="D1202" s="27"/>
      <c r="E1202" s="27"/>
      <c r="F1202" s="36"/>
      <c r="G1202" s="27"/>
      <c r="H1202" s="37"/>
      <c r="I1202" s="36"/>
      <c r="K1202" s="26"/>
    </row>
    <row r="1203">
      <c r="A1203" s="35"/>
      <c r="B1203" s="36"/>
      <c r="C1203" s="26"/>
      <c r="D1203" s="27"/>
      <c r="E1203" s="27"/>
      <c r="F1203" s="36"/>
      <c r="G1203" s="27"/>
      <c r="H1203" s="37"/>
      <c r="I1203" s="36"/>
      <c r="K1203" s="26"/>
    </row>
    <row r="1204">
      <c r="A1204" s="35"/>
      <c r="B1204" s="36"/>
      <c r="C1204" s="26"/>
      <c r="D1204" s="27"/>
      <c r="E1204" s="27"/>
      <c r="F1204" s="36"/>
      <c r="G1204" s="27"/>
      <c r="H1204" s="37"/>
      <c r="I1204" s="36"/>
      <c r="K1204" s="26"/>
    </row>
    <row r="1205">
      <c r="A1205" s="35"/>
      <c r="B1205" s="36"/>
      <c r="C1205" s="26"/>
      <c r="D1205" s="27"/>
      <c r="E1205" s="27"/>
      <c r="F1205" s="36"/>
      <c r="G1205" s="27"/>
      <c r="H1205" s="37"/>
      <c r="I1205" s="36"/>
      <c r="K1205" s="26"/>
    </row>
    <row r="1206">
      <c r="A1206" s="35"/>
      <c r="B1206" s="36"/>
      <c r="C1206" s="26"/>
      <c r="D1206" s="27"/>
      <c r="E1206" s="27"/>
      <c r="F1206" s="36"/>
      <c r="G1206" s="27"/>
      <c r="H1206" s="37"/>
      <c r="I1206" s="36"/>
      <c r="K1206" s="26"/>
    </row>
    <row r="1207">
      <c r="A1207" s="35"/>
      <c r="B1207" s="36"/>
      <c r="C1207" s="26"/>
      <c r="D1207" s="27"/>
      <c r="E1207" s="27"/>
      <c r="F1207" s="36"/>
      <c r="G1207" s="27"/>
      <c r="H1207" s="37"/>
      <c r="I1207" s="36"/>
      <c r="K1207" s="26"/>
    </row>
    <row r="1208">
      <c r="A1208" s="35"/>
      <c r="B1208" s="36"/>
      <c r="C1208" s="26"/>
      <c r="D1208" s="27"/>
      <c r="E1208" s="27"/>
      <c r="F1208" s="36"/>
      <c r="G1208" s="27"/>
      <c r="H1208" s="37"/>
      <c r="I1208" s="36"/>
      <c r="K1208" s="26"/>
    </row>
    <row r="1209">
      <c r="A1209" s="35"/>
      <c r="B1209" s="36"/>
      <c r="C1209" s="26"/>
      <c r="D1209" s="27"/>
      <c r="E1209" s="27"/>
      <c r="F1209" s="36"/>
      <c r="G1209" s="27"/>
      <c r="H1209" s="37"/>
      <c r="I1209" s="36"/>
      <c r="K1209" s="26"/>
    </row>
    <row r="1210">
      <c r="A1210" s="35"/>
      <c r="B1210" s="36"/>
      <c r="C1210" s="26"/>
      <c r="D1210" s="27"/>
      <c r="E1210" s="27"/>
      <c r="F1210" s="36"/>
      <c r="G1210" s="27"/>
      <c r="H1210" s="37"/>
      <c r="I1210" s="36"/>
      <c r="K1210" s="26"/>
    </row>
    <row r="1211">
      <c r="A1211" s="35"/>
      <c r="B1211" s="36"/>
      <c r="C1211" s="26"/>
      <c r="D1211" s="27"/>
      <c r="E1211" s="27"/>
      <c r="F1211" s="36"/>
      <c r="G1211" s="27"/>
      <c r="H1211" s="37"/>
      <c r="I1211" s="36"/>
      <c r="K1211" s="26"/>
    </row>
    <row r="1212">
      <c r="A1212" s="35"/>
      <c r="B1212" s="36"/>
      <c r="C1212" s="26"/>
      <c r="D1212" s="27"/>
      <c r="E1212" s="27"/>
      <c r="F1212" s="36"/>
      <c r="G1212" s="27"/>
      <c r="H1212" s="37"/>
      <c r="I1212" s="36"/>
      <c r="K1212" s="26"/>
    </row>
    <row r="1213">
      <c r="A1213" s="35"/>
      <c r="B1213" s="36"/>
      <c r="C1213" s="26"/>
      <c r="D1213" s="27"/>
      <c r="E1213" s="27"/>
      <c r="F1213" s="36"/>
      <c r="G1213" s="27"/>
      <c r="H1213" s="37"/>
      <c r="I1213" s="36"/>
      <c r="K1213" s="26"/>
    </row>
    <row r="1214">
      <c r="A1214" s="35"/>
      <c r="B1214" s="36"/>
      <c r="C1214" s="26"/>
      <c r="D1214" s="27"/>
      <c r="E1214" s="27"/>
      <c r="F1214" s="36"/>
      <c r="G1214" s="27"/>
      <c r="H1214" s="37"/>
      <c r="I1214" s="36"/>
      <c r="K1214" s="26"/>
    </row>
    <row r="1215">
      <c r="A1215" s="35"/>
      <c r="B1215" s="36"/>
      <c r="C1215" s="26"/>
      <c r="D1215" s="27"/>
      <c r="E1215" s="27"/>
      <c r="F1215" s="36"/>
      <c r="G1215" s="27"/>
      <c r="H1215" s="37"/>
      <c r="I1215" s="36"/>
      <c r="K1215" s="26"/>
    </row>
    <row r="1216">
      <c r="A1216" s="35"/>
      <c r="B1216" s="36"/>
      <c r="C1216" s="26"/>
      <c r="D1216" s="27"/>
      <c r="E1216" s="27"/>
      <c r="F1216" s="36"/>
      <c r="G1216" s="27"/>
      <c r="H1216" s="37"/>
      <c r="I1216" s="36"/>
      <c r="K1216" s="26"/>
    </row>
    <row r="1217">
      <c r="A1217" s="35"/>
      <c r="B1217" s="36"/>
      <c r="C1217" s="26"/>
      <c r="D1217" s="27"/>
      <c r="E1217" s="27"/>
      <c r="F1217" s="36"/>
      <c r="G1217" s="27"/>
      <c r="H1217" s="37"/>
      <c r="I1217" s="36"/>
      <c r="K1217" s="26"/>
    </row>
    <row r="1218">
      <c r="A1218" s="35"/>
      <c r="B1218" s="36"/>
      <c r="C1218" s="26"/>
      <c r="D1218" s="27"/>
      <c r="E1218" s="27"/>
      <c r="F1218" s="36"/>
      <c r="G1218" s="27"/>
      <c r="H1218" s="37"/>
      <c r="I1218" s="36"/>
      <c r="K1218" s="26"/>
    </row>
    <row r="1219">
      <c r="A1219" s="35"/>
      <c r="B1219" s="36"/>
      <c r="C1219" s="26"/>
      <c r="D1219" s="27"/>
      <c r="E1219" s="27"/>
      <c r="F1219" s="36"/>
      <c r="G1219" s="27"/>
      <c r="H1219" s="37"/>
      <c r="I1219" s="36"/>
      <c r="K1219" s="26"/>
    </row>
    <row r="1220">
      <c r="A1220" s="35"/>
      <c r="B1220" s="36"/>
      <c r="C1220" s="26"/>
      <c r="D1220" s="27"/>
      <c r="E1220" s="27"/>
      <c r="F1220" s="36"/>
      <c r="G1220" s="27"/>
      <c r="H1220" s="37"/>
      <c r="I1220" s="36"/>
      <c r="K1220" s="26"/>
    </row>
    <row r="1221">
      <c r="A1221" s="35"/>
      <c r="B1221" s="36"/>
      <c r="C1221" s="26"/>
      <c r="D1221" s="27"/>
      <c r="E1221" s="27"/>
      <c r="F1221" s="36"/>
      <c r="G1221" s="27"/>
      <c r="H1221" s="37"/>
      <c r="I1221" s="36"/>
      <c r="K1221" s="26"/>
    </row>
    <row r="1222">
      <c r="A1222" s="35"/>
      <c r="B1222" s="36"/>
      <c r="C1222" s="26"/>
      <c r="D1222" s="27"/>
      <c r="E1222" s="27"/>
      <c r="F1222" s="36"/>
      <c r="G1222" s="27"/>
      <c r="H1222" s="37"/>
      <c r="I1222" s="36"/>
      <c r="K1222" s="26"/>
    </row>
    <row r="1223">
      <c r="A1223" s="35"/>
      <c r="B1223" s="36"/>
      <c r="C1223" s="26"/>
      <c r="D1223" s="27"/>
      <c r="E1223" s="27"/>
      <c r="F1223" s="36"/>
      <c r="G1223" s="27"/>
      <c r="H1223" s="37"/>
      <c r="I1223" s="36"/>
      <c r="K1223" s="26"/>
    </row>
    <row r="1224">
      <c r="A1224" s="35"/>
      <c r="B1224" s="36"/>
      <c r="C1224" s="26"/>
      <c r="D1224" s="27"/>
      <c r="E1224" s="27"/>
      <c r="F1224" s="36"/>
      <c r="G1224" s="27"/>
      <c r="H1224" s="37"/>
      <c r="I1224" s="36"/>
      <c r="K1224" s="26"/>
    </row>
    <row r="1225">
      <c r="A1225" s="35"/>
      <c r="B1225" s="36"/>
      <c r="C1225" s="26"/>
      <c r="D1225" s="27"/>
      <c r="E1225" s="27"/>
      <c r="F1225" s="36"/>
      <c r="G1225" s="27"/>
      <c r="H1225" s="37"/>
      <c r="I1225" s="36"/>
      <c r="K1225" s="26"/>
    </row>
    <row r="1226">
      <c r="A1226" s="35"/>
      <c r="B1226" s="36"/>
      <c r="C1226" s="26"/>
      <c r="D1226" s="27"/>
      <c r="E1226" s="27"/>
      <c r="F1226" s="36"/>
      <c r="G1226" s="27"/>
      <c r="H1226" s="37"/>
      <c r="I1226" s="36"/>
      <c r="K1226" s="26"/>
    </row>
    <row r="1227">
      <c r="A1227" s="35"/>
      <c r="B1227" s="36"/>
      <c r="C1227" s="26"/>
      <c r="D1227" s="27"/>
      <c r="E1227" s="27"/>
      <c r="F1227" s="36"/>
      <c r="G1227" s="27"/>
      <c r="H1227" s="37"/>
      <c r="I1227" s="36"/>
      <c r="K1227" s="26"/>
    </row>
    <row r="1228">
      <c r="A1228" s="35"/>
      <c r="B1228" s="36"/>
      <c r="C1228" s="26"/>
      <c r="D1228" s="27"/>
      <c r="E1228" s="27"/>
      <c r="F1228" s="36"/>
      <c r="G1228" s="27"/>
      <c r="H1228" s="37"/>
      <c r="I1228" s="36"/>
      <c r="K1228" s="26"/>
    </row>
    <row r="1229">
      <c r="A1229" s="35"/>
      <c r="B1229" s="36"/>
      <c r="C1229" s="26"/>
      <c r="D1229" s="27"/>
      <c r="E1229" s="27"/>
      <c r="F1229" s="36"/>
      <c r="G1229" s="27"/>
      <c r="H1229" s="37"/>
      <c r="I1229" s="36"/>
      <c r="K1229" s="26"/>
    </row>
    <row r="1230">
      <c r="A1230" s="35"/>
      <c r="B1230" s="36"/>
      <c r="C1230" s="26"/>
      <c r="D1230" s="27"/>
      <c r="E1230" s="27"/>
      <c r="F1230" s="36"/>
      <c r="G1230" s="27"/>
      <c r="H1230" s="37"/>
      <c r="I1230" s="36"/>
      <c r="K1230" s="26"/>
    </row>
    <row r="1231">
      <c r="A1231" s="35"/>
      <c r="B1231" s="36"/>
      <c r="C1231" s="26"/>
      <c r="D1231" s="27"/>
      <c r="E1231" s="27"/>
      <c r="F1231" s="36"/>
      <c r="G1231" s="27"/>
      <c r="H1231" s="37"/>
      <c r="I1231" s="36"/>
      <c r="K1231" s="26"/>
    </row>
    <row r="1232">
      <c r="A1232" s="35"/>
      <c r="B1232" s="36"/>
      <c r="C1232" s="26"/>
      <c r="D1232" s="27"/>
      <c r="E1232" s="27"/>
      <c r="F1232" s="36"/>
      <c r="G1232" s="27"/>
      <c r="H1232" s="37"/>
      <c r="I1232" s="36"/>
      <c r="K1232" s="26"/>
    </row>
    <row r="1233">
      <c r="A1233" s="35"/>
      <c r="B1233" s="36"/>
      <c r="C1233" s="26"/>
      <c r="D1233" s="27"/>
      <c r="E1233" s="27"/>
      <c r="F1233" s="36"/>
      <c r="G1233" s="27"/>
      <c r="H1233" s="37"/>
      <c r="I1233" s="36"/>
      <c r="K1233" s="26"/>
    </row>
    <row r="1234">
      <c r="A1234" s="35"/>
      <c r="B1234" s="36"/>
      <c r="C1234" s="26"/>
      <c r="D1234" s="27"/>
      <c r="E1234" s="27"/>
      <c r="F1234" s="36"/>
      <c r="G1234" s="27"/>
      <c r="H1234" s="37"/>
      <c r="I1234" s="36"/>
      <c r="K1234" s="26"/>
    </row>
    <row r="1235">
      <c r="A1235" s="35"/>
      <c r="B1235" s="36"/>
      <c r="C1235" s="26"/>
      <c r="D1235" s="27"/>
      <c r="E1235" s="27"/>
      <c r="F1235" s="36"/>
      <c r="G1235" s="27"/>
      <c r="H1235" s="37"/>
      <c r="I1235" s="36"/>
      <c r="K1235" s="26"/>
    </row>
    <row r="1236">
      <c r="A1236" s="35"/>
      <c r="B1236" s="36"/>
      <c r="C1236" s="26"/>
      <c r="D1236" s="27"/>
      <c r="E1236" s="27"/>
      <c r="F1236" s="36"/>
      <c r="G1236" s="27"/>
      <c r="H1236" s="37"/>
      <c r="I1236" s="36"/>
      <c r="K1236" s="26"/>
    </row>
    <row r="1237">
      <c r="A1237" s="35"/>
      <c r="B1237" s="36"/>
      <c r="C1237" s="26"/>
      <c r="D1237" s="27"/>
      <c r="E1237" s="27"/>
      <c r="F1237" s="36"/>
      <c r="G1237" s="27"/>
      <c r="H1237" s="37"/>
      <c r="I1237" s="36"/>
      <c r="K1237" s="26"/>
    </row>
    <row r="1238">
      <c r="A1238" s="35"/>
      <c r="B1238" s="36"/>
      <c r="C1238" s="26"/>
      <c r="D1238" s="27"/>
      <c r="E1238" s="27"/>
      <c r="F1238" s="36"/>
      <c r="G1238" s="27"/>
      <c r="H1238" s="37"/>
      <c r="I1238" s="36"/>
      <c r="K1238" s="26"/>
    </row>
    <row r="1239">
      <c r="A1239" s="35"/>
      <c r="B1239" s="36"/>
      <c r="C1239" s="26"/>
      <c r="D1239" s="27"/>
      <c r="E1239" s="27"/>
      <c r="F1239" s="36"/>
      <c r="G1239" s="27"/>
      <c r="H1239" s="37"/>
      <c r="I1239" s="36"/>
      <c r="K1239" s="26"/>
    </row>
    <row r="1240">
      <c r="A1240" s="35"/>
      <c r="B1240" s="36"/>
      <c r="C1240" s="26"/>
      <c r="D1240" s="27"/>
      <c r="E1240" s="27"/>
      <c r="F1240" s="36"/>
      <c r="G1240" s="27"/>
      <c r="H1240" s="37"/>
      <c r="I1240" s="36"/>
      <c r="K1240" s="26"/>
    </row>
    <row r="1241">
      <c r="A1241" s="35"/>
      <c r="B1241" s="36"/>
      <c r="C1241" s="26"/>
      <c r="D1241" s="27"/>
      <c r="E1241" s="27"/>
      <c r="F1241" s="36"/>
      <c r="G1241" s="27"/>
      <c r="H1241" s="37"/>
      <c r="I1241" s="36"/>
      <c r="K1241" s="26"/>
    </row>
    <row r="1242">
      <c r="A1242" s="35"/>
      <c r="B1242" s="36"/>
      <c r="C1242" s="26"/>
      <c r="D1242" s="27"/>
      <c r="E1242" s="27"/>
      <c r="F1242" s="36"/>
      <c r="G1242" s="27"/>
      <c r="H1242" s="37"/>
      <c r="I1242" s="36"/>
      <c r="K1242" s="26"/>
    </row>
    <row r="1243">
      <c r="A1243" s="35"/>
      <c r="B1243" s="36"/>
      <c r="C1243" s="26"/>
      <c r="D1243" s="27"/>
      <c r="E1243" s="27"/>
      <c r="F1243" s="36"/>
      <c r="G1243" s="27"/>
      <c r="H1243" s="37"/>
      <c r="I1243" s="36"/>
      <c r="K1243" s="26"/>
    </row>
    <row r="1244">
      <c r="A1244" s="35"/>
      <c r="B1244" s="36"/>
      <c r="C1244" s="26"/>
      <c r="D1244" s="27"/>
      <c r="E1244" s="27"/>
      <c r="F1244" s="36"/>
      <c r="G1244" s="27"/>
      <c r="H1244" s="37"/>
      <c r="I1244" s="36"/>
      <c r="K1244" s="26"/>
    </row>
    <row r="1245">
      <c r="A1245" s="35"/>
      <c r="B1245" s="36"/>
      <c r="C1245" s="26"/>
      <c r="D1245" s="27"/>
      <c r="E1245" s="27"/>
      <c r="F1245" s="36"/>
      <c r="G1245" s="27"/>
      <c r="H1245" s="37"/>
      <c r="I1245" s="36"/>
      <c r="K1245" s="26"/>
    </row>
    <row r="1246">
      <c r="A1246" s="35"/>
      <c r="B1246" s="36"/>
      <c r="C1246" s="26"/>
      <c r="D1246" s="27"/>
      <c r="E1246" s="27"/>
      <c r="F1246" s="36"/>
      <c r="G1246" s="27"/>
      <c r="H1246" s="37"/>
      <c r="I1246" s="36"/>
      <c r="K1246" s="26"/>
    </row>
    <row r="1247">
      <c r="A1247" s="35"/>
      <c r="B1247" s="36"/>
      <c r="C1247" s="26"/>
      <c r="D1247" s="27"/>
      <c r="E1247" s="27"/>
      <c r="F1247" s="36"/>
      <c r="G1247" s="27"/>
      <c r="H1247" s="37"/>
      <c r="I1247" s="36"/>
      <c r="K1247" s="26"/>
    </row>
    <row r="1248">
      <c r="A1248" s="35"/>
      <c r="B1248" s="36"/>
      <c r="C1248" s="26"/>
      <c r="D1248" s="27"/>
      <c r="E1248" s="27"/>
      <c r="F1248" s="36"/>
      <c r="G1248" s="27"/>
      <c r="H1248" s="37"/>
      <c r="I1248" s="36"/>
      <c r="K1248" s="26"/>
    </row>
    <row r="1249">
      <c r="A1249" s="35"/>
      <c r="B1249" s="36"/>
      <c r="C1249" s="26"/>
      <c r="D1249" s="27"/>
      <c r="E1249" s="27"/>
      <c r="F1249" s="36"/>
      <c r="G1249" s="27"/>
      <c r="H1249" s="37"/>
      <c r="I1249" s="36"/>
      <c r="K1249" s="26"/>
    </row>
    <row r="1250">
      <c r="A1250" s="35"/>
      <c r="B1250" s="36"/>
      <c r="C1250" s="26"/>
      <c r="D1250" s="27"/>
      <c r="E1250" s="27"/>
      <c r="F1250" s="36"/>
      <c r="G1250" s="27"/>
      <c r="H1250" s="37"/>
      <c r="I1250" s="36"/>
      <c r="K1250" s="26"/>
    </row>
    <row r="1251">
      <c r="A1251" s="35"/>
      <c r="B1251" s="36"/>
      <c r="C1251" s="26"/>
      <c r="D1251" s="27"/>
      <c r="E1251" s="27"/>
      <c r="F1251" s="36"/>
      <c r="G1251" s="27"/>
      <c r="H1251" s="37"/>
      <c r="I1251" s="36"/>
      <c r="K1251" s="26"/>
    </row>
    <row r="1252">
      <c r="A1252" s="35"/>
      <c r="B1252" s="36"/>
      <c r="C1252" s="26"/>
      <c r="D1252" s="27"/>
      <c r="E1252" s="27"/>
      <c r="F1252" s="36"/>
      <c r="G1252" s="27"/>
      <c r="H1252" s="37"/>
      <c r="I1252" s="36"/>
      <c r="K1252" s="26"/>
    </row>
    <row r="1253">
      <c r="A1253" s="35"/>
      <c r="B1253" s="36"/>
      <c r="C1253" s="26"/>
      <c r="D1253" s="27"/>
      <c r="E1253" s="27"/>
      <c r="F1253" s="36"/>
      <c r="G1253" s="27"/>
      <c r="H1253" s="37"/>
      <c r="I1253" s="36"/>
      <c r="K1253" s="26"/>
    </row>
    <row r="1254">
      <c r="A1254" s="35"/>
      <c r="B1254" s="36"/>
      <c r="C1254" s="26"/>
      <c r="D1254" s="27"/>
      <c r="E1254" s="27"/>
      <c r="F1254" s="36"/>
      <c r="G1254" s="27"/>
      <c r="H1254" s="37"/>
      <c r="I1254" s="36"/>
      <c r="K1254" s="26"/>
    </row>
    <row r="1255">
      <c r="A1255" s="35"/>
      <c r="B1255" s="36"/>
      <c r="C1255" s="26"/>
      <c r="D1255" s="27"/>
      <c r="E1255" s="27"/>
      <c r="F1255" s="36"/>
      <c r="G1255" s="27"/>
      <c r="H1255" s="37"/>
      <c r="I1255" s="36"/>
      <c r="K1255" s="26"/>
    </row>
    <row r="1256">
      <c r="A1256" s="35"/>
      <c r="B1256" s="36"/>
      <c r="C1256" s="26"/>
      <c r="D1256" s="27"/>
      <c r="E1256" s="27"/>
      <c r="F1256" s="36"/>
      <c r="G1256" s="27"/>
      <c r="H1256" s="37"/>
      <c r="I1256" s="36"/>
      <c r="K1256" s="26"/>
    </row>
    <row r="1257">
      <c r="A1257" s="35"/>
      <c r="B1257" s="36"/>
      <c r="C1257" s="26"/>
      <c r="D1257" s="27"/>
      <c r="E1257" s="27"/>
      <c r="F1257" s="36"/>
      <c r="G1257" s="27"/>
      <c r="H1257" s="37"/>
      <c r="I1257" s="36"/>
      <c r="K1257" s="26"/>
    </row>
    <row r="1258">
      <c r="A1258" s="35"/>
      <c r="B1258" s="36"/>
      <c r="C1258" s="26"/>
      <c r="D1258" s="27"/>
      <c r="E1258" s="27"/>
      <c r="F1258" s="36"/>
      <c r="G1258" s="27"/>
      <c r="H1258" s="37"/>
      <c r="I1258" s="36"/>
      <c r="K1258" s="26"/>
    </row>
    <row r="1259">
      <c r="A1259" s="35"/>
      <c r="B1259" s="36"/>
      <c r="C1259" s="26"/>
      <c r="D1259" s="27"/>
      <c r="E1259" s="27"/>
      <c r="F1259" s="36"/>
      <c r="G1259" s="27"/>
      <c r="H1259" s="37"/>
      <c r="I1259" s="36"/>
      <c r="K1259" s="26"/>
    </row>
    <row r="1260">
      <c r="A1260" s="35"/>
      <c r="B1260" s="36"/>
      <c r="C1260" s="26"/>
      <c r="D1260" s="27"/>
      <c r="E1260" s="27"/>
      <c r="F1260" s="36"/>
      <c r="G1260" s="27"/>
      <c r="H1260" s="37"/>
      <c r="I1260" s="36"/>
      <c r="K1260" s="26"/>
    </row>
    <row r="1261">
      <c r="A1261" s="35"/>
      <c r="B1261" s="36"/>
      <c r="C1261" s="26"/>
      <c r="D1261" s="27"/>
      <c r="E1261" s="27"/>
      <c r="F1261" s="36"/>
      <c r="G1261" s="27"/>
      <c r="H1261" s="37"/>
      <c r="I1261" s="36"/>
      <c r="K1261" s="26"/>
    </row>
    <row r="1262">
      <c r="A1262" s="35"/>
      <c r="B1262" s="36"/>
      <c r="C1262" s="26"/>
      <c r="D1262" s="27"/>
      <c r="E1262" s="27"/>
      <c r="F1262" s="36"/>
      <c r="G1262" s="27"/>
      <c r="H1262" s="37"/>
      <c r="I1262" s="36"/>
      <c r="K1262" s="26"/>
    </row>
    <row r="1263">
      <c r="A1263" s="35"/>
      <c r="B1263" s="36"/>
      <c r="C1263" s="26"/>
      <c r="D1263" s="27"/>
      <c r="E1263" s="27"/>
      <c r="F1263" s="36"/>
      <c r="G1263" s="27"/>
      <c r="H1263" s="37"/>
      <c r="I1263" s="36"/>
      <c r="K1263" s="26"/>
    </row>
    <row r="1264">
      <c r="A1264" s="35"/>
      <c r="B1264" s="36"/>
      <c r="C1264" s="26"/>
      <c r="D1264" s="27"/>
      <c r="E1264" s="27"/>
      <c r="F1264" s="36"/>
      <c r="G1264" s="27"/>
      <c r="H1264" s="37"/>
      <c r="I1264" s="36"/>
      <c r="K1264" s="26"/>
    </row>
    <row r="1265">
      <c r="A1265" s="35"/>
      <c r="B1265" s="36"/>
      <c r="C1265" s="26"/>
      <c r="D1265" s="27"/>
      <c r="E1265" s="27"/>
      <c r="F1265" s="36"/>
      <c r="G1265" s="27"/>
      <c r="H1265" s="37"/>
      <c r="I1265" s="36"/>
      <c r="K1265" s="26"/>
    </row>
    <row r="1266">
      <c r="A1266" s="35"/>
      <c r="B1266" s="36"/>
      <c r="C1266" s="26"/>
      <c r="D1266" s="27"/>
      <c r="E1266" s="27"/>
      <c r="F1266" s="36"/>
      <c r="G1266" s="27"/>
      <c r="H1266" s="37"/>
      <c r="I1266" s="36"/>
      <c r="K1266" s="26"/>
    </row>
    <row r="1267">
      <c r="A1267" s="35"/>
      <c r="B1267" s="36"/>
      <c r="C1267" s="26"/>
      <c r="D1267" s="27"/>
      <c r="E1267" s="27"/>
      <c r="F1267" s="36"/>
      <c r="G1267" s="27"/>
      <c r="H1267" s="37"/>
      <c r="I1267" s="36"/>
      <c r="K1267" s="26"/>
    </row>
    <row r="1268">
      <c r="A1268" s="35"/>
      <c r="B1268" s="36"/>
      <c r="C1268" s="26"/>
      <c r="D1268" s="27"/>
      <c r="E1268" s="27"/>
      <c r="F1268" s="36"/>
      <c r="G1268" s="27"/>
      <c r="H1268" s="37"/>
      <c r="I1268" s="36"/>
      <c r="K1268" s="26"/>
    </row>
    <row r="1269">
      <c r="A1269" s="35"/>
      <c r="B1269" s="36"/>
      <c r="C1269" s="26"/>
      <c r="D1269" s="27"/>
      <c r="E1269" s="27"/>
      <c r="F1269" s="36"/>
      <c r="G1269" s="27"/>
      <c r="H1269" s="37"/>
      <c r="I1269" s="36"/>
      <c r="K1269" s="26"/>
    </row>
    <row r="1270">
      <c r="A1270" s="35"/>
      <c r="B1270" s="36"/>
      <c r="C1270" s="26"/>
      <c r="D1270" s="27"/>
      <c r="E1270" s="27"/>
      <c r="F1270" s="36"/>
      <c r="G1270" s="27"/>
      <c r="H1270" s="37"/>
      <c r="I1270" s="36"/>
      <c r="K1270" s="26"/>
    </row>
    <row r="1271">
      <c r="A1271" s="35"/>
      <c r="B1271" s="36"/>
      <c r="C1271" s="26"/>
      <c r="D1271" s="27"/>
      <c r="E1271" s="27"/>
      <c r="F1271" s="36"/>
      <c r="G1271" s="27"/>
      <c r="H1271" s="37"/>
      <c r="I1271" s="36"/>
      <c r="K1271" s="26"/>
    </row>
    <row r="1272">
      <c r="A1272" s="35"/>
      <c r="B1272" s="36"/>
      <c r="C1272" s="26"/>
      <c r="D1272" s="27"/>
      <c r="E1272" s="27"/>
      <c r="F1272" s="36"/>
      <c r="G1272" s="27"/>
      <c r="H1272" s="37"/>
      <c r="I1272" s="36"/>
      <c r="K1272" s="26"/>
    </row>
    <row r="1273">
      <c r="A1273" s="35"/>
      <c r="B1273" s="36"/>
      <c r="C1273" s="26"/>
      <c r="D1273" s="27"/>
      <c r="E1273" s="27"/>
      <c r="F1273" s="36"/>
      <c r="G1273" s="27"/>
      <c r="H1273" s="37"/>
      <c r="I1273" s="36"/>
      <c r="K1273" s="26"/>
    </row>
    <row r="1274">
      <c r="A1274" s="35"/>
      <c r="B1274" s="36"/>
      <c r="C1274" s="26"/>
      <c r="D1274" s="27"/>
      <c r="E1274" s="27"/>
      <c r="F1274" s="36"/>
      <c r="G1274" s="27"/>
      <c r="H1274" s="37"/>
      <c r="I1274" s="36"/>
      <c r="K1274" s="26"/>
    </row>
    <row r="1275">
      <c r="A1275" s="35"/>
      <c r="B1275" s="36"/>
      <c r="C1275" s="26"/>
      <c r="D1275" s="27"/>
      <c r="E1275" s="27"/>
      <c r="F1275" s="36"/>
      <c r="G1275" s="27"/>
      <c r="H1275" s="37"/>
      <c r="I1275" s="36"/>
      <c r="K1275" s="26"/>
    </row>
    <row r="1276">
      <c r="A1276" s="35"/>
      <c r="B1276" s="36"/>
      <c r="C1276" s="26"/>
      <c r="D1276" s="27"/>
      <c r="E1276" s="27"/>
      <c r="F1276" s="36"/>
      <c r="G1276" s="27"/>
      <c r="H1276" s="37"/>
      <c r="I1276" s="36"/>
      <c r="K1276" s="26"/>
    </row>
    <row r="1277">
      <c r="A1277" s="35"/>
      <c r="B1277" s="36"/>
      <c r="C1277" s="26"/>
      <c r="D1277" s="27"/>
      <c r="E1277" s="27"/>
      <c r="F1277" s="36"/>
      <c r="G1277" s="27"/>
      <c r="H1277" s="37"/>
      <c r="I1277" s="36"/>
      <c r="K1277" s="26"/>
    </row>
    <row r="1278">
      <c r="A1278" s="35"/>
      <c r="B1278" s="36"/>
      <c r="C1278" s="26"/>
      <c r="D1278" s="27"/>
      <c r="E1278" s="27"/>
      <c r="F1278" s="36"/>
      <c r="G1278" s="27"/>
      <c r="H1278" s="37"/>
      <c r="I1278" s="36"/>
      <c r="K1278" s="26"/>
    </row>
    <row r="1279">
      <c r="A1279" s="35"/>
      <c r="B1279" s="36"/>
      <c r="C1279" s="26"/>
      <c r="D1279" s="27"/>
      <c r="E1279" s="27"/>
      <c r="F1279" s="36"/>
      <c r="G1279" s="27"/>
      <c r="H1279" s="37"/>
      <c r="I1279" s="36"/>
      <c r="K1279" s="26"/>
    </row>
    <row r="1280">
      <c r="A1280" s="35"/>
      <c r="B1280" s="36"/>
      <c r="C1280" s="26"/>
      <c r="D1280" s="27"/>
      <c r="E1280" s="27"/>
      <c r="F1280" s="36"/>
      <c r="G1280" s="27"/>
      <c r="H1280" s="37"/>
      <c r="I1280" s="36"/>
      <c r="K1280" s="26"/>
    </row>
    <row r="1281">
      <c r="A1281" s="35"/>
      <c r="B1281" s="36"/>
      <c r="C1281" s="26"/>
      <c r="D1281" s="27"/>
      <c r="E1281" s="27"/>
      <c r="F1281" s="36"/>
      <c r="G1281" s="27"/>
      <c r="H1281" s="37"/>
      <c r="I1281" s="36"/>
      <c r="K1281" s="26"/>
    </row>
    <row r="1282">
      <c r="A1282" s="35"/>
      <c r="B1282" s="36"/>
      <c r="C1282" s="26"/>
      <c r="D1282" s="27"/>
      <c r="E1282" s="27"/>
      <c r="F1282" s="36"/>
      <c r="G1282" s="27"/>
      <c r="H1282" s="37"/>
      <c r="I1282" s="36"/>
      <c r="K1282" s="26"/>
    </row>
    <row r="1283">
      <c r="A1283" s="35"/>
      <c r="B1283" s="36"/>
      <c r="C1283" s="26"/>
      <c r="D1283" s="27"/>
      <c r="E1283" s="27"/>
      <c r="F1283" s="36"/>
      <c r="G1283" s="27"/>
      <c r="H1283" s="37"/>
      <c r="I1283" s="36"/>
      <c r="K1283" s="26"/>
    </row>
    <row r="1284">
      <c r="A1284" s="35"/>
      <c r="B1284" s="36"/>
      <c r="C1284" s="26"/>
      <c r="D1284" s="27"/>
      <c r="E1284" s="27"/>
      <c r="F1284" s="36"/>
      <c r="G1284" s="27"/>
      <c r="H1284" s="37"/>
      <c r="I1284" s="36"/>
      <c r="K1284" s="26"/>
    </row>
    <row r="1285">
      <c r="A1285" s="35"/>
      <c r="B1285" s="36"/>
      <c r="C1285" s="26"/>
      <c r="D1285" s="27"/>
      <c r="E1285" s="27"/>
      <c r="F1285" s="36"/>
      <c r="G1285" s="27"/>
      <c r="H1285" s="37"/>
      <c r="I1285" s="36"/>
      <c r="K1285" s="26"/>
    </row>
    <row r="1286">
      <c r="A1286" s="35"/>
      <c r="B1286" s="36"/>
      <c r="C1286" s="26"/>
      <c r="D1286" s="27"/>
      <c r="E1286" s="27"/>
      <c r="F1286" s="36"/>
      <c r="G1286" s="27"/>
      <c r="H1286" s="37"/>
      <c r="I1286" s="36"/>
      <c r="K1286" s="26"/>
    </row>
    <row r="1287">
      <c r="A1287" s="35"/>
      <c r="B1287" s="36"/>
      <c r="C1287" s="26"/>
      <c r="D1287" s="27"/>
      <c r="E1287" s="27"/>
      <c r="F1287" s="36"/>
      <c r="G1287" s="27"/>
      <c r="H1287" s="37"/>
      <c r="I1287" s="36"/>
      <c r="K1287" s="26"/>
    </row>
    <row r="1288">
      <c r="A1288" s="35"/>
      <c r="B1288" s="36"/>
      <c r="C1288" s="26"/>
      <c r="D1288" s="27"/>
      <c r="E1288" s="27"/>
      <c r="F1288" s="36"/>
      <c r="G1288" s="27"/>
      <c r="H1288" s="37"/>
      <c r="I1288" s="36"/>
      <c r="K1288" s="26"/>
    </row>
    <row r="1289">
      <c r="A1289" s="35"/>
      <c r="B1289" s="36"/>
      <c r="C1289" s="26"/>
      <c r="D1289" s="27"/>
      <c r="E1289" s="27"/>
      <c r="F1289" s="36"/>
      <c r="G1289" s="27"/>
      <c r="H1289" s="37"/>
      <c r="I1289" s="36"/>
      <c r="K1289" s="26"/>
    </row>
    <row r="1290">
      <c r="A1290" s="35"/>
      <c r="B1290" s="36"/>
      <c r="C1290" s="26"/>
      <c r="D1290" s="27"/>
      <c r="E1290" s="27"/>
      <c r="F1290" s="36"/>
      <c r="G1290" s="27"/>
      <c r="H1290" s="37"/>
      <c r="I1290" s="36"/>
      <c r="K1290" s="26"/>
    </row>
    <row r="1291">
      <c r="A1291" s="35"/>
      <c r="B1291" s="36"/>
      <c r="C1291" s="26"/>
      <c r="D1291" s="27"/>
      <c r="E1291" s="27"/>
      <c r="F1291" s="36"/>
      <c r="G1291" s="27"/>
      <c r="H1291" s="37"/>
      <c r="I1291" s="36"/>
      <c r="K1291" s="26"/>
    </row>
    <row r="1292">
      <c r="A1292" s="35"/>
      <c r="B1292" s="36"/>
      <c r="C1292" s="26"/>
      <c r="D1292" s="27"/>
      <c r="E1292" s="27"/>
      <c r="F1292" s="36"/>
      <c r="G1292" s="27"/>
      <c r="H1292" s="37"/>
      <c r="I1292" s="36"/>
      <c r="K1292" s="26"/>
    </row>
    <row r="1293">
      <c r="A1293" s="35"/>
      <c r="B1293" s="36"/>
      <c r="C1293" s="26"/>
      <c r="D1293" s="27"/>
      <c r="E1293" s="27"/>
      <c r="F1293" s="36"/>
      <c r="G1293" s="27"/>
      <c r="H1293" s="37"/>
      <c r="I1293" s="36"/>
      <c r="K1293" s="26"/>
    </row>
    <row r="1294">
      <c r="A1294" s="35"/>
      <c r="B1294" s="36"/>
      <c r="C1294" s="26"/>
      <c r="D1294" s="27"/>
      <c r="E1294" s="27"/>
      <c r="F1294" s="36"/>
      <c r="G1294" s="27"/>
      <c r="H1294" s="37"/>
      <c r="I1294" s="36"/>
      <c r="K1294" s="26"/>
    </row>
    <row r="1295">
      <c r="A1295" s="35"/>
      <c r="B1295" s="36"/>
      <c r="C1295" s="26"/>
      <c r="D1295" s="27"/>
      <c r="E1295" s="27"/>
      <c r="F1295" s="36"/>
      <c r="G1295" s="27"/>
      <c r="H1295" s="37"/>
      <c r="I1295" s="36"/>
      <c r="K1295" s="26"/>
    </row>
    <row r="1296">
      <c r="A1296" s="35"/>
      <c r="B1296" s="36"/>
      <c r="C1296" s="26"/>
      <c r="D1296" s="27"/>
      <c r="E1296" s="27"/>
      <c r="F1296" s="36"/>
      <c r="G1296" s="27"/>
      <c r="H1296" s="37"/>
      <c r="I1296" s="36"/>
      <c r="K1296" s="26"/>
    </row>
    <row r="1297">
      <c r="A1297" s="35"/>
      <c r="B1297" s="36"/>
      <c r="C1297" s="26"/>
      <c r="D1297" s="27"/>
      <c r="E1297" s="27"/>
      <c r="F1297" s="36"/>
      <c r="G1297" s="27"/>
      <c r="H1297" s="37"/>
      <c r="I1297" s="36"/>
      <c r="K1297" s="26"/>
    </row>
    <row r="1298">
      <c r="A1298" s="35"/>
      <c r="B1298" s="36"/>
      <c r="C1298" s="26"/>
      <c r="D1298" s="27"/>
      <c r="E1298" s="27"/>
      <c r="F1298" s="36"/>
      <c r="G1298" s="27"/>
      <c r="H1298" s="37"/>
      <c r="I1298" s="36"/>
      <c r="K1298" s="26"/>
    </row>
    <row r="1299">
      <c r="A1299" s="35"/>
      <c r="B1299" s="36"/>
      <c r="C1299" s="26"/>
      <c r="D1299" s="27"/>
      <c r="E1299" s="27"/>
      <c r="F1299" s="36"/>
      <c r="G1299" s="27"/>
      <c r="H1299" s="37"/>
      <c r="I1299" s="36"/>
      <c r="K1299" s="26"/>
    </row>
    <row r="1300">
      <c r="A1300" s="35"/>
      <c r="B1300" s="36"/>
      <c r="C1300" s="26"/>
      <c r="D1300" s="27"/>
      <c r="E1300" s="27"/>
      <c r="F1300" s="36"/>
      <c r="G1300" s="27"/>
      <c r="H1300" s="37"/>
      <c r="I1300" s="36"/>
      <c r="K1300" s="26"/>
    </row>
    <row r="1301">
      <c r="A1301" s="35"/>
      <c r="B1301" s="36"/>
      <c r="C1301" s="26"/>
      <c r="D1301" s="27"/>
      <c r="E1301" s="27"/>
      <c r="F1301" s="36"/>
      <c r="G1301" s="27"/>
      <c r="H1301" s="37"/>
      <c r="I1301" s="36"/>
      <c r="K1301" s="26"/>
    </row>
    <row r="1302">
      <c r="A1302" s="35"/>
      <c r="B1302" s="36"/>
      <c r="C1302" s="26"/>
      <c r="D1302" s="27"/>
      <c r="E1302" s="27"/>
      <c r="F1302" s="36"/>
      <c r="G1302" s="27"/>
      <c r="H1302" s="37"/>
      <c r="I1302" s="36"/>
      <c r="K1302" s="26"/>
    </row>
    <row r="1303">
      <c r="A1303" s="35"/>
      <c r="B1303" s="36"/>
      <c r="C1303" s="26"/>
      <c r="D1303" s="27"/>
      <c r="E1303" s="27"/>
      <c r="F1303" s="36"/>
      <c r="G1303" s="27"/>
      <c r="H1303" s="37"/>
      <c r="I1303" s="36"/>
      <c r="K1303" s="26"/>
    </row>
    <row r="1304">
      <c r="A1304" s="35"/>
      <c r="B1304" s="36"/>
      <c r="C1304" s="26"/>
      <c r="D1304" s="27"/>
      <c r="E1304" s="27"/>
      <c r="F1304" s="36"/>
      <c r="G1304" s="27"/>
      <c r="H1304" s="37"/>
      <c r="I1304" s="36"/>
      <c r="K1304" s="26"/>
    </row>
    <row r="1305">
      <c r="A1305" s="35"/>
      <c r="B1305" s="36"/>
      <c r="C1305" s="26"/>
      <c r="D1305" s="27"/>
      <c r="E1305" s="27"/>
      <c r="F1305" s="36"/>
      <c r="G1305" s="27"/>
      <c r="H1305" s="37"/>
      <c r="I1305" s="36"/>
      <c r="K1305" s="26"/>
    </row>
    <row r="1306">
      <c r="A1306" s="35"/>
      <c r="B1306" s="36"/>
      <c r="C1306" s="26"/>
      <c r="D1306" s="27"/>
      <c r="E1306" s="27"/>
      <c r="F1306" s="36"/>
      <c r="G1306" s="27"/>
      <c r="H1306" s="37"/>
      <c r="I1306" s="36"/>
      <c r="K1306" s="26"/>
    </row>
    <row r="1307">
      <c r="A1307" s="35"/>
      <c r="B1307" s="36"/>
      <c r="C1307" s="26"/>
      <c r="D1307" s="27"/>
      <c r="E1307" s="27"/>
      <c r="F1307" s="36"/>
      <c r="G1307" s="27"/>
      <c r="H1307" s="37"/>
      <c r="I1307" s="36"/>
      <c r="K1307" s="26"/>
    </row>
    <row r="1308">
      <c r="A1308" s="35"/>
      <c r="B1308" s="36"/>
      <c r="C1308" s="26"/>
      <c r="D1308" s="27"/>
      <c r="E1308" s="27"/>
      <c r="F1308" s="36"/>
      <c r="G1308" s="27"/>
      <c r="H1308" s="37"/>
      <c r="I1308" s="36"/>
      <c r="K1308" s="26"/>
    </row>
    <row r="1309">
      <c r="A1309" s="35"/>
      <c r="B1309" s="36"/>
      <c r="C1309" s="26"/>
      <c r="D1309" s="27"/>
      <c r="E1309" s="27"/>
      <c r="F1309" s="36"/>
      <c r="G1309" s="27"/>
      <c r="H1309" s="37"/>
      <c r="I1309" s="36"/>
      <c r="K1309" s="26"/>
    </row>
    <row r="1310">
      <c r="A1310" s="35"/>
      <c r="B1310" s="36"/>
      <c r="C1310" s="26"/>
      <c r="D1310" s="27"/>
      <c r="E1310" s="27"/>
      <c r="F1310" s="36"/>
      <c r="G1310" s="27"/>
      <c r="H1310" s="37"/>
      <c r="I1310" s="36"/>
      <c r="K1310" s="26"/>
    </row>
    <row r="1311">
      <c r="A1311" s="35"/>
      <c r="B1311" s="36"/>
      <c r="C1311" s="26"/>
      <c r="D1311" s="27"/>
      <c r="E1311" s="27"/>
      <c r="F1311" s="36"/>
      <c r="G1311" s="27"/>
      <c r="H1311" s="37"/>
      <c r="I1311" s="36"/>
      <c r="K1311" s="26"/>
    </row>
    <row r="1312">
      <c r="A1312" s="35"/>
      <c r="B1312" s="36"/>
      <c r="C1312" s="26"/>
      <c r="D1312" s="27"/>
      <c r="E1312" s="27"/>
      <c r="F1312" s="36"/>
      <c r="G1312" s="27"/>
      <c r="H1312" s="37"/>
      <c r="I1312" s="36"/>
      <c r="K1312" s="26"/>
    </row>
    <row r="1313">
      <c r="A1313" s="35"/>
      <c r="B1313" s="36"/>
      <c r="C1313" s="26"/>
      <c r="D1313" s="27"/>
      <c r="E1313" s="27"/>
      <c r="F1313" s="36"/>
      <c r="G1313" s="27"/>
      <c r="H1313" s="37"/>
      <c r="I1313" s="36"/>
      <c r="K1313" s="26"/>
    </row>
    <row r="1314">
      <c r="A1314" s="35"/>
      <c r="B1314" s="36"/>
      <c r="C1314" s="26"/>
      <c r="D1314" s="27"/>
      <c r="E1314" s="27"/>
      <c r="F1314" s="36"/>
      <c r="G1314" s="27"/>
      <c r="H1314" s="37"/>
      <c r="I1314" s="36"/>
      <c r="K1314" s="26"/>
    </row>
    <row r="1315">
      <c r="A1315" s="35"/>
      <c r="B1315" s="36"/>
      <c r="C1315" s="26"/>
      <c r="D1315" s="27"/>
      <c r="E1315" s="27"/>
      <c r="F1315" s="36"/>
      <c r="G1315" s="27"/>
      <c r="H1315" s="37"/>
      <c r="I1315" s="36"/>
      <c r="K1315" s="26"/>
    </row>
    <row r="1316">
      <c r="A1316" s="35"/>
      <c r="B1316" s="36"/>
      <c r="C1316" s="26"/>
      <c r="D1316" s="27"/>
      <c r="E1316" s="27"/>
      <c r="F1316" s="36"/>
      <c r="G1316" s="27"/>
      <c r="H1316" s="37"/>
      <c r="I1316" s="36"/>
      <c r="K1316" s="26"/>
    </row>
    <row r="1317">
      <c r="A1317" s="35"/>
      <c r="B1317" s="36"/>
      <c r="C1317" s="26"/>
      <c r="D1317" s="27"/>
      <c r="E1317" s="27"/>
      <c r="F1317" s="36"/>
      <c r="G1317" s="27"/>
      <c r="H1317" s="37"/>
      <c r="I1317" s="36"/>
      <c r="K1317" s="26"/>
    </row>
    <row r="1318">
      <c r="A1318" s="35"/>
      <c r="B1318" s="36"/>
      <c r="C1318" s="26"/>
      <c r="D1318" s="27"/>
      <c r="E1318" s="27"/>
      <c r="F1318" s="36"/>
      <c r="G1318" s="27"/>
      <c r="H1318" s="37"/>
      <c r="I1318" s="36"/>
      <c r="K1318" s="26"/>
    </row>
    <row r="1319">
      <c r="A1319" s="35"/>
      <c r="B1319" s="36"/>
      <c r="C1319" s="26"/>
      <c r="D1319" s="27"/>
      <c r="E1319" s="27"/>
      <c r="F1319" s="36"/>
      <c r="G1319" s="27"/>
      <c r="H1319" s="37"/>
      <c r="I1319" s="36"/>
      <c r="K1319" s="26"/>
    </row>
    <row r="1320">
      <c r="A1320" s="35"/>
      <c r="B1320" s="36"/>
      <c r="C1320" s="26"/>
      <c r="D1320" s="27"/>
      <c r="E1320" s="27"/>
      <c r="F1320" s="36"/>
      <c r="G1320" s="27"/>
      <c r="H1320" s="37"/>
      <c r="I1320" s="36"/>
      <c r="K1320" s="26"/>
    </row>
    <row r="1321">
      <c r="A1321" s="35"/>
      <c r="B1321" s="36"/>
      <c r="C1321" s="26"/>
      <c r="D1321" s="27"/>
      <c r="E1321" s="27"/>
      <c r="F1321" s="36"/>
      <c r="G1321" s="27"/>
      <c r="H1321" s="37"/>
      <c r="I1321" s="36"/>
      <c r="K1321" s="26"/>
    </row>
    <row r="1322">
      <c r="A1322" s="35"/>
      <c r="B1322" s="36"/>
      <c r="C1322" s="26"/>
      <c r="D1322" s="27"/>
      <c r="E1322" s="27"/>
      <c r="F1322" s="36"/>
      <c r="G1322" s="27"/>
      <c r="H1322" s="37"/>
      <c r="I1322" s="36"/>
      <c r="K1322" s="26"/>
    </row>
    <row r="1323">
      <c r="A1323" s="35"/>
      <c r="B1323" s="36"/>
      <c r="C1323" s="26"/>
      <c r="D1323" s="27"/>
      <c r="E1323" s="27"/>
      <c r="F1323" s="36"/>
      <c r="G1323" s="27"/>
      <c r="H1323" s="37"/>
      <c r="I1323" s="36"/>
      <c r="K1323" s="26"/>
    </row>
    <row r="1324">
      <c r="A1324" s="35"/>
      <c r="B1324" s="36"/>
      <c r="C1324" s="26"/>
      <c r="D1324" s="27"/>
      <c r="E1324" s="27"/>
      <c r="F1324" s="36"/>
      <c r="G1324" s="27"/>
      <c r="H1324" s="37"/>
      <c r="I1324" s="36"/>
      <c r="K1324" s="26"/>
    </row>
    <row r="1325">
      <c r="A1325" s="35"/>
      <c r="B1325" s="36"/>
      <c r="C1325" s="26"/>
      <c r="D1325" s="27"/>
      <c r="E1325" s="27"/>
      <c r="F1325" s="36"/>
      <c r="G1325" s="27"/>
      <c r="H1325" s="37"/>
      <c r="I1325" s="36"/>
      <c r="K1325" s="26"/>
    </row>
    <row r="1326">
      <c r="A1326" s="35"/>
      <c r="B1326" s="36"/>
      <c r="C1326" s="26"/>
      <c r="D1326" s="27"/>
      <c r="E1326" s="27"/>
      <c r="F1326" s="36"/>
      <c r="G1326" s="27"/>
      <c r="H1326" s="37"/>
      <c r="I1326" s="36"/>
      <c r="K1326" s="26"/>
    </row>
    <row r="1327">
      <c r="A1327" s="35"/>
      <c r="B1327" s="36"/>
      <c r="C1327" s="26"/>
      <c r="D1327" s="27"/>
      <c r="E1327" s="27"/>
      <c r="F1327" s="36"/>
      <c r="G1327" s="27"/>
      <c r="H1327" s="37"/>
      <c r="I1327" s="36"/>
      <c r="K1327" s="26"/>
    </row>
    <row r="1328">
      <c r="A1328" s="35"/>
      <c r="B1328" s="36"/>
      <c r="C1328" s="26"/>
      <c r="D1328" s="27"/>
      <c r="E1328" s="27"/>
      <c r="F1328" s="36"/>
      <c r="G1328" s="27"/>
      <c r="H1328" s="37"/>
      <c r="I1328" s="36"/>
      <c r="K1328" s="26"/>
    </row>
    <row r="1329">
      <c r="A1329" s="35"/>
      <c r="B1329" s="36"/>
      <c r="C1329" s="26"/>
      <c r="D1329" s="27"/>
      <c r="E1329" s="27"/>
      <c r="F1329" s="36"/>
      <c r="G1329" s="27"/>
      <c r="H1329" s="37"/>
      <c r="I1329" s="36"/>
      <c r="K1329" s="26"/>
    </row>
    <row r="1330">
      <c r="A1330" s="35"/>
      <c r="B1330" s="36"/>
      <c r="C1330" s="26"/>
      <c r="D1330" s="27"/>
      <c r="E1330" s="27"/>
      <c r="F1330" s="36"/>
      <c r="G1330" s="27"/>
      <c r="H1330" s="37"/>
      <c r="I1330" s="36"/>
      <c r="K1330" s="26"/>
    </row>
    <row r="1331">
      <c r="A1331" s="35"/>
      <c r="B1331" s="36"/>
      <c r="C1331" s="26"/>
      <c r="D1331" s="27"/>
      <c r="E1331" s="27"/>
      <c r="F1331" s="36"/>
      <c r="G1331" s="27"/>
      <c r="H1331" s="37"/>
      <c r="I1331" s="36"/>
      <c r="K1331" s="26"/>
    </row>
    <row r="1332">
      <c r="A1332" s="35"/>
      <c r="B1332" s="36"/>
      <c r="C1332" s="26"/>
      <c r="D1332" s="27"/>
      <c r="E1332" s="27"/>
      <c r="F1332" s="36"/>
      <c r="G1332" s="27"/>
      <c r="H1332" s="37"/>
      <c r="I1332" s="36"/>
      <c r="K1332" s="26"/>
    </row>
    <row r="1333">
      <c r="A1333" s="35"/>
      <c r="B1333" s="36"/>
      <c r="C1333" s="26"/>
      <c r="D1333" s="27"/>
      <c r="E1333" s="27"/>
      <c r="F1333" s="36"/>
      <c r="G1333" s="27"/>
      <c r="H1333" s="37"/>
      <c r="I1333" s="36"/>
      <c r="K1333" s="26"/>
    </row>
    <row r="1334">
      <c r="A1334" s="35"/>
      <c r="B1334" s="36"/>
      <c r="C1334" s="26"/>
      <c r="D1334" s="27"/>
      <c r="E1334" s="27"/>
      <c r="F1334" s="36"/>
      <c r="G1334" s="27"/>
      <c r="H1334" s="37"/>
      <c r="I1334" s="36"/>
      <c r="K1334" s="26"/>
    </row>
    <row r="1335">
      <c r="A1335" s="35"/>
      <c r="B1335" s="36"/>
      <c r="C1335" s="26"/>
      <c r="D1335" s="27"/>
      <c r="E1335" s="27"/>
      <c r="F1335" s="36"/>
      <c r="G1335" s="27"/>
      <c r="H1335" s="37"/>
      <c r="I1335" s="36"/>
      <c r="K1335" s="26"/>
    </row>
    <row r="1336">
      <c r="A1336" s="35"/>
      <c r="B1336" s="36"/>
      <c r="C1336" s="26"/>
      <c r="D1336" s="27"/>
      <c r="E1336" s="27"/>
      <c r="F1336" s="36"/>
      <c r="G1336" s="27"/>
      <c r="H1336" s="37"/>
      <c r="I1336" s="36"/>
      <c r="K1336" s="26"/>
    </row>
    <row r="1337">
      <c r="A1337" s="35"/>
      <c r="B1337" s="36"/>
      <c r="C1337" s="26"/>
      <c r="D1337" s="27"/>
      <c r="E1337" s="27"/>
      <c r="F1337" s="36"/>
      <c r="G1337" s="27"/>
      <c r="H1337" s="37"/>
      <c r="I1337" s="36"/>
      <c r="K1337" s="26"/>
    </row>
    <row r="1338">
      <c r="A1338" s="35"/>
      <c r="B1338" s="36"/>
      <c r="C1338" s="26"/>
      <c r="D1338" s="27"/>
      <c r="E1338" s="27"/>
      <c r="F1338" s="36"/>
      <c r="G1338" s="27"/>
      <c r="H1338" s="37"/>
      <c r="I1338" s="36"/>
      <c r="K1338" s="26"/>
    </row>
    <row r="1339">
      <c r="A1339" s="35"/>
      <c r="B1339" s="36"/>
      <c r="C1339" s="26"/>
      <c r="D1339" s="27"/>
      <c r="E1339" s="27"/>
      <c r="F1339" s="36"/>
      <c r="G1339" s="27"/>
      <c r="H1339" s="37"/>
      <c r="I1339" s="36"/>
      <c r="K1339" s="26"/>
    </row>
    <row r="1340">
      <c r="A1340" s="35"/>
      <c r="B1340" s="36"/>
      <c r="C1340" s="26"/>
      <c r="D1340" s="27"/>
      <c r="E1340" s="27"/>
      <c r="F1340" s="36"/>
      <c r="G1340" s="27"/>
      <c r="H1340" s="37"/>
      <c r="I1340" s="36"/>
      <c r="K1340" s="26"/>
    </row>
    <row r="1341">
      <c r="A1341" s="35"/>
      <c r="B1341" s="36"/>
      <c r="C1341" s="26"/>
      <c r="D1341" s="27"/>
      <c r="E1341" s="27"/>
      <c r="F1341" s="36"/>
      <c r="G1341" s="27"/>
      <c r="H1341" s="37"/>
      <c r="I1341" s="36"/>
      <c r="K1341" s="26"/>
    </row>
    <row r="1342">
      <c r="A1342" s="35"/>
      <c r="B1342" s="36"/>
      <c r="C1342" s="26"/>
      <c r="D1342" s="27"/>
      <c r="E1342" s="27"/>
      <c r="F1342" s="36"/>
      <c r="G1342" s="27"/>
      <c r="H1342" s="37"/>
      <c r="I1342" s="36"/>
      <c r="K1342" s="26"/>
    </row>
    <row r="1343">
      <c r="A1343" s="35"/>
      <c r="B1343" s="36"/>
      <c r="C1343" s="26"/>
      <c r="D1343" s="27"/>
      <c r="E1343" s="27"/>
      <c r="F1343" s="36"/>
      <c r="G1343" s="27"/>
      <c r="H1343" s="37"/>
      <c r="I1343" s="36"/>
      <c r="K1343" s="26"/>
    </row>
    <row r="1344">
      <c r="A1344" s="35"/>
      <c r="B1344" s="36"/>
      <c r="C1344" s="26"/>
      <c r="D1344" s="27"/>
      <c r="E1344" s="27"/>
      <c r="F1344" s="36"/>
      <c r="G1344" s="27"/>
      <c r="H1344" s="37"/>
      <c r="I1344" s="36"/>
      <c r="K1344" s="26"/>
    </row>
    <row r="1345">
      <c r="A1345" s="35"/>
      <c r="B1345" s="36"/>
      <c r="C1345" s="26"/>
      <c r="D1345" s="27"/>
      <c r="E1345" s="27"/>
      <c r="F1345" s="36"/>
      <c r="G1345" s="27"/>
      <c r="H1345" s="37"/>
      <c r="I1345" s="36"/>
      <c r="K1345" s="26"/>
    </row>
    <row r="1346">
      <c r="A1346" s="35"/>
      <c r="B1346" s="36"/>
      <c r="C1346" s="26"/>
      <c r="D1346" s="27"/>
      <c r="E1346" s="27"/>
      <c r="F1346" s="36"/>
      <c r="G1346" s="27"/>
      <c r="H1346" s="37"/>
      <c r="I1346" s="36"/>
      <c r="K1346" s="26"/>
    </row>
    <row r="1347">
      <c r="A1347" s="35"/>
      <c r="B1347" s="36"/>
      <c r="C1347" s="26"/>
      <c r="D1347" s="27"/>
      <c r="E1347" s="27"/>
      <c r="F1347" s="36"/>
      <c r="G1347" s="27"/>
      <c r="H1347" s="37"/>
      <c r="I1347" s="36"/>
      <c r="K1347" s="26"/>
    </row>
    <row r="1348">
      <c r="A1348" s="35"/>
      <c r="B1348" s="36"/>
      <c r="C1348" s="26"/>
      <c r="D1348" s="27"/>
      <c r="E1348" s="27"/>
      <c r="F1348" s="36"/>
      <c r="G1348" s="27"/>
      <c r="H1348" s="37"/>
      <c r="I1348" s="36"/>
      <c r="K1348" s="26"/>
    </row>
    <row r="1349">
      <c r="A1349" s="35"/>
      <c r="B1349" s="36"/>
      <c r="C1349" s="26"/>
      <c r="D1349" s="27"/>
      <c r="E1349" s="27"/>
      <c r="F1349" s="36"/>
      <c r="G1349" s="27"/>
      <c r="H1349" s="37"/>
      <c r="I1349" s="36"/>
      <c r="K1349" s="26"/>
    </row>
    <row r="1350">
      <c r="A1350" s="35"/>
      <c r="B1350" s="36"/>
      <c r="C1350" s="26"/>
      <c r="D1350" s="27"/>
      <c r="E1350" s="27"/>
      <c r="F1350" s="36"/>
      <c r="G1350" s="27"/>
      <c r="H1350" s="37"/>
      <c r="I1350" s="36"/>
      <c r="K1350" s="26"/>
    </row>
    <row r="1351">
      <c r="A1351" s="35"/>
      <c r="B1351" s="36"/>
      <c r="C1351" s="26"/>
      <c r="D1351" s="27"/>
      <c r="E1351" s="27"/>
      <c r="F1351" s="36"/>
      <c r="G1351" s="27"/>
      <c r="H1351" s="37"/>
      <c r="I1351" s="36"/>
      <c r="K1351" s="26"/>
    </row>
    <row r="1352">
      <c r="A1352" s="35"/>
      <c r="B1352" s="36"/>
      <c r="C1352" s="26"/>
      <c r="D1352" s="27"/>
      <c r="E1352" s="27"/>
      <c r="F1352" s="36"/>
      <c r="G1352" s="27"/>
      <c r="H1352" s="37"/>
      <c r="I1352" s="36"/>
      <c r="K1352" s="26"/>
    </row>
    <row r="1353">
      <c r="A1353" s="35"/>
      <c r="B1353" s="36"/>
      <c r="C1353" s="26"/>
      <c r="D1353" s="27"/>
      <c r="E1353" s="27"/>
      <c r="F1353" s="36"/>
      <c r="G1353" s="27"/>
      <c r="H1353" s="37"/>
      <c r="I1353" s="36"/>
      <c r="K1353" s="26"/>
    </row>
    <row r="1354">
      <c r="A1354" s="35"/>
      <c r="B1354" s="36"/>
      <c r="C1354" s="26"/>
      <c r="D1354" s="27"/>
      <c r="E1354" s="27"/>
      <c r="F1354" s="36"/>
      <c r="G1354" s="27"/>
      <c r="H1354" s="37"/>
      <c r="I1354" s="36"/>
      <c r="K1354" s="26"/>
    </row>
    <row r="1355">
      <c r="A1355" s="35"/>
      <c r="B1355" s="36"/>
      <c r="C1355" s="26"/>
      <c r="D1355" s="27"/>
      <c r="E1355" s="27"/>
      <c r="F1355" s="36"/>
      <c r="G1355" s="27"/>
      <c r="H1355" s="37"/>
      <c r="I1355" s="36"/>
      <c r="K1355" s="26"/>
    </row>
    <row r="1356">
      <c r="A1356" s="35"/>
      <c r="B1356" s="36"/>
      <c r="C1356" s="26"/>
      <c r="D1356" s="27"/>
      <c r="E1356" s="27"/>
      <c r="F1356" s="36"/>
      <c r="G1356" s="27"/>
      <c r="H1356" s="37"/>
      <c r="I1356" s="36"/>
      <c r="K1356" s="26"/>
    </row>
    <row r="1357">
      <c r="A1357" s="35"/>
      <c r="B1357" s="36"/>
      <c r="C1357" s="26"/>
      <c r="D1357" s="27"/>
      <c r="E1357" s="27"/>
      <c r="F1357" s="36"/>
      <c r="G1357" s="27"/>
      <c r="H1357" s="37"/>
      <c r="I1357" s="36"/>
      <c r="K1357" s="26"/>
    </row>
    <row r="1358">
      <c r="A1358" s="35"/>
      <c r="B1358" s="36"/>
      <c r="C1358" s="26"/>
      <c r="D1358" s="27"/>
      <c r="E1358" s="27"/>
      <c r="F1358" s="36"/>
      <c r="G1358" s="27"/>
      <c r="H1358" s="37"/>
      <c r="I1358" s="36"/>
      <c r="K1358" s="26"/>
    </row>
    <row r="1359">
      <c r="A1359" s="35"/>
      <c r="B1359" s="36"/>
      <c r="C1359" s="26"/>
      <c r="D1359" s="27"/>
      <c r="E1359" s="27"/>
      <c r="F1359" s="36"/>
      <c r="G1359" s="27"/>
      <c r="H1359" s="37"/>
      <c r="I1359" s="36"/>
      <c r="K1359" s="26"/>
    </row>
    <row r="1360">
      <c r="A1360" s="35"/>
      <c r="B1360" s="36"/>
      <c r="C1360" s="26"/>
      <c r="D1360" s="27"/>
      <c r="E1360" s="27"/>
      <c r="F1360" s="36"/>
      <c r="G1360" s="27"/>
      <c r="H1360" s="37"/>
      <c r="I1360" s="36"/>
      <c r="K1360" s="26"/>
    </row>
    <row r="1361">
      <c r="A1361" s="35"/>
      <c r="B1361" s="36"/>
      <c r="C1361" s="26"/>
      <c r="D1361" s="27"/>
      <c r="E1361" s="27"/>
      <c r="F1361" s="36"/>
      <c r="G1361" s="27"/>
      <c r="H1361" s="37"/>
      <c r="I1361" s="36"/>
      <c r="K1361" s="26"/>
    </row>
    <row r="1362">
      <c r="A1362" s="35"/>
      <c r="B1362" s="36"/>
      <c r="C1362" s="26"/>
      <c r="D1362" s="27"/>
      <c r="E1362" s="27"/>
      <c r="F1362" s="36"/>
      <c r="G1362" s="27"/>
      <c r="H1362" s="37"/>
      <c r="I1362" s="36"/>
      <c r="K1362" s="26"/>
    </row>
    <row r="1363">
      <c r="A1363" s="35"/>
      <c r="B1363" s="36"/>
      <c r="C1363" s="26"/>
      <c r="D1363" s="27"/>
      <c r="E1363" s="27"/>
      <c r="F1363" s="36"/>
      <c r="G1363" s="27"/>
      <c r="H1363" s="37"/>
      <c r="I1363" s="36"/>
      <c r="K1363" s="26"/>
    </row>
    <row r="1364">
      <c r="A1364" s="35"/>
      <c r="B1364" s="36"/>
      <c r="C1364" s="26"/>
      <c r="D1364" s="27"/>
      <c r="E1364" s="27"/>
      <c r="F1364" s="36"/>
      <c r="G1364" s="27"/>
      <c r="H1364" s="37"/>
      <c r="I1364" s="36"/>
      <c r="K1364" s="26"/>
    </row>
    <row r="1365">
      <c r="A1365" s="35"/>
      <c r="B1365" s="36"/>
      <c r="C1365" s="26"/>
      <c r="D1365" s="27"/>
      <c r="E1365" s="27"/>
      <c r="F1365" s="36"/>
      <c r="G1365" s="27"/>
      <c r="H1365" s="37"/>
      <c r="I1365" s="36"/>
      <c r="K1365" s="26"/>
    </row>
    <row r="1366">
      <c r="A1366" s="35"/>
      <c r="B1366" s="36"/>
      <c r="C1366" s="26"/>
      <c r="D1366" s="27"/>
      <c r="E1366" s="27"/>
      <c r="F1366" s="36"/>
      <c r="G1366" s="27"/>
      <c r="H1366" s="37"/>
      <c r="I1366" s="36"/>
      <c r="K1366" s="26"/>
    </row>
    <row r="1367">
      <c r="A1367" s="35"/>
      <c r="B1367" s="36"/>
      <c r="C1367" s="26"/>
      <c r="D1367" s="27"/>
      <c r="E1367" s="27"/>
      <c r="F1367" s="36"/>
      <c r="G1367" s="27"/>
      <c r="H1367" s="37"/>
      <c r="I1367" s="36"/>
      <c r="K1367" s="26"/>
    </row>
    <row r="1368">
      <c r="A1368" s="35"/>
      <c r="B1368" s="36"/>
      <c r="C1368" s="26"/>
      <c r="D1368" s="27"/>
      <c r="E1368" s="27"/>
      <c r="F1368" s="36"/>
      <c r="G1368" s="27"/>
      <c r="H1368" s="37"/>
      <c r="I1368" s="36"/>
      <c r="K1368" s="26"/>
    </row>
    <row r="1369">
      <c r="A1369" s="35"/>
      <c r="B1369" s="36"/>
      <c r="C1369" s="26"/>
      <c r="D1369" s="27"/>
      <c r="E1369" s="27"/>
      <c r="F1369" s="36"/>
      <c r="G1369" s="27"/>
      <c r="H1369" s="37"/>
      <c r="I1369" s="36"/>
      <c r="K1369" s="26"/>
    </row>
    <row r="1370">
      <c r="A1370" s="35"/>
      <c r="B1370" s="36"/>
      <c r="C1370" s="26"/>
      <c r="D1370" s="27"/>
      <c r="E1370" s="27"/>
      <c r="F1370" s="36"/>
      <c r="G1370" s="27"/>
      <c r="H1370" s="37"/>
      <c r="I1370" s="36"/>
      <c r="K1370" s="26"/>
    </row>
    <row r="1371">
      <c r="A1371" s="35"/>
      <c r="B1371" s="36"/>
      <c r="C1371" s="26"/>
      <c r="D1371" s="27"/>
      <c r="E1371" s="27"/>
      <c r="F1371" s="36"/>
      <c r="G1371" s="27"/>
      <c r="H1371" s="37"/>
      <c r="I1371" s="36"/>
      <c r="K1371" s="26"/>
    </row>
    <row r="1372">
      <c r="A1372" s="35"/>
      <c r="B1372" s="36"/>
      <c r="C1372" s="26"/>
      <c r="D1372" s="27"/>
      <c r="E1372" s="27"/>
      <c r="F1372" s="36"/>
      <c r="G1372" s="27"/>
      <c r="H1372" s="37"/>
      <c r="I1372" s="36"/>
      <c r="K1372" s="26"/>
    </row>
    <row r="1373">
      <c r="A1373" s="35"/>
      <c r="B1373" s="36"/>
      <c r="C1373" s="26"/>
      <c r="D1373" s="27"/>
      <c r="E1373" s="27"/>
      <c r="F1373" s="36"/>
      <c r="G1373" s="27"/>
      <c r="H1373" s="37"/>
      <c r="I1373" s="36"/>
      <c r="K1373" s="26"/>
    </row>
    <row r="1374">
      <c r="A1374" s="35"/>
      <c r="B1374" s="36"/>
      <c r="C1374" s="26"/>
      <c r="D1374" s="27"/>
      <c r="E1374" s="27"/>
      <c r="F1374" s="36"/>
      <c r="G1374" s="27"/>
      <c r="H1374" s="37"/>
      <c r="I1374" s="36"/>
      <c r="K1374" s="26"/>
    </row>
    <row r="1375">
      <c r="A1375" s="35"/>
      <c r="B1375" s="36"/>
      <c r="C1375" s="26"/>
      <c r="D1375" s="27"/>
      <c r="E1375" s="27"/>
      <c r="F1375" s="36"/>
      <c r="G1375" s="27"/>
      <c r="H1375" s="37"/>
      <c r="I1375" s="36"/>
      <c r="K1375" s="26"/>
    </row>
    <row r="1376">
      <c r="A1376" s="35"/>
      <c r="B1376" s="36"/>
      <c r="C1376" s="26"/>
      <c r="D1376" s="27"/>
      <c r="E1376" s="27"/>
      <c r="F1376" s="36"/>
      <c r="G1376" s="27"/>
      <c r="H1376" s="37"/>
      <c r="I1376" s="36"/>
      <c r="K1376" s="26"/>
    </row>
    <row r="1377">
      <c r="A1377" s="35"/>
      <c r="B1377" s="36"/>
      <c r="C1377" s="26"/>
      <c r="D1377" s="27"/>
      <c r="E1377" s="27"/>
      <c r="F1377" s="36"/>
      <c r="G1377" s="27"/>
      <c r="H1377" s="37"/>
      <c r="I1377" s="36"/>
      <c r="K1377" s="26"/>
    </row>
    <row r="1378">
      <c r="A1378" s="35"/>
      <c r="B1378" s="36"/>
      <c r="C1378" s="26"/>
      <c r="D1378" s="27"/>
      <c r="E1378" s="27"/>
      <c r="F1378" s="36"/>
      <c r="G1378" s="27"/>
      <c r="H1378" s="37"/>
      <c r="I1378" s="36"/>
      <c r="K1378" s="26"/>
    </row>
    <row r="1379">
      <c r="A1379" s="35"/>
      <c r="B1379" s="36"/>
      <c r="C1379" s="26"/>
      <c r="D1379" s="27"/>
      <c r="E1379" s="27"/>
      <c r="F1379" s="36"/>
      <c r="G1379" s="27"/>
      <c r="H1379" s="37"/>
      <c r="I1379" s="36"/>
      <c r="K1379" s="26"/>
    </row>
    <row r="1380">
      <c r="A1380" s="35"/>
      <c r="B1380" s="36"/>
      <c r="C1380" s="26"/>
      <c r="D1380" s="27"/>
      <c r="E1380" s="27"/>
      <c r="F1380" s="36"/>
      <c r="G1380" s="27"/>
      <c r="H1380" s="37"/>
      <c r="I1380" s="36"/>
      <c r="K1380" s="26"/>
    </row>
    <row r="1381">
      <c r="A1381" s="35"/>
      <c r="B1381" s="36"/>
      <c r="C1381" s="26"/>
      <c r="D1381" s="27"/>
      <c r="E1381" s="27"/>
      <c r="F1381" s="36"/>
      <c r="G1381" s="27"/>
      <c r="H1381" s="37"/>
      <c r="I1381" s="36"/>
      <c r="K1381" s="26"/>
    </row>
    <row r="1382">
      <c r="A1382" s="35"/>
      <c r="B1382" s="36"/>
      <c r="C1382" s="26"/>
      <c r="D1382" s="27"/>
      <c r="E1382" s="27"/>
      <c r="F1382" s="36"/>
      <c r="G1382" s="27"/>
      <c r="H1382" s="37"/>
      <c r="I1382" s="36"/>
      <c r="K1382" s="26"/>
    </row>
    <row r="1383">
      <c r="A1383" s="35"/>
      <c r="B1383" s="36"/>
      <c r="C1383" s="26"/>
      <c r="D1383" s="27"/>
      <c r="E1383" s="27"/>
      <c r="F1383" s="36"/>
      <c r="G1383" s="27"/>
      <c r="H1383" s="37"/>
      <c r="I1383" s="36"/>
      <c r="K1383" s="26"/>
    </row>
    <row r="1384">
      <c r="A1384" s="35"/>
      <c r="B1384" s="36"/>
      <c r="C1384" s="26"/>
      <c r="D1384" s="27"/>
      <c r="E1384" s="27"/>
      <c r="F1384" s="36"/>
      <c r="G1384" s="27"/>
      <c r="H1384" s="37"/>
      <c r="I1384" s="36"/>
      <c r="K1384" s="26"/>
    </row>
    <row r="1385">
      <c r="A1385" s="35"/>
      <c r="B1385" s="36"/>
      <c r="C1385" s="26"/>
      <c r="D1385" s="27"/>
      <c r="E1385" s="27"/>
      <c r="F1385" s="36"/>
      <c r="G1385" s="27"/>
      <c r="H1385" s="37"/>
      <c r="I1385" s="36"/>
      <c r="K1385" s="26"/>
    </row>
    <row r="1386">
      <c r="A1386" s="35"/>
      <c r="B1386" s="36"/>
      <c r="C1386" s="26"/>
      <c r="D1386" s="27"/>
      <c r="E1386" s="27"/>
      <c r="F1386" s="36"/>
      <c r="G1386" s="27"/>
      <c r="H1386" s="37"/>
      <c r="I1386" s="36"/>
      <c r="K1386" s="26"/>
    </row>
    <row r="1387">
      <c r="A1387" s="35"/>
      <c r="B1387" s="36"/>
      <c r="C1387" s="26"/>
      <c r="D1387" s="27"/>
      <c r="E1387" s="27"/>
      <c r="F1387" s="36"/>
      <c r="G1387" s="27"/>
      <c r="H1387" s="37"/>
      <c r="I1387" s="36"/>
      <c r="K1387" s="26"/>
    </row>
    <row r="1388">
      <c r="A1388" s="35"/>
      <c r="B1388" s="36"/>
      <c r="C1388" s="26"/>
      <c r="D1388" s="27"/>
      <c r="E1388" s="27"/>
      <c r="F1388" s="36"/>
      <c r="G1388" s="27"/>
      <c r="H1388" s="37"/>
      <c r="I1388" s="36"/>
      <c r="K1388" s="26"/>
    </row>
    <row r="1389">
      <c r="A1389" s="35"/>
      <c r="B1389" s="36"/>
      <c r="C1389" s="26"/>
      <c r="D1389" s="27"/>
      <c r="E1389" s="27"/>
      <c r="F1389" s="36"/>
      <c r="G1389" s="27"/>
      <c r="H1389" s="37"/>
      <c r="I1389" s="36"/>
      <c r="K1389" s="26"/>
    </row>
    <row r="1390">
      <c r="A1390" s="35"/>
      <c r="B1390" s="36"/>
      <c r="C1390" s="26"/>
      <c r="D1390" s="27"/>
      <c r="E1390" s="27"/>
      <c r="F1390" s="36"/>
      <c r="G1390" s="27"/>
      <c r="H1390" s="37"/>
      <c r="I1390" s="36"/>
      <c r="K1390" s="26"/>
    </row>
    <row r="1391">
      <c r="A1391" s="35"/>
      <c r="B1391" s="36"/>
      <c r="C1391" s="26"/>
      <c r="D1391" s="27"/>
      <c r="E1391" s="27"/>
      <c r="F1391" s="36"/>
      <c r="G1391" s="27"/>
      <c r="H1391" s="37"/>
      <c r="I1391" s="36"/>
      <c r="K1391" s="26"/>
    </row>
    <row r="1392">
      <c r="A1392" s="35"/>
      <c r="B1392" s="36"/>
      <c r="C1392" s="26"/>
      <c r="D1392" s="27"/>
      <c r="E1392" s="27"/>
      <c r="F1392" s="36"/>
      <c r="G1392" s="27"/>
      <c r="H1392" s="37"/>
      <c r="I1392" s="36"/>
      <c r="K1392" s="26"/>
    </row>
    <row r="1393">
      <c r="A1393" s="35"/>
      <c r="B1393" s="36"/>
      <c r="C1393" s="26"/>
      <c r="D1393" s="27"/>
      <c r="E1393" s="27"/>
      <c r="F1393" s="36"/>
      <c r="G1393" s="27"/>
      <c r="H1393" s="37"/>
      <c r="I1393" s="36"/>
      <c r="K1393" s="26"/>
    </row>
    <row r="1394">
      <c r="A1394" s="35"/>
      <c r="B1394" s="36"/>
      <c r="C1394" s="26"/>
      <c r="D1394" s="27"/>
      <c r="E1394" s="27"/>
      <c r="F1394" s="36"/>
      <c r="G1394" s="27"/>
      <c r="H1394" s="37"/>
      <c r="I1394" s="36"/>
      <c r="K1394" s="26"/>
    </row>
    <row r="1395">
      <c r="A1395" s="35"/>
      <c r="B1395" s="36"/>
      <c r="C1395" s="26"/>
      <c r="D1395" s="27"/>
      <c r="E1395" s="27"/>
      <c r="F1395" s="36"/>
      <c r="G1395" s="27"/>
      <c r="H1395" s="37"/>
      <c r="I1395" s="36"/>
      <c r="K1395" s="26"/>
    </row>
    <row r="1396">
      <c r="A1396" s="35"/>
      <c r="B1396" s="36"/>
      <c r="C1396" s="26"/>
      <c r="D1396" s="27"/>
      <c r="E1396" s="27"/>
      <c r="F1396" s="36"/>
      <c r="G1396" s="27"/>
      <c r="H1396" s="37"/>
      <c r="I1396" s="36"/>
      <c r="K1396" s="26"/>
    </row>
    <row r="1397">
      <c r="A1397" s="35"/>
      <c r="B1397" s="36"/>
      <c r="C1397" s="26"/>
      <c r="D1397" s="27"/>
      <c r="E1397" s="27"/>
      <c r="F1397" s="36"/>
      <c r="G1397" s="27"/>
      <c r="H1397" s="37"/>
      <c r="I1397" s="36"/>
      <c r="K1397" s="26"/>
    </row>
    <row r="1398">
      <c r="A1398" s="35"/>
      <c r="B1398" s="36"/>
      <c r="C1398" s="26"/>
      <c r="D1398" s="27"/>
      <c r="E1398" s="27"/>
      <c r="F1398" s="36"/>
      <c r="G1398" s="27"/>
      <c r="H1398" s="37"/>
      <c r="I1398" s="36"/>
      <c r="K1398" s="26"/>
    </row>
    <row r="1399">
      <c r="A1399" s="35"/>
      <c r="B1399" s="36"/>
      <c r="C1399" s="26"/>
      <c r="D1399" s="27"/>
      <c r="E1399" s="27"/>
      <c r="F1399" s="36"/>
      <c r="G1399" s="27"/>
      <c r="H1399" s="37"/>
      <c r="I1399" s="36"/>
      <c r="K1399" s="26"/>
    </row>
    <row r="1400">
      <c r="A1400" s="35"/>
      <c r="B1400" s="36"/>
      <c r="C1400" s="26"/>
      <c r="D1400" s="27"/>
      <c r="E1400" s="27"/>
      <c r="F1400" s="36"/>
      <c r="G1400" s="27"/>
      <c r="H1400" s="37"/>
      <c r="I1400" s="36"/>
      <c r="K1400" s="26"/>
    </row>
    <row r="1401">
      <c r="A1401" s="35"/>
      <c r="B1401" s="36"/>
      <c r="C1401" s="26"/>
      <c r="D1401" s="27"/>
      <c r="E1401" s="27"/>
      <c r="F1401" s="36"/>
      <c r="G1401" s="27"/>
      <c r="H1401" s="37"/>
      <c r="I1401" s="36"/>
      <c r="K1401" s="26"/>
    </row>
    <row r="1402">
      <c r="A1402" s="35"/>
      <c r="B1402" s="36"/>
      <c r="C1402" s="26"/>
      <c r="D1402" s="27"/>
      <c r="E1402" s="27"/>
      <c r="F1402" s="36"/>
      <c r="G1402" s="27"/>
      <c r="H1402" s="37"/>
      <c r="I1402" s="36"/>
      <c r="K1402" s="26"/>
    </row>
    <row r="1403">
      <c r="A1403" s="35"/>
      <c r="B1403" s="36"/>
      <c r="C1403" s="26"/>
      <c r="D1403" s="27"/>
      <c r="E1403" s="27"/>
      <c r="F1403" s="36"/>
      <c r="G1403" s="27"/>
      <c r="H1403" s="37"/>
      <c r="I1403" s="36"/>
      <c r="K1403" s="26"/>
    </row>
    <row r="1404">
      <c r="A1404" s="35"/>
      <c r="B1404" s="36"/>
      <c r="C1404" s="26"/>
      <c r="D1404" s="27"/>
      <c r="E1404" s="27"/>
      <c r="F1404" s="36"/>
      <c r="G1404" s="27"/>
      <c r="H1404" s="37"/>
      <c r="I1404" s="36"/>
      <c r="K1404" s="26"/>
    </row>
    <row r="1405">
      <c r="A1405" s="35"/>
      <c r="B1405" s="36"/>
      <c r="C1405" s="26"/>
      <c r="D1405" s="27"/>
      <c r="E1405" s="27"/>
      <c r="F1405" s="36"/>
      <c r="G1405" s="27"/>
      <c r="H1405" s="37"/>
      <c r="I1405" s="36"/>
      <c r="K1405" s="26"/>
    </row>
    <row r="1406">
      <c r="A1406" s="35"/>
      <c r="B1406" s="36"/>
      <c r="C1406" s="26"/>
      <c r="D1406" s="27"/>
      <c r="E1406" s="27"/>
      <c r="F1406" s="36"/>
      <c r="G1406" s="27"/>
      <c r="H1406" s="37"/>
      <c r="I1406" s="36"/>
      <c r="K1406" s="26"/>
    </row>
    <row r="1407">
      <c r="A1407" s="35"/>
      <c r="B1407" s="36"/>
      <c r="C1407" s="26"/>
      <c r="D1407" s="27"/>
      <c r="E1407" s="27"/>
      <c r="F1407" s="36"/>
      <c r="G1407" s="27"/>
      <c r="H1407" s="37"/>
      <c r="I1407" s="36"/>
      <c r="K1407" s="26"/>
    </row>
    <row r="1408">
      <c r="A1408" s="35"/>
      <c r="B1408" s="36"/>
      <c r="C1408" s="26"/>
      <c r="D1408" s="27"/>
      <c r="E1408" s="27"/>
      <c r="F1408" s="36"/>
      <c r="G1408" s="27"/>
      <c r="H1408" s="37"/>
      <c r="I1408" s="36"/>
      <c r="K1408" s="26"/>
    </row>
    <row r="1409">
      <c r="A1409" s="35"/>
      <c r="B1409" s="36"/>
      <c r="C1409" s="26"/>
      <c r="D1409" s="27"/>
      <c r="E1409" s="27"/>
      <c r="F1409" s="36"/>
      <c r="G1409" s="27"/>
      <c r="H1409" s="37"/>
      <c r="I1409" s="36"/>
      <c r="K1409" s="26"/>
    </row>
    <row r="1410">
      <c r="A1410" s="35"/>
      <c r="B1410" s="36"/>
      <c r="C1410" s="26"/>
      <c r="D1410" s="27"/>
      <c r="E1410" s="27"/>
      <c r="F1410" s="36"/>
      <c r="G1410" s="27"/>
      <c r="H1410" s="37"/>
      <c r="I1410" s="36"/>
      <c r="K1410" s="26"/>
    </row>
    <row r="1411">
      <c r="A1411" s="35"/>
      <c r="B1411" s="36"/>
      <c r="C1411" s="26"/>
      <c r="D1411" s="27"/>
      <c r="E1411" s="27"/>
      <c r="F1411" s="36"/>
      <c r="G1411" s="27"/>
      <c r="H1411" s="37"/>
      <c r="I1411" s="36"/>
      <c r="K1411" s="26"/>
    </row>
    <row r="1412">
      <c r="A1412" s="35"/>
      <c r="B1412" s="36"/>
      <c r="C1412" s="26"/>
      <c r="D1412" s="27"/>
      <c r="E1412" s="27"/>
      <c r="F1412" s="36"/>
      <c r="G1412" s="27"/>
      <c r="H1412" s="37"/>
      <c r="I1412" s="36"/>
      <c r="K1412" s="26"/>
    </row>
    <row r="1413">
      <c r="A1413" s="35"/>
      <c r="B1413" s="36"/>
      <c r="C1413" s="26"/>
      <c r="D1413" s="27"/>
      <c r="E1413" s="27"/>
      <c r="F1413" s="36"/>
      <c r="G1413" s="27"/>
      <c r="H1413" s="37"/>
      <c r="I1413" s="36"/>
      <c r="K1413" s="26"/>
    </row>
    <row r="1414">
      <c r="A1414" s="35"/>
      <c r="B1414" s="36"/>
      <c r="C1414" s="26"/>
      <c r="D1414" s="27"/>
      <c r="E1414" s="27"/>
      <c r="F1414" s="36"/>
      <c r="G1414" s="27"/>
      <c r="H1414" s="37"/>
      <c r="I1414" s="36"/>
      <c r="K1414" s="26"/>
    </row>
    <row r="1415">
      <c r="A1415" s="35"/>
      <c r="B1415" s="36"/>
      <c r="C1415" s="26"/>
      <c r="D1415" s="27"/>
      <c r="E1415" s="27"/>
      <c r="F1415" s="36"/>
      <c r="G1415" s="27"/>
      <c r="H1415" s="37"/>
      <c r="I1415" s="36"/>
      <c r="K1415" s="26"/>
    </row>
    <row r="1416">
      <c r="A1416" s="35"/>
      <c r="B1416" s="36"/>
      <c r="C1416" s="26"/>
      <c r="D1416" s="27"/>
      <c r="E1416" s="27"/>
      <c r="F1416" s="36"/>
      <c r="G1416" s="27"/>
      <c r="H1416" s="37"/>
      <c r="I1416" s="36"/>
      <c r="K1416" s="26"/>
    </row>
    <row r="1417">
      <c r="A1417" s="35"/>
      <c r="B1417" s="36"/>
      <c r="C1417" s="26"/>
      <c r="D1417" s="27"/>
      <c r="E1417" s="27"/>
      <c r="F1417" s="36"/>
      <c r="G1417" s="27"/>
      <c r="H1417" s="37"/>
      <c r="I1417" s="36"/>
      <c r="K1417" s="26"/>
    </row>
    <row r="1418">
      <c r="A1418" s="35"/>
      <c r="B1418" s="36"/>
      <c r="C1418" s="26"/>
      <c r="D1418" s="27"/>
      <c r="E1418" s="27"/>
      <c r="F1418" s="36"/>
      <c r="G1418" s="27"/>
      <c r="H1418" s="37"/>
      <c r="I1418" s="36"/>
      <c r="K1418" s="26"/>
    </row>
    <row r="1419">
      <c r="A1419" s="35"/>
      <c r="B1419" s="36"/>
      <c r="C1419" s="26"/>
      <c r="D1419" s="27"/>
      <c r="E1419" s="27"/>
      <c r="F1419" s="36"/>
      <c r="G1419" s="27"/>
      <c r="H1419" s="37"/>
      <c r="I1419" s="36"/>
      <c r="K1419" s="26"/>
    </row>
    <row r="1420">
      <c r="A1420" s="35"/>
      <c r="B1420" s="36"/>
      <c r="C1420" s="26"/>
      <c r="D1420" s="27"/>
      <c r="E1420" s="27"/>
      <c r="F1420" s="36"/>
      <c r="G1420" s="27"/>
      <c r="H1420" s="37"/>
      <c r="I1420" s="36"/>
      <c r="K1420" s="26"/>
    </row>
    <row r="1421">
      <c r="A1421" s="35"/>
      <c r="B1421" s="36"/>
      <c r="C1421" s="26"/>
      <c r="D1421" s="27"/>
      <c r="E1421" s="27"/>
      <c r="F1421" s="36"/>
      <c r="G1421" s="27"/>
      <c r="H1421" s="37"/>
      <c r="I1421" s="36"/>
      <c r="K1421" s="26"/>
    </row>
    <row r="1422">
      <c r="A1422" s="35"/>
      <c r="B1422" s="36"/>
      <c r="C1422" s="26"/>
      <c r="D1422" s="27"/>
      <c r="E1422" s="27"/>
      <c r="F1422" s="36"/>
      <c r="G1422" s="27"/>
      <c r="H1422" s="37"/>
      <c r="I1422" s="36"/>
      <c r="K1422" s="26"/>
    </row>
    <row r="1423">
      <c r="A1423" s="35"/>
      <c r="B1423" s="36"/>
      <c r="C1423" s="26"/>
      <c r="D1423" s="27"/>
      <c r="E1423" s="27"/>
      <c r="F1423" s="36"/>
      <c r="G1423" s="27"/>
      <c r="H1423" s="37"/>
      <c r="I1423" s="36"/>
      <c r="K1423" s="26"/>
    </row>
    <row r="1424">
      <c r="A1424" s="35"/>
      <c r="B1424" s="36"/>
      <c r="C1424" s="26"/>
      <c r="D1424" s="27"/>
      <c r="E1424" s="27"/>
      <c r="F1424" s="36"/>
      <c r="G1424" s="27"/>
      <c r="H1424" s="37"/>
      <c r="I1424" s="36"/>
      <c r="K1424" s="26"/>
    </row>
    <row r="1425">
      <c r="A1425" s="35"/>
      <c r="B1425" s="36"/>
      <c r="C1425" s="26"/>
      <c r="D1425" s="27"/>
      <c r="E1425" s="27"/>
      <c r="F1425" s="36"/>
      <c r="G1425" s="27"/>
      <c r="H1425" s="37"/>
      <c r="I1425" s="36"/>
      <c r="K1425" s="26"/>
    </row>
    <row r="1426">
      <c r="A1426" s="35"/>
      <c r="B1426" s="36"/>
      <c r="C1426" s="26"/>
      <c r="D1426" s="27"/>
      <c r="E1426" s="27"/>
      <c r="F1426" s="36"/>
      <c r="G1426" s="27"/>
      <c r="H1426" s="37"/>
      <c r="I1426" s="36"/>
      <c r="K1426" s="26"/>
    </row>
    <row r="1427">
      <c r="A1427" s="35"/>
      <c r="B1427" s="36"/>
      <c r="C1427" s="26"/>
      <c r="D1427" s="27"/>
      <c r="E1427" s="27"/>
      <c r="F1427" s="36"/>
      <c r="G1427" s="27"/>
      <c r="H1427" s="37"/>
      <c r="I1427" s="36"/>
      <c r="K1427" s="26"/>
    </row>
    <row r="1428">
      <c r="A1428" s="35"/>
      <c r="B1428" s="36"/>
      <c r="C1428" s="26"/>
      <c r="D1428" s="27"/>
      <c r="E1428" s="27"/>
      <c r="F1428" s="36"/>
      <c r="G1428" s="27"/>
      <c r="H1428" s="37"/>
      <c r="I1428" s="36"/>
      <c r="K1428" s="26"/>
    </row>
    <row r="1429">
      <c r="A1429" s="35"/>
      <c r="B1429" s="36"/>
      <c r="C1429" s="26"/>
      <c r="D1429" s="27"/>
      <c r="E1429" s="27"/>
      <c r="F1429" s="36"/>
      <c r="G1429" s="27"/>
      <c r="H1429" s="37"/>
      <c r="I1429" s="36"/>
      <c r="K1429" s="26"/>
    </row>
    <row r="1430">
      <c r="A1430" s="35"/>
      <c r="B1430" s="36"/>
      <c r="C1430" s="26"/>
      <c r="D1430" s="27"/>
      <c r="E1430" s="27"/>
      <c r="F1430" s="36"/>
      <c r="G1430" s="27"/>
      <c r="H1430" s="37"/>
      <c r="I1430" s="36"/>
      <c r="K1430" s="26"/>
    </row>
    <row r="1431">
      <c r="A1431" s="35"/>
      <c r="B1431" s="36"/>
      <c r="C1431" s="26"/>
      <c r="D1431" s="27"/>
      <c r="E1431" s="27"/>
      <c r="F1431" s="36"/>
      <c r="G1431" s="27"/>
      <c r="H1431" s="37"/>
      <c r="I1431" s="36"/>
      <c r="K1431" s="26"/>
    </row>
    <row r="1432">
      <c r="A1432" s="35"/>
      <c r="B1432" s="36"/>
      <c r="C1432" s="26"/>
      <c r="D1432" s="27"/>
      <c r="E1432" s="27"/>
      <c r="F1432" s="36"/>
      <c r="G1432" s="27"/>
      <c r="H1432" s="37"/>
      <c r="I1432" s="36"/>
      <c r="K1432" s="26"/>
    </row>
    <row r="1433">
      <c r="A1433" s="35"/>
      <c r="B1433" s="36"/>
      <c r="C1433" s="26"/>
      <c r="D1433" s="27"/>
      <c r="E1433" s="27"/>
      <c r="F1433" s="36"/>
      <c r="G1433" s="27"/>
      <c r="H1433" s="37"/>
      <c r="I1433" s="36"/>
      <c r="K1433" s="26"/>
    </row>
    <row r="1434">
      <c r="A1434" s="35"/>
      <c r="B1434" s="36"/>
      <c r="C1434" s="26"/>
      <c r="D1434" s="27"/>
      <c r="E1434" s="27"/>
      <c r="F1434" s="36"/>
      <c r="G1434" s="27"/>
      <c r="H1434" s="37"/>
      <c r="I1434" s="36"/>
      <c r="K1434" s="26"/>
    </row>
    <row r="1435">
      <c r="A1435" s="35"/>
      <c r="B1435" s="36"/>
      <c r="C1435" s="26"/>
      <c r="D1435" s="27"/>
      <c r="E1435" s="27"/>
      <c r="F1435" s="36"/>
      <c r="G1435" s="27"/>
      <c r="H1435" s="37"/>
      <c r="I1435" s="36"/>
      <c r="K1435" s="26"/>
    </row>
    <row r="1436">
      <c r="A1436" s="35"/>
      <c r="B1436" s="36"/>
      <c r="C1436" s="26"/>
      <c r="D1436" s="27"/>
      <c r="E1436" s="27"/>
      <c r="F1436" s="36"/>
      <c r="G1436" s="27"/>
      <c r="H1436" s="37"/>
      <c r="I1436" s="36"/>
      <c r="K1436" s="26"/>
    </row>
    <row r="1437">
      <c r="A1437" s="35"/>
      <c r="B1437" s="36"/>
      <c r="C1437" s="26"/>
      <c r="D1437" s="27"/>
      <c r="E1437" s="27"/>
      <c r="F1437" s="36"/>
      <c r="G1437" s="27"/>
      <c r="H1437" s="37"/>
      <c r="I1437" s="36"/>
      <c r="K1437" s="26"/>
    </row>
    <row r="1438">
      <c r="A1438" s="35"/>
      <c r="B1438" s="36"/>
      <c r="C1438" s="26"/>
      <c r="D1438" s="27"/>
      <c r="E1438" s="27"/>
      <c r="F1438" s="36"/>
      <c r="G1438" s="27"/>
      <c r="H1438" s="37"/>
      <c r="I1438" s="36"/>
      <c r="K1438" s="26"/>
    </row>
    <row r="1439">
      <c r="A1439" s="35"/>
      <c r="B1439" s="36"/>
      <c r="C1439" s="26"/>
      <c r="D1439" s="27"/>
      <c r="E1439" s="27"/>
      <c r="F1439" s="36"/>
      <c r="G1439" s="27"/>
      <c r="H1439" s="37"/>
      <c r="I1439" s="36"/>
      <c r="K1439" s="26"/>
    </row>
    <row r="1440">
      <c r="A1440" s="35"/>
      <c r="B1440" s="36"/>
      <c r="C1440" s="26"/>
      <c r="D1440" s="27"/>
      <c r="E1440" s="27"/>
      <c r="F1440" s="36"/>
      <c r="G1440" s="27"/>
      <c r="H1440" s="37"/>
      <c r="I1440" s="36"/>
      <c r="K1440" s="26"/>
    </row>
    <row r="1441">
      <c r="A1441" s="35"/>
      <c r="B1441" s="36"/>
      <c r="C1441" s="26"/>
      <c r="D1441" s="27"/>
      <c r="E1441" s="27"/>
      <c r="F1441" s="36"/>
      <c r="G1441" s="27"/>
      <c r="H1441" s="37"/>
      <c r="I1441" s="36"/>
      <c r="K1441" s="26"/>
    </row>
    <row r="1442">
      <c r="A1442" s="35"/>
      <c r="B1442" s="36"/>
      <c r="C1442" s="26"/>
      <c r="D1442" s="27"/>
      <c r="E1442" s="27"/>
      <c r="F1442" s="36"/>
      <c r="G1442" s="27"/>
      <c r="H1442" s="37"/>
      <c r="I1442" s="36"/>
      <c r="K1442" s="26"/>
    </row>
    <row r="1443">
      <c r="A1443" s="35"/>
      <c r="B1443" s="36"/>
      <c r="C1443" s="26"/>
      <c r="D1443" s="27"/>
      <c r="E1443" s="27"/>
      <c r="F1443" s="36"/>
      <c r="G1443" s="27"/>
      <c r="H1443" s="37"/>
      <c r="I1443" s="36"/>
      <c r="K1443" s="26"/>
    </row>
    <row r="1444">
      <c r="A1444" s="35"/>
      <c r="B1444" s="36"/>
      <c r="C1444" s="26"/>
      <c r="D1444" s="27"/>
      <c r="E1444" s="27"/>
      <c r="F1444" s="36"/>
      <c r="G1444" s="27"/>
      <c r="H1444" s="37"/>
      <c r="I1444" s="36"/>
      <c r="K1444" s="26"/>
    </row>
    <row r="1445">
      <c r="A1445" s="35"/>
      <c r="B1445" s="36"/>
      <c r="C1445" s="26"/>
      <c r="D1445" s="27"/>
      <c r="E1445" s="27"/>
      <c r="F1445" s="36"/>
      <c r="G1445" s="27"/>
      <c r="H1445" s="37"/>
      <c r="I1445" s="36"/>
      <c r="K1445" s="26"/>
    </row>
    <row r="1446">
      <c r="A1446" s="35"/>
      <c r="B1446" s="36"/>
      <c r="C1446" s="26"/>
      <c r="D1446" s="27"/>
      <c r="E1446" s="27"/>
      <c r="F1446" s="36"/>
      <c r="G1446" s="27"/>
      <c r="H1446" s="37"/>
      <c r="I1446" s="36"/>
      <c r="K1446" s="26"/>
    </row>
    <row r="1447">
      <c r="A1447" s="35"/>
      <c r="B1447" s="36"/>
      <c r="C1447" s="26"/>
      <c r="D1447" s="27"/>
      <c r="E1447" s="27"/>
      <c r="F1447" s="36"/>
      <c r="G1447" s="27"/>
      <c r="H1447" s="37"/>
      <c r="I1447" s="36"/>
      <c r="K1447" s="26"/>
    </row>
    <row r="1448">
      <c r="A1448" s="35"/>
      <c r="B1448" s="36"/>
      <c r="C1448" s="26"/>
      <c r="D1448" s="27"/>
      <c r="E1448" s="27"/>
      <c r="F1448" s="36"/>
      <c r="G1448" s="27"/>
      <c r="H1448" s="37"/>
      <c r="I1448" s="36"/>
      <c r="K1448" s="26"/>
    </row>
    <row r="1449">
      <c r="A1449" s="35"/>
      <c r="B1449" s="36"/>
      <c r="C1449" s="26"/>
      <c r="D1449" s="27"/>
      <c r="E1449" s="27"/>
      <c r="F1449" s="36"/>
      <c r="G1449" s="27"/>
      <c r="H1449" s="37"/>
      <c r="I1449" s="36"/>
      <c r="K1449" s="26"/>
    </row>
    <row r="1450">
      <c r="A1450" s="35"/>
      <c r="B1450" s="36"/>
      <c r="C1450" s="26"/>
      <c r="D1450" s="27"/>
      <c r="E1450" s="27"/>
      <c r="F1450" s="36"/>
      <c r="G1450" s="27"/>
      <c r="H1450" s="37"/>
      <c r="I1450" s="36"/>
      <c r="K1450" s="26"/>
    </row>
    <row r="1451">
      <c r="A1451" s="35"/>
      <c r="B1451" s="36"/>
      <c r="C1451" s="26"/>
      <c r="D1451" s="27"/>
      <c r="E1451" s="27"/>
      <c r="F1451" s="36"/>
      <c r="G1451" s="27"/>
      <c r="H1451" s="37"/>
      <c r="I1451" s="36"/>
      <c r="K1451" s="26"/>
    </row>
    <row r="1452">
      <c r="A1452" s="35"/>
      <c r="B1452" s="36"/>
      <c r="C1452" s="26"/>
      <c r="D1452" s="27"/>
      <c r="E1452" s="27"/>
      <c r="F1452" s="36"/>
      <c r="G1452" s="27"/>
      <c r="H1452" s="37"/>
      <c r="I1452" s="36"/>
      <c r="K1452" s="26"/>
    </row>
    <row r="1453">
      <c r="A1453" s="35"/>
      <c r="B1453" s="36"/>
      <c r="C1453" s="26"/>
      <c r="D1453" s="27"/>
      <c r="E1453" s="27"/>
      <c r="F1453" s="36"/>
      <c r="G1453" s="27"/>
      <c r="H1453" s="37"/>
      <c r="I1453" s="36"/>
      <c r="K1453" s="26"/>
    </row>
    <row r="1454">
      <c r="A1454" s="35"/>
      <c r="B1454" s="36"/>
      <c r="C1454" s="26"/>
      <c r="D1454" s="27"/>
      <c r="E1454" s="27"/>
      <c r="F1454" s="36"/>
      <c r="G1454" s="27"/>
      <c r="H1454" s="37"/>
      <c r="I1454" s="36"/>
      <c r="K1454" s="26"/>
    </row>
    <row r="1455">
      <c r="A1455" s="35"/>
      <c r="B1455" s="36"/>
      <c r="C1455" s="26"/>
      <c r="D1455" s="27"/>
      <c r="E1455" s="27"/>
      <c r="F1455" s="36"/>
      <c r="G1455" s="27"/>
      <c r="H1455" s="37"/>
      <c r="I1455" s="36"/>
      <c r="K1455" s="26"/>
    </row>
    <row r="1456">
      <c r="A1456" s="35"/>
      <c r="B1456" s="36"/>
      <c r="C1456" s="26"/>
      <c r="D1456" s="27"/>
      <c r="E1456" s="27"/>
      <c r="F1456" s="36"/>
      <c r="G1456" s="27"/>
      <c r="H1456" s="37"/>
      <c r="I1456" s="36"/>
      <c r="K1456" s="26"/>
    </row>
    <row r="1457">
      <c r="A1457" s="35"/>
      <c r="B1457" s="36"/>
      <c r="C1457" s="26"/>
      <c r="D1457" s="27"/>
      <c r="E1457" s="27"/>
      <c r="F1457" s="36"/>
      <c r="G1457" s="27"/>
      <c r="H1457" s="37"/>
      <c r="I1457" s="36"/>
      <c r="K1457" s="26"/>
    </row>
    <row r="1458">
      <c r="A1458" s="35"/>
      <c r="B1458" s="36"/>
      <c r="C1458" s="26"/>
      <c r="D1458" s="27"/>
      <c r="E1458" s="27"/>
      <c r="F1458" s="36"/>
      <c r="G1458" s="27"/>
      <c r="H1458" s="37"/>
      <c r="I1458" s="36"/>
      <c r="K1458" s="26"/>
    </row>
    <row r="1459">
      <c r="A1459" s="35"/>
      <c r="B1459" s="36"/>
      <c r="C1459" s="26"/>
      <c r="D1459" s="27"/>
      <c r="E1459" s="27"/>
      <c r="F1459" s="36"/>
      <c r="G1459" s="27"/>
      <c r="H1459" s="37"/>
      <c r="I1459" s="36"/>
      <c r="K1459" s="26"/>
    </row>
    <row r="1460">
      <c r="A1460" s="35"/>
      <c r="B1460" s="36"/>
      <c r="C1460" s="26"/>
      <c r="D1460" s="27"/>
      <c r="E1460" s="27"/>
      <c r="F1460" s="36"/>
      <c r="G1460" s="27"/>
      <c r="H1460" s="37"/>
      <c r="I1460" s="36"/>
      <c r="K1460" s="26"/>
    </row>
    <row r="1461">
      <c r="A1461" s="35"/>
      <c r="B1461" s="36"/>
      <c r="C1461" s="26"/>
      <c r="D1461" s="27"/>
      <c r="E1461" s="27"/>
      <c r="F1461" s="36"/>
      <c r="G1461" s="27"/>
      <c r="H1461" s="37"/>
      <c r="I1461" s="36"/>
      <c r="K1461" s="26"/>
    </row>
    <row r="1462">
      <c r="A1462" s="35"/>
      <c r="B1462" s="36"/>
      <c r="C1462" s="26"/>
      <c r="D1462" s="27"/>
      <c r="E1462" s="27"/>
      <c r="F1462" s="36"/>
      <c r="G1462" s="27"/>
      <c r="H1462" s="37"/>
      <c r="I1462" s="36"/>
      <c r="K1462" s="26"/>
    </row>
    <row r="1463">
      <c r="A1463" s="35"/>
      <c r="B1463" s="36"/>
      <c r="C1463" s="26"/>
      <c r="D1463" s="27"/>
      <c r="E1463" s="27"/>
      <c r="F1463" s="36"/>
      <c r="G1463" s="27"/>
      <c r="H1463" s="37"/>
      <c r="I1463" s="36"/>
      <c r="K1463" s="26"/>
    </row>
    <row r="1464">
      <c r="A1464" s="35"/>
      <c r="B1464" s="36"/>
      <c r="C1464" s="26"/>
      <c r="D1464" s="27"/>
      <c r="E1464" s="27"/>
      <c r="F1464" s="36"/>
      <c r="G1464" s="27"/>
      <c r="H1464" s="37"/>
      <c r="I1464" s="36"/>
      <c r="K1464" s="26"/>
    </row>
    <row r="1465">
      <c r="A1465" s="35"/>
      <c r="B1465" s="36"/>
      <c r="C1465" s="26"/>
      <c r="D1465" s="27"/>
      <c r="E1465" s="27"/>
      <c r="F1465" s="36"/>
      <c r="G1465" s="27"/>
      <c r="H1465" s="37"/>
      <c r="I1465" s="36"/>
      <c r="K1465" s="26"/>
    </row>
    <row r="1466">
      <c r="A1466" s="35"/>
      <c r="B1466" s="36"/>
      <c r="C1466" s="26"/>
      <c r="D1466" s="27"/>
      <c r="E1466" s="27"/>
      <c r="F1466" s="36"/>
      <c r="G1466" s="27"/>
      <c r="H1466" s="37"/>
      <c r="I1466" s="36"/>
      <c r="K1466" s="26"/>
    </row>
    <row r="1467">
      <c r="A1467" s="35"/>
      <c r="B1467" s="36"/>
      <c r="C1467" s="26"/>
      <c r="D1467" s="27"/>
      <c r="E1467" s="27"/>
      <c r="F1467" s="36"/>
      <c r="G1467" s="27"/>
      <c r="H1467" s="37"/>
      <c r="I1467" s="36"/>
      <c r="K1467" s="26"/>
    </row>
    <row r="1468">
      <c r="A1468" s="35"/>
      <c r="B1468" s="36"/>
      <c r="C1468" s="26"/>
      <c r="D1468" s="27"/>
      <c r="E1468" s="27"/>
      <c r="F1468" s="36"/>
      <c r="G1468" s="27"/>
      <c r="H1468" s="37"/>
      <c r="I1468" s="36"/>
      <c r="K1468" s="26"/>
    </row>
    <row r="1469">
      <c r="A1469" s="35"/>
      <c r="B1469" s="36"/>
      <c r="C1469" s="26"/>
      <c r="D1469" s="27"/>
      <c r="E1469" s="27"/>
      <c r="F1469" s="36"/>
      <c r="G1469" s="27"/>
      <c r="H1469" s="37"/>
      <c r="I1469" s="36"/>
      <c r="K1469" s="26"/>
    </row>
    <row r="1470">
      <c r="A1470" s="35"/>
      <c r="B1470" s="36"/>
      <c r="C1470" s="26"/>
      <c r="D1470" s="27"/>
      <c r="E1470" s="27"/>
      <c r="F1470" s="36"/>
      <c r="G1470" s="27"/>
      <c r="H1470" s="37"/>
      <c r="I1470" s="36"/>
      <c r="K1470" s="26"/>
    </row>
    <row r="1471">
      <c r="A1471" s="35"/>
      <c r="B1471" s="36"/>
      <c r="C1471" s="26"/>
      <c r="D1471" s="27"/>
      <c r="E1471" s="27"/>
      <c r="F1471" s="36"/>
      <c r="G1471" s="27"/>
      <c r="H1471" s="37"/>
      <c r="I1471" s="36"/>
      <c r="K1471" s="26"/>
    </row>
    <row r="1472">
      <c r="A1472" s="35"/>
      <c r="B1472" s="36"/>
      <c r="C1472" s="26"/>
      <c r="D1472" s="27"/>
      <c r="E1472" s="27"/>
      <c r="F1472" s="36"/>
      <c r="G1472" s="27"/>
      <c r="H1472" s="37"/>
      <c r="I1472" s="36"/>
      <c r="K1472" s="26"/>
    </row>
    <row r="1473">
      <c r="A1473" s="35"/>
      <c r="B1473" s="36"/>
      <c r="C1473" s="26"/>
      <c r="D1473" s="27"/>
      <c r="E1473" s="27"/>
      <c r="F1473" s="36"/>
      <c r="G1473" s="27"/>
      <c r="H1473" s="37"/>
      <c r="I1473" s="36"/>
      <c r="K1473" s="26"/>
    </row>
    <row r="1474">
      <c r="A1474" s="35"/>
      <c r="B1474" s="36"/>
      <c r="C1474" s="26"/>
      <c r="D1474" s="27"/>
      <c r="E1474" s="27"/>
      <c r="F1474" s="36"/>
      <c r="G1474" s="27"/>
      <c r="H1474" s="37"/>
      <c r="I1474" s="36"/>
      <c r="K1474" s="26"/>
    </row>
    <row r="1475">
      <c r="A1475" s="35"/>
      <c r="B1475" s="36"/>
      <c r="C1475" s="26"/>
      <c r="D1475" s="27"/>
      <c r="E1475" s="27"/>
      <c r="F1475" s="36"/>
      <c r="G1475" s="27"/>
      <c r="H1475" s="37"/>
      <c r="I1475" s="36"/>
      <c r="K1475" s="26"/>
    </row>
    <row r="1476">
      <c r="A1476" s="35"/>
      <c r="B1476" s="36"/>
      <c r="C1476" s="26"/>
      <c r="D1476" s="27"/>
      <c r="E1476" s="27"/>
      <c r="F1476" s="36"/>
      <c r="G1476" s="27"/>
      <c r="H1476" s="37"/>
      <c r="I1476" s="36"/>
      <c r="K1476" s="26"/>
    </row>
    <row r="1477">
      <c r="A1477" s="35"/>
      <c r="B1477" s="36"/>
      <c r="C1477" s="26"/>
      <c r="D1477" s="27"/>
      <c r="E1477" s="27"/>
      <c r="F1477" s="36"/>
      <c r="G1477" s="27"/>
      <c r="H1477" s="37"/>
      <c r="I1477" s="36"/>
      <c r="K1477" s="26"/>
    </row>
    <row r="1478">
      <c r="A1478" s="35"/>
      <c r="B1478" s="36"/>
      <c r="C1478" s="26"/>
      <c r="D1478" s="27"/>
      <c r="E1478" s="27"/>
      <c r="F1478" s="36"/>
      <c r="G1478" s="27"/>
      <c r="H1478" s="37"/>
      <c r="I1478" s="36"/>
      <c r="K1478" s="26"/>
    </row>
    <row r="1479">
      <c r="A1479" s="35"/>
      <c r="B1479" s="36"/>
      <c r="C1479" s="26"/>
      <c r="D1479" s="27"/>
      <c r="E1479" s="27"/>
      <c r="F1479" s="36"/>
      <c r="G1479" s="27"/>
      <c r="H1479" s="37"/>
      <c r="I1479" s="36"/>
      <c r="K1479" s="26"/>
    </row>
    <row r="1480">
      <c r="A1480" s="35"/>
      <c r="B1480" s="36"/>
      <c r="C1480" s="26"/>
      <c r="D1480" s="27"/>
      <c r="E1480" s="27"/>
      <c r="F1480" s="36"/>
      <c r="G1480" s="27"/>
      <c r="H1480" s="37"/>
      <c r="I1480" s="36"/>
      <c r="K1480" s="26"/>
    </row>
    <row r="1481">
      <c r="A1481" s="35"/>
      <c r="B1481" s="36"/>
      <c r="C1481" s="26"/>
      <c r="D1481" s="27"/>
      <c r="E1481" s="27"/>
      <c r="F1481" s="36"/>
      <c r="G1481" s="27"/>
      <c r="H1481" s="37"/>
      <c r="I1481" s="36"/>
      <c r="K1481" s="26"/>
    </row>
    <row r="1482">
      <c r="A1482" s="35"/>
      <c r="B1482" s="36"/>
      <c r="C1482" s="26"/>
      <c r="D1482" s="27"/>
      <c r="E1482" s="27"/>
      <c r="F1482" s="36"/>
      <c r="G1482" s="27"/>
      <c r="H1482" s="37"/>
      <c r="I1482" s="36"/>
      <c r="K1482" s="26"/>
    </row>
    <row r="1483">
      <c r="A1483" s="35"/>
      <c r="B1483" s="36"/>
      <c r="C1483" s="26"/>
      <c r="D1483" s="27"/>
      <c r="E1483" s="27"/>
      <c r="F1483" s="36"/>
      <c r="G1483" s="27"/>
      <c r="H1483" s="37"/>
      <c r="I1483" s="36"/>
      <c r="K1483" s="26"/>
    </row>
    <row r="1484">
      <c r="A1484" s="35"/>
      <c r="B1484" s="36"/>
      <c r="C1484" s="26"/>
      <c r="D1484" s="27"/>
      <c r="E1484" s="27"/>
      <c r="F1484" s="36"/>
      <c r="G1484" s="27"/>
      <c r="H1484" s="37"/>
      <c r="I1484" s="36"/>
      <c r="K1484" s="26"/>
    </row>
    <row r="1485">
      <c r="A1485" s="35"/>
      <c r="B1485" s="36"/>
      <c r="C1485" s="26"/>
      <c r="D1485" s="27"/>
      <c r="E1485" s="27"/>
      <c r="F1485" s="36"/>
      <c r="G1485" s="27"/>
      <c r="H1485" s="37"/>
      <c r="I1485" s="36"/>
      <c r="K1485" s="26"/>
    </row>
    <row r="1486">
      <c r="A1486" s="35"/>
      <c r="B1486" s="36"/>
      <c r="C1486" s="26"/>
      <c r="D1486" s="27"/>
      <c r="E1486" s="27"/>
      <c r="F1486" s="36"/>
      <c r="G1486" s="27"/>
      <c r="H1486" s="37"/>
      <c r="I1486" s="36"/>
      <c r="K1486" s="26"/>
    </row>
    <row r="1487">
      <c r="A1487" s="35"/>
      <c r="B1487" s="36"/>
      <c r="C1487" s="26"/>
      <c r="D1487" s="27"/>
      <c r="E1487" s="27"/>
      <c r="F1487" s="36"/>
      <c r="G1487" s="27"/>
      <c r="H1487" s="37"/>
      <c r="I1487" s="36"/>
      <c r="K1487" s="26"/>
    </row>
    <row r="1488">
      <c r="A1488" s="35"/>
      <c r="B1488" s="36"/>
      <c r="C1488" s="26"/>
      <c r="D1488" s="27"/>
      <c r="E1488" s="27"/>
      <c r="F1488" s="36"/>
      <c r="G1488" s="27"/>
      <c r="H1488" s="37"/>
      <c r="I1488" s="36"/>
      <c r="K1488" s="26"/>
    </row>
    <row r="1489">
      <c r="A1489" s="35"/>
      <c r="B1489" s="36"/>
      <c r="C1489" s="26"/>
      <c r="D1489" s="27"/>
      <c r="E1489" s="27"/>
      <c r="F1489" s="36"/>
      <c r="G1489" s="27"/>
      <c r="H1489" s="37"/>
      <c r="I1489" s="36"/>
      <c r="K1489" s="26"/>
    </row>
    <row r="1490">
      <c r="A1490" s="35"/>
      <c r="B1490" s="36"/>
      <c r="C1490" s="26"/>
      <c r="D1490" s="27"/>
      <c r="E1490" s="27"/>
      <c r="F1490" s="36"/>
      <c r="G1490" s="27"/>
      <c r="H1490" s="37"/>
      <c r="I1490" s="36"/>
      <c r="K1490" s="26"/>
    </row>
    <row r="1491">
      <c r="A1491" s="35"/>
      <c r="B1491" s="36"/>
      <c r="C1491" s="26"/>
      <c r="D1491" s="27"/>
      <c r="E1491" s="27"/>
      <c r="F1491" s="36"/>
      <c r="G1491" s="27"/>
      <c r="H1491" s="37"/>
      <c r="I1491" s="36"/>
      <c r="K1491" s="26"/>
    </row>
    <row r="1492">
      <c r="A1492" s="35"/>
      <c r="B1492" s="36"/>
      <c r="C1492" s="26"/>
      <c r="D1492" s="27"/>
      <c r="E1492" s="27"/>
      <c r="F1492" s="36"/>
      <c r="G1492" s="27"/>
      <c r="H1492" s="37"/>
      <c r="I1492" s="36"/>
      <c r="K1492" s="26"/>
    </row>
    <row r="1493">
      <c r="A1493" s="35"/>
      <c r="B1493" s="36"/>
      <c r="C1493" s="26"/>
      <c r="D1493" s="27"/>
      <c r="E1493" s="27"/>
      <c r="F1493" s="36"/>
      <c r="G1493" s="27"/>
      <c r="H1493" s="37"/>
      <c r="I1493" s="36"/>
      <c r="K1493" s="26"/>
    </row>
    <row r="1494">
      <c r="A1494" s="35"/>
      <c r="B1494" s="36"/>
      <c r="C1494" s="26"/>
      <c r="D1494" s="27"/>
      <c r="E1494" s="27"/>
      <c r="F1494" s="36"/>
      <c r="G1494" s="27"/>
      <c r="H1494" s="37"/>
      <c r="I1494" s="36"/>
      <c r="K1494" s="26"/>
    </row>
    <row r="1495">
      <c r="A1495" s="35"/>
      <c r="B1495" s="36"/>
      <c r="C1495" s="26"/>
      <c r="D1495" s="27"/>
      <c r="E1495" s="27"/>
      <c r="F1495" s="36"/>
      <c r="G1495" s="27"/>
      <c r="H1495" s="37"/>
      <c r="I1495" s="36"/>
      <c r="K1495" s="26"/>
    </row>
    <row r="1496">
      <c r="A1496" s="35"/>
      <c r="B1496" s="36"/>
      <c r="C1496" s="26"/>
      <c r="D1496" s="27"/>
      <c r="E1496" s="27"/>
      <c r="F1496" s="36"/>
      <c r="G1496" s="27"/>
      <c r="H1496" s="37"/>
      <c r="I1496" s="36"/>
      <c r="K1496" s="26"/>
    </row>
    <row r="1497">
      <c r="A1497" s="35"/>
      <c r="B1497" s="36"/>
      <c r="C1497" s="26"/>
      <c r="D1497" s="27"/>
      <c r="E1497" s="27"/>
      <c r="F1497" s="36"/>
      <c r="G1497" s="27"/>
      <c r="H1497" s="37"/>
      <c r="I1497" s="36"/>
      <c r="K1497" s="26"/>
    </row>
    <row r="1498">
      <c r="A1498" s="35"/>
      <c r="B1498" s="36"/>
      <c r="C1498" s="26"/>
      <c r="D1498" s="27"/>
      <c r="E1498" s="27"/>
      <c r="F1498" s="36"/>
      <c r="G1498" s="27"/>
      <c r="H1498" s="37"/>
      <c r="I1498" s="36"/>
      <c r="K1498" s="26"/>
    </row>
    <row r="1499">
      <c r="A1499" s="35"/>
      <c r="B1499" s="36"/>
      <c r="C1499" s="26"/>
      <c r="D1499" s="27"/>
      <c r="E1499" s="27"/>
      <c r="F1499" s="36"/>
      <c r="G1499" s="27"/>
      <c r="H1499" s="37"/>
      <c r="I1499" s="36"/>
      <c r="K1499" s="26"/>
    </row>
    <row r="1500">
      <c r="A1500" s="35"/>
      <c r="B1500" s="36"/>
      <c r="C1500" s="26"/>
      <c r="D1500" s="27"/>
      <c r="E1500" s="27"/>
      <c r="F1500" s="36"/>
      <c r="G1500" s="27"/>
      <c r="H1500" s="37"/>
      <c r="I1500" s="36"/>
      <c r="K1500" s="26"/>
    </row>
    <row r="1501">
      <c r="A1501" s="35"/>
      <c r="B1501" s="36"/>
      <c r="C1501" s="26"/>
      <c r="D1501" s="27"/>
      <c r="E1501" s="27"/>
      <c r="F1501" s="36"/>
      <c r="G1501" s="27"/>
      <c r="H1501" s="37"/>
      <c r="I1501" s="36"/>
      <c r="K1501" s="26"/>
    </row>
    <row r="1502">
      <c r="A1502" s="35"/>
      <c r="B1502" s="36"/>
      <c r="C1502" s="26"/>
      <c r="D1502" s="27"/>
      <c r="E1502" s="27"/>
      <c r="F1502" s="36"/>
      <c r="G1502" s="27"/>
      <c r="H1502" s="37"/>
      <c r="I1502" s="36"/>
      <c r="K1502" s="26"/>
    </row>
    <row r="1503">
      <c r="A1503" s="35"/>
      <c r="B1503" s="36"/>
      <c r="C1503" s="26"/>
      <c r="D1503" s="27"/>
      <c r="E1503" s="27"/>
      <c r="F1503" s="36"/>
      <c r="G1503" s="27"/>
      <c r="H1503" s="37"/>
      <c r="I1503" s="36"/>
      <c r="K1503" s="26"/>
    </row>
    <row r="1504">
      <c r="A1504" s="35"/>
      <c r="B1504" s="36"/>
      <c r="C1504" s="26"/>
      <c r="D1504" s="27"/>
      <c r="E1504" s="27"/>
      <c r="F1504" s="36"/>
      <c r="G1504" s="27"/>
      <c r="H1504" s="37"/>
      <c r="I1504" s="36"/>
      <c r="K1504" s="26"/>
    </row>
    <row r="1505">
      <c r="A1505" s="35"/>
      <c r="B1505" s="36"/>
      <c r="C1505" s="26"/>
      <c r="D1505" s="27"/>
      <c r="E1505" s="27"/>
      <c r="F1505" s="36"/>
      <c r="G1505" s="27"/>
      <c r="H1505" s="37"/>
      <c r="I1505" s="36"/>
      <c r="K1505" s="26"/>
    </row>
    <row r="1506">
      <c r="A1506" s="35"/>
      <c r="B1506" s="36"/>
      <c r="C1506" s="26"/>
      <c r="D1506" s="27"/>
      <c r="E1506" s="27"/>
      <c r="F1506" s="36"/>
      <c r="G1506" s="27"/>
      <c r="H1506" s="37"/>
      <c r="I1506" s="36"/>
      <c r="K1506" s="26"/>
    </row>
    <row r="1507">
      <c r="A1507" s="35"/>
      <c r="B1507" s="36"/>
      <c r="C1507" s="26"/>
      <c r="D1507" s="27"/>
      <c r="E1507" s="27"/>
      <c r="F1507" s="36"/>
      <c r="G1507" s="27"/>
      <c r="H1507" s="37"/>
      <c r="I1507" s="36"/>
      <c r="K1507" s="26"/>
    </row>
    <row r="1508">
      <c r="A1508" s="35"/>
      <c r="B1508" s="36"/>
      <c r="C1508" s="26"/>
      <c r="D1508" s="27"/>
      <c r="E1508" s="27"/>
      <c r="F1508" s="36"/>
      <c r="G1508" s="27"/>
      <c r="H1508" s="37"/>
      <c r="I1508" s="36"/>
      <c r="K1508" s="26"/>
    </row>
    <row r="1509">
      <c r="A1509" s="35"/>
      <c r="B1509" s="36"/>
      <c r="C1509" s="26"/>
      <c r="D1509" s="27"/>
      <c r="E1509" s="27"/>
      <c r="F1509" s="36"/>
      <c r="G1509" s="27"/>
      <c r="H1509" s="37"/>
      <c r="I1509" s="36"/>
      <c r="K1509" s="26"/>
    </row>
    <row r="1510">
      <c r="A1510" s="35"/>
      <c r="B1510" s="36"/>
      <c r="C1510" s="26"/>
      <c r="D1510" s="27"/>
      <c r="E1510" s="27"/>
      <c r="F1510" s="36"/>
      <c r="G1510" s="27"/>
      <c r="H1510" s="37"/>
      <c r="I1510" s="36"/>
      <c r="K1510" s="26"/>
    </row>
    <row r="1511">
      <c r="A1511" s="35"/>
      <c r="B1511" s="36"/>
      <c r="C1511" s="26"/>
      <c r="D1511" s="27"/>
      <c r="E1511" s="27"/>
      <c r="F1511" s="36"/>
      <c r="G1511" s="27"/>
      <c r="H1511" s="37"/>
      <c r="I1511" s="36"/>
      <c r="K1511" s="26"/>
    </row>
    <row r="1512">
      <c r="A1512" s="35"/>
      <c r="B1512" s="36"/>
      <c r="C1512" s="26"/>
      <c r="D1512" s="27"/>
      <c r="E1512" s="27"/>
      <c r="F1512" s="36"/>
      <c r="G1512" s="27"/>
      <c r="H1512" s="37"/>
      <c r="I1512" s="36"/>
      <c r="K1512" s="26"/>
    </row>
    <row r="1513">
      <c r="A1513" s="35"/>
      <c r="B1513" s="36"/>
      <c r="C1513" s="26"/>
      <c r="D1513" s="27"/>
      <c r="E1513" s="27"/>
      <c r="F1513" s="36"/>
      <c r="G1513" s="27"/>
      <c r="H1513" s="37"/>
      <c r="I1513" s="36"/>
      <c r="K1513" s="26"/>
    </row>
    <row r="1514">
      <c r="A1514" s="35"/>
      <c r="B1514" s="36"/>
      <c r="C1514" s="26"/>
      <c r="D1514" s="27"/>
      <c r="E1514" s="27"/>
      <c r="F1514" s="36"/>
      <c r="G1514" s="27"/>
      <c r="H1514" s="37"/>
      <c r="I1514" s="36"/>
      <c r="K1514" s="26"/>
    </row>
    <row r="1515">
      <c r="A1515" s="35"/>
      <c r="B1515" s="36"/>
      <c r="C1515" s="26"/>
      <c r="D1515" s="27"/>
      <c r="E1515" s="27"/>
      <c r="F1515" s="36"/>
      <c r="G1515" s="27"/>
      <c r="H1515" s="37"/>
      <c r="I1515" s="36"/>
      <c r="K1515" s="26"/>
    </row>
    <row r="1516">
      <c r="A1516" s="35"/>
      <c r="B1516" s="36"/>
      <c r="C1516" s="26"/>
      <c r="D1516" s="27"/>
      <c r="E1516" s="27"/>
      <c r="F1516" s="36"/>
      <c r="G1516" s="27"/>
      <c r="H1516" s="37"/>
      <c r="I1516" s="36"/>
      <c r="K1516" s="26"/>
    </row>
    <row r="1517">
      <c r="A1517" s="35"/>
      <c r="B1517" s="36"/>
      <c r="C1517" s="26"/>
      <c r="D1517" s="27"/>
      <c r="E1517" s="27"/>
      <c r="F1517" s="36"/>
      <c r="G1517" s="27"/>
      <c r="H1517" s="37"/>
      <c r="I1517" s="36"/>
      <c r="K1517" s="26"/>
    </row>
    <row r="1518">
      <c r="A1518" s="35"/>
      <c r="B1518" s="36"/>
      <c r="C1518" s="26"/>
      <c r="D1518" s="27"/>
      <c r="E1518" s="27"/>
      <c r="F1518" s="36"/>
      <c r="G1518" s="27"/>
      <c r="H1518" s="37"/>
      <c r="I1518" s="36"/>
      <c r="K1518" s="26"/>
    </row>
    <row r="1519">
      <c r="A1519" s="35"/>
      <c r="B1519" s="36"/>
      <c r="C1519" s="26"/>
      <c r="D1519" s="27"/>
      <c r="E1519" s="27"/>
      <c r="F1519" s="36"/>
      <c r="G1519" s="27"/>
      <c r="H1519" s="37"/>
      <c r="I1519" s="36"/>
      <c r="K1519" s="26"/>
    </row>
    <row r="1520">
      <c r="A1520" s="35"/>
      <c r="B1520" s="36"/>
      <c r="C1520" s="26"/>
      <c r="D1520" s="27"/>
      <c r="E1520" s="27"/>
      <c r="F1520" s="36"/>
      <c r="G1520" s="27"/>
      <c r="H1520" s="37"/>
      <c r="I1520" s="36"/>
      <c r="K1520" s="26"/>
    </row>
    <row r="1521">
      <c r="A1521" s="35"/>
      <c r="B1521" s="36"/>
      <c r="C1521" s="26"/>
      <c r="D1521" s="27"/>
      <c r="E1521" s="27"/>
      <c r="F1521" s="36"/>
      <c r="G1521" s="27"/>
      <c r="H1521" s="37"/>
      <c r="I1521" s="36"/>
      <c r="K1521" s="26"/>
    </row>
    <row r="1522">
      <c r="A1522" s="35"/>
      <c r="B1522" s="36"/>
      <c r="C1522" s="26"/>
      <c r="D1522" s="27"/>
      <c r="E1522" s="27"/>
      <c r="F1522" s="36"/>
      <c r="G1522" s="27"/>
      <c r="H1522" s="37"/>
      <c r="I1522" s="36"/>
      <c r="K1522" s="26"/>
    </row>
    <row r="1523">
      <c r="A1523" s="35"/>
      <c r="B1523" s="36"/>
      <c r="C1523" s="26"/>
      <c r="D1523" s="27"/>
      <c r="E1523" s="27"/>
      <c r="F1523" s="36"/>
      <c r="G1523" s="27"/>
      <c r="H1523" s="37"/>
      <c r="I1523" s="36"/>
      <c r="K1523" s="26"/>
    </row>
    <row r="1524">
      <c r="A1524" s="35"/>
      <c r="B1524" s="36"/>
      <c r="C1524" s="26"/>
      <c r="D1524" s="27"/>
      <c r="E1524" s="27"/>
      <c r="F1524" s="36"/>
      <c r="G1524" s="27"/>
      <c r="H1524" s="37"/>
      <c r="I1524" s="36"/>
      <c r="K1524" s="26"/>
    </row>
    <row r="1525">
      <c r="A1525" s="35"/>
      <c r="B1525" s="36"/>
      <c r="C1525" s="26"/>
      <c r="D1525" s="27"/>
      <c r="E1525" s="27"/>
      <c r="F1525" s="36"/>
      <c r="G1525" s="27"/>
      <c r="H1525" s="37"/>
      <c r="I1525" s="36"/>
      <c r="K1525" s="26"/>
    </row>
    <row r="1526">
      <c r="A1526" s="35"/>
      <c r="B1526" s="36"/>
      <c r="C1526" s="26"/>
      <c r="D1526" s="27"/>
      <c r="E1526" s="27"/>
      <c r="F1526" s="36"/>
      <c r="G1526" s="27"/>
      <c r="H1526" s="37"/>
      <c r="I1526" s="36"/>
      <c r="K1526" s="26"/>
    </row>
    <row r="1527">
      <c r="A1527" s="35"/>
      <c r="B1527" s="36"/>
      <c r="C1527" s="26"/>
      <c r="D1527" s="27"/>
      <c r="E1527" s="27"/>
      <c r="F1527" s="36"/>
      <c r="G1527" s="27"/>
      <c r="H1527" s="37"/>
      <c r="I1527" s="36"/>
      <c r="K1527" s="26"/>
    </row>
    <row r="1528">
      <c r="A1528" s="35"/>
      <c r="B1528" s="36"/>
      <c r="C1528" s="26"/>
      <c r="D1528" s="27"/>
      <c r="E1528" s="27"/>
      <c r="F1528" s="36"/>
      <c r="G1528" s="27"/>
      <c r="H1528" s="37"/>
      <c r="I1528" s="36"/>
      <c r="K1528" s="26"/>
    </row>
    <row r="1529">
      <c r="A1529" s="35"/>
      <c r="B1529" s="36"/>
      <c r="C1529" s="26"/>
      <c r="D1529" s="27"/>
      <c r="E1529" s="27"/>
      <c r="F1529" s="36"/>
      <c r="G1529" s="27"/>
      <c r="H1529" s="37"/>
      <c r="I1529" s="36"/>
      <c r="K1529" s="26"/>
    </row>
    <row r="1530">
      <c r="A1530" s="35"/>
      <c r="B1530" s="36"/>
      <c r="C1530" s="26"/>
      <c r="D1530" s="27"/>
      <c r="E1530" s="27"/>
      <c r="F1530" s="36"/>
      <c r="G1530" s="27"/>
      <c r="H1530" s="37"/>
      <c r="I1530" s="36"/>
      <c r="K1530" s="26"/>
    </row>
    <row r="1531">
      <c r="A1531" s="35"/>
      <c r="B1531" s="36"/>
      <c r="C1531" s="26"/>
      <c r="D1531" s="27"/>
      <c r="E1531" s="27"/>
      <c r="F1531" s="36"/>
      <c r="G1531" s="27"/>
      <c r="H1531" s="37"/>
      <c r="I1531" s="36"/>
      <c r="K1531" s="26"/>
    </row>
    <row r="1532">
      <c r="A1532" s="35"/>
      <c r="B1532" s="36"/>
      <c r="C1532" s="26"/>
      <c r="D1532" s="27"/>
      <c r="E1532" s="27"/>
      <c r="F1532" s="36"/>
      <c r="G1532" s="27"/>
      <c r="H1532" s="37"/>
      <c r="I1532" s="36"/>
      <c r="K1532" s="26"/>
    </row>
    <row r="1533">
      <c r="A1533" s="35"/>
      <c r="B1533" s="36"/>
      <c r="C1533" s="26"/>
      <c r="D1533" s="27"/>
      <c r="E1533" s="27"/>
      <c r="F1533" s="36"/>
      <c r="G1533" s="27"/>
      <c r="H1533" s="37"/>
      <c r="I1533" s="36"/>
      <c r="K1533" s="26"/>
    </row>
    <row r="1534">
      <c r="A1534" s="35"/>
      <c r="B1534" s="36"/>
      <c r="C1534" s="26"/>
      <c r="D1534" s="27"/>
      <c r="E1534" s="27"/>
      <c r="F1534" s="36"/>
      <c r="G1534" s="27"/>
      <c r="H1534" s="37"/>
      <c r="I1534" s="36"/>
      <c r="K1534" s="26"/>
    </row>
    <row r="1535">
      <c r="A1535" s="35"/>
      <c r="B1535" s="36"/>
      <c r="C1535" s="26"/>
      <c r="D1535" s="27"/>
      <c r="E1535" s="27"/>
      <c r="F1535" s="36"/>
      <c r="G1535" s="27"/>
      <c r="H1535" s="37"/>
      <c r="I1535" s="36"/>
      <c r="K1535" s="26"/>
    </row>
    <row r="1536">
      <c r="A1536" s="35"/>
      <c r="B1536" s="36"/>
      <c r="C1536" s="26"/>
      <c r="D1536" s="27"/>
      <c r="E1536" s="27"/>
      <c r="F1536" s="36"/>
      <c r="G1536" s="27"/>
      <c r="H1536" s="37"/>
      <c r="I1536" s="36"/>
      <c r="K1536" s="26"/>
    </row>
    <row r="1537">
      <c r="A1537" s="35"/>
      <c r="B1537" s="36"/>
      <c r="C1537" s="26"/>
      <c r="D1537" s="27"/>
      <c r="E1537" s="27"/>
      <c r="F1537" s="36"/>
      <c r="G1537" s="27"/>
      <c r="H1537" s="37"/>
      <c r="I1537" s="36"/>
      <c r="K1537" s="26"/>
    </row>
    <row r="1538">
      <c r="A1538" s="35"/>
      <c r="B1538" s="36"/>
      <c r="C1538" s="26"/>
      <c r="D1538" s="27"/>
      <c r="E1538" s="27"/>
      <c r="F1538" s="36"/>
      <c r="G1538" s="27"/>
      <c r="H1538" s="37"/>
      <c r="I1538" s="36"/>
      <c r="K1538" s="26"/>
    </row>
    <row r="1539">
      <c r="A1539" s="35"/>
      <c r="B1539" s="36"/>
      <c r="C1539" s="26"/>
      <c r="D1539" s="27"/>
      <c r="E1539" s="27"/>
      <c r="F1539" s="36"/>
      <c r="G1539" s="27"/>
      <c r="H1539" s="37"/>
      <c r="I1539" s="36"/>
      <c r="K1539" s="26"/>
    </row>
    <row r="1540">
      <c r="A1540" s="35"/>
      <c r="B1540" s="36"/>
      <c r="C1540" s="26"/>
      <c r="D1540" s="27"/>
      <c r="E1540" s="27"/>
      <c r="F1540" s="36"/>
      <c r="G1540" s="27"/>
      <c r="H1540" s="37"/>
      <c r="I1540" s="36"/>
      <c r="K1540" s="26"/>
    </row>
    <row r="1541">
      <c r="A1541" s="35"/>
      <c r="B1541" s="36"/>
      <c r="C1541" s="26"/>
      <c r="D1541" s="27"/>
      <c r="E1541" s="27"/>
      <c r="F1541" s="36"/>
      <c r="G1541" s="27"/>
      <c r="H1541" s="37"/>
      <c r="I1541" s="36"/>
      <c r="K1541" s="26"/>
    </row>
    <row r="1542">
      <c r="A1542" s="35"/>
      <c r="B1542" s="36"/>
      <c r="C1542" s="26"/>
      <c r="D1542" s="27"/>
      <c r="E1542" s="27"/>
      <c r="F1542" s="36"/>
      <c r="G1542" s="27"/>
      <c r="H1542" s="37"/>
      <c r="I1542" s="36"/>
      <c r="K1542" s="26"/>
    </row>
    <row r="1543">
      <c r="A1543" s="35"/>
      <c r="B1543" s="36"/>
      <c r="C1543" s="26"/>
      <c r="D1543" s="27"/>
      <c r="E1543" s="27"/>
      <c r="F1543" s="36"/>
      <c r="G1543" s="27"/>
      <c r="H1543" s="37"/>
      <c r="I1543" s="36"/>
      <c r="K1543" s="26"/>
    </row>
    <row r="1544">
      <c r="A1544" s="35"/>
      <c r="B1544" s="36"/>
      <c r="C1544" s="26"/>
      <c r="D1544" s="27"/>
      <c r="E1544" s="27"/>
      <c r="F1544" s="36"/>
      <c r="G1544" s="27"/>
      <c r="H1544" s="37"/>
      <c r="I1544" s="36"/>
      <c r="K1544" s="26"/>
    </row>
    <row r="1545">
      <c r="A1545" s="35"/>
      <c r="B1545" s="36"/>
      <c r="C1545" s="26"/>
      <c r="D1545" s="27"/>
      <c r="E1545" s="27"/>
      <c r="F1545" s="36"/>
      <c r="G1545" s="27"/>
      <c r="H1545" s="37"/>
      <c r="I1545" s="36"/>
      <c r="K1545" s="26"/>
    </row>
    <row r="1546">
      <c r="A1546" s="35"/>
      <c r="B1546" s="36"/>
      <c r="C1546" s="26"/>
      <c r="D1546" s="27"/>
      <c r="E1546" s="27"/>
      <c r="F1546" s="36"/>
      <c r="G1546" s="27"/>
      <c r="H1546" s="37"/>
      <c r="I1546" s="36"/>
      <c r="K1546" s="26"/>
    </row>
    <row r="1547">
      <c r="A1547" s="35"/>
      <c r="B1547" s="36"/>
      <c r="C1547" s="26"/>
      <c r="D1547" s="27"/>
      <c r="E1547" s="27"/>
      <c r="F1547" s="36"/>
      <c r="G1547" s="27"/>
      <c r="H1547" s="37"/>
      <c r="I1547" s="36"/>
      <c r="K1547" s="26"/>
    </row>
    <row r="1548">
      <c r="A1548" s="35"/>
      <c r="B1548" s="36"/>
      <c r="C1548" s="26"/>
      <c r="D1548" s="27"/>
      <c r="E1548" s="27"/>
      <c r="F1548" s="36"/>
      <c r="G1548" s="27"/>
      <c r="H1548" s="37"/>
      <c r="I1548" s="36"/>
      <c r="K1548" s="26"/>
    </row>
    <row r="1549">
      <c r="A1549" s="35"/>
      <c r="B1549" s="36"/>
      <c r="C1549" s="26"/>
      <c r="D1549" s="27"/>
      <c r="E1549" s="27"/>
      <c r="F1549" s="36"/>
      <c r="G1549" s="27"/>
      <c r="H1549" s="37"/>
      <c r="I1549" s="36"/>
      <c r="K1549" s="26"/>
    </row>
    <row r="1550">
      <c r="A1550" s="35"/>
      <c r="B1550" s="36"/>
      <c r="C1550" s="26"/>
      <c r="D1550" s="27"/>
      <c r="E1550" s="27"/>
      <c r="F1550" s="36"/>
      <c r="G1550" s="27"/>
      <c r="H1550" s="37"/>
      <c r="I1550" s="36"/>
      <c r="K1550" s="26"/>
    </row>
    <row r="1551">
      <c r="A1551" s="35"/>
      <c r="B1551" s="36"/>
      <c r="C1551" s="26"/>
      <c r="D1551" s="27"/>
      <c r="E1551" s="27"/>
      <c r="F1551" s="36"/>
      <c r="G1551" s="27"/>
      <c r="H1551" s="37"/>
      <c r="I1551" s="36"/>
      <c r="K1551" s="26"/>
    </row>
    <row r="1552">
      <c r="A1552" s="35"/>
      <c r="B1552" s="36"/>
      <c r="C1552" s="26"/>
      <c r="D1552" s="27"/>
      <c r="E1552" s="27"/>
      <c r="F1552" s="36"/>
      <c r="G1552" s="27"/>
      <c r="H1552" s="37"/>
      <c r="I1552" s="36"/>
      <c r="K1552" s="26"/>
    </row>
    <row r="1553">
      <c r="A1553" s="35"/>
      <c r="B1553" s="36"/>
      <c r="C1553" s="26"/>
      <c r="D1553" s="27"/>
      <c r="E1553" s="27"/>
      <c r="F1553" s="36"/>
      <c r="G1553" s="27"/>
      <c r="H1553" s="37"/>
      <c r="I1553" s="36"/>
      <c r="K1553" s="26"/>
    </row>
    <row r="1554">
      <c r="A1554" s="35"/>
      <c r="B1554" s="36"/>
      <c r="C1554" s="26"/>
      <c r="D1554" s="27"/>
      <c r="E1554" s="27"/>
      <c r="F1554" s="36"/>
      <c r="G1554" s="27"/>
      <c r="H1554" s="37"/>
      <c r="I1554" s="36"/>
      <c r="K1554" s="26"/>
    </row>
    <row r="1555">
      <c r="A1555" s="35"/>
      <c r="B1555" s="36"/>
      <c r="C1555" s="26"/>
      <c r="D1555" s="27"/>
      <c r="E1555" s="27"/>
      <c r="F1555" s="36"/>
      <c r="G1555" s="27"/>
      <c r="H1555" s="37"/>
      <c r="I1555" s="36"/>
      <c r="K1555" s="26"/>
    </row>
    <row r="1556">
      <c r="A1556" s="35"/>
      <c r="B1556" s="36"/>
      <c r="C1556" s="26"/>
      <c r="D1556" s="27"/>
      <c r="E1556" s="27"/>
      <c r="F1556" s="36"/>
      <c r="G1556" s="27"/>
      <c r="H1556" s="37"/>
      <c r="I1556" s="36"/>
      <c r="K1556" s="26"/>
    </row>
    <row r="1557">
      <c r="A1557" s="35"/>
      <c r="B1557" s="36"/>
      <c r="C1557" s="26"/>
      <c r="D1557" s="27"/>
      <c r="E1557" s="27"/>
      <c r="F1557" s="36"/>
      <c r="G1557" s="27"/>
      <c r="H1557" s="37"/>
      <c r="I1557" s="36"/>
      <c r="K1557" s="26"/>
    </row>
    <row r="1558">
      <c r="A1558" s="35"/>
      <c r="B1558" s="36"/>
      <c r="C1558" s="26"/>
      <c r="D1558" s="27"/>
      <c r="E1558" s="27"/>
      <c r="F1558" s="36"/>
      <c r="G1558" s="27"/>
      <c r="H1558" s="37"/>
      <c r="I1558" s="36"/>
      <c r="K1558" s="26"/>
    </row>
    <row r="1559">
      <c r="A1559" s="35"/>
      <c r="B1559" s="36"/>
      <c r="C1559" s="26"/>
      <c r="D1559" s="27"/>
      <c r="E1559" s="27"/>
      <c r="F1559" s="36"/>
      <c r="G1559" s="27"/>
      <c r="H1559" s="37"/>
      <c r="I1559" s="36"/>
      <c r="K1559" s="26"/>
    </row>
    <row r="1560">
      <c r="A1560" s="35"/>
      <c r="B1560" s="36"/>
      <c r="C1560" s="26"/>
      <c r="D1560" s="27"/>
      <c r="E1560" s="27"/>
      <c r="F1560" s="36"/>
      <c r="G1560" s="27"/>
      <c r="H1560" s="37"/>
      <c r="I1560" s="36"/>
      <c r="K1560" s="26"/>
    </row>
    <row r="1561">
      <c r="A1561" s="35"/>
      <c r="B1561" s="36"/>
      <c r="C1561" s="26"/>
      <c r="D1561" s="27"/>
      <c r="E1561" s="27"/>
      <c r="F1561" s="36"/>
      <c r="G1561" s="27"/>
      <c r="H1561" s="37"/>
      <c r="I1561" s="36"/>
      <c r="K1561" s="26"/>
    </row>
    <row r="1562">
      <c r="A1562" s="35"/>
      <c r="B1562" s="36"/>
      <c r="C1562" s="26"/>
      <c r="D1562" s="27"/>
      <c r="E1562" s="27"/>
      <c r="F1562" s="36"/>
      <c r="G1562" s="27"/>
      <c r="H1562" s="37"/>
      <c r="I1562" s="36"/>
      <c r="K1562" s="26"/>
    </row>
    <row r="1563">
      <c r="A1563" s="35"/>
      <c r="B1563" s="36"/>
      <c r="C1563" s="26"/>
      <c r="D1563" s="27"/>
      <c r="E1563" s="27"/>
      <c r="F1563" s="36"/>
      <c r="G1563" s="27"/>
      <c r="H1563" s="37"/>
      <c r="I1563" s="36"/>
      <c r="K1563" s="26"/>
    </row>
    <row r="1564">
      <c r="A1564" s="35"/>
      <c r="B1564" s="36"/>
      <c r="C1564" s="26"/>
      <c r="D1564" s="27"/>
      <c r="E1564" s="27"/>
      <c r="F1564" s="36"/>
      <c r="G1564" s="27"/>
      <c r="H1564" s="37"/>
      <c r="I1564" s="36"/>
      <c r="K1564" s="26"/>
    </row>
    <row r="1565">
      <c r="A1565" s="35"/>
      <c r="B1565" s="36"/>
      <c r="C1565" s="26"/>
      <c r="D1565" s="27"/>
      <c r="E1565" s="27"/>
      <c r="F1565" s="36"/>
      <c r="G1565" s="27"/>
      <c r="H1565" s="37"/>
      <c r="I1565" s="36"/>
      <c r="K1565" s="26"/>
    </row>
    <row r="1566">
      <c r="A1566" s="35"/>
      <c r="B1566" s="36"/>
      <c r="C1566" s="26"/>
      <c r="D1566" s="27"/>
      <c r="E1566" s="27"/>
      <c r="F1566" s="36"/>
      <c r="G1566" s="27"/>
      <c r="H1566" s="37"/>
      <c r="I1566" s="36"/>
      <c r="K1566" s="26"/>
    </row>
    <row r="1567">
      <c r="A1567" s="35"/>
      <c r="B1567" s="36"/>
      <c r="C1567" s="26"/>
      <c r="D1567" s="27"/>
      <c r="E1567" s="27"/>
      <c r="F1567" s="36"/>
      <c r="G1567" s="27"/>
      <c r="H1567" s="37"/>
      <c r="I1567" s="36"/>
      <c r="K1567" s="26"/>
    </row>
    <row r="1568">
      <c r="A1568" s="35"/>
      <c r="B1568" s="36"/>
      <c r="C1568" s="26"/>
      <c r="D1568" s="27"/>
      <c r="E1568" s="27"/>
      <c r="F1568" s="36"/>
      <c r="G1568" s="27"/>
      <c r="H1568" s="37"/>
      <c r="I1568" s="36"/>
      <c r="K1568" s="26"/>
    </row>
    <row r="1569">
      <c r="A1569" s="35"/>
      <c r="B1569" s="36"/>
      <c r="C1569" s="26"/>
      <c r="D1569" s="27"/>
      <c r="E1569" s="27"/>
      <c r="F1569" s="36"/>
      <c r="G1569" s="27"/>
      <c r="H1569" s="37"/>
      <c r="I1569" s="36"/>
      <c r="K1569" s="26"/>
    </row>
    <row r="1570">
      <c r="A1570" s="35"/>
      <c r="B1570" s="36"/>
      <c r="C1570" s="26"/>
      <c r="D1570" s="27"/>
      <c r="E1570" s="27"/>
      <c r="F1570" s="36"/>
      <c r="G1570" s="27"/>
      <c r="H1570" s="37"/>
      <c r="I1570" s="36"/>
      <c r="K1570" s="26"/>
    </row>
    <row r="1571">
      <c r="A1571" s="35"/>
      <c r="B1571" s="36"/>
      <c r="C1571" s="26"/>
      <c r="D1571" s="27"/>
      <c r="E1571" s="27"/>
      <c r="F1571" s="36"/>
      <c r="G1571" s="27"/>
      <c r="H1571" s="37"/>
      <c r="I1571" s="36"/>
      <c r="K1571" s="26"/>
    </row>
    <row r="1572">
      <c r="A1572" s="35"/>
      <c r="B1572" s="36"/>
      <c r="C1572" s="26"/>
      <c r="D1572" s="27"/>
      <c r="E1572" s="27"/>
      <c r="F1572" s="36"/>
      <c r="G1572" s="27"/>
      <c r="H1572" s="37"/>
      <c r="I1572" s="36"/>
      <c r="K1572" s="26"/>
    </row>
    <row r="1573">
      <c r="A1573" s="35"/>
      <c r="B1573" s="36"/>
      <c r="C1573" s="26"/>
      <c r="D1573" s="27"/>
      <c r="E1573" s="27"/>
      <c r="F1573" s="36"/>
      <c r="G1573" s="27"/>
      <c r="H1573" s="37"/>
      <c r="I1573" s="36"/>
      <c r="K1573" s="26"/>
    </row>
    <row r="1574">
      <c r="A1574" s="35"/>
      <c r="B1574" s="36"/>
      <c r="C1574" s="26"/>
      <c r="D1574" s="27"/>
      <c r="E1574" s="27"/>
      <c r="F1574" s="36"/>
      <c r="G1574" s="27"/>
      <c r="H1574" s="37"/>
      <c r="I1574" s="36"/>
      <c r="K1574" s="26"/>
    </row>
    <row r="1575">
      <c r="A1575" s="35"/>
      <c r="B1575" s="36"/>
      <c r="C1575" s="26"/>
      <c r="D1575" s="27"/>
      <c r="E1575" s="27"/>
      <c r="F1575" s="36"/>
      <c r="G1575" s="27"/>
      <c r="H1575" s="37"/>
      <c r="I1575" s="36"/>
      <c r="K1575" s="26"/>
    </row>
    <row r="1576">
      <c r="A1576" s="35"/>
      <c r="B1576" s="36"/>
      <c r="C1576" s="26"/>
      <c r="D1576" s="27"/>
      <c r="E1576" s="27"/>
      <c r="F1576" s="36"/>
      <c r="G1576" s="27"/>
      <c r="H1576" s="37"/>
      <c r="I1576" s="36"/>
      <c r="K1576" s="26"/>
    </row>
    <row r="1577">
      <c r="A1577" s="35"/>
      <c r="B1577" s="36"/>
      <c r="C1577" s="26"/>
      <c r="D1577" s="27"/>
      <c r="E1577" s="27"/>
      <c r="F1577" s="36"/>
      <c r="G1577" s="27"/>
      <c r="H1577" s="37"/>
      <c r="I1577" s="36"/>
      <c r="K1577" s="26"/>
    </row>
    <row r="1578">
      <c r="A1578" s="35"/>
      <c r="B1578" s="36"/>
      <c r="C1578" s="26"/>
      <c r="D1578" s="27"/>
      <c r="E1578" s="27"/>
      <c r="F1578" s="36"/>
      <c r="G1578" s="27"/>
      <c r="H1578" s="37"/>
      <c r="I1578" s="36"/>
      <c r="K1578" s="26"/>
    </row>
    <row r="1579">
      <c r="A1579" s="35"/>
      <c r="B1579" s="36"/>
      <c r="C1579" s="26"/>
      <c r="D1579" s="27"/>
      <c r="E1579" s="27"/>
      <c r="F1579" s="36"/>
      <c r="G1579" s="27"/>
      <c r="H1579" s="37"/>
      <c r="I1579" s="36"/>
      <c r="K1579" s="26"/>
    </row>
    <row r="1580">
      <c r="A1580" s="35"/>
      <c r="B1580" s="36"/>
      <c r="C1580" s="26"/>
      <c r="D1580" s="27"/>
      <c r="E1580" s="27"/>
      <c r="F1580" s="36"/>
      <c r="G1580" s="27"/>
      <c r="H1580" s="37"/>
      <c r="I1580" s="36"/>
      <c r="K1580" s="26"/>
    </row>
    <row r="1581">
      <c r="A1581" s="35"/>
      <c r="B1581" s="36"/>
      <c r="C1581" s="26"/>
      <c r="D1581" s="27"/>
      <c r="E1581" s="27"/>
      <c r="F1581" s="36"/>
      <c r="G1581" s="27"/>
      <c r="H1581" s="37"/>
      <c r="I1581" s="36"/>
      <c r="K1581" s="26"/>
    </row>
    <row r="1582">
      <c r="A1582" s="35"/>
      <c r="B1582" s="36"/>
      <c r="C1582" s="26"/>
      <c r="D1582" s="27"/>
      <c r="E1582" s="27"/>
      <c r="F1582" s="36"/>
      <c r="G1582" s="27"/>
      <c r="H1582" s="37"/>
      <c r="I1582" s="36"/>
      <c r="K1582" s="26"/>
    </row>
    <row r="1583">
      <c r="A1583" s="35"/>
      <c r="B1583" s="36"/>
      <c r="C1583" s="26"/>
      <c r="D1583" s="27"/>
      <c r="E1583" s="27"/>
      <c r="F1583" s="36"/>
      <c r="G1583" s="27"/>
      <c r="H1583" s="37"/>
      <c r="I1583" s="36"/>
      <c r="K1583" s="26"/>
    </row>
    <row r="1584">
      <c r="A1584" s="35"/>
      <c r="B1584" s="36"/>
      <c r="C1584" s="26"/>
      <c r="D1584" s="27"/>
      <c r="E1584" s="27"/>
      <c r="F1584" s="36"/>
      <c r="G1584" s="27"/>
      <c r="H1584" s="37"/>
      <c r="I1584" s="36"/>
      <c r="K1584" s="26"/>
    </row>
    <row r="1585">
      <c r="A1585" s="35"/>
      <c r="B1585" s="36"/>
      <c r="C1585" s="26"/>
      <c r="D1585" s="27"/>
      <c r="E1585" s="27"/>
      <c r="F1585" s="36"/>
      <c r="G1585" s="27"/>
      <c r="H1585" s="37"/>
      <c r="I1585" s="36"/>
      <c r="K1585" s="26"/>
    </row>
    <row r="1586">
      <c r="A1586" s="35"/>
      <c r="B1586" s="36"/>
      <c r="C1586" s="26"/>
      <c r="D1586" s="27"/>
      <c r="E1586" s="27"/>
      <c r="F1586" s="36"/>
      <c r="G1586" s="27"/>
      <c r="H1586" s="37"/>
      <c r="I1586" s="36"/>
      <c r="K1586" s="26"/>
    </row>
    <row r="1587">
      <c r="A1587" s="35"/>
      <c r="B1587" s="36"/>
      <c r="C1587" s="26"/>
      <c r="D1587" s="27"/>
      <c r="E1587" s="27"/>
      <c r="F1587" s="36"/>
      <c r="G1587" s="27"/>
      <c r="H1587" s="37"/>
      <c r="I1587" s="36"/>
      <c r="K1587" s="26"/>
    </row>
    <row r="1588">
      <c r="A1588" s="35"/>
      <c r="B1588" s="36"/>
      <c r="C1588" s="26"/>
      <c r="D1588" s="27"/>
      <c r="E1588" s="27"/>
      <c r="F1588" s="36"/>
      <c r="G1588" s="27"/>
      <c r="H1588" s="37"/>
      <c r="I1588" s="36"/>
      <c r="K1588" s="26"/>
    </row>
    <row r="1589">
      <c r="A1589" s="35"/>
      <c r="B1589" s="36"/>
      <c r="C1589" s="26"/>
      <c r="D1589" s="27"/>
      <c r="E1589" s="27"/>
      <c r="F1589" s="36"/>
      <c r="G1589" s="27"/>
      <c r="H1589" s="37"/>
      <c r="I1589" s="36"/>
      <c r="K1589" s="26"/>
    </row>
    <row r="1590">
      <c r="A1590" s="35"/>
      <c r="B1590" s="36"/>
      <c r="C1590" s="26"/>
      <c r="D1590" s="27"/>
      <c r="E1590" s="27"/>
      <c r="F1590" s="36"/>
      <c r="G1590" s="27"/>
      <c r="H1590" s="37"/>
      <c r="I1590" s="36"/>
      <c r="K1590" s="26"/>
    </row>
    <row r="1591">
      <c r="A1591" s="35"/>
      <c r="B1591" s="36"/>
      <c r="C1591" s="26"/>
      <c r="D1591" s="27"/>
      <c r="E1591" s="27"/>
      <c r="F1591" s="36"/>
      <c r="G1591" s="27"/>
      <c r="H1591" s="37"/>
      <c r="I1591" s="36"/>
      <c r="K1591" s="26"/>
    </row>
    <row r="1592">
      <c r="A1592" s="35"/>
      <c r="B1592" s="36"/>
      <c r="C1592" s="26"/>
      <c r="D1592" s="27"/>
      <c r="E1592" s="27"/>
      <c r="F1592" s="36"/>
      <c r="G1592" s="27"/>
      <c r="H1592" s="37"/>
      <c r="I1592" s="36"/>
      <c r="K1592" s="26"/>
    </row>
    <row r="1593">
      <c r="A1593" s="35"/>
      <c r="B1593" s="36"/>
      <c r="C1593" s="26"/>
      <c r="D1593" s="27"/>
      <c r="E1593" s="27"/>
      <c r="F1593" s="36"/>
      <c r="G1593" s="27"/>
      <c r="H1593" s="37"/>
      <c r="I1593" s="36"/>
      <c r="K1593" s="26"/>
    </row>
    <row r="1594">
      <c r="A1594" s="35"/>
      <c r="B1594" s="36"/>
      <c r="C1594" s="26"/>
      <c r="D1594" s="27"/>
      <c r="E1594" s="27"/>
      <c r="F1594" s="36"/>
      <c r="G1594" s="27"/>
      <c r="H1594" s="37"/>
      <c r="I1594" s="36"/>
      <c r="K1594" s="26"/>
    </row>
    <row r="1595">
      <c r="A1595" s="35"/>
      <c r="B1595" s="36"/>
      <c r="C1595" s="26"/>
      <c r="D1595" s="27"/>
      <c r="E1595" s="27"/>
      <c r="F1595" s="36"/>
      <c r="G1595" s="27"/>
      <c r="H1595" s="37"/>
      <c r="I1595" s="36"/>
      <c r="K1595" s="26"/>
    </row>
    <row r="1596">
      <c r="A1596" s="35"/>
      <c r="B1596" s="36"/>
      <c r="C1596" s="26"/>
      <c r="D1596" s="27"/>
      <c r="E1596" s="27"/>
      <c r="F1596" s="36"/>
      <c r="G1596" s="27"/>
      <c r="H1596" s="37"/>
      <c r="I1596" s="36"/>
      <c r="K1596" s="26"/>
    </row>
    <row r="1597">
      <c r="A1597" s="35"/>
      <c r="B1597" s="36"/>
      <c r="C1597" s="26"/>
      <c r="D1597" s="27"/>
      <c r="E1597" s="27"/>
      <c r="F1597" s="36"/>
      <c r="G1597" s="27"/>
      <c r="H1597" s="37"/>
      <c r="I1597" s="36"/>
      <c r="K1597" s="26"/>
    </row>
    <row r="1598">
      <c r="A1598" s="35"/>
      <c r="B1598" s="36"/>
      <c r="C1598" s="26"/>
      <c r="D1598" s="27"/>
      <c r="E1598" s="27"/>
      <c r="F1598" s="36"/>
      <c r="G1598" s="27"/>
      <c r="H1598" s="37"/>
      <c r="I1598" s="36"/>
      <c r="K1598" s="26"/>
    </row>
    <row r="1599">
      <c r="A1599" s="35"/>
      <c r="B1599" s="36"/>
      <c r="C1599" s="26"/>
      <c r="D1599" s="27"/>
      <c r="E1599" s="27"/>
      <c r="F1599" s="36"/>
      <c r="G1599" s="27"/>
      <c r="H1599" s="37"/>
      <c r="I1599" s="36"/>
      <c r="K1599" s="26"/>
    </row>
    <row r="1600">
      <c r="A1600" s="35"/>
      <c r="B1600" s="36"/>
      <c r="C1600" s="26"/>
      <c r="D1600" s="27"/>
      <c r="E1600" s="27"/>
      <c r="F1600" s="36"/>
      <c r="G1600" s="27"/>
      <c r="H1600" s="37"/>
      <c r="I1600" s="36"/>
      <c r="K1600" s="26"/>
    </row>
    <row r="1601">
      <c r="A1601" s="35"/>
      <c r="B1601" s="36"/>
      <c r="C1601" s="26"/>
      <c r="D1601" s="27"/>
      <c r="E1601" s="27"/>
      <c r="F1601" s="36"/>
      <c r="G1601" s="27"/>
      <c r="H1601" s="37"/>
      <c r="I1601" s="36"/>
      <c r="K1601" s="26"/>
    </row>
    <row r="1602">
      <c r="A1602" s="35"/>
      <c r="B1602" s="36"/>
      <c r="C1602" s="26"/>
      <c r="D1602" s="27"/>
      <c r="E1602" s="27"/>
      <c r="F1602" s="36"/>
      <c r="G1602" s="27"/>
      <c r="H1602" s="37"/>
      <c r="I1602" s="36"/>
      <c r="K1602" s="26"/>
    </row>
    <row r="1603">
      <c r="A1603" s="35"/>
      <c r="B1603" s="36"/>
      <c r="C1603" s="26"/>
      <c r="D1603" s="27"/>
      <c r="E1603" s="27"/>
      <c r="F1603" s="36"/>
      <c r="G1603" s="27"/>
      <c r="H1603" s="37"/>
      <c r="I1603" s="36"/>
      <c r="K1603" s="26"/>
    </row>
    <row r="1604">
      <c r="A1604" s="35"/>
      <c r="B1604" s="36"/>
      <c r="C1604" s="26"/>
      <c r="D1604" s="27"/>
      <c r="E1604" s="27"/>
      <c r="F1604" s="36"/>
      <c r="G1604" s="27"/>
      <c r="H1604" s="37"/>
      <c r="I1604" s="36"/>
      <c r="K1604" s="26"/>
    </row>
    <row r="1605">
      <c r="A1605" s="35"/>
      <c r="B1605" s="36"/>
      <c r="C1605" s="26"/>
      <c r="D1605" s="27"/>
      <c r="E1605" s="27"/>
      <c r="F1605" s="36"/>
      <c r="G1605" s="27"/>
      <c r="H1605" s="37"/>
      <c r="I1605" s="36"/>
      <c r="K1605" s="26"/>
    </row>
    <row r="1606">
      <c r="A1606" s="35"/>
      <c r="B1606" s="36"/>
      <c r="C1606" s="26"/>
      <c r="D1606" s="27"/>
      <c r="E1606" s="27"/>
      <c r="F1606" s="36"/>
      <c r="G1606" s="27"/>
      <c r="H1606" s="37"/>
      <c r="I1606" s="36"/>
      <c r="K1606" s="26"/>
    </row>
    <row r="1607">
      <c r="A1607" s="35"/>
      <c r="B1607" s="36"/>
      <c r="C1607" s="26"/>
      <c r="D1607" s="27"/>
      <c r="E1607" s="27"/>
      <c r="F1607" s="36"/>
      <c r="G1607" s="27"/>
      <c r="H1607" s="37"/>
      <c r="I1607" s="36"/>
      <c r="K1607" s="26"/>
    </row>
    <row r="1608">
      <c r="A1608" s="35"/>
      <c r="B1608" s="36"/>
      <c r="C1608" s="26"/>
      <c r="D1608" s="27"/>
      <c r="E1608" s="27"/>
      <c r="F1608" s="36"/>
      <c r="G1608" s="27"/>
      <c r="H1608" s="37"/>
      <c r="I1608" s="36"/>
      <c r="K1608" s="26"/>
    </row>
    <row r="1609">
      <c r="A1609" s="35"/>
      <c r="B1609" s="36"/>
      <c r="C1609" s="26"/>
      <c r="D1609" s="27"/>
      <c r="E1609" s="27"/>
      <c r="F1609" s="36"/>
      <c r="G1609" s="27"/>
      <c r="H1609" s="37"/>
      <c r="I1609" s="36"/>
      <c r="K1609" s="26"/>
    </row>
    <row r="1610">
      <c r="A1610" s="35"/>
      <c r="B1610" s="36"/>
      <c r="C1610" s="26"/>
      <c r="D1610" s="27"/>
      <c r="E1610" s="27"/>
      <c r="F1610" s="36"/>
      <c r="G1610" s="27"/>
      <c r="H1610" s="37"/>
      <c r="I1610" s="36"/>
      <c r="K1610" s="26"/>
    </row>
    <row r="1611">
      <c r="A1611" s="35"/>
      <c r="B1611" s="36"/>
      <c r="C1611" s="26"/>
      <c r="D1611" s="27"/>
      <c r="E1611" s="27"/>
      <c r="F1611" s="36"/>
      <c r="G1611" s="27"/>
      <c r="H1611" s="37"/>
      <c r="I1611" s="36"/>
      <c r="K1611" s="26"/>
    </row>
    <row r="1612">
      <c r="A1612" s="35"/>
      <c r="B1612" s="36"/>
      <c r="C1612" s="26"/>
      <c r="D1612" s="27"/>
      <c r="E1612" s="27"/>
      <c r="F1612" s="36"/>
      <c r="G1612" s="27"/>
      <c r="H1612" s="37"/>
      <c r="I1612" s="36"/>
      <c r="K1612" s="26"/>
    </row>
    <row r="1613">
      <c r="A1613" s="35"/>
      <c r="B1613" s="36"/>
      <c r="C1613" s="26"/>
      <c r="D1613" s="27"/>
      <c r="E1613" s="27"/>
      <c r="F1613" s="36"/>
      <c r="G1613" s="27"/>
      <c r="H1613" s="37"/>
      <c r="I1613" s="36"/>
      <c r="K1613" s="26"/>
    </row>
    <row r="1614">
      <c r="A1614" s="35"/>
      <c r="B1614" s="36"/>
      <c r="C1614" s="26"/>
      <c r="D1614" s="27"/>
      <c r="E1614" s="27"/>
      <c r="F1614" s="36"/>
      <c r="G1614" s="27"/>
      <c r="H1614" s="37"/>
      <c r="I1614" s="36"/>
      <c r="K1614" s="26"/>
    </row>
    <row r="1615">
      <c r="A1615" s="35"/>
      <c r="B1615" s="36"/>
      <c r="C1615" s="26"/>
      <c r="D1615" s="27"/>
      <c r="E1615" s="27"/>
      <c r="F1615" s="36"/>
      <c r="G1615" s="27"/>
      <c r="H1615" s="37"/>
      <c r="I1615" s="36"/>
      <c r="K1615" s="26"/>
    </row>
    <row r="1616">
      <c r="A1616" s="35"/>
      <c r="B1616" s="36"/>
      <c r="C1616" s="26"/>
      <c r="D1616" s="27"/>
      <c r="E1616" s="27"/>
      <c r="F1616" s="36"/>
      <c r="G1616" s="27"/>
      <c r="H1616" s="37"/>
      <c r="I1616" s="36"/>
      <c r="K1616" s="26"/>
    </row>
    <row r="1617">
      <c r="A1617" s="35"/>
      <c r="B1617" s="36"/>
      <c r="C1617" s="26"/>
      <c r="D1617" s="27"/>
      <c r="E1617" s="27"/>
      <c r="F1617" s="36"/>
      <c r="G1617" s="27"/>
      <c r="H1617" s="37"/>
      <c r="I1617" s="36"/>
      <c r="K1617" s="26"/>
    </row>
    <row r="1618">
      <c r="A1618" s="35"/>
      <c r="B1618" s="36"/>
      <c r="C1618" s="26"/>
      <c r="D1618" s="27"/>
      <c r="E1618" s="27"/>
      <c r="F1618" s="36"/>
      <c r="G1618" s="27"/>
      <c r="H1618" s="37"/>
      <c r="I1618" s="36"/>
      <c r="K1618" s="26"/>
    </row>
    <row r="1619">
      <c r="A1619" s="35"/>
      <c r="B1619" s="36"/>
      <c r="C1619" s="26"/>
      <c r="D1619" s="27"/>
      <c r="E1619" s="27"/>
      <c r="F1619" s="36"/>
      <c r="G1619" s="27"/>
      <c r="H1619" s="37"/>
      <c r="I1619" s="36"/>
      <c r="K1619" s="26"/>
    </row>
    <row r="1620">
      <c r="A1620" s="35"/>
      <c r="B1620" s="36"/>
      <c r="C1620" s="26"/>
      <c r="D1620" s="27"/>
      <c r="E1620" s="27"/>
      <c r="F1620" s="36"/>
      <c r="G1620" s="27"/>
      <c r="H1620" s="37"/>
      <c r="I1620" s="36"/>
      <c r="K1620" s="26"/>
    </row>
    <row r="1621">
      <c r="A1621" s="35"/>
      <c r="B1621" s="36"/>
      <c r="C1621" s="26"/>
      <c r="D1621" s="27"/>
      <c r="E1621" s="27"/>
      <c r="F1621" s="36"/>
      <c r="G1621" s="27"/>
      <c r="H1621" s="37"/>
      <c r="I1621" s="36"/>
      <c r="K1621" s="26"/>
    </row>
    <row r="1622">
      <c r="A1622" s="35"/>
      <c r="B1622" s="36"/>
      <c r="C1622" s="26"/>
      <c r="D1622" s="27"/>
      <c r="E1622" s="27"/>
      <c r="F1622" s="36"/>
      <c r="G1622" s="27"/>
      <c r="H1622" s="37"/>
      <c r="I1622" s="36"/>
      <c r="K1622" s="26"/>
    </row>
    <row r="1623">
      <c r="A1623" s="35"/>
      <c r="B1623" s="36"/>
      <c r="C1623" s="26"/>
      <c r="D1623" s="27"/>
      <c r="E1623" s="27"/>
      <c r="F1623" s="36"/>
      <c r="G1623" s="27"/>
      <c r="H1623" s="37"/>
      <c r="I1623" s="36"/>
      <c r="K1623" s="26"/>
    </row>
    <row r="1624">
      <c r="A1624" s="35"/>
      <c r="B1624" s="36"/>
      <c r="C1624" s="26"/>
      <c r="D1624" s="27"/>
      <c r="E1624" s="27"/>
      <c r="F1624" s="36"/>
      <c r="G1624" s="27"/>
      <c r="H1624" s="37"/>
      <c r="I1624" s="36"/>
      <c r="K1624" s="26"/>
    </row>
    <row r="1625">
      <c r="A1625" s="35"/>
      <c r="B1625" s="36"/>
      <c r="C1625" s="26"/>
      <c r="D1625" s="27"/>
      <c r="E1625" s="27"/>
      <c r="F1625" s="36"/>
      <c r="G1625" s="27"/>
      <c r="H1625" s="37"/>
      <c r="I1625" s="36"/>
      <c r="K1625" s="26"/>
    </row>
    <row r="1626">
      <c r="A1626" s="35"/>
      <c r="B1626" s="36"/>
      <c r="C1626" s="26"/>
      <c r="D1626" s="27"/>
      <c r="E1626" s="27"/>
      <c r="F1626" s="36"/>
      <c r="G1626" s="27"/>
      <c r="H1626" s="37"/>
      <c r="I1626" s="36"/>
      <c r="K1626" s="26"/>
    </row>
    <row r="1627">
      <c r="A1627" s="35"/>
      <c r="B1627" s="36"/>
      <c r="C1627" s="26"/>
      <c r="D1627" s="27"/>
      <c r="E1627" s="27"/>
      <c r="F1627" s="36"/>
      <c r="G1627" s="27"/>
      <c r="H1627" s="37"/>
      <c r="I1627" s="36"/>
      <c r="K1627" s="26"/>
    </row>
    <row r="1628">
      <c r="A1628" s="35"/>
      <c r="B1628" s="36"/>
      <c r="C1628" s="26"/>
      <c r="D1628" s="27"/>
      <c r="E1628" s="27"/>
      <c r="F1628" s="36"/>
      <c r="G1628" s="27"/>
      <c r="H1628" s="37"/>
      <c r="I1628" s="36"/>
      <c r="K1628" s="26"/>
    </row>
    <row r="1629">
      <c r="A1629" s="35"/>
      <c r="B1629" s="36"/>
      <c r="C1629" s="26"/>
      <c r="D1629" s="27"/>
      <c r="E1629" s="27"/>
      <c r="F1629" s="36"/>
      <c r="G1629" s="27"/>
      <c r="H1629" s="37"/>
      <c r="I1629" s="36"/>
      <c r="K1629" s="26"/>
    </row>
    <row r="1630">
      <c r="A1630" s="35"/>
      <c r="B1630" s="36"/>
      <c r="C1630" s="26"/>
      <c r="D1630" s="27"/>
      <c r="E1630" s="27"/>
      <c r="F1630" s="36"/>
      <c r="G1630" s="27"/>
      <c r="H1630" s="37"/>
      <c r="I1630" s="36"/>
      <c r="K1630" s="26"/>
    </row>
    <row r="1631">
      <c r="A1631" s="35"/>
      <c r="B1631" s="36"/>
      <c r="C1631" s="26"/>
      <c r="D1631" s="27"/>
      <c r="E1631" s="27"/>
      <c r="F1631" s="36"/>
      <c r="G1631" s="27"/>
      <c r="H1631" s="37"/>
      <c r="I1631" s="36"/>
      <c r="K1631" s="26"/>
    </row>
    <row r="1632">
      <c r="A1632" s="35"/>
      <c r="B1632" s="36"/>
      <c r="C1632" s="26"/>
      <c r="D1632" s="27"/>
      <c r="E1632" s="27"/>
      <c r="F1632" s="36"/>
      <c r="G1632" s="27"/>
      <c r="H1632" s="37"/>
      <c r="I1632" s="36"/>
      <c r="K1632" s="26"/>
    </row>
    <row r="1633">
      <c r="A1633" s="35"/>
      <c r="B1633" s="36"/>
      <c r="C1633" s="26"/>
      <c r="D1633" s="27"/>
      <c r="E1633" s="27"/>
      <c r="F1633" s="36"/>
      <c r="G1633" s="27"/>
      <c r="H1633" s="37"/>
      <c r="I1633" s="36"/>
      <c r="K1633" s="26"/>
    </row>
    <row r="1634">
      <c r="A1634" s="35"/>
      <c r="B1634" s="36"/>
      <c r="C1634" s="26"/>
      <c r="D1634" s="27"/>
      <c r="E1634" s="27"/>
      <c r="F1634" s="36"/>
      <c r="G1634" s="27"/>
      <c r="H1634" s="37"/>
      <c r="I1634" s="36"/>
      <c r="K1634" s="26"/>
    </row>
    <row r="1635">
      <c r="A1635" s="35"/>
      <c r="B1635" s="36"/>
      <c r="C1635" s="26"/>
      <c r="D1635" s="27"/>
      <c r="E1635" s="27"/>
      <c r="F1635" s="36"/>
      <c r="G1635" s="27"/>
      <c r="H1635" s="37"/>
      <c r="I1635" s="36"/>
      <c r="K1635" s="26"/>
    </row>
    <row r="1636">
      <c r="A1636" s="35"/>
      <c r="B1636" s="36"/>
      <c r="C1636" s="26"/>
      <c r="D1636" s="27"/>
      <c r="E1636" s="27"/>
      <c r="F1636" s="36"/>
      <c r="G1636" s="27"/>
      <c r="H1636" s="37"/>
      <c r="I1636" s="36"/>
      <c r="K1636" s="26"/>
    </row>
    <row r="1637">
      <c r="A1637" s="35"/>
      <c r="B1637" s="36"/>
      <c r="C1637" s="26"/>
      <c r="D1637" s="27"/>
      <c r="E1637" s="27"/>
      <c r="F1637" s="36"/>
      <c r="G1637" s="27"/>
      <c r="H1637" s="37"/>
      <c r="I1637" s="36"/>
      <c r="K1637" s="26"/>
    </row>
    <row r="1638">
      <c r="A1638" s="35"/>
      <c r="B1638" s="36"/>
      <c r="C1638" s="26"/>
      <c r="D1638" s="27"/>
      <c r="E1638" s="27"/>
      <c r="F1638" s="36"/>
      <c r="G1638" s="27"/>
      <c r="H1638" s="37"/>
      <c r="I1638" s="36"/>
      <c r="K1638" s="26"/>
    </row>
    <row r="1639">
      <c r="A1639" s="35"/>
      <c r="B1639" s="36"/>
      <c r="C1639" s="26"/>
      <c r="D1639" s="27"/>
      <c r="E1639" s="27"/>
      <c r="F1639" s="36"/>
      <c r="G1639" s="27"/>
      <c r="H1639" s="37"/>
      <c r="I1639" s="36"/>
      <c r="K1639" s="26"/>
    </row>
    <row r="1640">
      <c r="A1640" s="35"/>
      <c r="B1640" s="36"/>
      <c r="C1640" s="26"/>
      <c r="D1640" s="27"/>
      <c r="E1640" s="27"/>
      <c r="F1640" s="36"/>
      <c r="G1640" s="27"/>
      <c r="H1640" s="37"/>
      <c r="I1640" s="36"/>
      <c r="K1640" s="26"/>
    </row>
    <row r="1641">
      <c r="A1641" s="35"/>
      <c r="B1641" s="36"/>
      <c r="C1641" s="26"/>
      <c r="D1641" s="27"/>
      <c r="E1641" s="27"/>
      <c r="F1641" s="36"/>
      <c r="G1641" s="27"/>
      <c r="H1641" s="37"/>
      <c r="I1641" s="36"/>
      <c r="K1641" s="26"/>
    </row>
    <row r="1642">
      <c r="A1642" s="35"/>
      <c r="B1642" s="36"/>
      <c r="C1642" s="26"/>
      <c r="D1642" s="27"/>
      <c r="E1642" s="27"/>
      <c r="F1642" s="36"/>
      <c r="G1642" s="27"/>
      <c r="H1642" s="37"/>
      <c r="I1642" s="36"/>
      <c r="K1642" s="26"/>
    </row>
    <row r="1643">
      <c r="A1643" s="35"/>
      <c r="B1643" s="36"/>
      <c r="C1643" s="26"/>
      <c r="D1643" s="27"/>
      <c r="E1643" s="27"/>
      <c r="F1643" s="36"/>
      <c r="G1643" s="27"/>
      <c r="H1643" s="37"/>
      <c r="I1643" s="36"/>
      <c r="K1643" s="26"/>
    </row>
    <row r="1644">
      <c r="A1644" s="35"/>
      <c r="B1644" s="36"/>
      <c r="C1644" s="26"/>
      <c r="D1644" s="27"/>
      <c r="E1644" s="27"/>
      <c r="F1644" s="36"/>
      <c r="G1644" s="27"/>
      <c r="H1644" s="37"/>
      <c r="I1644" s="36"/>
      <c r="K1644" s="26"/>
    </row>
    <row r="1645">
      <c r="A1645" s="35"/>
      <c r="B1645" s="36"/>
      <c r="C1645" s="26"/>
      <c r="D1645" s="27"/>
      <c r="E1645" s="27"/>
      <c r="F1645" s="36"/>
      <c r="G1645" s="27"/>
      <c r="H1645" s="37"/>
      <c r="I1645" s="36"/>
      <c r="K1645" s="26"/>
    </row>
    <row r="1646">
      <c r="A1646" s="35"/>
      <c r="B1646" s="36"/>
      <c r="C1646" s="26"/>
      <c r="D1646" s="27"/>
      <c r="E1646" s="27"/>
      <c r="F1646" s="36"/>
      <c r="G1646" s="27"/>
      <c r="H1646" s="37"/>
      <c r="I1646" s="36"/>
      <c r="K1646" s="26"/>
    </row>
    <row r="1647">
      <c r="A1647" s="35"/>
      <c r="B1647" s="36"/>
      <c r="C1647" s="26"/>
      <c r="D1647" s="27"/>
      <c r="E1647" s="27"/>
      <c r="F1647" s="36"/>
      <c r="G1647" s="27"/>
      <c r="H1647" s="37"/>
      <c r="I1647" s="36"/>
      <c r="K1647" s="26"/>
    </row>
    <row r="1648">
      <c r="A1648" s="35"/>
      <c r="B1648" s="36"/>
      <c r="C1648" s="26"/>
      <c r="D1648" s="27"/>
      <c r="E1648" s="27"/>
      <c r="F1648" s="36"/>
      <c r="G1648" s="27"/>
      <c r="H1648" s="37"/>
      <c r="I1648" s="36"/>
      <c r="K1648" s="26"/>
    </row>
    <row r="1649">
      <c r="A1649" s="35"/>
      <c r="B1649" s="36"/>
      <c r="C1649" s="26"/>
      <c r="D1649" s="27"/>
      <c r="E1649" s="27"/>
      <c r="F1649" s="36"/>
      <c r="G1649" s="27"/>
      <c r="H1649" s="37"/>
      <c r="I1649" s="36"/>
      <c r="K1649" s="26"/>
    </row>
    <row r="1650">
      <c r="A1650" s="35"/>
      <c r="B1650" s="36"/>
      <c r="C1650" s="26"/>
      <c r="D1650" s="27"/>
      <c r="E1650" s="27"/>
      <c r="F1650" s="36"/>
      <c r="G1650" s="27"/>
      <c r="H1650" s="37"/>
      <c r="I1650" s="36"/>
      <c r="K1650" s="26"/>
    </row>
    <row r="1651">
      <c r="A1651" s="35"/>
      <c r="B1651" s="36"/>
      <c r="C1651" s="26"/>
      <c r="D1651" s="27"/>
      <c r="E1651" s="27"/>
      <c r="F1651" s="36"/>
      <c r="G1651" s="27"/>
      <c r="H1651" s="37"/>
      <c r="I1651" s="36"/>
      <c r="K1651" s="26"/>
    </row>
    <row r="1652">
      <c r="A1652" s="35"/>
      <c r="B1652" s="36"/>
      <c r="C1652" s="26"/>
      <c r="D1652" s="27"/>
      <c r="E1652" s="27"/>
      <c r="F1652" s="36"/>
      <c r="G1652" s="27"/>
      <c r="H1652" s="37"/>
      <c r="I1652" s="36"/>
      <c r="K1652" s="26"/>
    </row>
    <row r="1653">
      <c r="A1653" s="35"/>
      <c r="B1653" s="36"/>
      <c r="C1653" s="26"/>
      <c r="D1653" s="27"/>
      <c r="E1653" s="27"/>
      <c r="F1653" s="36"/>
      <c r="G1653" s="27"/>
      <c r="H1653" s="37"/>
      <c r="I1653" s="36"/>
      <c r="K1653" s="26"/>
    </row>
    <row r="1654">
      <c r="A1654" s="35"/>
      <c r="B1654" s="36"/>
      <c r="C1654" s="26"/>
      <c r="D1654" s="27"/>
      <c r="E1654" s="27"/>
      <c r="F1654" s="36"/>
      <c r="G1654" s="27"/>
      <c r="H1654" s="37"/>
      <c r="I1654" s="36"/>
      <c r="K1654" s="26"/>
    </row>
    <row r="1655">
      <c r="A1655" s="35"/>
      <c r="B1655" s="36"/>
      <c r="C1655" s="26"/>
      <c r="D1655" s="27"/>
      <c r="E1655" s="27"/>
      <c r="F1655" s="36"/>
      <c r="G1655" s="27"/>
      <c r="H1655" s="37"/>
      <c r="I1655" s="36"/>
      <c r="K1655" s="26"/>
    </row>
    <row r="1656">
      <c r="A1656" s="35"/>
      <c r="B1656" s="36"/>
      <c r="C1656" s="26"/>
      <c r="D1656" s="27"/>
      <c r="E1656" s="27"/>
      <c r="F1656" s="36"/>
      <c r="G1656" s="27"/>
      <c r="H1656" s="37"/>
      <c r="I1656" s="36"/>
      <c r="K1656" s="26"/>
    </row>
    <row r="1657">
      <c r="A1657" s="35"/>
      <c r="B1657" s="36"/>
      <c r="C1657" s="26"/>
      <c r="D1657" s="27"/>
      <c r="E1657" s="27"/>
      <c r="F1657" s="36"/>
      <c r="G1657" s="27"/>
      <c r="H1657" s="37"/>
      <c r="I1657" s="36"/>
      <c r="K1657" s="26"/>
    </row>
    <row r="1658">
      <c r="A1658" s="35"/>
      <c r="B1658" s="36"/>
      <c r="C1658" s="26"/>
      <c r="D1658" s="27"/>
      <c r="E1658" s="27"/>
      <c r="F1658" s="36"/>
      <c r="G1658" s="27"/>
      <c r="H1658" s="37"/>
      <c r="I1658" s="36"/>
      <c r="K1658" s="26"/>
    </row>
    <row r="1659">
      <c r="A1659" s="35"/>
      <c r="B1659" s="36"/>
      <c r="C1659" s="26"/>
      <c r="D1659" s="27"/>
      <c r="E1659" s="27"/>
      <c r="F1659" s="36"/>
      <c r="G1659" s="27"/>
      <c r="H1659" s="37"/>
      <c r="I1659" s="36"/>
      <c r="K1659" s="26"/>
    </row>
    <row r="1660">
      <c r="A1660" s="35"/>
      <c r="B1660" s="36"/>
      <c r="C1660" s="26"/>
      <c r="D1660" s="27"/>
      <c r="E1660" s="27"/>
      <c r="F1660" s="36"/>
      <c r="G1660" s="27"/>
      <c r="H1660" s="37"/>
      <c r="I1660" s="36"/>
      <c r="K1660" s="26"/>
    </row>
    <row r="1661">
      <c r="A1661" s="35"/>
      <c r="B1661" s="36"/>
      <c r="C1661" s="26"/>
      <c r="D1661" s="27"/>
      <c r="E1661" s="27"/>
      <c r="F1661" s="36"/>
      <c r="G1661" s="27"/>
      <c r="H1661" s="37"/>
      <c r="I1661" s="36"/>
      <c r="K1661" s="26"/>
    </row>
    <row r="1662">
      <c r="A1662" s="35"/>
      <c r="B1662" s="36"/>
      <c r="C1662" s="26"/>
      <c r="D1662" s="27"/>
      <c r="E1662" s="27"/>
      <c r="F1662" s="36"/>
      <c r="G1662" s="27"/>
      <c r="H1662" s="37"/>
      <c r="I1662" s="36"/>
      <c r="K1662" s="26"/>
    </row>
    <row r="1663">
      <c r="A1663" s="35"/>
      <c r="B1663" s="36"/>
      <c r="C1663" s="26"/>
      <c r="D1663" s="27"/>
      <c r="E1663" s="27"/>
      <c r="F1663" s="36"/>
      <c r="G1663" s="27"/>
      <c r="H1663" s="37"/>
      <c r="I1663" s="36"/>
      <c r="K1663" s="26"/>
    </row>
    <row r="1664">
      <c r="A1664" s="35"/>
      <c r="B1664" s="36"/>
      <c r="C1664" s="26"/>
      <c r="D1664" s="27"/>
      <c r="E1664" s="27"/>
      <c r="F1664" s="36"/>
      <c r="G1664" s="27"/>
      <c r="H1664" s="37"/>
      <c r="I1664" s="36"/>
      <c r="K1664" s="26"/>
    </row>
    <row r="1665">
      <c r="A1665" s="35"/>
      <c r="B1665" s="36"/>
      <c r="C1665" s="26"/>
      <c r="D1665" s="27"/>
      <c r="E1665" s="27"/>
      <c r="F1665" s="36"/>
      <c r="G1665" s="27"/>
      <c r="H1665" s="37"/>
      <c r="I1665" s="36"/>
      <c r="K1665" s="26"/>
    </row>
    <row r="1666">
      <c r="A1666" s="35"/>
      <c r="B1666" s="36"/>
      <c r="C1666" s="26"/>
      <c r="D1666" s="27"/>
      <c r="E1666" s="27"/>
      <c r="F1666" s="36"/>
      <c r="G1666" s="27"/>
      <c r="H1666" s="37"/>
      <c r="I1666" s="36"/>
      <c r="K1666" s="26"/>
    </row>
    <row r="1667">
      <c r="A1667" s="35"/>
      <c r="B1667" s="36"/>
      <c r="C1667" s="26"/>
      <c r="D1667" s="27"/>
      <c r="E1667" s="27"/>
      <c r="F1667" s="36"/>
      <c r="G1667" s="27"/>
      <c r="H1667" s="37"/>
      <c r="I1667" s="36"/>
      <c r="K1667" s="26"/>
    </row>
    <row r="1668">
      <c r="A1668" s="35"/>
      <c r="B1668" s="36"/>
      <c r="C1668" s="26"/>
      <c r="D1668" s="27"/>
      <c r="E1668" s="27"/>
      <c r="F1668" s="36"/>
      <c r="G1668" s="27"/>
      <c r="H1668" s="37"/>
      <c r="I1668" s="36"/>
      <c r="K1668" s="26"/>
    </row>
    <row r="1669">
      <c r="A1669" s="35"/>
      <c r="B1669" s="36"/>
      <c r="C1669" s="26"/>
      <c r="D1669" s="27"/>
      <c r="E1669" s="27"/>
      <c r="F1669" s="36"/>
      <c r="G1669" s="27"/>
      <c r="H1669" s="37"/>
      <c r="I1669" s="36"/>
      <c r="K1669" s="26"/>
    </row>
    <row r="1670">
      <c r="A1670" s="35"/>
      <c r="B1670" s="36"/>
      <c r="C1670" s="26"/>
      <c r="D1670" s="27"/>
      <c r="E1670" s="27"/>
      <c r="F1670" s="36"/>
      <c r="G1670" s="27"/>
      <c r="H1670" s="37"/>
      <c r="I1670" s="36"/>
      <c r="K1670" s="26"/>
    </row>
    <row r="1671">
      <c r="A1671" s="35"/>
      <c r="B1671" s="36"/>
      <c r="C1671" s="26"/>
      <c r="D1671" s="27"/>
      <c r="E1671" s="27"/>
      <c r="F1671" s="36"/>
      <c r="G1671" s="27"/>
      <c r="H1671" s="37"/>
      <c r="I1671" s="36"/>
      <c r="K1671" s="26"/>
    </row>
    <row r="1672">
      <c r="A1672" s="35"/>
      <c r="B1672" s="36"/>
      <c r="C1672" s="26"/>
      <c r="D1672" s="27"/>
      <c r="E1672" s="27"/>
      <c r="F1672" s="36"/>
      <c r="G1672" s="27"/>
      <c r="H1672" s="37"/>
      <c r="I1672" s="36"/>
      <c r="K1672" s="26"/>
    </row>
    <row r="1673">
      <c r="A1673" s="35"/>
      <c r="B1673" s="36"/>
      <c r="C1673" s="26"/>
      <c r="D1673" s="27"/>
      <c r="E1673" s="27"/>
      <c r="F1673" s="36"/>
      <c r="G1673" s="27"/>
      <c r="H1673" s="37"/>
      <c r="I1673" s="36"/>
      <c r="K1673" s="26"/>
    </row>
    <row r="1674">
      <c r="A1674" s="35"/>
      <c r="B1674" s="36"/>
      <c r="C1674" s="26"/>
      <c r="D1674" s="27"/>
      <c r="E1674" s="27"/>
      <c r="F1674" s="36"/>
      <c r="G1674" s="27"/>
      <c r="H1674" s="37"/>
      <c r="I1674" s="36"/>
      <c r="K1674" s="26"/>
    </row>
    <row r="1675">
      <c r="A1675" s="35"/>
      <c r="B1675" s="36"/>
      <c r="C1675" s="26"/>
      <c r="D1675" s="27"/>
      <c r="E1675" s="27"/>
      <c r="F1675" s="36"/>
      <c r="G1675" s="27"/>
      <c r="H1675" s="37"/>
      <c r="I1675" s="36"/>
      <c r="K1675" s="26"/>
    </row>
    <row r="1676">
      <c r="A1676" s="35"/>
      <c r="B1676" s="36"/>
      <c r="C1676" s="26"/>
      <c r="D1676" s="27"/>
      <c r="E1676" s="27"/>
      <c r="F1676" s="36"/>
      <c r="G1676" s="27"/>
      <c r="H1676" s="37"/>
      <c r="I1676" s="36"/>
      <c r="K1676" s="26"/>
    </row>
    <row r="1677">
      <c r="A1677" s="35"/>
      <c r="B1677" s="36"/>
      <c r="C1677" s="26"/>
      <c r="D1677" s="27"/>
      <c r="E1677" s="27"/>
      <c r="F1677" s="36"/>
      <c r="G1677" s="27"/>
      <c r="H1677" s="37"/>
      <c r="I1677" s="36"/>
      <c r="K1677" s="26"/>
    </row>
    <row r="1678">
      <c r="A1678" s="35"/>
      <c r="B1678" s="36"/>
      <c r="C1678" s="26"/>
      <c r="D1678" s="27"/>
      <c r="E1678" s="27"/>
      <c r="F1678" s="36"/>
      <c r="G1678" s="27"/>
      <c r="H1678" s="37"/>
      <c r="I1678" s="36"/>
      <c r="K1678" s="26"/>
    </row>
    <row r="1679">
      <c r="A1679" s="35"/>
      <c r="B1679" s="36"/>
      <c r="C1679" s="26"/>
      <c r="D1679" s="27"/>
      <c r="E1679" s="27"/>
      <c r="F1679" s="36"/>
      <c r="G1679" s="27"/>
      <c r="H1679" s="37"/>
      <c r="I1679" s="36"/>
      <c r="K1679" s="26"/>
    </row>
    <row r="1680">
      <c r="A1680" s="35"/>
      <c r="B1680" s="36"/>
      <c r="C1680" s="26"/>
      <c r="D1680" s="27"/>
      <c r="E1680" s="27"/>
      <c r="F1680" s="36"/>
      <c r="G1680" s="27"/>
      <c r="H1680" s="37"/>
      <c r="I1680" s="36"/>
      <c r="K1680" s="26"/>
    </row>
    <row r="1681">
      <c r="A1681" s="35"/>
      <c r="B1681" s="36"/>
      <c r="C1681" s="26"/>
      <c r="D1681" s="27"/>
      <c r="E1681" s="27"/>
      <c r="F1681" s="36"/>
      <c r="G1681" s="27"/>
      <c r="H1681" s="37"/>
      <c r="I1681" s="36"/>
      <c r="K1681" s="26"/>
    </row>
    <row r="1682">
      <c r="A1682" s="35"/>
      <c r="B1682" s="36"/>
      <c r="C1682" s="26"/>
      <c r="D1682" s="27"/>
      <c r="E1682" s="27"/>
      <c r="F1682" s="36"/>
      <c r="G1682" s="27"/>
      <c r="H1682" s="37"/>
      <c r="I1682" s="36"/>
      <c r="K1682" s="26"/>
    </row>
    <row r="1683">
      <c r="A1683" s="35"/>
      <c r="B1683" s="36"/>
      <c r="C1683" s="26"/>
      <c r="D1683" s="27"/>
      <c r="E1683" s="27"/>
      <c r="F1683" s="36"/>
      <c r="G1683" s="27"/>
      <c r="H1683" s="37"/>
      <c r="I1683" s="36"/>
      <c r="K1683" s="26"/>
    </row>
    <row r="1684">
      <c r="A1684" s="35"/>
      <c r="B1684" s="36"/>
      <c r="C1684" s="26"/>
      <c r="D1684" s="27"/>
      <c r="E1684" s="27"/>
      <c r="F1684" s="36"/>
      <c r="G1684" s="27"/>
      <c r="H1684" s="37"/>
      <c r="I1684" s="36"/>
      <c r="K1684" s="26"/>
    </row>
    <row r="1685">
      <c r="A1685" s="35"/>
      <c r="B1685" s="36"/>
      <c r="C1685" s="26"/>
      <c r="D1685" s="27"/>
      <c r="E1685" s="27"/>
      <c r="F1685" s="36"/>
      <c r="G1685" s="27"/>
      <c r="H1685" s="37"/>
      <c r="I1685" s="36"/>
      <c r="K1685" s="26"/>
    </row>
    <row r="1686">
      <c r="A1686" s="35"/>
      <c r="B1686" s="36"/>
      <c r="C1686" s="26"/>
      <c r="D1686" s="27"/>
      <c r="E1686" s="27"/>
      <c r="F1686" s="36"/>
      <c r="G1686" s="27"/>
      <c r="H1686" s="37"/>
      <c r="I1686" s="36"/>
      <c r="K1686" s="26"/>
    </row>
    <row r="1687">
      <c r="A1687" s="35"/>
      <c r="B1687" s="36"/>
      <c r="C1687" s="26"/>
      <c r="D1687" s="27"/>
      <c r="E1687" s="27"/>
      <c r="F1687" s="36"/>
      <c r="G1687" s="27"/>
      <c r="H1687" s="37"/>
      <c r="I1687" s="36"/>
      <c r="K1687" s="26"/>
    </row>
    <row r="1688">
      <c r="A1688" s="35"/>
      <c r="B1688" s="36"/>
      <c r="C1688" s="26"/>
      <c r="D1688" s="27"/>
      <c r="E1688" s="27"/>
      <c r="F1688" s="36"/>
      <c r="G1688" s="27"/>
      <c r="H1688" s="37"/>
      <c r="I1688" s="36"/>
      <c r="K1688" s="26"/>
    </row>
    <row r="1689">
      <c r="A1689" s="35"/>
      <c r="B1689" s="36"/>
      <c r="C1689" s="26"/>
      <c r="D1689" s="27"/>
      <c r="E1689" s="27"/>
      <c r="F1689" s="36"/>
      <c r="G1689" s="27"/>
      <c r="H1689" s="37"/>
      <c r="I1689" s="36"/>
      <c r="K1689" s="26"/>
    </row>
    <row r="1690">
      <c r="A1690" s="35"/>
      <c r="B1690" s="36"/>
      <c r="C1690" s="26"/>
      <c r="D1690" s="27"/>
      <c r="E1690" s="27"/>
      <c r="F1690" s="36"/>
      <c r="G1690" s="27"/>
      <c r="H1690" s="37"/>
      <c r="I1690" s="36"/>
      <c r="K1690" s="26"/>
    </row>
    <row r="1691">
      <c r="A1691" s="35"/>
      <c r="B1691" s="36"/>
      <c r="C1691" s="26"/>
      <c r="D1691" s="27"/>
      <c r="E1691" s="27"/>
      <c r="F1691" s="36"/>
      <c r="G1691" s="27"/>
      <c r="H1691" s="37"/>
      <c r="I1691" s="36"/>
      <c r="K1691" s="26"/>
    </row>
    <row r="1692">
      <c r="A1692" s="35"/>
      <c r="B1692" s="36"/>
      <c r="C1692" s="26"/>
      <c r="D1692" s="27"/>
      <c r="E1692" s="27"/>
      <c r="F1692" s="36"/>
      <c r="G1692" s="27"/>
      <c r="H1692" s="37"/>
      <c r="I1692" s="36"/>
      <c r="K1692" s="26"/>
    </row>
    <row r="1693">
      <c r="A1693" s="35"/>
      <c r="B1693" s="36"/>
      <c r="C1693" s="26"/>
      <c r="D1693" s="27"/>
      <c r="E1693" s="27"/>
      <c r="F1693" s="36"/>
      <c r="G1693" s="27"/>
      <c r="H1693" s="37"/>
      <c r="I1693" s="36"/>
      <c r="K1693" s="26"/>
    </row>
    <row r="1694">
      <c r="A1694" s="35"/>
      <c r="B1694" s="36"/>
      <c r="C1694" s="26"/>
      <c r="D1694" s="27"/>
      <c r="E1694" s="27"/>
      <c r="F1694" s="36"/>
      <c r="G1694" s="27"/>
      <c r="H1694" s="37"/>
      <c r="I1694" s="36"/>
      <c r="K1694" s="26"/>
    </row>
    <row r="1695">
      <c r="A1695" s="35"/>
      <c r="B1695" s="36"/>
      <c r="C1695" s="26"/>
      <c r="D1695" s="27"/>
      <c r="E1695" s="27"/>
      <c r="F1695" s="36"/>
      <c r="G1695" s="27"/>
      <c r="H1695" s="37"/>
      <c r="I1695" s="36"/>
      <c r="K1695" s="26"/>
    </row>
    <row r="1696">
      <c r="A1696" s="35"/>
      <c r="B1696" s="36"/>
      <c r="C1696" s="26"/>
      <c r="D1696" s="27"/>
      <c r="E1696" s="27"/>
      <c r="F1696" s="36"/>
      <c r="G1696" s="27"/>
      <c r="H1696" s="37"/>
      <c r="I1696" s="36"/>
      <c r="K1696" s="26"/>
    </row>
    <row r="1697">
      <c r="A1697" s="35"/>
      <c r="B1697" s="36"/>
      <c r="C1697" s="26"/>
      <c r="D1697" s="27"/>
      <c r="E1697" s="27"/>
      <c r="F1697" s="36"/>
      <c r="G1697" s="27"/>
      <c r="H1697" s="37"/>
      <c r="I1697" s="36"/>
      <c r="K1697" s="26"/>
    </row>
    <row r="1698">
      <c r="A1698" s="35"/>
      <c r="B1698" s="36"/>
      <c r="C1698" s="26"/>
      <c r="D1698" s="27"/>
      <c r="E1698" s="27"/>
      <c r="F1698" s="36"/>
      <c r="G1698" s="27"/>
      <c r="H1698" s="37"/>
      <c r="I1698" s="36"/>
      <c r="K1698" s="26"/>
    </row>
    <row r="1699">
      <c r="A1699" s="35"/>
      <c r="B1699" s="36"/>
      <c r="C1699" s="26"/>
      <c r="D1699" s="27"/>
      <c r="E1699" s="27"/>
      <c r="F1699" s="36"/>
      <c r="G1699" s="27"/>
      <c r="H1699" s="37"/>
      <c r="I1699" s="36"/>
      <c r="K1699" s="26"/>
    </row>
    <row r="1700">
      <c r="A1700" s="35"/>
      <c r="B1700" s="36"/>
      <c r="C1700" s="26"/>
      <c r="D1700" s="27"/>
      <c r="E1700" s="27"/>
      <c r="F1700" s="36"/>
      <c r="G1700" s="27"/>
      <c r="H1700" s="37"/>
      <c r="I1700" s="36"/>
      <c r="K1700" s="26"/>
    </row>
    <row r="1701">
      <c r="A1701" s="35"/>
      <c r="B1701" s="36"/>
      <c r="C1701" s="26"/>
      <c r="D1701" s="27"/>
      <c r="E1701" s="27"/>
      <c r="F1701" s="36"/>
      <c r="G1701" s="27"/>
      <c r="H1701" s="37"/>
      <c r="I1701" s="36"/>
      <c r="K1701" s="26"/>
    </row>
    <row r="1702">
      <c r="A1702" s="35"/>
      <c r="B1702" s="36"/>
      <c r="C1702" s="26"/>
      <c r="D1702" s="27"/>
      <c r="E1702" s="27"/>
      <c r="F1702" s="36"/>
      <c r="G1702" s="27"/>
      <c r="H1702" s="37"/>
      <c r="I1702" s="36"/>
      <c r="K1702" s="26"/>
    </row>
    <row r="1703">
      <c r="A1703" s="35"/>
      <c r="B1703" s="36"/>
      <c r="C1703" s="26"/>
      <c r="D1703" s="27"/>
      <c r="E1703" s="27"/>
      <c r="F1703" s="36"/>
      <c r="G1703" s="27"/>
      <c r="H1703" s="37"/>
      <c r="I1703" s="36"/>
      <c r="K1703" s="26"/>
    </row>
    <row r="1704">
      <c r="A1704" s="35"/>
      <c r="B1704" s="36"/>
      <c r="C1704" s="26"/>
      <c r="D1704" s="27"/>
      <c r="E1704" s="27"/>
      <c r="F1704" s="36"/>
      <c r="G1704" s="27"/>
      <c r="H1704" s="37"/>
      <c r="I1704" s="36"/>
      <c r="K1704" s="26"/>
    </row>
    <row r="1705">
      <c r="A1705" s="35"/>
      <c r="B1705" s="36"/>
      <c r="C1705" s="26"/>
      <c r="D1705" s="27"/>
      <c r="E1705" s="27"/>
      <c r="F1705" s="36"/>
      <c r="G1705" s="27"/>
      <c r="H1705" s="37"/>
      <c r="I1705" s="36"/>
      <c r="K1705" s="26"/>
    </row>
    <row r="1706">
      <c r="A1706" s="35"/>
      <c r="B1706" s="36"/>
      <c r="C1706" s="26"/>
      <c r="D1706" s="27"/>
      <c r="E1706" s="27"/>
      <c r="F1706" s="36"/>
      <c r="G1706" s="27"/>
      <c r="H1706" s="37"/>
      <c r="I1706" s="36"/>
      <c r="K1706" s="26"/>
    </row>
    <row r="1707">
      <c r="A1707" s="35"/>
      <c r="B1707" s="36"/>
      <c r="C1707" s="26"/>
      <c r="D1707" s="27"/>
      <c r="E1707" s="27"/>
      <c r="F1707" s="36"/>
      <c r="G1707" s="27"/>
      <c r="H1707" s="37"/>
      <c r="I1707" s="36"/>
      <c r="K1707" s="26"/>
    </row>
    <row r="1708">
      <c r="A1708" s="35"/>
      <c r="B1708" s="36"/>
      <c r="C1708" s="26"/>
      <c r="D1708" s="27"/>
      <c r="E1708" s="27"/>
      <c r="F1708" s="36"/>
      <c r="G1708" s="27"/>
      <c r="H1708" s="37"/>
      <c r="I1708" s="36"/>
      <c r="K1708" s="26"/>
    </row>
    <row r="1709">
      <c r="A1709" s="35"/>
      <c r="B1709" s="36"/>
      <c r="C1709" s="26"/>
      <c r="D1709" s="27"/>
      <c r="E1709" s="27"/>
      <c r="F1709" s="36"/>
      <c r="G1709" s="27"/>
      <c r="H1709" s="37"/>
      <c r="I1709" s="36"/>
      <c r="K1709" s="26"/>
    </row>
    <row r="1710">
      <c r="A1710" s="35"/>
      <c r="B1710" s="36"/>
      <c r="C1710" s="26"/>
      <c r="D1710" s="27"/>
      <c r="E1710" s="27"/>
      <c r="F1710" s="36"/>
      <c r="G1710" s="27"/>
      <c r="H1710" s="37"/>
      <c r="I1710" s="36"/>
      <c r="K1710" s="26"/>
    </row>
    <row r="1711">
      <c r="A1711" s="35"/>
      <c r="B1711" s="36"/>
      <c r="C1711" s="26"/>
      <c r="D1711" s="27"/>
      <c r="E1711" s="27"/>
      <c r="F1711" s="36"/>
      <c r="G1711" s="27"/>
      <c r="H1711" s="37"/>
      <c r="I1711" s="36"/>
      <c r="K1711" s="26"/>
    </row>
    <row r="1712">
      <c r="A1712" s="35"/>
      <c r="B1712" s="36"/>
      <c r="C1712" s="26"/>
      <c r="D1712" s="27"/>
      <c r="E1712" s="27"/>
      <c r="F1712" s="36"/>
      <c r="G1712" s="27"/>
      <c r="H1712" s="37"/>
      <c r="I1712" s="36"/>
      <c r="K1712" s="26"/>
    </row>
    <row r="1713">
      <c r="A1713" s="35"/>
      <c r="B1713" s="36"/>
      <c r="C1713" s="26"/>
      <c r="D1713" s="27"/>
      <c r="E1713" s="27"/>
      <c r="F1713" s="36"/>
      <c r="G1713" s="27"/>
      <c r="H1713" s="37"/>
      <c r="I1713" s="36"/>
      <c r="K1713" s="26"/>
    </row>
    <row r="1714">
      <c r="A1714" s="35"/>
      <c r="B1714" s="36"/>
      <c r="C1714" s="26"/>
      <c r="D1714" s="27"/>
      <c r="E1714" s="27"/>
      <c r="F1714" s="36"/>
      <c r="G1714" s="27"/>
      <c r="H1714" s="37"/>
      <c r="I1714" s="36"/>
      <c r="K1714" s="26"/>
    </row>
    <row r="1715">
      <c r="A1715" s="35"/>
      <c r="B1715" s="36"/>
      <c r="C1715" s="26"/>
      <c r="D1715" s="27"/>
      <c r="E1715" s="27"/>
      <c r="F1715" s="36"/>
      <c r="G1715" s="27"/>
      <c r="H1715" s="37"/>
      <c r="I1715" s="36"/>
      <c r="K1715" s="26"/>
    </row>
    <row r="1716">
      <c r="A1716" s="35"/>
      <c r="B1716" s="36"/>
      <c r="C1716" s="26"/>
      <c r="D1716" s="27"/>
      <c r="E1716" s="27"/>
      <c r="F1716" s="36"/>
      <c r="G1716" s="27"/>
      <c r="H1716" s="37"/>
      <c r="I1716" s="36"/>
      <c r="K1716" s="26"/>
    </row>
    <row r="1717">
      <c r="A1717" s="35"/>
      <c r="B1717" s="36"/>
      <c r="C1717" s="26"/>
      <c r="D1717" s="27"/>
      <c r="E1717" s="27"/>
      <c r="F1717" s="36"/>
      <c r="G1717" s="27"/>
      <c r="H1717" s="37"/>
      <c r="I1717" s="36"/>
      <c r="K1717" s="26"/>
    </row>
    <row r="1718">
      <c r="A1718" s="35"/>
      <c r="B1718" s="36"/>
      <c r="C1718" s="26"/>
      <c r="D1718" s="27"/>
      <c r="E1718" s="27"/>
      <c r="F1718" s="36"/>
      <c r="G1718" s="27"/>
      <c r="H1718" s="37"/>
      <c r="I1718" s="36"/>
      <c r="K1718" s="26"/>
    </row>
    <row r="1719">
      <c r="A1719" s="35"/>
      <c r="B1719" s="36"/>
      <c r="C1719" s="26"/>
      <c r="D1719" s="27"/>
      <c r="E1719" s="27"/>
      <c r="F1719" s="36"/>
      <c r="G1719" s="27"/>
      <c r="H1719" s="37"/>
      <c r="I1719" s="36"/>
      <c r="K1719" s="26"/>
    </row>
    <row r="1720">
      <c r="A1720" s="35"/>
      <c r="B1720" s="36"/>
      <c r="C1720" s="26"/>
      <c r="D1720" s="27"/>
      <c r="E1720" s="27"/>
      <c r="F1720" s="36"/>
      <c r="G1720" s="27"/>
      <c r="H1720" s="37"/>
      <c r="I1720" s="36"/>
      <c r="K1720" s="26"/>
    </row>
    <row r="1721">
      <c r="A1721" s="35"/>
      <c r="B1721" s="36"/>
      <c r="C1721" s="26"/>
      <c r="D1721" s="27"/>
      <c r="E1721" s="27"/>
      <c r="F1721" s="36"/>
      <c r="G1721" s="27"/>
      <c r="H1721" s="37"/>
      <c r="I1721" s="36"/>
      <c r="K1721" s="26"/>
    </row>
    <row r="1722">
      <c r="A1722" s="35"/>
      <c r="B1722" s="36"/>
      <c r="C1722" s="26"/>
      <c r="D1722" s="27"/>
      <c r="E1722" s="27"/>
      <c r="F1722" s="36"/>
      <c r="G1722" s="27"/>
      <c r="H1722" s="37"/>
      <c r="I1722" s="36"/>
      <c r="K1722" s="26"/>
    </row>
    <row r="1723">
      <c r="A1723" s="35"/>
      <c r="B1723" s="36"/>
      <c r="C1723" s="26"/>
      <c r="D1723" s="27"/>
      <c r="E1723" s="27"/>
      <c r="F1723" s="36"/>
      <c r="G1723" s="27"/>
      <c r="H1723" s="37"/>
      <c r="I1723" s="36"/>
      <c r="K1723" s="26"/>
    </row>
    <row r="1724">
      <c r="A1724" s="35"/>
      <c r="B1724" s="36"/>
      <c r="C1724" s="26"/>
      <c r="D1724" s="27"/>
      <c r="E1724" s="27"/>
      <c r="F1724" s="36"/>
      <c r="G1724" s="27"/>
      <c r="H1724" s="37"/>
      <c r="I1724" s="36"/>
      <c r="K1724" s="26"/>
    </row>
    <row r="1725">
      <c r="A1725" s="35"/>
      <c r="B1725" s="36"/>
      <c r="C1725" s="26"/>
      <c r="D1725" s="27"/>
      <c r="E1725" s="27"/>
      <c r="F1725" s="36"/>
      <c r="G1725" s="27"/>
      <c r="H1725" s="37"/>
      <c r="I1725" s="36"/>
      <c r="K1725" s="26"/>
    </row>
    <row r="1726">
      <c r="A1726" s="35"/>
      <c r="B1726" s="36"/>
      <c r="C1726" s="26"/>
      <c r="D1726" s="27"/>
      <c r="E1726" s="27"/>
      <c r="F1726" s="36"/>
      <c r="G1726" s="27"/>
      <c r="H1726" s="37"/>
      <c r="I1726" s="36"/>
      <c r="K1726" s="26"/>
    </row>
    <row r="1727">
      <c r="A1727" s="35"/>
      <c r="B1727" s="36"/>
      <c r="C1727" s="26"/>
      <c r="D1727" s="27"/>
      <c r="E1727" s="27"/>
      <c r="F1727" s="36"/>
      <c r="G1727" s="27"/>
      <c r="H1727" s="37"/>
      <c r="I1727" s="36"/>
      <c r="K1727" s="26"/>
    </row>
    <row r="1728">
      <c r="A1728" s="35"/>
      <c r="B1728" s="36"/>
      <c r="C1728" s="26"/>
      <c r="D1728" s="27"/>
      <c r="E1728" s="27"/>
      <c r="F1728" s="36"/>
      <c r="G1728" s="27"/>
      <c r="H1728" s="37"/>
      <c r="I1728" s="36"/>
      <c r="K1728" s="26"/>
    </row>
    <row r="1729">
      <c r="A1729" s="35"/>
      <c r="B1729" s="36"/>
      <c r="C1729" s="26"/>
      <c r="D1729" s="27"/>
      <c r="E1729" s="27"/>
      <c r="F1729" s="36"/>
      <c r="G1729" s="27"/>
      <c r="H1729" s="37"/>
      <c r="I1729" s="36"/>
      <c r="K1729" s="26"/>
    </row>
    <row r="1730">
      <c r="A1730" s="35"/>
      <c r="B1730" s="36"/>
      <c r="C1730" s="26"/>
      <c r="D1730" s="27"/>
      <c r="E1730" s="27"/>
      <c r="F1730" s="36"/>
      <c r="G1730" s="27"/>
      <c r="H1730" s="37"/>
      <c r="I1730" s="36"/>
      <c r="K1730" s="26"/>
    </row>
    <row r="1731">
      <c r="A1731" s="35"/>
      <c r="B1731" s="36"/>
      <c r="C1731" s="26"/>
      <c r="D1731" s="27"/>
      <c r="E1731" s="27"/>
      <c r="F1731" s="36"/>
      <c r="G1731" s="27"/>
      <c r="H1731" s="37"/>
      <c r="I1731" s="36"/>
      <c r="K1731" s="26"/>
    </row>
    <row r="1732">
      <c r="A1732" s="35"/>
      <c r="B1732" s="36"/>
      <c r="C1732" s="26"/>
      <c r="D1732" s="27"/>
      <c r="E1732" s="27"/>
      <c r="F1732" s="36"/>
      <c r="G1732" s="27"/>
      <c r="H1732" s="37"/>
      <c r="I1732" s="36"/>
      <c r="K1732" s="26"/>
    </row>
    <row r="1733">
      <c r="A1733" s="35"/>
      <c r="B1733" s="36"/>
      <c r="C1733" s="26"/>
      <c r="D1733" s="27"/>
      <c r="E1733" s="27"/>
      <c r="F1733" s="36"/>
      <c r="G1733" s="27"/>
      <c r="H1733" s="37"/>
      <c r="I1733" s="36"/>
      <c r="K1733" s="26"/>
    </row>
    <row r="1734">
      <c r="A1734" s="35"/>
      <c r="B1734" s="36"/>
      <c r="C1734" s="26"/>
      <c r="D1734" s="27"/>
      <c r="E1734" s="27"/>
      <c r="F1734" s="36"/>
      <c r="G1734" s="27"/>
      <c r="H1734" s="37"/>
      <c r="I1734" s="36"/>
      <c r="K1734" s="26"/>
    </row>
    <row r="1735">
      <c r="A1735" s="35"/>
      <c r="B1735" s="36"/>
      <c r="C1735" s="26"/>
      <c r="D1735" s="27"/>
      <c r="E1735" s="27"/>
      <c r="F1735" s="36"/>
      <c r="G1735" s="27"/>
      <c r="H1735" s="37"/>
      <c r="I1735" s="36"/>
      <c r="K1735" s="26"/>
    </row>
    <row r="1736">
      <c r="A1736" s="35"/>
      <c r="B1736" s="36"/>
      <c r="C1736" s="26"/>
      <c r="D1736" s="27"/>
      <c r="E1736" s="27"/>
      <c r="F1736" s="36"/>
      <c r="G1736" s="27"/>
      <c r="H1736" s="37"/>
      <c r="I1736" s="36"/>
      <c r="K1736" s="26"/>
    </row>
    <row r="1737">
      <c r="A1737" s="35"/>
      <c r="B1737" s="36"/>
      <c r="C1737" s="26"/>
      <c r="D1737" s="27"/>
      <c r="E1737" s="27"/>
      <c r="F1737" s="36"/>
      <c r="G1737" s="27"/>
      <c r="H1737" s="37"/>
      <c r="I1737" s="36"/>
      <c r="K1737" s="26"/>
    </row>
    <row r="1738">
      <c r="A1738" s="35"/>
      <c r="B1738" s="36"/>
      <c r="C1738" s="26"/>
      <c r="D1738" s="27"/>
      <c r="E1738" s="27"/>
      <c r="F1738" s="36"/>
      <c r="G1738" s="27"/>
      <c r="H1738" s="37"/>
      <c r="I1738" s="36"/>
      <c r="K1738" s="26"/>
    </row>
    <row r="1739">
      <c r="A1739" s="35"/>
      <c r="B1739" s="36"/>
      <c r="C1739" s="26"/>
      <c r="D1739" s="27"/>
      <c r="E1739" s="27"/>
      <c r="F1739" s="36"/>
      <c r="G1739" s="27"/>
      <c r="H1739" s="37"/>
      <c r="I1739" s="36"/>
      <c r="K1739" s="26"/>
    </row>
    <row r="1740">
      <c r="A1740" s="35"/>
      <c r="B1740" s="36"/>
      <c r="C1740" s="26"/>
      <c r="D1740" s="27"/>
      <c r="E1740" s="27"/>
      <c r="F1740" s="36"/>
      <c r="G1740" s="27"/>
      <c r="H1740" s="37"/>
      <c r="I1740" s="36"/>
      <c r="K1740" s="26"/>
    </row>
    <row r="1741">
      <c r="A1741" s="35"/>
      <c r="B1741" s="36"/>
      <c r="C1741" s="26"/>
      <c r="D1741" s="27"/>
      <c r="E1741" s="27"/>
      <c r="F1741" s="36"/>
      <c r="G1741" s="27"/>
      <c r="H1741" s="37"/>
      <c r="I1741" s="36"/>
      <c r="K1741" s="26"/>
    </row>
    <row r="1742">
      <c r="A1742" s="35"/>
      <c r="B1742" s="36"/>
      <c r="C1742" s="26"/>
      <c r="D1742" s="27"/>
      <c r="E1742" s="27"/>
      <c r="F1742" s="36"/>
      <c r="G1742" s="27"/>
      <c r="H1742" s="37"/>
      <c r="I1742" s="36"/>
      <c r="K1742" s="26"/>
    </row>
    <row r="1743">
      <c r="A1743" s="35"/>
      <c r="B1743" s="36"/>
      <c r="C1743" s="26"/>
      <c r="D1743" s="27"/>
      <c r="E1743" s="27"/>
      <c r="F1743" s="36"/>
      <c r="G1743" s="27"/>
      <c r="H1743" s="37"/>
      <c r="I1743" s="36"/>
      <c r="K1743" s="26"/>
    </row>
    <row r="1744">
      <c r="A1744" s="35"/>
      <c r="B1744" s="36"/>
      <c r="C1744" s="26"/>
      <c r="D1744" s="27"/>
      <c r="E1744" s="27"/>
      <c r="F1744" s="36"/>
      <c r="G1744" s="27"/>
      <c r="H1744" s="37"/>
      <c r="I1744" s="36"/>
      <c r="K1744" s="26"/>
    </row>
    <row r="1745">
      <c r="A1745" s="35"/>
      <c r="B1745" s="36"/>
      <c r="C1745" s="26"/>
      <c r="D1745" s="27"/>
      <c r="E1745" s="27"/>
      <c r="F1745" s="36"/>
      <c r="G1745" s="27"/>
      <c r="H1745" s="37"/>
      <c r="I1745" s="36"/>
      <c r="K1745" s="26"/>
    </row>
    <row r="1746">
      <c r="A1746" s="35"/>
      <c r="B1746" s="36"/>
      <c r="C1746" s="26"/>
      <c r="D1746" s="27"/>
      <c r="E1746" s="27"/>
      <c r="F1746" s="36"/>
      <c r="G1746" s="27"/>
      <c r="H1746" s="37"/>
      <c r="I1746" s="36"/>
      <c r="K1746" s="26"/>
    </row>
    <row r="1747">
      <c r="A1747" s="35"/>
      <c r="B1747" s="36"/>
      <c r="C1747" s="26"/>
      <c r="D1747" s="27"/>
      <c r="E1747" s="27"/>
      <c r="F1747" s="36"/>
      <c r="G1747" s="27"/>
      <c r="H1747" s="37"/>
      <c r="I1747" s="36"/>
      <c r="K1747" s="26"/>
    </row>
    <row r="1748">
      <c r="A1748" s="35"/>
      <c r="B1748" s="36"/>
      <c r="C1748" s="26"/>
      <c r="D1748" s="27"/>
      <c r="E1748" s="27"/>
      <c r="F1748" s="36"/>
      <c r="G1748" s="27"/>
      <c r="H1748" s="37"/>
      <c r="I1748" s="36"/>
      <c r="K1748" s="26"/>
    </row>
    <row r="1749">
      <c r="A1749" s="35"/>
      <c r="B1749" s="36"/>
      <c r="C1749" s="26"/>
      <c r="D1749" s="27"/>
      <c r="E1749" s="27"/>
      <c r="F1749" s="36"/>
      <c r="G1749" s="27"/>
      <c r="H1749" s="37"/>
      <c r="I1749" s="36"/>
      <c r="K1749" s="26"/>
    </row>
    <row r="1750">
      <c r="A1750" s="35"/>
      <c r="B1750" s="36"/>
      <c r="C1750" s="26"/>
      <c r="D1750" s="27"/>
      <c r="E1750" s="27"/>
      <c r="F1750" s="36"/>
      <c r="G1750" s="27"/>
      <c r="H1750" s="37"/>
      <c r="I1750" s="36"/>
      <c r="K1750" s="26"/>
    </row>
    <row r="1751">
      <c r="A1751" s="35"/>
      <c r="B1751" s="36"/>
      <c r="C1751" s="26"/>
      <c r="D1751" s="27"/>
      <c r="E1751" s="27"/>
      <c r="F1751" s="36"/>
      <c r="G1751" s="27"/>
      <c r="H1751" s="37"/>
      <c r="I1751" s="36"/>
      <c r="K1751" s="26"/>
    </row>
    <row r="1752">
      <c r="A1752" s="35"/>
      <c r="B1752" s="36"/>
      <c r="C1752" s="26"/>
      <c r="D1752" s="27"/>
      <c r="E1752" s="27"/>
      <c r="F1752" s="36"/>
      <c r="G1752" s="27"/>
      <c r="H1752" s="37"/>
      <c r="I1752" s="36"/>
      <c r="K1752" s="26"/>
    </row>
    <row r="1753">
      <c r="A1753" s="35"/>
      <c r="B1753" s="36"/>
      <c r="C1753" s="26"/>
      <c r="D1753" s="27"/>
      <c r="E1753" s="27"/>
      <c r="F1753" s="36"/>
      <c r="G1753" s="27"/>
      <c r="H1753" s="37"/>
      <c r="I1753" s="36"/>
      <c r="K1753" s="26"/>
    </row>
    <row r="1754">
      <c r="A1754" s="35"/>
      <c r="B1754" s="36"/>
      <c r="C1754" s="26"/>
      <c r="D1754" s="27"/>
      <c r="E1754" s="27"/>
      <c r="F1754" s="36"/>
      <c r="G1754" s="27"/>
      <c r="H1754" s="37"/>
      <c r="I1754" s="36"/>
      <c r="K1754" s="26"/>
    </row>
    <row r="1755">
      <c r="A1755" s="35"/>
      <c r="B1755" s="36"/>
      <c r="C1755" s="26"/>
      <c r="D1755" s="27"/>
      <c r="E1755" s="27"/>
      <c r="F1755" s="36"/>
      <c r="G1755" s="27"/>
      <c r="H1755" s="37"/>
      <c r="I1755" s="36"/>
      <c r="K1755" s="26"/>
    </row>
    <row r="1756">
      <c r="A1756" s="35"/>
      <c r="B1756" s="36"/>
      <c r="C1756" s="26"/>
      <c r="D1756" s="27"/>
      <c r="E1756" s="27"/>
      <c r="F1756" s="36"/>
      <c r="G1756" s="27"/>
      <c r="H1756" s="37"/>
      <c r="I1756" s="36"/>
      <c r="K1756" s="26"/>
    </row>
    <row r="1757">
      <c r="A1757" s="35"/>
      <c r="B1757" s="36"/>
      <c r="C1757" s="26"/>
      <c r="D1757" s="27"/>
      <c r="E1757" s="27"/>
      <c r="F1757" s="36"/>
      <c r="G1757" s="27"/>
      <c r="H1757" s="37"/>
      <c r="I1757" s="36"/>
      <c r="K1757" s="26"/>
    </row>
    <row r="1758">
      <c r="A1758" s="35"/>
      <c r="B1758" s="36"/>
      <c r="C1758" s="26"/>
      <c r="D1758" s="27"/>
      <c r="E1758" s="27"/>
      <c r="F1758" s="36"/>
      <c r="G1758" s="27"/>
      <c r="H1758" s="37"/>
      <c r="I1758" s="36"/>
      <c r="K1758" s="26"/>
    </row>
    <row r="1759">
      <c r="A1759" s="35"/>
      <c r="B1759" s="36"/>
      <c r="C1759" s="26"/>
      <c r="D1759" s="27"/>
      <c r="E1759" s="27"/>
      <c r="F1759" s="36"/>
      <c r="G1759" s="27"/>
      <c r="H1759" s="37"/>
      <c r="I1759" s="36"/>
      <c r="K1759" s="26"/>
    </row>
    <row r="1760">
      <c r="A1760" s="35"/>
      <c r="B1760" s="36"/>
      <c r="C1760" s="26"/>
      <c r="D1760" s="27"/>
      <c r="E1760" s="27"/>
      <c r="F1760" s="36"/>
      <c r="G1760" s="27"/>
      <c r="H1760" s="37"/>
      <c r="I1760" s="36"/>
      <c r="K1760" s="26"/>
    </row>
    <row r="1761">
      <c r="A1761" s="35"/>
      <c r="B1761" s="36"/>
      <c r="C1761" s="26"/>
      <c r="D1761" s="27"/>
      <c r="E1761" s="27"/>
      <c r="F1761" s="36"/>
      <c r="G1761" s="27"/>
      <c r="H1761" s="37"/>
      <c r="I1761" s="36"/>
      <c r="K1761" s="26"/>
    </row>
    <row r="1762">
      <c r="A1762" s="35"/>
      <c r="B1762" s="36"/>
      <c r="C1762" s="26"/>
      <c r="D1762" s="27"/>
      <c r="E1762" s="27"/>
      <c r="F1762" s="36"/>
      <c r="G1762" s="27"/>
      <c r="H1762" s="37"/>
      <c r="I1762" s="36"/>
      <c r="K1762" s="26"/>
    </row>
    <row r="1763">
      <c r="A1763" s="35"/>
      <c r="B1763" s="36"/>
      <c r="C1763" s="26"/>
      <c r="D1763" s="27"/>
      <c r="E1763" s="27"/>
      <c r="F1763" s="36"/>
      <c r="G1763" s="27"/>
      <c r="H1763" s="37"/>
      <c r="I1763" s="36"/>
      <c r="K1763" s="26"/>
    </row>
    <row r="1764">
      <c r="A1764" s="35"/>
      <c r="B1764" s="36"/>
      <c r="C1764" s="26"/>
      <c r="D1764" s="27"/>
      <c r="E1764" s="27"/>
      <c r="F1764" s="36"/>
      <c r="G1764" s="27"/>
      <c r="H1764" s="37"/>
      <c r="I1764" s="36"/>
      <c r="K1764" s="26"/>
    </row>
    <row r="1765">
      <c r="A1765" s="35"/>
      <c r="B1765" s="36"/>
      <c r="C1765" s="26"/>
      <c r="D1765" s="27"/>
      <c r="E1765" s="27"/>
      <c r="F1765" s="36"/>
      <c r="G1765" s="27"/>
      <c r="H1765" s="37"/>
      <c r="I1765" s="36"/>
      <c r="K1765" s="26"/>
    </row>
    <row r="1766">
      <c r="A1766" s="35"/>
      <c r="B1766" s="36"/>
      <c r="C1766" s="26"/>
      <c r="D1766" s="27"/>
      <c r="E1766" s="27"/>
      <c r="F1766" s="36"/>
      <c r="G1766" s="27"/>
      <c r="H1766" s="37"/>
      <c r="I1766" s="36"/>
      <c r="K1766" s="26"/>
    </row>
    <row r="1767">
      <c r="A1767" s="35"/>
      <c r="B1767" s="36"/>
      <c r="C1767" s="26"/>
      <c r="D1767" s="27"/>
      <c r="E1767" s="27"/>
      <c r="F1767" s="36"/>
      <c r="G1767" s="27"/>
      <c r="H1767" s="37"/>
      <c r="I1767" s="36"/>
      <c r="K1767" s="26"/>
    </row>
    <row r="1768">
      <c r="A1768" s="35"/>
      <c r="B1768" s="36"/>
      <c r="C1768" s="26"/>
      <c r="D1768" s="27"/>
      <c r="E1768" s="27"/>
      <c r="F1768" s="36"/>
      <c r="G1768" s="27"/>
      <c r="H1768" s="37"/>
      <c r="I1768" s="36"/>
      <c r="K1768" s="26"/>
    </row>
    <row r="1769">
      <c r="A1769" s="35"/>
      <c r="B1769" s="36"/>
      <c r="C1769" s="26"/>
      <c r="D1769" s="27"/>
      <c r="E1769" s="27"/>
      <c r="F1769" s="36"/>
      <c r="G1769" s="27"/>
      <c r="H1769" s="37"/>
      <c r="I1769" s="36"/>
      <c r="K1769" s="26"/>
    </row>
    <row r="1770">
      <c r="A1770" s="35"/>
      <c r="B1770" s="36"/>
      <c r="C1770" s="26"/>
      <c r="D1770" s="27"/>
      <c r="E1770" s="27"/>
      <c r="F1770" s="36"/>
      <c r="G1770" s="27"/>
      <c r="H1770" s="37"/>
      <c r="I1770" s="36"/>
      <c r="K1770" s="26"/>
    </row>
    <row r="1771">
      <c r="A1771" s="35"/>
      <c r="B1771" s="36"/>
      <c r="C1771" s="26"/>
      <c r="D1771" s="27"/>
      <c r="E1771" s="27"/>
      <c r="F1771" s="36"/>
      <c r="G1771" s="27"/>
      <c r="H1771" s="37"/>
      <c r="I1771" s="36"/>
      <c r="K1771" s="26"/>
    </row>
    <row r="1772">
      <c r="A1772" s="35"/>
      <c r="B1772" s="36"/>
      <c r="C1772" s="26"/>
      <c r="D1772" s="27"/>
      <c r="E1772" s="27"/>
      <c r="F1772" s="36"/>
      <c r="G1772" s="27"/>
      <c r="H1772" s="37"/>
      <c r="I1772" s="36"/>
      <c r="K1772" s="26"/>
    </row>
    <row r="1773">
      <c r="A1773" s="35"/>
      <c r="B1773" s="36"/>
      <c r="C1773" s="26"/>
      <c r="D1773" s="27"/>
      <c r="E1773" s="27"/>
      <c r="F1773" s="36"/>
      <c r="G1773" s="27"/>
      <c r="H1773" s="37"/>
      <c r="I1773" s="36"/>
      <c r="K1773" s="26"/>
    </row>
    <row r="1774">
      <c r="A1774" s="35"/>
      <c r="B1774" s="36"/>
      <c r="C1774" s="26"/>
      <c r="D1774" s="27"/>
      <c r="E1774" s="27"/>
      <c r="F1774" s="36"/>
      <c r="G1774" s="27"/>
      <c r="H1774" s="37"/>
      <c r="I1774" s="36"/>
      <c r="K1774" s="26"/>
    </row>
    <row r="1775">
      <c r="A1775" s="35"/>
      <c r="B1775" s="36"/>
      <c r="C1775" s="26"/>
      <c r="D1775" s="27"/>
      <c r="E1775" s="27"/>
      <c r="F1775" s="36"/>
      <c r="G1775" s="27"/>
      <c r="H1775" s="37"/>
      <c r="I1775" s="36"/>
      <c r="K1775" s="26"/>
    </row>
    <row r="1776">
      <c r="A1776" s="35"/>
      <c r="B1776" s="36"/>
      <c r="C1776" s="26"/>
      <c r="D1776" s="27"/>
      <c r="E1776" s="27"/>
      <c r="F1776" s="36"/>
      <c r="G1776" s="27"/>
      <c r="H1776" s="37"/>
      <c r="I1776" s="36"/>
      <c r="K1776" s="26"/>
    </row>
    <row r="1777">
      <c r="A1777" s="35"/>
      <c r="B1777" s="36"/>
      <c r="C1777" s="26"/>
      <c r="D1777" s="27"/>
      <c r="E1777" s="27"/>
      <c r="F1777" s="36"/>
      <c r="G1777" s="27"/>
      <c r="H1777" s="37"/>
      <c r="I1777" s="36"/>
      <c r="K1777" s="26"/>
    </row>
    <row r="1778">
      <c r="A1778" s="35"/>
      <c r="B1778" s="36"/>
      <c r="C1778" s="26"/>
      <c r="D1778" s="27"/>
      <c r="E1778" s="27"/>
      <c r="F1778" s="36"/>
      <c r="G1778" s="27"/>
      <c r="H1778" s="37"/>
      <c r="I1778" s="36"/>
      <c r="K1778" s="26"/>
    </row>
    <row r="1779">
      <c r="A1779" s="35"/>
      <c r="B1779" s="36"/>
      <c r="C1779" s="26"/>
      <c r="D1779" s="27"/>
      <c r="E1779" s="27"/>
      <c r="F1779" s="36"/>
      <c r="G1779" s="27"/>
      <c r="H1779" s="37"/>
      <c r="I1779" s="36"/>
      <c r="K1779" s="26"/>
    </row>
    <row r="1780">
      <c r="A1780" s="35"/>
      <c r="B1780" s="36"/>
      <c r="C1780" s="26"/>
      <c r="D1780" s="27"/>
      <c r="E1780" s="27"/>
      <c r="F1780" s="36"/>
      <c r="G1780" s="27"/>
      <c r="H1780" s="37"/>
      <c r="I1780" s="36"/>
      <c r="K1780" s="26"/>
    </row>
    <row r="1781">
      <c r="A1781" s="35"/>
      <c r="B1781" s="36"/>
      <c r="C1781" s="26"/>
      <c r="D1781" s="27"/>
      <c r="E1781" s="27"/>
      <c r="F1781" s="36"/>
      <c r="G1781" s="27"/>
      <c r="H1781" s="37"/>
      <c r="I1781" s="36"/>
      <c r="K1781" s="26"/>
    </row>
    <row r="1782">
      <c r="A1782" s="35"/>
      <c r="B1782" s="36"/>
      <c r="C1782" s="26"/>
      <c r="D1782" s="27"/>
      <c r="E1782" s="27"/>
      <c r="F1782" s="36"/>
      <c r="G1782" s="27"/>
      <c r="H1782" s="37"/>
      <c r="I1782" s="36"/>
      <c r="K1782" s="26"/>
    </row>
    <row r="1783">
      <c r="A1783" s="35"/>
      <c r="B1783" s="36"/>
      <c r="C1783" s="26"/>
      <c r="D1783" s="27"/>
      <c r="E1783" s="27"/>
      <c r="F1783" s="36"/>
      <c r="G1783" s="27"/>
      <c r="H1783" s="37"/>
      <c r="I1783" s="36"/>
      <c r="K1783" s="26"/>
    </row>
    <row r="1784">
      <c r="A1784" s="35"/>
      <c r="B1784" s="36"/>
      <c r="C1784" s="26"/>
      <c r="D1784" s="27"/>
      <c r="E1784" s="27"/>
      <c r="F1784" s="36"/>
      <c r="G1784" s="27"/>
      <c r="H1784" s="37"/>
      <c r="I1784" s="36"/>
      <c r="K1784" s="26"/>
    </row>
    <row r="1785">
      <c r="A1785" s="35"/>
      <c r="B1785" s="36"/>
      <c r="C1785" s="26"/>
      <c r="D1785" s="27"/>
      <c r="E1785" s="27"/>
      <c r="F1785" s="36"/>
      <c r="G1785" s="27"/>
      <c r="H1785" s="37"/>
      <c r="I1785" s="36"/>
      <c r="K1785" s="26"/>
    </row>
    <row r="1786">
      <c r="A1786" s="35"/>
      <c r="B1786" s="36"/>
      <c r="C1786" s="26"/>
      <c r="D1786" s="27"/>
      <c r="E1786" s="27"/>
      <c r="F1786" s="36"/>
      <c r="G1786" s="27"/>
      <c r="H1786" s="37"/>
      <c r="I1786" s="36"/>
      <c r="K1786" s="26"/>
    </row>
    <row r="1787">
      <c r="A1787" s="35"/>
      <c r="B1787" s="36"/>
      <c r="C1787" s="26"/>
      <c r="D1787" s="27"/>
      <c r="E1787" s="27"/>
      <c r="F1787" s="36"/>
      <c r="G1787" s="27"/>
      <c r="H1787" s="37"/>
      <c r="I1787" s="36"/>
      <c r="K1787" s="26"/>
    </row>
    <row r="1788">
      <c r="A1788" s="35"/>
      <c r="B1788" s="36"/>
      <c r="C1788" s="26"/>
      <c r="D1788" s="27"/>
      <c r="E1788" s="27"/>
      <c r="F1788" s="36"/>
      <c r="G1788" s="27"/>
      <c r="H1788" s="37"/>
      <c r="I1788" s="36"/>
      <c r="K1788" s="26"/>
    </row>
    <row r="1789">
      <c r="A1789" s="35"/>
      <c r="B1789" s="36"/>
      <c r="C1789" s="26"/>
      <c r="D1789" s="27"/>
      <c r="E1789" s="27"/>
      <c r="F1789" s="36"/>
      <c r="G1789" s="27"/>
      <c r="H1789" s="37"/>
      <c r="I1789" s="36"/>
      <c r="K1789" s="26"/>
    </row>
    <row r="1790">
      <c r="A1790" s="35"/>
      <c r="B1790" s="36"/>
      <c r="C1790" s="26"/>
      <c r="D1790" s="27"/>
      <c r="E1790" s="27"/>
      <c r="F1790" s="36"/>
      <c r="G1790" s="27"/>
      <c r="H1790" s="37"/>
      <c r="I1790" s="36"/>
      <c r="K1790" s="26"/>
    </row>
    <row r="1791">
      <c r="A1791" s="35"/>
      <c r="B1791" s="36"/>
      <c r="C1791" s="26"/>
      <c r="D1791" s="27"/>
      <c r="E1791" s="27"/>
      <c r="F1791" s="36"/>
      <c r="G1791" s="27"/>
      <c r="H1791" s="37"/>
      <c r="I1791" s="36"/>
      <c r="K1791" s="26"/>
    </row>
    <row r="1792">
      <c r="A1792" s="35"/>
      <c r="B1792" s="36"/>
      <c r="C1792" s="26"/>
      <c r="D1792" s="27"/>
      <c r="E1792" s="27"/>
      <c r="F1792" s="36"/>
      <c r="G1792" s="27"/>
      <c r="H1792" s="37"/>
      <c r="I1792" s="36"/>
      <c r="K1792" s="26"/>
    </row>
    <row r="1793">
      <c r="A1793" s="35"/>
      <c r="B1793" s="36"/>
      <c r="C1793" s="26"/>
      <c r="D1793" s="27"/>
      <c r="E1793" s="27"/>
      <c r="F1793" s="36"/>
      <c r="G1793" s="27"/>
      <c r="H1793" s="37"/>
      <c r="I1793" s="36"/>
      <c r="K1793" s="26"/>
    </row>
    <row r="1794">
      <c r="A1794" s="35"/>
      <c r="B1794" s="36"/>
      <c r="C1794" s="26"/>
      <c r="D1794" s="27"/>
      <c r="E1794" s="27"/>
      <c r="F1794" s="36"/>
      <c r="G1794" s="27"/>
      <c r="H1794" s="37"/>
      <c r="I1794" s="36"/>
      <c r="K1794" s="26"/>
    </row>
    <row r="1795">
      <c r="A1795" s="35"/>
      <c r="B1795" s="36"/>
      <c r="C1795" s="26"/>
      <c r="D1795" s="27"/>
      <c r="E1795" s="27"/>
      <c r="F1795" s="36"/>
      <c r="G1795" s="27"/>
      <c r="H1795" s="37"/>
      <c r="I1795" s="36"/>
      <c r="K1795" s="26"/>
    </row>
    <row r="1796">
      <c r="A1796" s="35"/>
      <c r="B1796" s="36"/>
      <c r="C1796" s="26"/>
      <c r="D1796" s="27"/>
      <c r="E1796" s="27"/>
      <c r="F1796" s="36"/>
      <c r="G1796" s="27"/>
      <c r="H1796" s="37"/>
      <c r="I1796" s="36"/>
      <c r="K1796" s="26"/>
    </row>
    <row r="1797">
      <c r="A1797" s="35"/>
      <c r="B1797" s="36"/>
      <c r="C1797" s="26"/>
      <c r="D1797" s="27"/>
      <c r="E1797" s="27"/>
      <c r="F1797" s="36"/>
      <c r="G1797" s="27"/>
      <c r="H1797" s="37"/>
      <c r="I1797" s="36"/>
      <c r="K1797" s="26"/>
    </row>
    <row r="1798">
      <c r="A1798" s="35"/>
      <c r="B1798" s="36"/>
      <c r="C1798" s="26"/>
      <c r="D1798" s="27"/>
      <c r="E1798" s="27"/>
      <c r="F1798" s="36"/>
      <c r="G1798" s="27"/>
      <c r="H1798" s="37"/>
      <c r="I1798" s="36"/>
      <c r="K1798" s="26"/>
    </row>
    <row r="1799">
      <c r="A1799" s="35"/>
      <c r="B1799" s="36"/>
      <c r="C1799" s="26"/>
      <c r="D1799" s="27"/>
      <c r="E1799" s="27"/>
      <c r="F1799" s="36"/>
      <c r="G1799" s="27"/>
      <c r="H1799" s="37"/>
      <c r="I1799" s="36"/>
      <c r="K1799" s="26"/>
    </row>
    <row r="1800">
      <c r="A1800" s="35"/>
      <c r="B1800" s="36"/>
      <c r="C1800" s="26"/>
      <c r="D1800" s="27"/>
      <c r="E1800" s="27"/>
      <c r="F1800" s="36"/>
      <c r="G1800" s="27"/>
      <c r="H1800" s="37"/>
      <c r="I1800" s="36"/>
      <c r="K1800" s="26"/>
    </row>
    <row r="1801">
      <c r="A1801" s="35"/>
      <c r="B1801" s="36"/>
      <c r="C1801" s="26"/>
      <c r="D1801" s="27"/>
      <c r="E1801" s="27"/>
      <c r="F1801" s="36"/>
      <c r="G1801" s="27"/>
      <c r="H1801" s="37"/>
      <c r="I1801" s="36"/>
      <c r="K1801" s="26"/>
    </row>
    <row r="1802">
      <c r="A1802" s="35"/>
      <c r="B1802" s="36"/>
      <c r="C1802" s="26"/>
      <c r="D1802" s="27"/>
      <c r="E1802" s="27"/>
      <c r="F1802" s="36"/>
      <c r="G1802" s="27"/>
      <c r="H1802" s="37"/>
      <c r="I1802" s="36"/>
      <c r="K1802" s="26"/>
    </row>
    <row r="1803">
      <c r="A1803" s="35"/>
      <c r="B1803" s="36"/>
      <c r="C1803" s="26"/>
      <c r="D1803" s="27"/>
      <c r="E1803" s="27"/>
      <c r="F1803" s="36"/>
      <c r="G1803" s="27"/>
      <c r="H1803" s="37"/>
      <c r="I1803" s="36"/>
      <c r="K1803" s="26"/>
    </row>
    <row r="1804">
      <c r="A1804" s="35"/>
      <c r="B1804" s="36"/>
      <c r="C1804" s="26"/>
      <c r="D1804" s="27"/>
      <c r="E1804" s="27"/>
      <c r="F1804" s="36"/>
      <c r="G1804" s="27"/>
      <c r="H1804" s="37"/>
      <c r="I1804" s="36"/>
      <c r="K1804" s="26"/>
    </row>
    <row r="1805">
      <c r="A1805" s="35"/>
      <c r="B1805" s="36"/>
      <c r="C1805" s="26"/>
      <c r="D1805" s="27"/>
      <c r="E1805" s="27"/>
      <c r="F1805" s="36"/>
      <c r="G1805" s="27"/>
      <c r="H1805" s="37"/>
      <c r="I1805" s="36"/>
      <c r="K1805" s="26"/>
    </row>
    <row r="1806">
      <c r="A1806" s="35"/>
      <c r="B1806" s="36"/>
      <c r="C1806" s="26"/>
      <c r="D1806" s="27"/>
      <c r="E1806" s="27"/>
      <c r="F1806" s="36"/>
      <c r="G1806" s="27"/>
      <c r="H1806" s="37"/>
      <c r="I1806" s="36"/>
      <c r="K1806" s="26"/>
    </row>
    <row r="1807">
      <c r="A1807" s="35"/>
      <c r="B1807" s="36"/>
      <c r="C1807" s="26"/>
      <c r="D1807" s="27"/>
      <c r="E1807" s="27"/>
      <c r="F1807" s="36"/>
      <c r="G1807" s="27"/>
      <c r="H1807" s="37"/>
      <c r="I1807" s="36"/>
      <c r="K1807" s="26"/>
    </row>
    <row r="1808">
      <c r="A1808" s="35"/>
      <c r="B1808" s="36"/>
      <c r="C1808" s="26"/>
      <c r="D1808" s="27"/>
      <c r="E1808" s="27"/>
      <c r="F1808" s="36"/>
      <c r="G1808" s="27"/>
      <c r="H1808" s="37"/>
      <c r="I1808" s="36"/>
      <c r="K1808" s="26"/>
    </row>
    <row r="1809">
      <c r="A1809" s="35"/>
      <c r="B1809" s="36"/>
      <c r="C1809" s="26"/>
      <c r="D1809" s="27"/>
      <c r="E1809" s="27"/>
      <c r="F1809" s="36"/>
      <c r="G1809" s="27"/>
      <c r="H1809" s="37"/>
      <c r="I1809" s="36"/>
      <c r="K1809" s="26"/>
    </row>
    <row r="1810">
      <c r="A1810" s="35"/>
      <c r="B1810" s="36"/>
      <c r="C1810" s="26"/>
      <c r="D1810" s="27"/>
      <c r="E1810" s="27"/>
      <c r="F1810" s="36"/>
      <c r="G1810" s="27"/>
      <c r="H1810" s="37"/>
      <c r="I1810" s="36"/>
      <c r="K1810" s="26"/>
    </row>
    <row r="1811">
      <c r="A1811" s="35"/>
      <c r="B1811" s="36"/>
      <c r="C1811" s="26"/>
      <c r="D1811" s="27"/>
      <c r="E1811" s="27"/>
      <c r="F1811" s="36"/>
      <c r="G1811" s="27"/>
      <c r="H1811" s="37"/>
      <c r="I1811" s="36"/>
      <c r="K1811" s="26"/>
    </row>
    <row r="1812">
      <c r="A1812" s="35"/>
      <c r="B1812" s="36"/>
      <c r="C1812" s="26"/>
      <c r="D1812" s="27"/>
      <c r="E1812" s="27"/>
      <c r="F1812" s="36"/>
      <c r="G1812" s="27"/>
      <c r="H1812" s="37"/>
      <c r="I1812" s="36"/>
      <c r="K1812" s="26"/>
    </row>
    <row r="1813">
      <c r="A1813" s="35"/>
      <c r="B1813" s="36"/>
      <c r="C1813" s="26"/>
      <c r="D1813" s="27"/>
      <c r="E1813" s="27"/>
      <c r="F1813" s="36"/>
      <c r="G1813" s="27"/>
      <c r="H1813" s="37"/>
      <c r="I1813" s="36"/>
      <c r="K1813" s="26"/>
    </row>
    <row r="1814">
      <c r="A1814" s="35"/>
      <c r="B1814" s="36"/>
      <c r="C1814" s="26"/>
      <c r="D1814" s="27"/>
      <c r="E1814" s="27"/>
      <c r="F1814" s="36"/>
      <c r="G1814" s="27"/>
      <c r="H1814" s="37"/>
      <c r="I1814" s="36"/>
      <c r="K1814" s="26"/>
    </row>
    <row r="1815">
      <c r="A1815" s="35"/>
      <c r="B1815" s="36"/>
      <c r="C1815" s="26"/>
      <c r="D1815" s="27"/>
      <c r="E1815" s="27"/>
      <c r="F1815" s="36"/>
      <c r="G1815" s="27"/>
      <c r="H1815" s="37"/>
      <c r="I1815" s="36"/>
      <c r="K1815" s="26"/>
    </row>
    <row r="1816">
      <c r="A1816" s="35"/>
      <c r="B1816" s="36"/>
      <c r="C1816" s="26"/>
      <c r="D1816" s="27"/>
      <c r="E1816" s="27"/>
      <c r="F1816" s="36"/>
      <c r="G1816" s="27"/>
      <c r="H1816" s="37"/>
      <c r="I1816" s="36"/>
      <c r="K1816" s="26"/>
    </row>
    <row r="1817">
      <c r="A1817" s="35"/>
      <c r="B1817" s="36"/>
      <c r="C1817" s="26"/>
      <c r="D1817" s="27"/>
      <c r="E1817" s="27"/>
      <c r="F1817" s="36"/>
      <c r="G1817" s="27"/>
      <c r="H1817" s="37"/>
      <c r="I1817" s="36"/>
      <c r="K1817" s="26"/>
    </row>
    <row r="1818">
      <c r="A1818" s="35"/>
      <c r="B1818" s="36"/>
      <c r="C1818" s="26"/>
      <c r="D1818" s="27"/>
      <c r="E1818" s="27"/>
      <c r="F1818" s="36"/>
      <c r="G1818" s="27"/>
      <c r="H1818" s="37"/>
      <c r="I1818" s="36"/>
      <c r="K1818" s="26"/>
    </row>
    <row r="1819">
      <c r="A1819" s="35"/>
      <c r="B1819" s="36"/>
      <c r="C1819" s="26"/>
      <c r="D1819" s="27"/>
      <c r="E1819" s="27"/>
      <c r="F1819" s="36"/>
      <c r="G1819" s="27"/>
      <c r="H1819" s="37"/>
      <c r="I1819" s="36"/>
      <c r="K1819" s="26"/>
    </row>
    <row r="1820">
      <c r="A1820" s="35"/>
      <c r="B1820" s="36"/>
      <c r="C1820" s="26"/>
      <c r="D1820" s="27"/>
      <c r="E1820" s="27"/>
      <c r="F1820" s="36"/>
      <c r="G1820" s="27"/>
      <c r="H1820" s="37"/>
      <c r="I1820" s="36"/>
      <c r="K1820" s="26"/>
    </row>
    <row r="1821">
      <c r="A1821" s="35"/>
      <c r="B1821" s="36"/>
      <c r="C1821" s="26"/>
      <c r="D1821" s="27"/>
      <c r="E1821" s="27"/>
      <c r="F1821" s="36"/>
      <c r="G1821" s="27"/>
      <c r="H1821" s="37"/>
      <c r="I1821" s="36"/>
      <c r="K1821" s="26"/>
    </row>
    <row r="1822">
      <c r="A1822" s="35"/>
      <c r="B1822" s="36"/>
      <c r="C1822" s="26"/>
      <c r="D1822" s="27"/>
      <c r="E1822" s="27"/>
      <c r="F1822" s="36"/>
      <c r="G1822" s="27"/>
      <c r="H1822" s="37"/>
      <c r="I1822" s="36"/>
      <c r="K1822" s="26"/>
    </row>
    <row r="1823">
      <c r="A1823" s="35"/>
      <c r="B1823" s="36"/>
      <c r="C1823" s="26"/>
      <c r="D1823" s="27"/>
      <c r="E1823" s="27"/>
      <c r="F1823" s="36"/>
      <c r="G1823" s="27"/>
      <c r="H1823" s="37"/>
      <c r="I1823" s="36"/>
      <c r="K1823" s="26"/>
    </row>
    <row r="1824">
      <c r="A1824" s="35"/>
      <c r="B1824" s="36"/>
      <c r="C1824" s="26"/>
      <c r="D1824" s="27"/>
      <c r="E1824" s="27"/>
      <c r="F1824" s="36"/>
      <c r="G1824" s="27"/>
      <c r="H1824" s="37"/>
      <c r="I1824" s="36"/>
      <c r="K1824" s="26"/>
    </row>
    <row r="1825">
      <c r="A1825" s="35"/>
      <c r="B1825" s="36"/>
      <c r="C1825" s="26"/>
      <c r="D1825" s="27"/>
      <c r="E1825" s="27"/>
      <c r="F1825" s="36"/>
      <c r="G1825" s="27"/>
      <c r="H1825" s="37"/>
      <c r="I1825" s="36"/>
      <c r="K1825" s="26"/>
    </row>
    <row r="1826">
      <c r="A1826" s="35"/>
      <c r="B1826" s="36"/>
      <c r="C1826" s="26"/>
      <c r="D1826" s="27"/>
      <c r="E1826" s="27"/>
      <c r="F1826" s="36"/>
      <c r="G1826" s="27"/>
      <c r="H1826" s="37"/>
      <c r="I1826" s="36"/>
      <c r="K1826" s="26"/>
    </row>
    <row r="1827">
      <c r="A1827" s="35"/>
      <c r="B1827" s="36"/>
      <c r="C1827" s="26"/>
      <c r="D1827" s="27"/>
      <c r="E1827" s="27"/>
      <c r="F1827" s="36"/>
      <c r="G1827" s="27"/>
      <c r="H1827" s="37"/>
      <c r="I1827" s="36"/>
      <c r="K1827" s="26"/>
    </row>
    <row r="1828">
      <c r="A1828" s="35"/>
      <c r="B1828" s="36"/>
      <c r="C1828" s="26"/>
      <c r="D1828" s="27"/>
      <c r="E1828" s="27"/>
      <c r="F1828" s="36"/>
      <c r="G1828" s="27"/>
      <c r="H1828" s="37"/>
      <c r="I1828" s="36"/>
      <c r="K1828" s="26"/>
    </row>
    <row r="1829">
      <c r="A1829" s="35"/>
      <c r="B1829" s="36"/>
      <c r="C1829" s="26"/>
      <c r="D1829" s="27"/>
      <c r="E1829" s="27"/>
      <c r="F1829" s="36"/>
      <c r="G1829" s="27"/>
      <c r="H1829" s="37"/>
      <c r="I1829" s="36"/>
      <c r="K1829" s="26"/>
    </row>
    <row r="1830">
      <c r="A1830" s="35"/>
      <c r="B1830" s="36"/>
      <c r="C1830" s="26"/>
      <c r="D1830" s="27"/>
      <c r="E1830" s="27"/>
      <c r="F1830" s="36"/>
      <c r="G1830" s="27"/>
      <c r="H1830" s="37"/>
      <c r="I1830" s="36"/>
      <c r="K1830" s="26"/>
    </row>
    <row r="1831">
      <c r="A1831" s="35"/>
      <c r="B1831" s="36"/>
      <c r="C1831" s="26"/>
      <c r="D1831" s="27"/>
      <c r="E1831" s="27"/>
      <c r="F1831" s="36"/>
      <c r="G1831" s="27"/>
      <c r="H1831" s="37"/>
      <c r="I1831" s="36"/>
      <c r="K1831" s="26"/>
    </row>
    <row r="1832">
      <c r="A1832" s="35"/>
      <c r="B1832" s="36"/>
      <c r="C1832" s="26"/>
      <c r="D1832" s="27"/>
      <c r="E1832" s="27"/>
      <c r="F1832" s="36"/>
      <c r="G1832" s="27"/>
      <c r="H1832" s="37"/>
      <c r="I1832" s="36"/>
      <c r="K1832" s="26"/>
    </row>
    <row r="1833">
      <c r="A1833" s="35"/>
      <c r="B1833" s="36"/>
      <c r="C1833" s="26"/>
      <c r="D1833" s="27"/>
      <c r="E1833" s="27"/>
      <c r="F1833" s="36"/>
      <c r="G1833" s="27"/>
      <c r="H1833" s="37"/>
      <c r="I1833" s="36"/>
      <c r="K1833" s="26"/>
    </row>
    <row r="1834">
      <c r="A1834" s="35"/>
      <c r="B1834" s="36"/>
      <c r="C1834" s="26"/>
      <c r="D1834" s="27"/>
      <c r="E1834" s="27"/>
      <c r="F1834" s="36"/>
      <c r="G1834" s="27"/>
      <c r="H1834" s="37"/>
      <c r="I1834" s="36"/>
      <c r="K1834" s="26"/>
    </row>
    <row r="1835">
      <c r="A1835" s="35"/>
      <c r="B1835" s="36"/>
      <c r="C1835" s="26"/>
      <c r="D1835" s="27"/>
      <c r="E1835" s="27"/>
      <c r="F1835" s="36"/>
      <c r="G1835" s="27"/>
      <c r="H1835" s="37"/>
      <c r="I1835" s="36"/>
      <c r="K1835" s="26"/>
    </row>
    <row r="1836">
      <c r="A1836" s="35"/>
      <c r="B1836" s="36"/>
      <c r="C1836" s="26"/>
      <c r="D1836" s="27"/>
      <c r="E1836" s="27"/>
      <c r="F1836" s="36"/>
      <c r="G1836" s="27"/>
      <c r="H1836" s="37"/>
      <c r="I1836" s="36"/>
      <c r="K1836" s="26"/>
    </row>
    <row r="1837">
      <c r="A1837" s="35"/>
      <c r="B1837" s="36"/>
      <c r="C1837" s="26"/>
      <c r="D1837" s="27"/>
      <c r="E1837" s="27"/>
      <c r="F1837" s="36"/>
      <c r="G1837" s="27"/>
      <c r="H1837" s="37"/>
      <c r="I1837" s="36"/>
      <c r="K1837" s="26"/>
    </row>
    <row r="1838">
      <c r="A1838" s="35"/>
      <c r="B1838" s="36"/>
      <c r="C1838" s="26"/>
      <c r="D1838" s="27"/>
      <c r="E1838" s="27"/>
      <c r="F1838" s="36"/>
      <c r="G1838" s="27"/>
      <c r="H1838" s="37"/>
      <c r="I1838" s="36"/>
      <c r="K1838" s="26"/>
    </row>
    <row r="1839">
      <c r="A1839" s="35"/>
      <c r="B1839" s="36"/>
      <c r="C1839" s="26"/>
      <c r="D1839" s="27"/>
      <c r="E1839" s="27"/>
      <c r="F1839" s="36"/>
      <c r="G1839" s="27"/>
      <c r="H1839" s="37"/>
      <c r="I1839" s="36"/>
      <c r="K1839" s="26"/>
    </row>
    <row r="1840">
      <c r="A1840" s="35"/>
      <c r="B1840" s="36"/>
      <c r="C1840" s="26"/>
      <c r="D1840" s="27"/>
      <c r="E1840" s="27"/>
      <c r="F1840" s="36"/>
      <c r="G1840" s="27"/>
      <c r="H1840" s="37"/>
      <c r="I1840" s="36"/>
      <c r="K1840" s="26"/>
    </row>
    <row r="1841">
      <c r="A1841" s="35"/>
      <c r="B1841" s="36"/>
      <c r="C1841" s="26"/>
      <c r="D1841" s="27"/>
      <c r="E1841" s="27"/>
      <c r="F1841" s="36"/>
      <c r="G1841" s="27"/>
      <c r="H1841" s="37"/>
      <c r="I1841" s="36"/>
      <c r="K1841" s="26"/>
    </row>
    <row r="1842">
      <c r="A1842" s="35"/>
      <c r="B1842" s="36"/>
      <c r="C1842" s="26"/>
      <c r="D1842" s="27"/>
      <c r="E1842" s="27"/>
      <c r="F1842" s="36"/>
      <c r="G1842" s="27"/>
      <c r="H1842" s="37"/>
      <c r="I1842" s="36"/>
      <c r="K1842" s="26"/>
    </row>
    <row r="1843">
      <c r="A1843" s="35"/>
      <c r="B1843" s="36"/>
      <c r="C1843" s="26"/>
      <c r="D1843" s="27"/>
      <c r="E1843" s="27"/>
      <c r="F1843" s="36"/>
      <c r="G1843" s="27"/>
      <c r="H1843" s="37"/>
      <c r="I1843" s="36"/>
      <c r="K1843" s="26"/>
    </row>
    <row r="1844">
      <c r="A1844" s="35"/>
      <c r="B1844" s="36"/>
      <c r="C1844" s="26"/>
      <c r="D1844" s="27"/>
      <c r="E1844" s="27"/>
      <c r="F1844" s="36"/>
      <c r="G1844" s="27"/>
      <c r="H1844" s="37"/>
      <c r="I1844" s="36"/>
      <c r="K1844" s="26"/>
    </row>
    <row r="1845">
      <c r="A1845" s="35"/>
      <c r="B1845" s="36"/>
      <c r="C1845" s="26"/>
      <c r="D1845" s="27"/>
      <c r="E1845" s="27"/>
      <c r="F1845" s="36"/>
      <c r="G1845" s="27"/>
      <c r="H1845" s="37"/>
      <c r="I1845" s="36"/>
      <c r="K1845" s="26"/>
    </row>
    <row r="1846">
      <c r="A1846" s="35"/>
      <c r="B1846" s="36"/>
      <c r="C1846" s="26"/>
      <c r="D1846" s="27"/>
      <c r="E1846" s="27"/>
      <c r="F1846" s="36"/>
      <c r="G1846" s="27"/>
      <c r="H1846" s="37"/>
      <c r="I1846" s="36"/>
      <c r="K1846" s="26"/>
    </row>
    <row r="1847">
      <c r="A1847" s="35"/>
      <c r="B1847" s="36"/>
      <c r="C1847" s="26"/>
      <c r="D1847" s="27"/>
      <c r="E1847" s="27"/>
      <c r="F1847" s="36"/>
      <c r="G1847" s="27"/>
      <c r="H1847" s="37"/>
      <c r="I1847" s="36"/>
      <c r="K1847" s="26"/>
    </row>
    <row r="1848">
      <c r="A1848" s="35"/>
      <c r="B1848" s="36"/>
      <c r="C1848" s="26"/>
      <c r="D1848" s="27"/>
      <c r="E1848" s="27"/>
      <c r="F1848" s="36"/>
      <c r="G1848" s="27"/>
      <c r="H1848" s="37"/>
      <c r="I1848" s="36"/>
      <c r="K1848" s="26"/>
    </row>
    <row r="1849">
      <c r="A1849" s="35"/>
      <c r="B1849" s="36"/>
      <c r="C1849" s="26"/>
      <c r="D1849" s="27"/>
      <c r="E1849" s="27"/>
      <c r="F1849" s="36"/>
      <c r="G1849" s="27"/>
      <c r="H1849" s="37"/>
      <c r="I1849" s="36"/>
      <c r="K1849" s="26"/>
    </row>
    <row r="1850">
      <c r="A1850" s="35"/>
      <c r="B1850" s="36"/>
      <c r="C1850" s="26"/>
      <c r="D1850" s="27"/>
      <c r="E1850" s="27"/>
      <c r="F1850" s="36"/>
      <c r="G1850" s="27"/>
      <c r="H1850" s="37"/>
      <c r="I1850" s="36"/>
      <c r="K1850" s="26"/>
    </row>
    <row r="1851">
      <c r="A1851" s="35"/>
      <c r="B1851" s="36"/>
      <c r="C1851" s="26"/>
      <c r="D1851" s="27"/>
      <c r="E1851" s="27"/>
      <c r="F1851" s="36"/>
      <c r="G1851" s="27"/>
      <c r="H1851" s="37"/>
      <c r="I1851" s="36"/>
      <c r="K1851" s="26"/>
    </row>
    <row r="1852">
      <c r="A1852" s="35"/>
      <c r="B1852" s="36"/>
      <c r="C1852" s="26"/>
      <c r="D1852" s="27"/>
      <c r="E1852" s="27"/>
      <c r="F1852" s="36"/>
      <c r="G1852" s="27"/>
      <c r="H1852" s="37"/>
      <c r="I1852" s="36"/>
      <c r="K1852" s="26"/>
    </row>
    <row r="1853">
      <c r="A1853" s="35"/>
      <c r="B1853" s="36"/>
      <c r="C1853" s="26"/>
      <c r="D1853" s="27"/>
      <c r="E1853" s="27"/>
      <c r="F1853" s="36"/>
      <c r="G1853" s="27"/>
      <c r="H1853" s="37"/>
      <c r="I1853" s="36"/>
      <c r="K1853" s="26"/>
    </row>
    <row r="1854">
      <c r="A1854" s="35"/>
      <c r="B1854" s="36"/>
      <c r="C1854" s="26"/>
      <c r="D1854" s="27"/>
      <c r="E1854" s="27"/>
      <c r="F1854" s="36"/>
      <c r="G1854" s="27"/>
      <c r="H1854" s="37"/>
      <c r="I1854" s="36"/>
      <c r="K1854" s="26"/>
    </row>
    <row r="1855">
      <c r="A1855" s="35"/>
      <c r="B1855" s="36"/>
      <c r="C1855" s="26"/>
      <c r="D1855" s="27"/>
      <c r="E1855" s="27"/>
      <c r="F1855" s="36"/>
      <c r="G1855" s="27"/>
      <c r="H1855" s="37"/>
      <c r="I1855" s="36"/>
      <c r="K1855" s="26"/>
    </row>
    <row r="1856">
      <c r="A1856" s="35"/>
      <c r="B1856" s="36"/>
      <c r="C1856" s="26"/>
      <c r="D1856" s="27"/>
      <c r="E1856" s="27"/>
      <c r="F1856" s="36"/>
      <c r="G1856" s="27"/>
      <c r="H1856" s="37"/>
      <c r="I1856" s="36"/>
      <c r="K1856" s="26"/>
    </row>
    <row r="1857">
      <c r="A1857" s="35"/>
      <c r="B1857" s="36"/>
      <c r="C1857" s="26"/>
      <c r="D1857" s="27"/>
      <c r="E1857" s="27"/>
      <c r="F1857" s="36"/>
      <c r="G1857" s="27"/>
      <c r="H1857" s="37"/>
      <c r="I1857" s="36"/>
      <c r="K1857" s="26"/>
    </row>
  </sheetData>
  <autoFilter ref="$A$1:$S$163"/>
  <conditionalFormatting sqref="L2:L1857">
    <cfRule type="cellIs" dxfId="0" priority="1" operator="equal">
      <formula>"DELIVERED"</formula>
    </cfRule>
  </conditionalFormatting>
  <hyperlinks>
    <hyperlink r:id="rId1" ref="P167"/>
    <hyperlink r:id="rId2" ref="P168"/>
  </hyperlin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13.75"/>
    <col customWidth="1" min="3" max="4" width="15.63"/>
    <col customWidth="1" min="7" max="7" width="17.88"/>
    <col customWidth="1" min="8" max="8" width="16.0"/>
    <col customWidth="1" min="11" max="11" width="29.38"/>
  </cols>
  <sheetData>
    <row r="1">
      <c r="A1" s="22" t="s">
        <v>4</v>
      </c>
      <c r="B1" s="22" t="s">
        <v>11</v>
      </c>
      <c r="C1" s="22" t="s">
        <v>1</v>
      </c>
      <c r="D1" s="22" t="s">
        <v>19</v>
      </c>
      <c r="E1" s="22" t="s">
        <v>24</v>
      </c>
      <c r="F1" s="22" t="s">
        <v>28</v>
      </c>
      <c r="G1" s="22" t="s">
        <v>181</v>
      </c>
      <c r="H1" s="22" t="s">
        <v>37</v>
      </c>
      <c r="I1" s="22" t="s">
        <v>43</v>
      </c>
      <c r="J1" s="22" t="s">
        <v>46</v>
      </c>
      <c r="K1" s="22" t="s">
        <v>50</v>
      </c>
      <c r="L1" s="43" t="s">
        <v>261</v>
      </c>
      <c r="M1" s="43" t="s">
        <v>57</v>
      </c>
      <c r="N1" s="43" t="s">
        <v>60</v>
      </c>
      <c r="O1" s="43" t="s">
        <v>1905</v>
      </c>
      <c r="P1" s="43" t="s">
        <v>67</v>
      </c>
    </row>
    <row r="2">
      <c r="A2" s="44">
        <v>46118.379359398146</v>
      </c>
      <c r="B2" s="45" t="s">
        <v>91</v>
      </c>
      <c r="C2" s="46"/>
      <c r="D2" s="47"/>
      <c r="E2" s="47"/>
      <c r="F2" s="45">
        <v>1.0</v>
      </c>
      <c r="G2" s="47"/>
      <c r="H2" s="48"/>
      <c r="I2" s="45" t="s">
        <v>146</v>
      </c>
      <c r="J2" s="49" t="s">
        <v>51</v>
      </c>
      <c r="K2" s="46" t="s">
        <v>1908</v>
      </c>
      <c r="L2" s="49"/>
    </row>
    <row r="3">
      <c r="A3" s="44">
        <v>46118.38172577546</v>
      </c>
      <c r="B3" s="45" t="s">
        <v>91</v>
      </c>
      <c r="C3" s="46"/>
      <c r="D3" s="47"/>
      <c r="E3" s="47"/>
      <c r="F3" s="45">
        <v>1.0</v>
      </c>
      <c r="G3" s="47"/>
      <c r="H3" s="48"/>
      <c r="I3" s="45" t="s">
        <v>146</v>
      </c>
      <c r="J3" s="49" t="s">
        <v>51</v>
      </c>
      <c r="K3" s="46" t="s">
        <v>1912</v>
      </c>
      <c r="L3" s="49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>
      <c r="A4" s="44">
        <v>46118.384080289354</v>
      </c>
      <c r="B4" s="45" t="s">
        <v>91</v>
      </c>
      <c r="C4" s="46"/>
      <c r="D4" s="47"/>
      <c r="E4" s="47"/>
      <c r="F4" s="45">
        <v>1.0</v>
      </c>
      <c r="G4" s="47"/>
      <c r="H4" s="48"/>
      <c r="I4" s="45" t="s">
        <v>146</v>
      </c>
      <c r="J4" s="49" t="s">
        <v>35</v>
      </c>
      <c r="K4" s="46" t="s">
        <v>1918</v>
      </c>
      <c r="L4" s="49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</row>
    <row r="5">
      <c r="A5" s="44">
        <v>46118.39772037037</v>
      </c>
      <c r="B5" s="45" t="s">
        <v>91</v>
      </c>
      <c r="C5" s="46"/>
      <c r="D5" s="47"/>
      <c r="E5" s="47"/>
      <c r="F5" s="45">
        <v>1.0</v>
      </c>
      <c r="G5" s="47"/>
      <c r="H5" s="48"/>
      <c r="I5" s="45" t="s">
        <v>146</v>
      </c>
      <c r="J5" s="49" t="s">
        <v>35</v>
      </c>
      <c r="K5" s="46" t="s">
        <v>1924</v>
      </c>
      <c r="L5" s="49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</row>
    <row r="6" ht="17.25" customHeight="1">
      <c r="A6" s="44">
        <v>46118.42010320602</v>
      </c>
      <c r="B6" s="45" t="s">
        <v>91</v>
      </c>
      <c r="C6" s="46"/>
      <c r="D6" s="47"/>
      <c r="E6" s="47"/>
      <c r="F6" s="45">
        <v>1.0</v>
      </c>
      <c r="G6" s="47"/>
      <c r="H6" s="48"/>
      <c r="I6" s="45" t="s">
        <v>224</v>
      </c>
      <c r="J6" s="49" t="s">
        <v>51</v>
      </c>
      <c r="K6" s="46" t="s">
        <v>1929</v>
      </c>
      <c r="L6" s="49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</row>
    <row r="7">
      <c r="A7" s="44">
        <v>46118.374759074075</v>
      </c>
      <c r="B7" s="45" t="s">
        <v>91</v>
      </c>
      <c r="C7" s="46"/>
      <c r="D7" s="47"/>
      <c r="E7" s="47"/>
      <c r="F7" s="45">
        <v>2.0</v>
      </c>
      <c r="G7" s="47"/>
      <c r="H7" s="48"/>
      <c r="I7" s="45" t="s">
        <v>146</v>
      </c>
      <c r="J7" s="49" t="s">
        <v>51</v>
      </c>
      <c r="K7" s="46" t="s">
        <v>1933</v>
      </c>
      <c r="L7" s="49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</row>
    <row r="8">
      <c r="A8" s="44">
        <v>46118.37764481481</v>
      </c>
      <c r="B8" s="45" t="s">
        <v>91</v>
      </c>
      <c r="C8" s="46"/>
      <c r="D8" s="47"/>
      <c r="E8" s="47"/>
      <c r="F8" s="45">
        <v>2.0</v>
      </c>
      <c r="G8" s="47"/>
      <c r="H8" s="48"/>
      <c r="I8" s="45" t="s">
        <v>146</v>
      </c>
      <c r="J8" s="49" t="s">
        <v>51</v>
      </c>
      <c r="K8" s="46" t="s">
        <v>1936</v>
      </c>
      <c r="L8" s="49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</row>
    <row r="9">
      <c r="A9" s="44">
        <v>46118.400715254626</v>
      </c>
      <c r="B9" s="45" t="s">
        <v>91</v>
      </c>
      <c r="C9" s="46"/>
      <c r="D9" s="47"/>
      <c r="E9" s="47"/>
      <c r="F9" s="45">
        <v>2.0</v>
      </c>
      <c r="G9" s="47"/>
      <c r="H9" s="48"/>
      <c r="I9" s="45" t="s">
        <v>146</v>
      </c>
      <c r="J9" s="49" t="s">
        <v>35</v>
      </c>
      <c r="K9" s="46" t="s">
        <v>1939</v>
      </c>
      <c r="L9" s="49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</row>
    <row r="10">
      <c r="A10" s="44">
        <v>46118.403920439814</v>
      </c>
      <c r="B10" s="45" t="s">
        <v>91</v>
      </c>
      <c r="C10" s="46"/>
      <c r="D10" s="47"/>
      <c r="E10" s="47"/>
      <c r="F10" s="45">
        <v>2.0</v>
      </c>
      <c r="G10" s="47"/>
      <c r="H10" s="48"/>
      <c r="I10" s="45" t="s">
        <v>146</v>
      </c>
      <c r="J10" s="49" t="s">
        <v>35</v>
      </c>
      <c r="K10" s="46" t="s">
        <v>1941</v>
      </c>
      <c r="L10" s="49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</row>
    <row r="11">
      <c r="A11" s="44">
        <v>46115.37808362269</v>
      </c>
      <c r="B11" s="45" t="s">
        <v>91</v>
      </c>
      <c r="C11" s="46" t="s">
        <v>113</v>
      </c>
      <c r="D11" s="47"/>
      <c r="E11" s="47">
        <v>5019.0</v>
      </c>
      <c r="F11" s="45">
        <v>3.0</v>
      </c>
      <c r="G11" s="47"/>
      <c r="H11" s="48"/>
      <c r="I11" s="45" t="s">
        <v>189</v>
      </c>
      <c r="J11" s="49" t="s">
        <v>51</v>
      </c>
      <c r="K11" s="46" t="s">
        <v>1944</v>
      </c>
      <c r="L11" s="49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</row>
    <row r="12">
      <c r="A12" s="44">
        <v>46118.36096049768</v>
      </c>
      <c r="B12" s="45" t="s">
        <v>91</v>
      </c>
      <c r="C12" s="46"/>
      <c r="D12" s="47"/>
      <c r="E12" s="47"/>
      <c r="F12" s="45">
        <v>3.0</v>
      </c>
      <c r="G12" s="47"/>
      <c r="H12" s="48"/>
      <c r="I12" s="45" t="s">
        <v>146</v>
      </c>
      <c r="J12" s="49" t="s">
        <v>51</v>
      </c>
      <c r="K12" s="46" t="s">
        <v>1947</v>
      </c>
      <c r="L12" s="49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</row>
    <row r="13">
      <c r="A13" s="44">
        <v>46118.366827060185</v>
      </c>
      <c r="B13" s="45" t="s">
        <v>91</v>
      </c>
      <c r="C13" s="46"/>
      <c r="D13" s="47"/>
      <c r="E13" s="47"/>
      <c r="F13" s="45">
        <v>3.0</v>
      </c>
      <c r="G13" s="47"/>
      <c r="H13" s="48"/>
      <c r="I13" s="45" t="s">
        <v>146</v>
      </c>
      <c r="J13" s="49" t="s">
        <v>51</v>
      </c>
      <c r="K13" s="46" t="s">
        <v>1950</v>
      </c>
      <c r="L13" s="49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</row>
    <row r="14">
      <c r="A14" s="44">
        <v>46118.36725189815</v>
      </c>
      <c r="B14" s="45" t="s">
        <v>91</v>
      </c>
      <c r="C14" s="46"/>
      <c r="D14" s="47"/>
      <c r="E14" s="47"/>
      <c r="F14" s="45">
        <v>3.0</v>
      </c>
      <c r="G14" s="47"/>
      <c r="H14" s="48"/>
      <c r="I14" s="45" t="s">
        <v>146</v>
      </c>
      <c r="J14" s="49" t="s">
        <v>51</v>
      </c>
      <c r="K14" s="46" t="s">
        <v>1953</v>
      </c>
      <c r="L14" s="49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</row>
    <row r="15">
      <c r="A15" s="44">
        <v>46118.405195914354</v>
      </c>
      <c r="B15" s="45" t="s">
        <v>91</v>
      </c>
      <c r="C15" s="46"/>
      <c r="D15" s="47"/>
      <c r="E15" s="47"/>
      <c r="F15" s="45">
        <v>3.0</v>
      </c>
      <c r="G15" s="47"/>
      <c r="H15" s="48"/>
      <c r="I15" s="45" t="s">
        <v>146</v>
      </c>
      <c r="J15" s="49" t="s">
        <v>35</v>
      </c>
      <c r="K15" s="46" t="s">
        <v>1955</v>
      </c>
      <c r="L15" s="49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>
      <c r="A16" s="44">
        <v>46118.371060219906</v>
      </c>
      <c r="B16" s="45" t="s">
        <v>91</v>
      </c>
      <c r="C16" s="46"/>
      <c r="D16" s="47"/>
      <c r="E16" s="47"/>
      <c r="F16" s="45">
        <v>4.0</v>
      </c>
      <c r="G16" s="47"/>
      <c r="H16" s="48"/>
      <c r="I16" s="45" t="s">
        <v>146</v>
      </c>
      <c r="J16" s="49" t="s">
        <v>51</v>
      </c>
      <c r="K16" s="46" t="s">
        <v>1956</v>
      </c>
      <c r="L16" s="49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</row>
    <row r="17">
      <c r="A17" s="44">
        <v>46118.3738112037</v>
      </c>
      <c r="B17" s="45" t="s">
        <v>91</v>
      </c>
      <c r="C17" s="46"/>
      <c r="D17" s="47"/>
      <c r="E17" s="47"/>
      <c r="F17" s="45">
        <v>4.0</v>
      </c>
      <c r="G17" s="47"/>
      <c r="H17" s="48"/>
      <c r="I17" s="45" t="s">
        <v>146</v>
      </c>
      <c r="J17" s="49" t="s">
        <v>51</v>
      </c>
      <c r="K17" s="46" t="s">
        <v>1957</v>
      </c>
      <c r="L17" s="49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>
      <c r="A18" s="44">
        <v>46115.380639201394</v>
      </c>
      <c r="B18" s="45" t="s">
        <v>91</v>
      </c>
      <c r="C18" s="46" t="s">
        <v>117</v>
      </c>
      <c r="D18" s="47"/>
      <c r="E18" s="47">
        <v>4384.0</v>
      </c>
      <c r="F18" s="45">
        <v>5.0</v>
      </c>
      <c r="G18" s="47"/>
      <c r="H18" s="48"/>
      <c r="I18" s="45" t="s">
        <v>189</v>
      </c>
      <c r="J18" s="49" t="s">
        <v>51</v>
      </c>
      <c r="K18" s="46" t="s">
        <v>1960</v>
      </c>
      <c r="L18" s="49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</row>
    <row r="19">
      <c r="A19" s="44">
        <v>46118.34909841436</v>
      </c>
      <c r="B19" s="45" t="s">
        <v>91</v>
      </c>
      <c r="C19" s="46"/>
      <c r="D19" s="47"/>
      <c r="E19" s="47"/>
      <c r="F19" s="45">
        <v>5.0</v>
      </c>
      <c r="G19" s="47"/>
      <c r="H19" s="48"/>
      <c r="I19" s="45" t="s">
        <v>146</v>
      </c>
      <c r="J19" s="49" t="s">
        <v>51</v>
      </c>
      <c r="K19" s="46" t="s">
        <v>1961</v>
      </c>
      <c r="L19" s="49"/>
    </row>
    <row r="20">
      <c r="A20" s="44">
        <v>46118.4142140162</v>
      </c>
      <c r="B20" s="45" t="s">
        <v>91</v>
      </c>
      <c r="C20" s="46"/>
      <c r="D20" s="47"/>
      <c r="E20" s="47"/>
      <c r="F20" s="45">
        <v>6.0</v>
      </c>
      <c r="G20" s="47"/>
      <c r="H20" s="48"/>
      <c r="I20" s="45" t="s">
        <v>146</v>
      </c>
      <c r="J20" s="49" t="s">
        <v>35</v>
      </c>
      <c r="K20" s="46" t="s">
        <v>1963</v>
      </c>
      <c r="L20" s="49"/>
    </row>
    <row r="21">
      <c r="A21" s="44">
        <v>46118.3335190625</v>
      </c>
      <c r="B21" s="45" t="s">
        <v>91</v>
      </c>
      <c r="C21" s="46"/>
      <c r="D21" s="47"/>
      <c r="E21" s="47"/>
      <c r="F21" s="45">
        <v>7.0</v>
      </c>
      <c r="G21" s="47"/>
      <c r="H21" s="48"/>
      <c r="I21" s="45" t="s">
        <v>154</v>
      </c>
      <c r="J21" s="49" t="s">
        <v>51</v>
      </c>
      <c r="K21" s="46" t="s">
        <v>1965</v>
      </c>
      <c r="L21" s="49"/>
    </row>
    <row r="22">
      <c r="A22" s="44">
        <v>46115.376039166666</v>
      </c>
      <c r="B22" s="45" t="s">
        <v>91</v>
      </c>
      <c r="C22" s="46" t="s">
        <v>861</v>
      </c>
      <c r="D22" s="47" t="s">
        <v>1922</v>
      </c>
      <c r="E22" s="47">
        <v>5004.0</v>
      </c>
      <c r="F22" s="45">
        <v>8.0</v>
      </c>
      <c r="G22" s="47"/>
      <c r="H22" s="48"/>
      <c r="I22" s="45" t="s">
        <v>189</v>
      </c>
      <c r="J22" s="49" t="s">
        <v>51</v>
      </c>
      <c r="K22" s="46" t="s">
        <v>1967</v>
      </c>
      <c r="L22" s="49"/>
    </row>
    <row r="23">
      <c r="A23" s="44">
        <v>46118.320358425924</v>
      </c>
      <c r="B23" s="45" t="s">
        <v>91</v>
      </c>
      <c r="C23" s="46"/>
      <c r="D23" s="47"/>
      <c r="E23" s="47"/>
      <c r="F23" s="45">
        <v>8.0</v>
      </c>
      <c r="G23" s="47"/>
      <c r="H23" s="48"/>
      <c r="I23" s="45" t="s">
        <v>154</v>
      </c>
      <c r="J23" s="49" t="s">
        <v>51</v>
      </c>
      <c r="K23" s="46" t="s">
        <v>1965</v>
      </c>
      <c r="L23" s="49"/>
    </row>
    <row r="24">
      <c r="A24" s="44">
        <v>46115.38498430555</v>
      </c>
      <c r="B24" s="45" t="s">
        <v>91</v>
      </c>
      <c r="C24" s="46" t="s">
        <v>882</v>
      </c>
      <c r="D24" s="47"/>
      <c r="E24" s="47" t="s">
        <v>1972</v>
      </c>
      <c r="F24" s="45">
        <v>10.0</v>
      </c>
      <c r="G24" s="47"/>
      <c r="H24" s="48"/>
      <c r="I24" s="45" t="s">
        <v>189</v>
      </c>
      <c r="J24" s="49" t="s">
        <v>51</v>
      </c>
      <c r="K24" s="46" t="s">
        <v>1974</v>
      </c>
      <c r="L24" s="49"/>
    </row>
    <row r="25">
      <c r="A25" s="44">
        <v>46118.31618090278</v>
      </c>
      <c r="B25" s="45" t="s">
        <v>91</v>
      </c>
      <c r="C25" s="46"/>
      <c r="D25" s="47"/>
      <c r="E25" s="47"/>
      <c r="F25" s="45">
        <v>11.0</v>
      </c>
      <c r="G25" s="47"/>
      <c r="H25" s="48"/>
      <c r="I25" s="45" t="s">
        <v>154</v>
      </c>
      <c r="J25" s="49" t="s">
        <v>51</v>
      </c>
      <c r="K25" s="46" t="s">
        <v>1976</v>
      </c>
      <c r="L25" s="49"/>
    </row>
    <row r="26">
      <c r="A26" s="44">
        <v>46118.32167275463</v>
      </c>
      <c r="B26" s="45" t="s">
        <v>91</v>
      </c>
      <c r="C26" s="46"/>
      <c r="D26" s="47"/>
      <c r="E26" s="47"/>
      <c r="F26" s="45">
        <v>11.0</v>
      </c>
      <c r="G26" s="47"/>
      <c r="H26" s="48"/>
      <c r="I26" s="45" t="s">
        <v>154</v>
      </c>
      <c r="J26" s="49" t="s">
        <v>51</v>
      </c>
      <c r="K26" s="46" t="s">
        <v>1977</v>
      </c>
      <c r="L26" s="49"/>
    </row>
    <row r="27">
      <c r="A27" s="44">
        <v>46118.35122751158</v>
      </c>
      <c r="B27" s="45" t="s">
        <v>91</v>
      </c>
      <c r="C27" s="46"/>
      <c r="D27" s="47"/>
      <c r="E27" s="47"/>
      <c r="F27" s="45">
        <v>11.0</v>
      </c>
      <c r="G27" s="47"/>
      <c r="H27" s="48"/>
      <c r="I27" s="45" t="s">
        <v>146</v>
      </c>
      <c r="J27" s="49" t="s">
        <v>51</v>
      </c>
      <c r="K27" s="46" t="s">
        <v>1979</v>
      </c>
      <c r="L27" s="49"/>
    </row>
    <row r="28">
      <c r="A28" s="44">
        <v>46118.32720712963</v>
      </c>
      <c r="B28" s="45" t="s">
        <v>91</v>
      </c>
      <c r="C28" s="46"/>
      <c r="D28" s="47"/>
      <c r="E28" s="47"/>
      <c r="F28" s="45">
        <v>13.0</v>
      </c>
      <c r="G28" s="47"/>
      <c r="H28" s="48"/>
      <c r="I28" s="45" t="s">
        <v>154</v>
      </c>
      <c r="J28" s="49" t="s">
        <v>51</v>
      </c>
      <c r="K28" s="46" t="s">
        <v>1982</v>
      </c>
      <c r="L28" s="49"/>
    </row>
    <row r="29">
      <c r="A29" s="44">
        <v>46118.34748752315</v>
      </c>
      <c r="B29" s="45" t="s">
        <v>91</v>
      </c>
      <c r="C29" s="46"/>
      <c r="D29" s="47"/>
      <c r="E29" s="47"/>
      <c r="F29" s="45">
        <v>19.0</v>
      </c>
      <c r="G29" s="47"/>
      <c r="H29" s="48"/>
      <c r="I29" s="45" t="s">
        <v>146</v>
      </c>
      <c r="J29" s="49" t="s">
        <v>51</v>
      </c>
      <c r="K29" s="46" t="s">
        <v>1965</v>
      </c>
      <c r="L29" s="49"/>
    </row>
    <row r="30">
      <c r="A30" s="44">
        <v>46118.325123703704</v>
      </c>
      <c r="B30" s="45" t="s">
        <v>91</v>
      </c>
      <c r="C30" s="46"/>
      <c r="D30" s="47"/>
      <c r="E30" s="47"/>
      <c r="F30" s="45">
        <v>20.0</v>
      </c>
      <c r="G30" s="47"/>
      <c r="H30" s="48"/>
      <c r="I30" s="45" t="s">
        <v>154</v>
      </c>
      <c r="J30" s="49" t="s">
        <v>51</v>
      </c>
      <c r="K30" s="46" t="s">
        <v>1988</v>
      </c>
      <c r="L30" s="49"/>
    </row>
    <row r="31">
      <c r="A31" s="44">
        <v>46118.32600971065</v>
      </c>
      <c r="B31" s="45" t="s">
        <v>91</v>
      </c>
      <c r="C31" s="46"/>
      <c r="D31" s="47"/>
      <c r="E31" s="47"/>
      <c r="F31" s="45">
        <v>20.0</v>
      </c>
      <c r="G31" s="47"/>
      <c r="H31" s="48"/>
      <c r="I31" s="45" t="s">
        <v>154</v>
      </c>
      <c r="J31" s="49" t="s">
        <v>51</v>
      </c>
      <c r="K31" s="46" t="s">
        <v>1988</v>
      </c>
      <c r="L31" s="49"/>
    </row>
    <row r="32">
      <c r="A32" s="44">
        <v>46118.330182986116</v>
      </c>
      <c r="B32" s="45" t="s">
        <v>91</v>
      </c>
      <c r="C32" s="46"/>
      <c r="D32" s="47"/>
      <c r="E32" s="47"/>
      <c r="F32" s="45">
        <v>20.0</v>
      </c>
      <c r="G32" s="47"/>
      <c r="H32" s="48"/>
      <c r="I32" s="45" t="s">
        <v>154</v>
      </c>
      <c r="J32" s="49" t="s">
        <v>51</v>
      </c>
      <c r="K32" s="46" t="s">
        <v>1994</v>
      </c>
      <c r="L32" s="49"/>
    </row>
    <row r="33">
      <c r="A33" s="44">
        <v>46118.33670201389</v>
      </c>
      <c r="B33" s="45" t="s">
        <v>91</v>
      </c>
      <c r="C33" s="46"/>
      <c r="D33" s="47"/>
      <c r="E33" s="47"/>
      <c r="F33" s="45">
        <v>20.0</v>
      </c>
      <c r="G33" s="47"/>
      <c r="H33" s="48"/>
      <c r="I33" s="45" t="s">
        <v>146</v>
      </c>
      <c r="J33" s="49" t="s">
        <v>51</v>
      </c>
      <c r="K33" s="46" t="s">
        <v>1994</v>
      </c>
      <c r="L33" s="49"/>
    </row>
    <row r="34">
      <c r="A34" s="44">
        <v>46118.34166017361</v>
      </c>
      <c r="B34" s="45" t="s">
        <v>91</v>
      </c>
      <c r="C34" s="46"/>
      <c r="D34" s="47"/>
      <c r="E34" s="47"/>
      <c r="F34" s="45">
        <v>20.0</v>
      </c>
      <c r="G34" s="47"/>
      <c r="H34" s="48"/>
      <c r="I34" s="45" t="s">
        <v>146</v>
      </c>
      <c r="J34" s="49" t="s">
        <v>51</v>
      </c>
      <c r="K34" s="46" t="s">
        <v>2004</v>
      </c>
      <c r="L34" s="49"/>
    </row>
    <row r="35">
      <c r="A35" s="44"/>
      <c r="B35" s="45"/>
      <c r="C35" s="46"/>
      <c r="D35" s="47"/>
      <c r="E35" s="47"/>
      <c r="F35" s="45"/>
      <c r="G35" s="47"/>
      <c r="H35" s="48"/>
      <c r="I35" s="45"/>
      <c r="J35" s="49"/>
      <c r="K35" s="46"/>
      <c r="L35" s="49"/>
    </row>
    <row r="36">
      <c r="A36" s="44"/>
      <c r="B36" s="45"/>
      <c r="C36" s="46"/>
      <c r="D36" s="47"/>
      <c r="E36" s="47"/>
      <c r="F36" s="45"/>
      <c r="G36" s="47"/>
      <c r="H36" s="48"/>
      <c r="I36" s="45"/>
      <c r="J36" s="49"/>
      <c r="K36" s="46"/>
      <c r="L36" s="49"/>
    </row>
    <row r="37">
      <c r="A37" s="44"/>
      <c r="B37" s="45"/>
      <c r="C37" s="46"/>
      <c r="D37" s="47"/>
      <c r="E37" s="47"/>
      <c r="F37" s="45"/>
      <c r="G37" s="47"/>
      <c r="H37" s="48"/>
      <c r="I37" s="45"/>
      <c r="J37" s="49"/>
      <c r="K37" s="46"/>
      <c r="L37" s="49"/>
    </row>
    <row r="38">
      <c r="A38" s="44"/>
      <c r="B38" s="45"/>
      <c r="C38" s="46"/>
      <c r="D38" s="47"/>
      <c r="E38" s="47"/>
      <c r="F38" s="45"/>
      <c r="G38" s="47"/>
      <c r="H38" s="48"/>
      <c r="I38" s="45"/>
      <c r="J38" s="49"/>
      <c r="K38" s="46"/>
      <c r="L38" s="49"/>
    </row>
    <row r="39">
      <c r="A39" s="44"/>
      <c r="B39" s="45"/>
      <c r="C39" s="46"/>
      <c r="D39" s="47"/>
      <c r="E39" s="47"/>
      <c r="F39" s="45"/>
      <c r="G39" s="47"/>
      <c r="H39" s="48"/>
      <c r="I39" s="45"/>
      <c r="J39" s="49"/>
      <c r="K39" s="46"/>
      <c r="L39" s="49"/>
    </row>
    <row r="40">
      <c r="A40" s="44"/>
      <c r="B40" s="45"/>
      <c r="C40" s="46"/>
      <c r="D40" s="47"/>
      <c r="E40" s="47"/>
      <c r="F40" s="45"/>
      <c r="G40" s="47"/>
      <c r="H40" s="48"/>
      <c r="I40" s="45"/>
      <c r="J40" s="49"/>
      <c r="K40" s="46"/>
      <c r="L40" s="49"/>
    </row>
    <row r="41">
      <c r="A41" s="44"/>
      <c r="B41" s="45"/>
      <c r="C41" s="46"/>
      <c r="D41" s="47"/>
      <c r="E41" s="47"/>
      <c r="F41" s="45"/>
      <c r="G41" s="47"/>
      <c r="H41" s="48"/>
      <c r="I41" s="45"/>
      <c r="J41" s="49"/>
      <c r="K41" s="46"/>
      <c r="L41" s="49"/>
    </row>
    <row r="42">
      <c r="A42" s="44"/>
      <c r="B42" s="45"/>
      <c r="C42" s="46"/>
      <c r="D42" s="47"/>
      <c r="E42" s="47"/>
      <c r="F42" s="45"/>
      <c r="G42" s="47"/>
      <c r="H42" s="48"/>
      <c r="I42" s="45"/>
      <c r="J42" s="49"/>
      <c r="K42" s="46"/>
      <c r="L42" s="49"/>
    </row>
    <row r="43">
      <c r="A43" s="44"/>
      <c r="B43" s="45"/>
      <c r="C43" s="46"/>
      <c r="D43" s="47"/>
      <c r="E43" s="47"/>
      <c r="F43" s="45"/>
      <c r="G43" s="47"/>
      <c r="H43" s="48"/>
      <c r="I43" s="45"/>
      <c r="J43" s="49"/>
      <c r="K43" s="46"/>
      <c r="L43" s="49"/>
    </row>
    <row r="44">
      <c r="A44" s="44"/>
      <c r="B44" s="45"/>
      <c r="C44" s="46"/>
      <c r="D44" s="47"/>
      <c r="E44" s="47"/>
      <c r="F44" s="45"/>
      <c r="G44" s="47"/>
      <c r="H44" s="48"/>
      <c r="I44" s="45"/>
      <c r="J44" s="49"/>
      <c r="K44" s="46"/>
      <c r="L44" s="49"/>
    </row>
    <row r="45">
      <c r="A45" s="44"/>
      <c r="B45" s="45"/>
      <c r="C45" s="46"/>
      <c r="D45" s="47"/>
      <c r="E45" s="47"/>
      <c r="F45" s="45"/>
      <c r="G45" s="47"/>
      <c r="H45" s="48"/>
      <c r="I45" s="45"/>
      <c r="J45" s="49"/>
      <c r="K45" s="46"/>
      <c r="L45" s="49"/>
    </row>
    <row r="46">
      <c r="A46" s="44"/>
      <c r="B46" s="45"/>
      <c r="C46" s="46"/>
      <c r="D46" s="47"/>
      <c r="E46" s="47"/>
      <c r="F46" s="45"/>
      <c r="G46" s="47"/>
      <c r="H46" s="48"/>
      <c r="I46" s="45"/>
      <c r="J46" s="49"/>
      <c r="K46" s="46"/>
      <c r="L46" s="49"/>
    </row>
    <row r="47">
      <c r="A47" s="44"/>
      <c r="B47" s="45"/>
      <c r="C47" s="46"/>
      <c r="D47" s="47"/>
      <c r="E47" s="47"/>
      <c r="F47" s="45"/>
      <c r="G47" s="47"/>
      <c r="H47" s="48"/>
      <c r="I47" s="45"/>
      <c r="J47" s="49"/>
      <c r="K47" s="46"/>
      <c r="L47" s="49"/>
    </row>
    <row r="48">
      <c r="A48" s="44"/>
      <c r="B48" s="45"/>
      <c r="C48" s="46"/>
      <c r="D48" s="47"/>
      <c r="E48" s="47"/>
      <c r="F48" s="45"/>
      <c r="G48" s="47"/>
      <c r="H48" s="48"/>
      <c r="I48" s="45"/>
      <c r="J48" s="49"/>
      <c r="K48" s="46"/>
      <c r="L48" s="49"/>
    </row>
    <row r="49">
      <c r="A49" s="44"/>
      <c r="B49" s="45"/>
      <c r="C49" s="46"/>
      <c r="D49" s="47"/>
      <c r="E49" s="47"/>
      <c r="F49" s="45"/>
      <c r="G49" s="47"/>
      <c r="H49" s="48"/>
      <c r="I49" s="45"/>
      <c r="J49" s="49"/>
      <c r="K49" s="46"/>
      <c r="L49" s="49"/>
    </row>
    <row r="50">
      <c r="A50" s="44"/>
      <c r="B50" s="45"/>
      <c r="C50" s="46"/>
      <c r="D50" s="47"/>
      <c r="E50" s="47"/>
      <c r="F50" s="45"/>
      <c r="G50" s="47"/>
      <c r="H50" s="48"/>
      <c r="I50" s="45"/>
      <c r="J50" s="49"/>
      <c r="K50" s="46"/>
      <c r="L50" s="49"/>
    </row>
    <row r="51">
      <c r="A51" s="44"/>
      <c r="B51" s="45"/>
      <c r="C51" s="46"/>
      <c r="D51" s="47"/>
      <c r="E51" s="47"/>
      <c r="F51" s="45"/>
      <c r="G51" s="47"/>
      <c r="H51" s="48"/>
      <c r="I51" s="45"/>
      <c r="J51" s="49"/>
      <c r="K51" s="46"/>
      <c r="L51" s="49"/>
    </row>
    <row r="52">
      <c r="A52" s="44"/>
      <c r="B52" s="45"/>
      <c r="C52" s="46"/>
      <c r="D52" s="47"/>
      <c r="E52" s="47"/>
      <c r="F52" s="45"/>
      <c r="G52" s="47"/>
      <c r="H52" s="48"/>
      <c r="I52" s="45"/>
      <c r="J52" s="49"/>
      <c r="K52" s="46"/>
      <c r="L52" s="49"/>
    </row>
    <row r="53">
      <c r="A53" s="44"/>
      <c r="B53" s="45"/>
      <c r="C53" s="46"/>
      <c r="D53" s="47"/>
      <c r="E53" s="47"/>
      <c r="F53" s="45"/>
      <c r="G53" s="47"/>
      <c r="H53" s="48"/>
      <c r="I53" s="45"/>
      <c r="J53" s="49"/>
      <c r="K53" s="46"/>
      <c r="L53" s="49"/>
    </row>
    <row r="54">
      <c r="A54" s="44"/>
      <c r="B54" s="45"/>
      <c r="C54" s="46"/>
      <c r="D54" s="47"/>
      <c r="E54" s="47"/>
      <c r="F54" s="45"/>
      <c r="G54" s="47"/>
      <c r="H54" s="48"/>
      <c r="I54" s="45"/>
      <c r="J54" s="49"/>
      <c r="K54" s="46"/>
      <c r="L54" s="49"/>
    </row>
    <row r="55">
      <c r="A55" s="44"/>
      <c r="B55" s="45"/>
      <c r="C55" s="46"/>
      <c r="D55" s="47"/>
      <c r="E55" s="47"/>
      <c r="F55" s="45"/>
      <c r="G55" s="47"/>
      <c r="H55" s="48"/>
      <c r="I55" s="45"/>
      <c r="J55" s="49"/>
      <c r="K55" s="46"/>
      <c r="L55" s="49"/>
    </row>
    <row r="56">
      <c r="A56" s="44"/>
      <c r="B56" s="45"/>
      <c r="C56" s="46"/>
      <c r="D56" s="47"/>
      <c r="E56" s="47"/>
      <c r="F56" s="45"/>
      <c r="G56" s="47"/>
      <c r="H56" s="48"/>
      <c r="I56" s="45"/>
      <c r="J56" s="49"/>
      <c r="K56" s="46"/>
      <c r="L56" s="49"/>
    </row>
    <row r="57">
      <c r="A57" s="44"/>
      <c r="B57" s="45"/>
      <c r="C57" s="46"/>
      <c r="D57" s="47"/>
      <c r="E57" s="47"/>
      <c r="F57" s="45"/>
      <c r="G57" s="47"/>
      <c r="H57" s="48"/>
      <c r="I57" s="45"/>
      <c r="J57" s="49"/>
      <c r="K57" s="46"/>
      <c r="L57" s="49"/>
    </row>
    <row r="58">
      <c r="A58" s="44"/>
      <c r="B58" s="45"/>
      <c r="C58" s="46"/>
      <c r="D58" s="47"/>
      <c r="E58" s="47"/>
      <c r="F58" s="45"/>
      <c r="G58" s="47"/>
      <c r="H58" s="48"/>
      <c r="I58" s="45"/>
      <c r="J58" s="49"/>
      <c r="K58" s="46"/>
      <c r="L58" s="49"/>
    </row>
    <row r="59">
      <c r="A59" s="44"/>
      <c r="B59" s="45"/>
      <c r="C59" s="46"/>
      <c r="D59" s="47"/>
      <c r="E59" s="47"/>
      <c r="F59" s="45"/>
      <c r="G59" s="47"/>
      <c r="H59" s="48"/>
      <c r="I59" s="45"/>
      <c r="J59" s="49"/>
      <c r="K59" s="46"/>
      <c r="L59" s="49"/>
    </row>
    <row r="60">
      <c r="A60" s="44"/>
      <c r="B60" s="45"/>
      <c r="C60" s="46"/>
      <c r="D60" s="47"/>
      <c r="E60" s="47"/>
      <c r="F60" s="45"/>
      <c r="G60" s="47"/>
      <c r="H60" s="48"/>
      <c r="I60" s="45"/>
      <c r="J60" s="49"/>
      <c r="K60" s="46"/>
      <c r="L60" s="49"/>
    </row>
    <row r="61">
      <c r="A61" s="44"/>
      <c r="B61" s="45"/>
      <c r="C61" s="46"/>
      <c r="D61" s="47"/>
      <c r="E61" s="47"/>
      <c r="F61" s="45"/>
      <c r="G61" s="47"/>
      <c r="H61" s="48"/>
      <c r="I61" s="45"/>
      <c r="J61" s="49"/>
      <c r="K61" s="46"/>
      <c r="L61" s="49"/>
    </row>
    <row r="62">
      <c r="A62" s="44"/>
      <c r="B62" s="45"/>
      <c r="C62" s="46"/>
      <c r="D62" s="47"/>
      <c r="E62" s="47"/>
      <c r="F62" s="45"/>
      <c r="G62" s="47"/>
      <c r="H62" s="48"/>
      <c r="I62" s="45"/>
      <c r="J62" s="49"/>
      <c r="K62" s="46"/>
      <c r="L62" s="49"/>
    </row>
    <row r="63">
      <c r="A63" s="44"/>
      <c r="B63" s="45"/>
      <c r="C63" s="46"/>
      <c r="D63" s="47"/>
      <c r="E63" s="47"/>
      <c r="F63" s="45"/>
      <c r="G63" s="47"/>
      <c r="H63" s="48"/>
      <c r="I63" s="45"/>
      <c r="J63" s="49"/>
      <c r="K63" s="46"/>
      <c r="L63" s="49"/>
    </row>
    <row r="64">
      <c r="A64" s="44"/>
      <c r="B64" s="45"/>
      <c r="C64" s="46"/>
      <c r="D64" s="47"/>
      <c r="E64" s="47"/>
      <c r="F64" s="45"/>
      <c r="G64" s="47"/>
      <c r="H64" s="48"/>
      <c r="I64" s="45"/>
      <c r="J64" s="49"/>
      <c r="K64" s="46"/>
      <c r="L64" s="49"/>
    </row>
    <row r="65">
      <c r="A65" s="44"/>
      <c r="B65" s="45"/>
      <c r="C65" s="46"/>
      <c r="D65" s="47"/>
      <c r="E65" s="47"/>
      <c r="F65" s="45"/>
      <c r="G65" s="47"/>
      <c r="H65" s="48"/>
      <c r="I65" s="45"/>
      <c r="J65" s="49"/>
      <c r="K65" s="46"/>
      <c r="L65" s="49"/>
    </row>
    <row r="66">
      <c r="A66" s="44"/>
      <c r="B66" s="45"/>
      <c r="C66" s="46"/>
      <c r="D66" s="47"/>
      <c r="E66" s="47"/>
      <c r="F66" s="45"/>
      <c r="G66" s="47"/>
      <c r="H66" s="48"/>
      <c r="I66" s="45"/>
      <c r="J66" s="49"/>
      <c r="K66" s="46"/>
      <c r="L66" s="49"/>
    </row>
    <row r="67">
      <c r="A67" s="44"/>
      <c r="B67" s="45"/>
      <c r="C67" s="46"/>
      <c r="D67" s="47"/>
      <c r="E67" s="47"/>
      <c r="F67" s="45"/>
      <c r="G67" s="47"/>
      <c r="H67" s="48"/>
      <c r="I67" s="45"/>
      <c r="J67" s="49"/>
      <c r="K67" s="46"/>
      <c r="L67" s="49"/>
    </row>
    <row r="68">
      <c r="A68" s="44"/>
      <c r="B68" s="45"/>
      <c r="C68" s="46"/>
      <c r="D68" s="47"/>
      <c r="E68" s="47"/>
      <c r="F68" s="45"/>
      <c r="G68" s="47"/>
      <c r="H68" s="48"/>
      <c r="I68" s="45"/>
      <c r="J68" s="49"/>
      <c r="K68" s="46"/>
      <c r="L68" s="49"/>
    </row>
    <row r="69">
      <c r="A69" s="44"/>
      <c r="B69" s="45"/>
      <c r="C69" s="46"/>
      <c r="D69" s="47"/>
      <c r="E69" s="47"/>
      <c r="F69" s="45"/>
      <c r="G69" s="47"/>
      <c r="H69" s="48"/>
      <c r="I69" s="45"/>
      <c r="J69" s="49"/>
      <c r="K69" s="46"/>
      <c r="L69" s="49"/>
    </row>
    <row r="70">
      <c r="A70" s="44"/>
      <c r="B70" s="45"/>
      <c r="C70" s="46"/>
      <c r="D70" s="47"/>
      <c r="E70" s="47"/>
      <c r="F70" s="45"/>
      <c r="G70" s="47"/>
      <c r="H70" s="48"/>
      <c r="I70" s="45"/>
      <c r="J70" s="49"/>
      <c r="K70" s="46"/>
      <c r="L70" s="49"/>
    </row>
    <row r="71">
      <c r="A71" s="44"/>
      <c r="B71" s="45"/>
      <c r="C71" s="46"/>
      <c r="D71" s="47"/>
      <c r="E71" s="47"/>
      <c r="F71" s="45"/>
      <c r="G71" s="47"/>
      <c r="H71" s="48"/>
      <c r="I71" s="45"/>
      <c r="J71" s="49"/>
      <c r="K71" s="46"/>
      <c r="L71" s="49"/>
    </row>
    <row r="72">
      <c r="A72" s="44"/>
      <c r="B72" s="45"/>
      <c r="C72" s="46"/>
      <c r="D72" s="47"/>
      <c r="E72" s="47"/>
      <c r="F72" s="45"/>
      <c r="G72" s="47"/>
      <c r="H72" s="48"/>
      <c r="I72" s="45"/>
      <c r="J72" s="49"/>
      <c r="K72" s="46"/>
      <c r="L72" s="49"/>
    </row>
    <row r="73">
      <c r="A73" s="44"/>
      <c r="B73" s="45"/>
      <c r="C73" s="46"/>
      <c r="D73" s="47"/>
      <c r="E73" s="47"/>
      <c r="F73" s="45"/>
      <c r="G73" s="47"/>
      <c r="H73" s="48"/>
      <c r="I73" s="45"/>
      <c r="J73" s="49"/>
      <c r="K73" s="46"/>
      <c r="L73" s="49"/>
    </row>
    <row r="74">
      <c r="A74" s="44"/>
      <c r="B74" s="45"/>
      <c r="C74" s="46"/>
      <c r="D74" s="47"/>
      <c r="E74" s="47"/>
      <c r="F74" s="45"/>
      <c r="G74" s="47"/>
      <c r="H74" s="48"/>
      <c r="I74" s="45"/>
      <c r="J74" s="49"/>
      <c r="K74" s="46"/>
      <c r="L74" s="49"/>
    </row>
    <row r="75">
      <c r="A75" s="44"/>
      <c r="B75" s="45"/>
      <c r="C75" s="46"/>
      <c r="D75" s="47"/>
      <c r="E75" s="47"/>
      <c r="F75" s="45"/>
      <c r="G75" s="47"/>
      <c r="H75" s="48"/>
      <c r="I75" s="45"/>
      <c r="J75" s="49"/>
      <c r="K75" s="46"/>
      <c r="L75" s="49"/>
    </row>
    <row r="76">
      <c r="A76" s="44"/>
      <c r="B76" s="45"/>
      <c r="C76" s="46"/>
      <c r="D76" s="47"/>
      <c r="E76" s="47"/>
      <c r="F76" s="45"/>
      <c r="G76" s="47"/>
      <c r="H76" s="48"/>
      <c r="I76" s="45"/>
      <c r="J76" s="49"/>
      <c r="K76" s="46"/>
      <c r="L76" s="49"/>
    </row>
    <row r="77">
      <c r="A77" s="44"/>
      <c r="B77" s="45"/>
      <c r="C77" s="46"/>
      <c r="D77" s="47"/>
      <c r="E77" s="47"/>
      <c r="F77" s="45"/>
      <c r="G77" s="47"/>
      <c r="H77" s="48"/>
      <c r="I77" s="45"/>
      <c r="J77" s="49"/>
      <c r="K77" s="46"/>
      <c r="L77" s="49"/>
    </row>
    <row r="78">
      <c r="A78" s="44"/>
      <c r="B78" s="45"/>
      <c r="C78" s="46"/>
      <c r="D78" s="47"/>
      <c r="E78" s="47"/>
      <c r="F78" s="45"/>
      <c r="G78" s="47"/>
      <c r="H78" s="48"/>
      <c r="I78" s="45"/>
      <c r="J78" s="49"/>
      <c r="K78" s="46"/>
      <c r="L78" s="49"/>
    </row>
    <row r="79">
      <c r="A79" s="44"/>
      <c r="B79" s="45"/>
      <c r="C79" s="46"/>
      <c r="D79" s="47"/>
      <c r="E79" s="47"/>
      <c r="F79" s="45"/>
      <c r="G79" s="47"/>
      <c r="H79" s="48"/>
      <c r="I79" s="45"/>
      <c r="J79" s="49"/>
      <c r="K79" s="46"/>
      <c r="L79" s="49"/>
    </row>
    <row r="80">
      <c r="A80" s="44"/>
      <c r="B80" s="45"/>
      <c r="C80" s="46"/>
      <c r="D80" s="47"/>
      <c r="E80" s="47"/>
      <c r="F80" s="45"/>
      <c r="G80" s="47"/>
      <c r="H80" s="48"/>
      <c r="I80" s="45"/>
      <c r="J80" s="49"/>
      <c r="K80" s="46"/>
      <c r="L80" s="49"/>
    </row>
    <row r="81">
      <c r="A81" s="44"/>
      <c r="B81" s="45"/>
      <c r="C81" s="46"/>
      <c r="D81" s="47"/>
      <c r="E81" s="47"/>
      <c r="F81" s="45"/>
      <c r="G81" s="47"/>
      <c r="H81" s="48"/>
      <c r="I81" s="45"/>
      <c r="J81" s="49"/>
      <c r="K81" s="46"/>
      <c r="L81" s="49"/>
    </row>
    <row r="82">
      <c r="A82" s="44"/>
      <c r="B82" s="45"/>
      <c r="C82" s="46"/>
      <c r="D82" s="47"/>
      <c r="E82" s="47"/>
      <c r="F82" s="45"/>
      <c r="G82" s="47"/>
      <c r="H82" s="48"/>
      <c r="I82" s="45"/>
      <c r="J82" s="49"/>
      <c r="K82" s="46"/>
      <c r="L82" s="49"/>
    </row>
    <row r="83">
      <c r="A83" s="44"/>
      <c r="B83" s="45"/>
      <c r="C83" s="46"/>
      <c r="D83" s="47"/>
      <c r="E83" s="47"/>
      <c r="F83" s="45"/>
      <c r="G83" s="47"/>
      <c r="H83" s="48"/>
      <c r="I83" s="45"/>
      <c r="J83" s="49"/>
      <c r="K83" s="46"/>
      <c r="L83" s="49"/>
    </row>
    <row r="84">
      <c r="A84" s="44"/>
      <c r="B84" s="45"/>
      <c r="C84" s="46"/>
      <c r="D84" s="47"/>
      <c r="E84" s="47"/>
      <c r="F84" s="45"/>
      <c r="G84" s="47"/>
      <c r="H84" s="48"/>
      <c r="I84" s="45"/>
      <c r="J84" s="49"/>
      <c r="K84" s="46"/>
      <c r="L84" s="49"/>
    </row>
    <row r="85">
      <c r="A85" s="44"/>
      <c r="B85" s="45"/>
      <c r="C85" s="46"/>
      <c r="D85" s="47"/>
      <c r="E85" s="47"/>
      <c r="F85" s="45"/>
      <c r="G85" s="47"/>
      <c r="H85" s="48"/>
      <c r="I85" s="45"/>
      <c r="J85" s="49"/>
      <c r="K85" s="46"/>
      <c r="L85" s="49"/>
    </row>
    <row r="86">
      <c r="A86" s="44"/>
      <c r="B86" s="45"/>
      <c r="C86" s="46"/>
      <c r="D86" s="47"/>
      <c r="E86" s="47"/>
      <c r="F86" s="45"/>
      <c r="G86" s="47"/>
      <c r="H86" s="48"/>
      <c r="I86" s="45"/>
      <c r="J86" s="49"/>
      <c r="K86" s="46"/>
      <c r="L86" s="49"/>
    </row>
    <row r="87">
      <c r="A87" s="44"/>
      <c r="B87" s="45"/>
      <c r="C87" s="46"/>
      <c r="D87" s="47"/>
      <c r="E87" s="47"/>
      <c r="F87" s="45"/>
      <c r="G87" s="47"/>
      <c r="H87" s="48"/>
      <c r="I87" s="45"/>
      <c r="J87" s="49"/>
      <c r="K87" s="46"/>
      <c r="L87" s="49"/>
    </row>
    <row r="88">
      <c r="A88" s="44"/>
      <c r="B88" s="45"/>
      <c r="C88" s="46"/>
      <c r="D88" s="47"/>
      <c r="E88" s="47"/>
      <c r="F88" s="45"/>
      <c r="G88" s="47"/>
      <c r="H88" s="48"/>
      <c r="I88" s="45"/>
      <c r="J88" s="49"/>
      <c r="K88" s="46"/>
      <c r="L88" s="49"/>
    </row>
    <row r="89">
      <c r="A89" s="44"/>
      <c r="B89" s="45"/>
      <c r="C89" s="46"/>
      <c r="D89" s="47"/>
      <c r="E89" s="47"/>
      <c r="F89" s="45"/>
      <c r="G89" s="47"/>
      <c r="H89" s="48"/>
      <c r="I89" s="45"/>
      <c r="J89" s="49"/>
      <c r="K89" s="46"/>
      <c r="L89" s="49"/>
    </row>
    <row r="90">
      <c r="A90" s="44"/>
      <c r="B90" s="45"/>
      <c r="C90" s="46"/>
      <c r="D90" s="47"/>
      <c r="E90" s="47"/>
      <c r="F90" s="45"/>
      <c r="G90" s="47"/>
      <c r="H90" s="48"/>
      <c r="I90" s="45"/>
      <c r="J90" s="49"/>
      <c r="K90" s="46"/>
      <c r="L90" s="49"/>
    </row>
    <row r="91">
      <c r="A91" s="44"/>
      <c r="B91" s="45"/>
      <c r="C91" s="46"/>
      <c r="D91" s="47"/>
      <c r="E91" s="47"/>
      <c r="F91" s="45"/>
      <c r="G91" s="47"/>
      <c r="H91" s="48"/>
      <c r="I91" s="45"/>
      <c r="J91" s="49"/>
      <c r="K91" s="46"/>
      <c r="L91" s="49"/>
    </row>
    <row r="92">
      <c r="A92" s="44"/>
      <c r="B92" s="45"/>
      <c r="C92" s="46"/>
      <c r="D92" s="47"/>
      <c r="E92" s="47"/>
      <c r="F92" s="45"/>
      <c r="G92" s="47"/>
      <c r="H92" s="48"/>
      <c r="I92" s="45"/>
      <c r="J92" s="49"/>
      <c r="K92" s="46"/>
      <c r="L92" s="49"/>
    </row>
    <row r="93">
      <c r="A93" s="44"/>
      <c r="B93" s="45"/>
      <c r="C93" s="46"/>
      <c r="D93" s="47"/>
      <c r="E93" s="47"/>
      <c r="F93" s="45"/>
      <c r="G93" s="47"/>
      <c r="H93" s="48"/>
      <c r="I93" s="45"/>
      <c r="J93" s="49"/>
      <c r="K93" s="46"/>
      <c r="L93" s="49"/>
    </row>
    <row r="94">
      <c r="A94" s="44"/>
      <c r="B94" s="45"/>
      <c r="C94" s="46"/>
      <c r="D94" s="47"/>
      <c r="E94" s="47"/>
      <c r="F94" s="45"/>
      <c r="G94" s="47"/>
      <c r="H94" s="48"/>
      <c r="I94" s="45"/>
      <c r="J94" s="49"/>
      <c r="K94" s="46"/>
      <c r="L94" s="49"/>
    </row>
    <row r="95">
      <c r="A95" s="44"/>
      <c r="B95" s="45"/>
      <c r="C95" s="46"/>
      <c r="D95" s="47"/>
      <c r="E95" s="47"/>
      <c r="F95" s="45"/>
      <c r="G95" s="47"/>
      <c r="H95" s="48"/>
      <c r="I95" s="45"/>
      <c r="J95" s="49"/>
      <c r="K95" s="46"/>
      <c r="L95" s="49"/>
    </row>
    <row r="96">
      <c r="A96" s="44"/>
      <c r="B96" s="45"/>
      <c r="C96" s="46"/>
      <c r="D96" s="47"/>
      <c r="E96" s="47"/>
      <c r="F96" s="45"/>
      <c r="G96" s="47"/>
      <c r="H96" s="48"/>
      <c r="I96" s="45"/>
      <c r="J96" s="49"/>
      <c r="K96" s="46"/>
      <c r="L96" s="49"/>
    </row>
    <row r="97">
      <c r="A97" s="44"/>
      <c r="B97" s="45"/>
      <c r="C97" s="46"/>
      <c r="D97" s="47"/>
      <c r="E97" s="47"/>
      <c r="F97" s="45"/>
      <c r="G97" s="47"/>
      <c r="H97" s="48"/>
      <c r="I97" s="45"/>
      <c r="J97" s="49"/>
      <c r="K97" s="46"/>
      <c r="L97" s="49"/>
    </row>
    <row r="98">
      <c r="A98" s="44"/>
      <c r="B98" s="45"/>
      <c r="C98" s="46"/>
      <c r="D98" s="47"/>
      <c r="E98" s="47"/>
      <c r="F98" s="45"/>
      <c r="G98" s="47"/>
      <c r="H98" s="48"/>
      <c r="I98" s="45"/>
      <c r="J98" s="49"/>
      <c r="K98" s="46"/>
      <c r="L98" s="49"/>
    </row>
    <row r="99">
      <c r="A99" s="44"/>
      <c r="B99" s="45"/>
      <c r="C99" s="46"/>
      <c r="D99" s="47"/>
      <c r="E99" s="47"/>
      <c r="F99" s="45"/>
      <c r="G99" s="47"/>
      <c r="H99" s="48"/>
      <c r="I99" s="45"/>
      <c r="J99" s="49"/>
      <c r="K99" s="46"/>
      <c r="L99" s="49"/>
    </row>
    <row r="100">
      <c r="A100" s="44"/>
      <c r="B100" s="45"/>
      <c r="C100" s="46"/>
      <c r="D100" s="47"/>
      <c r="E100" s="47"/>
      <c r="F100" s="45"/>
      <c r="G100" s="47"/>
      <c r="H100" s="48"/>
      <c r="I100" s="45"/>
      <c r="J100" s="49"/>
      <c r="K100" s="46"/>
      <c r="L100" s="49"/>
    </row>
    <row r="101">
      <c r="A101" s="44"/>
      <c r="B101" s="45"/>
      <c r="C101" s="46"/>
      <c r="D101" s="47"/>
      <c r="E101" s="47"/>
      <c r="F101" s="45"/>
      <c r="G101" s="47"/>
      <c r="H101" s="48"/>
      <c r="I101" s="45"/>
      <c r="J101" s="49"/>
      <c r="K101" s="46"/>
      <c r="L101" s="49"/>
    </row>
    <row r="102">
      <c r="A102" s="44"/>
      <c r="B102" s="45"/>
      <c r="C102" s="46"/>
      <c r="D102" s="47"/>
      <c r="E102" s="47"/>
      <c r="F102" s="45"/>
      <c r="G102" s="47"/>
      <c r="H102" s="48"/>
      <c r="I102" s="45"/>
      <c r="J102" s="49"/>
      <c r="K102" s="46"/>
      <c r="L102" s="49"/>
    </row>
    <row r="103">
      <c r="A103" s="44"/>
      <c r="B103" s="45"/>
      <c r="C103" s="46"/>
      <c r="D103" s="47"/>
      <c r="E103" s="47"/>
      <c r="F103" s="45"/>
      <c r="G103" s="47"/>
      <c r="H103" s="48"/>
      <c r="I103" s="45"/>
      <c r="J103" s="49"/>
      <c r="K103" s="46"/>
      <c r="L103" s="49"/>
    </row>
    <row r="104">
      <c r="A104" s="44"/>
      <c r="B104" s="45"/>
      <c r="C104" s="46"/>
      <c r="D104" s="47"/>
      <c r="E104" s="47"/>
      <c r="F104" s="45"/>
      <c r="G104" s="47"/>
      <c r="H104" s="48"/>
      <c r="I104" s="45"/>
      <c r="J104" s="49"/>
      <c r="K104" s="46"/>
      <c r="L104" s="49"/>
    </row>
    <row r="105">
      <c r="A105" s="44"/>
      <c r="B105" s="45"/>
      <c r="C105" s="46"/>
      <c r="D105" s="47"/>
      <c r="E105" s="47"/>
      <c r="F105" s="45"/>
      <c r="G105" s="47"/>
      <c r="H105" s="48"/>
      <c r="I105" s="45"/>
      <c r="J105" s="49"/>
      <c r="K105" s="46"/>
      <c r="L105" s="49"/>
    </row>
    <row r="106">
      <c r="A106" s="44"/>
      <c r="B106" s="45"/>
      <c r="C106" s="46"/>
      <c r="D106" s="47"/>
      <c r="E106" s="47"/>
      <c r="F106" s="45"/>
      <c r="G106" s="47"/>
      <c r="H106" s="48"/>
      <c r="I106" s="45"/>
      <c r="J106" s="49"/>
      <c r="K106" s="46"/>
      <c r="L106" s="49"/>
    </row>
    <row r="107">
      <c r="A107" s="44"/>
      <c r="B107" s="45"/>
      <c r="C107" s="46"/>
      <c r="D107" s="47"/>
      <c r="E107" s="47"/>
      <c r="F107" s="45"/>
      <c r="G107" s="47"/>
      <c r="H107" s="48"/>
      <c r="I107" s="45"/>
      <c r="J107" s="49"/>
      <c r="K107" s="46"/>
      <c r="L107" s="49"/>
    </row>
    <row r="108">
      <c r="A108" s="44"/>
      <c r="B108" s="45"/>
      <c r="C108" s="46"/>
      <c r="D108" s="47"/>
      <c r="E108" s="47"/>
      <c r="F108" s="45"/>
      <c r="G108" s="47"/>
      <c r="H108" s="48"/>
      <c r="I108" s="45"/>
      <c r="J108" s="49"/>
      <c r="K108" s="46"/>
      <c r="L108" s="49"/>
    </row>
    <row r="109">
      <c r="A109" s="44"/>
      <c r="B109" s="45"/>
      <c r="C109" s="46"/>
      <c r="D109" s="47"/>
      <c r="E109" s="47"/>
      <c r="F109" s="45"/>
      <c r="G109" s="47"/>
      <c r="H109" s="48"/>
      <c r="I109" s="45"/>
      <c r="J109" s="49"/>
      <c r="K109" s="46"/>
      <c r="L109" s="49"/>
    </row>
    <row r="110">
      <c r="A110" s="44"/>
      <c r="B110" s="45"/>
      <c r="C110" s="46"/>
      <c r="D110" s="47"/>
      <c r="E110" s="47"/>
      <c r="F110" s="45"/>
      <c r="G110" s="47"/>
      <c r="H110" s="48"/>
      <c r="I110" s="45"/>
      <c r="J110" s="49"/>
      <c r="K110" s="46"/>
      <c r="L110" s="49"/>
    </row>
    <row r="111">
      <c r="A111" s="44"/>
      <c r="B111" s="45"/>
      <c r="C111" s="46"/>
      <c r="D111" s="47"/>
      <c r="E111" s="47"/>
      <c r="F111" s="45"/>
      <c r="G111" s="47"/>
      <c r="H111" s="48"/>
      <c r="I111" s="45"/>
      <c r="J111" s="49"/>
      <c r="K111" s="46"/>
      <c r="L111" s="49"/>
    </row>
    <row r="112">
      <c r="A112" s="44"/>
      <c r="B112" s="45"/>
      <c r="C112" s="46"/>
      <c r="D112" s="47"/>
      <c r="E112" s="47"/>
      <c r="F112" s="45"/>
      <c r="G112" s="47"/>
      <c r="H112" s="48"/>
      <c r="I112" s="45"/>
      <c r="J112" s="49"/>
      <c r="K112" s="46"/>
      <c r="L112" s="49"/>
    </row>
    <row r="113">
      <c r="A113" s="44"/>
      <c r="B113" s="45"/>
      <c r="C113" s="46"/>
      <c r="D113" s="47"/>
      <c r="E113" s="47"/>
      <c r="F113" s="45"/>
      <c r="G113" s="47"/>
      <c r="H113" s="48"/>
      <c r="I113" s="45"/>
      <c r="J113" s="49"/>
      <c r="K113" s="46"/>
      <c r="L113" s="49"/>
    </row>
    <row r="114">
      <c r="A114" s="44"/>
      <c r="B114" s="45"/>
      <c r="C114" s="46"/>
      <c r="D114" s="47"/>
      <c r="E114" s="47"/>
      <c r="F114" s="45"/>
      <c r="G114" s="47"/>
      <c r="H114" s="48"/>
      <c r="I114" s="45"/>
      <c r="J114" s="49"/>
      <c r="K114" s="46"/>
      <c r="L114" s="49"/>
    </row>
    <row r="115">
      <c r="A115" s="44"/>
      <c r="B115" s="45"/>
      <c r="C115" s="46"/>
      <c r="D115" s="47"/>
      <c r="E115" s="47"/>
      <c r="F115" s="45"/>
      <c r="G115" s="47"/>
      <c r="H115" s="48"/>
      <c r="I115" s="45"/>
      <c r="J115" s="49"/>
      <c r="K115" s="46"/>
      <c r="L115" s="49"/>
    </row>
    <row r="116">
      <c r="A116" s="44"/>
      <c r="B116" s="45"/>
      <c r="C116" s="46"/>
      <c r="D116" s="47"/>
      <c r="E116" s="47"/>
      <c r="F116" s="45"/>
      <c r="G116" s="47"/>
      <c r="H116" s="48"/>
      <c r="I116" s="45"/>
      <c r="J116" s="49"/>
      <c r="K116" s="46"/>
      <c r="L116" s="49"/>
    </row>
    <row r="117">
      <c r="A117" s="44"/>
      <c r="B117" s="45"/>
      <c r="C117" s="46"/>
      <c r="D117" s="47"/>
      <c r="E117" s="47"/>
      <c r="F117" s="45"/>
      <c r="G117" s="47"/>
      <c r="H117" s="48"/>
      <c r="I117" s="45"/>
      <c r="J117" s="49"/>
      <c r="K117" s="46"/>
      <c r="L117" s="49"/>
    </row>
    <row r="118">
      <c r="A118" s="44"/>
      <c r="B118" s="45"/>
      <c r="C118" s="46"/>
      <c r="D118" s="47"/>
      <c r="E118" s="47"/>
      <c r="F118" s="45"/>
      <c r="G118" s="47"/>
      <c r="H118" s="48"/>
      <c r="I118" s="45"/>
      <c r="J118" s="49"/>
      <c r="K118" s="46"/>
      <c r="L118" s="49"/>
    </row>
    <row r="119">
      <c r="A119" s="44"/>
      <c r="B119" s="45"/>
      <c r="C119" s="46"/>
      <c r="D119" s="47"/>
      <c r="E119" s="47"/>
      <c r="F119" s="45"/>
      <c r="G119" s="47"/>
      <c r="H119" s="48"/>
      <c r="I119" s="45"/>
      <c r="J119" s="49"/>
      <c r="K119" s="46"/>
      <c r="L119" s="49"/>
    </row>
    <row r="120">
      <c r="A120" s="44"/>
      <c r="B120" s="45"/>
      <c r="C120" s="46"/>
      <c r="D120" s="47"/>
      <c r="E120" s="47"/>
      <c r="F120" s="45"/>
      <c r="G120" s="47"/>
      <c r="H120" s="48"/>
      <c r="I120" s="45"/>
      <c r="J120" s="49"/>
      <c r="K120" s="46"/>
      <c r="L120" s="49"/>
    </row>
    <row r="121">
      <c r="A121" s="44"/>
      <c r="B121" s="45"/>
      <c r="C121" s="46"/>
      <c r="D121" s="47"/>
      <c r="E121" s="47"/>
      <c r="F121" s="45"/>
      <c r="G121" s="47"/>
      <c r="H121" s="48"/>
      <c r="I121" s="45"/>
      <c r="J121" s="49"/>
      <c r="K121" s="46"/>
      <c r="L121" s="49"/>
    </row>
    <row r="122">
      <c r="A122" s="44"/>
      <c r="B122" s="45"/>
      <c r="C122" s="46"/>
      <c r="D122" s="47"/>
      <c r="E122" s="47"/>
      <c r="F122" s="45"/>
      <c r="G122" s="47"/>
      <c r="H122" s="48"/>
      <c r="I122" s="45"/>
      <c r="J122" s="49"/>
      <c r="K122" s="46"/>
      <c r="L122" s="49"/>
    </row>
    <row r="123">
      <c r="A123" s="44"/>
      <c r="B123" s="45"/>
      <c r="C123" s="46"/>
      <c r="D123" s="47"/>
      <c r="E123" s="47"/>
      <c r="F123" s="45"/>
      <c r="G123" s="47"/>
      <c r="H123" s="48"/>
      <c r="I123" s="45"/>
      <c r="J123" s="49"/>
      <c r="K123" s="46"/>
      <c r="L123" s="49"/>
    </row>
    <row r="124">
      <c r="A124" s="44"/>
      <c r="B124" s="45"/>
      <c r="C124" s="46"/>
      <c r="D124" s="47"/>
      <c r="E124" s="47"/>
      <c r="F124" s="45"/>
      <c r="G124" s="47"/>
      <c r="H124" s="48"/>
      <c r="I124" s="45"/>
      <c r="J124" s="49"/>
      <c r="K124" s="46"/>
      <c r="L124" s="49"/>
    </row>
    <row r="125">
      <c r="A125" s="44"/>
      <c r="B125" s="45"/>
      <c r="C125" s="46"/>
      <c r="D125" s="47"/>
      <c r="E125" s="47"/>
      <c r="F125" s="45"/>
      <c r="G125" s="47"/>
      <c r="H125" s="48"/>
      <c r="I125" s="45"/>
      <c r="J125" s="49"/>
      <c r="K125" s="46"/>
      <c r="L125" s="49"/>
    </row>
    <row r="126">
      <c r="A126" s="44"/>
      <c r="B126" s="45"/>
      <c r="C126" s="46"/>
      <c r="D126" s="47"/>
      <c r="E126" s="47"/>
      <c r="F126" s="45"/>
      <c r="G126" s="47"/>
      <c r="H126" s="48"/>
      <c r="I126" s="45"/>
      <c r="J126" s="49"/>
      <c r="K126" s="46"/>
      <c r="L126" s="49"/>
    </row>
    <row r="127">
      <c r="A127" s="44"/>
      <c r="B127" s="45"/>
      <c r="C127" s="46"/>
      <c r="D127" s="47"/>
      <c r="E127" s="47"/>
      <c r="F127" s="45"/>
      <c r="G127" s="47"/>
      <c r="H127" s="48"/>
      <c r="I127" s="45"/>
      <c r="J127" s="49"/>
      <c r="K127" s="46"/>
      <c r="L127" s="49"/>
    </row>
    <row r="128">
      <c r="A128" s="44"/>
      <c r="B128" s="45"/>
      <c r="C128" s="46"/>
      <c r="D128" s="47"/>
      <c r="E128" s="47"/>
      <c r="F128" s="45"/>
      <c r="G128" s="47"/>
      <c r="H128" s="48"/>
      <c r="I128" s="45"/>
      <c r="J128" s="49"/>
      <c r="K128" s="46"/>
      <c r="L128" s="49"/>
    </row>
    <row r="129">
      <c r="A129" s="44"/>
      <c r="B129" s="45"/>
      <c r="C129" s="46"/>
      <c r="D129" s="47"/>
      <c r="E129" s="47"/>
      <c r="F129" s="45"/>
      <c r="G129" s="47"/>
      <c r="H129" s="48"/>
      <c r="I129" s="45"/>
      <c r="J129" s="49"/>
      <c r="K129" s="46"/>
      <c r="L129" s="49"/>
    </row>
    <row r="130">
      <c r="A130" s="44"/>
      <c r="B130" s="45"/>
      <c r="C130" s="46"/>
      <c r="D130" s="47"/>
      <c r="E130" s="47"/>
      <c r="F130" s="45"/>
      <c r="G130" s="47"/>
      <c r="H130" s="48"/>
      <c r="I130" s="45"/>
      <c r="J130" s="49"/>
      <c r="K130" s="46"/>
      <c r="L130" s="49"/>
    </row>
    <row r="131">
      <c r="A131" s="44"/>
      <c r="B131" s="45"/>
      <c r="C131" s="46"/>
      <c r="D131" s="47"/>
      <c r="E131" s="47"/>
      <c r="F131" s="45"/>
      <c r="G131" s="47"/>
      <c r="H131" s="48"/>
      <c r="I131" s="45"/>
      <c r="J131" s="49"/>
      <c r="K131" s="46"/>
      <c r="L131" s="49"/>
    </row>
    <row r="132">
      <c r="A132" s="44"/>
      <c r="B132" s="45"/>
      <c r="C132" s="46"/>
      <c r="D132" s="47"/>
      <c r="E132" s="47"/>
      <c r="F132" s="45"/>
      <c r="G132" s="47"/>
      <c r="H132" s="48"/>
      <c r="I132" s="45"/>
      <c r="J132" s="49"/>
      <c r="K132" s="46"/>
      <c r="L132" s="49"/>
    </row>
    <row r="133">
      <c r="A133" s="44"/>
      <c r="B133" s="45"/>
      <c r="C133" s="46"/>
      <c r="D133" s="47"/>
      <c r="E133" s="47"/>
      <c r="F133" s="45"/>
      <c r="G133" s="47"/>
      <c r="H133" s="48"/>
      <c r="I133" s="45"/>
      <c r="J133" s="49"/>
      <c r="K133" s="46"/>
      <c r="L133" s="49"/>
    </row>
    <row r="134">
      <c r="A134" s="44"/>
      <c r="B134" s="45"/>
      <c r="C134" s="46"/>
      <c r="D134" s="47"/>
      <c r="E134" s="47"/>
      <c r="F134" s="45"/>
      <c r="G134" s="47"/>
      <c r="H134" s="48"/>
      <c r="I134" s="45"/>
      <c r="J134" s="49"/>
      <c r="K134" s="46"/>
      <c r="L134" s="49"/>
    </row>
    <row r="135">
      <c r="A135" s="44"/>
      <c r="B135" s="45"/>
      <c r="C135" s="46"/>
      <c r="D135" s="47"/>
      <c r="E135" s="47"/>
      <c r="F135" s="45"/>
      <c r="G135" s="47"/>
      <c r="H135" s="48"/>
      <c r="I135" s="45"/>
      <c r="J135" s="49"/>
      <c r="K135" s="46"/>
      <c r="L135" s="49"/>
    </row>
    <row r="136">
      <c r="A136" s="44"/>
      <c r="B136" s="45"/>
      <c r="C136" s="46"/>
      <c r="D136" s="47"/>
      <c r="E136" s="47"/>
      <c r="F136" s="45"/>
      <c r="G136" s="47"/>
      <c r="H136" s="48"/>
      <c r="I136" s="45"/>
      <c r="J136" s="49"/>
      <c r="K136" s="46"/>
      <c r="L136" s="49"/>
    </row>
    <row r="137">
      <c r="A137" s="44"/>
      <c r="B137" s="45"/>
      <c r="C137" s="46"/>
      <c r="D137" s="47"/>
      <c r="E137" s="47"/>
      <c r="F137" s="45"/>
      <c r="G137" s="47"/>
      <c r="H137" s="48"/>
      <c r="I137" s="45"/>
      <c r="J137" s="49"/>
      <c r="K137" s="46"/>
      <c r="L137" s="49"/>
    </row>
    <row r="138">
      <c r="A138" s="44"/>
      <c r="B138" s="45"/>
      <c r="C138" s="46"/>
      <c r="D138" s="47"/>
      <c r="E138" s="47"/>
      <c r="F138" s="45"/>
      <c r="G138" s="47"/>
      <c r="H138" s="48"/>
      <c r="I138" s="45"/>
      <c r="J138" s="49"/>
      <c r="K138" s="46"/>
      <c r="L138" s="49"/>
    </row>
    <row r="139">
      <c r="A139" s="44"/>
      <c r="B139" s="45"/>
      <c r="C139" s="46"/>
      <c r="D139" s="47"/>
      <c r="E139" s="47"/>
      <c r="F139" s="45"/>
      <c r="G139" s="47"/>
      <c r="H139" s="48"/>
      <c r="I139" s="45"/>
      <c r="J139" s="49"/>
      <c r="K139" s="46"/>
      <c r="L139" s="49"/>
    </row>
    <row r="140">
      <c r="A140" s="44"/>
      <c r="B140" s="45"/>
      <c r="C140" s="46"/>
      <c r="D140" s="47"/>
      <c r="E140" s="47"/>
      <c r="F140" s="45"/>
      <c r="G140" s="47"/>
      <c r="H140" s="48"/>
      <c r="I140" s="45"/>
      <c r="J140" s="49"/>
      <c r="K140" s="46"/>
      <c r="L140" s="49"/>
    </row>
    <row r="141">
      <c r="A141" s="44"/>
      <c r="B141" s="45"/>
      <c r="C141" s="46"/>
      <c r="D141" s="47"/>
      <c r="E141" s="47"/>
      <c r="F141" s="45"/>
      <c r="G141" s="47"/>
      <c r="H141" s="48"/>
      <c r="I141" s="45"/>
      <c r="J141" s="49"/>
      <c r="K141" s="46"/>
      <c r="L141" s="49"/>
    </row>
    <row r="142">
      <c r="A142" s="44"/>
      <c r="B142" s="45"/>
      <c r="C142" s="46"/>
      <c r="D142" s="47"/>
      <c r="E142" s="47"/>
      <c r="F142" s="45"/>
      <c r="G142" s="47"/>
      <c r="H142" s="48"/>
      <c r="I142" s="45"/>
      <c r="J142" s="49"/>
      <c r="K142" s="46"/>
      <c r="L142" s="49"/>
    </row>
    <row r="143">
      <c r="A143" s="44"/>
      <c r="B143" s="45"/>
      <c r="C143" s="46"/>
      <c r="D143" s="47"/>
      <c r="E143" s="47"/>
      <c r="F143" s="45"/>
      <c r="G143" s="47"/>
      <c r="H143" s="48"/>
      <c r="I143" s="45"/>
      <c r="J143" s="49"/>
      <c r="K143" s="46"/>
      <c r="L143" s="49"/>
    </row>
    <row r="144">
      <c r="A144" s="44"/>
      <c r="B144" s="45"/>
      <c r="C144" s="46"/>
      <c r="D144" s="47"/>
      <c r="E144" s="47"/>
      <c r="F144" s="45"/>
      <c r="G144" s="47"/>
      <c r="H144" s="48"/>
      <c r="I144" s="45"/>
      <c r="J144" s="49"/>
      <c r="K144" s="46"/>
      <c r="L144" s="49"/>
    </row>
    <row r="145">
      <c r="A145" s="44"/>
      <c r="B145" s="45"/>
      <c r="C145" s="46"/>
      <c r="D145" s="47"/>
      <c r="E145" s="47"/>
      <c r="F145" s="45"/>
      <c r="G145" s="47"/>
      <c r="H145" s="48"/>
      <c r="I145" s="45"/>
      <c r="J145" s="49"/>
      <c r="K145" s="46"/>
      <c r="L145" s="49"/>
    </row>
    <row r="146">
      <c r="A146" s="44"/>
      <c r="B146" s="45"/>
      <c r="C146" s="46"/>
      <c r="D146" s="47"/>
      <c r="E146" s="47"/>
      <c r="F146" s="45"/>
      <c r="G146" s="47"/>
      <c r="H146" s="48"/>
      <c r="I146" s="45"/>
      <c r="J146" s="49"/>
      <c r="K146" s="46"/>
      <c r="L146" s="49"/>
    </row>
    <row r="147">
      <c r="A147" s="44"/>
      <c r="B147" s="45"/>
      <c r="C147" s="46"/>
      <c r="D147" s="47"/>
      <c r="E147" s="47"/>
      <c r="F147" s="45"/>
      <c r="G147" s="47"/>
      <c r="H147" s="48"/>
      <c r="I147" s="45"/>
      <c r="J147" s="49"/>
      <c r="K147" s="46"/>
      <c r="L147" s="49"/>
    </row>
    <row r="148">
      <c r="A148" s="44"/>
      <c r="B148" s="45"/>
      <c r="C148" s="46"/>
      <c r="D148" s="47"/>
      <c r="E148" s="47"/>
      <c r="F148" s="45"/>
      <c r="G148" s="47"/>
      <c r="H148" s="48"/>
      <c r="I148" s="45"/>
      <c r="J148" s="49"/>
      <c r="K148" s="46"/>
      <c r="L148" s="49"/>
    </row>
    <row r="149">
      <c r="A149" s="44"/>
      <c r="B149" s="45"/>
      <c r="C149" s="46"/>
      <c r="D149" s="47"/>
      <c r="E149" s="47"/>
      <c r="F149" s="45"/>
      <c r="G149" s="47"/>
      <c r="H149" s="48"/>
      <c r="I149" s="45"/>
      <c r="J149" s="49"/>
      <c r="K149" s="46"/>
      <c r="L149" s="49"/>
    </row>
    <row r="150">
      <c r="A150" s="44"/>
      <c r="B150" s="45"/>
      <c r="C150" s="46"/>
      <c r="D150" s="47"/>
      <c r="E150" s="47"/>
      <c r="F150" s="45"/>
      <c r="G150" s="47"/>
      <c r="H150" s="48"/>
      <c r="I150" s="45"/>
      <c r="J150" s="49"/>
      <c r="K150" s="46"/>
      <c r="L150" s="49"/>
    </row>
    <row r="151">
      <c r="A151" s="44"/>
      <c r="B151" s="45"/>
      <c r="C151" s="46"/>
      <c r="D151" s="47"/>
      <c r="E151" s="47"/>
      <c r="F151" s="45"/>
      <c r="G151" s="47"/>
      <c r="H151" s="48"/>
      <c r="I151" s="45"/>
      <c r="J151" s="49"/>
      <c r="K151" s="46"/>
      <c r="L151" s="49"/>
    </row>
    <row r="152">
      <c r="A152" s="44"/>
      <c r="B152" s="45"/>
      <c r="C152" s="46"/>
      <c r="D152" s="47"/>
      <c r="E152" s="47"/>
      <c r="F152" s="45"/>
      <c r="G152" s="47"/>
      <c r="H152" s="48"/>
      <c r="I152" s="45"/>
      <c r="J152" s="49"/>
      <c r="K152" s="46"/>
      <c r="L152" s="49"/>
    </row>
    <row r="153">
      <c r="A153" s="44"/>
      <c r="B153" s="45"/>
      <c r="C153" s="46"/>
      <c r="D153" s="47"/>
      <c r="E153" s="47"/>
      <c r="F153" s="45"/>
      <c r="G153" s="47"/>
      <c r="H153" s="48"/>
      <c r="I153" s="45"/>
      <c r="J153" s="49"/>
      <c r="K153" s="46"/>
      <c r="L153" s="49"/>
    </row>
    <row r="154">
      <c r="A154" s="44"/>
      <c r="B154" s="45"/>
      <c r="C154" s="46"/>
      <c r="D154" s="47"/>
      <c r="E154" s="47"/>
      <c r="F154" s="45"/>
      <c r="G154" s="47"/>
      <c r="H154" s="48"/>
      <c r="I154" s="45"/>
      <c r="J154" s="49"/>
      <c r="K154" s="46"/>
      <c r="L154" s="49"/>
    </row>
    <row r="155">
      <c r="A155" s="44"/>
      <c r="B155" s="45"/>
      <c r="C155" s="46"/>
      <c r="D155" s="47"/>
      <c r="E155" s="47"/>
      <c r="F155" s="45"/>
      <c r="G155" s="47"/>
      <c r="H155" s="48"/>
      <c r="I155" s="45"/>
      <c r="J155" s="49"/>
      <c r="K155" s="46"/>
      <c r="L155" s="49"/>
    </row>
    <row r="156">
      <c r="A156" s="44"/>
      <c r="B156" s="45"/>
      <c r="C156" s="46"/>
      <c r="D156" s="47"/>
      <c r="E156" s="47"/>
      <c r="F156" s="45"/>
      <c r="G156" s="47"/>
      <c r="H156" s="48"/>
      <c r="I156" s="45"/>
      <c r="J156" s="49"/>
      <c r="K156" s="46"/>
      <c r="L156" s="49"/>
    </row>
    <row r="157">
      <c r="A157" s="44"/>
      <c r="B157" s="45"/>
      <c r="C157" s="46"/>
      <c r="D157" s="47"/>
      <c r="E157" s="47"/>
      <c r="F157" s="45"/>
      <c r="G157" s="47"/>
      <c r="H157" s="48"/>
      <c r="I157" s="45"/>
      <c r="J157" s="49"/>
      <c r="K157" s="46"/>
      <c r="L157" s="49"/>
    </row>
    <row r="158">
      <c r="A158" s="44"/>
      <c r="B158" s="45"/>
      <c r="C158" s="46"/>
      <c r="D158" s="47"/>
      <c r="E158" s="47"/>
      <c r="F158" s="45"/>
      <c r="G158" s="47"/>
      <c r="H158" s="48"/>
      <c r="I158" s="45"/>
      <c r="J158" s="49"/>
      <c r="K158" s="46"/>
      <c r="L158" s="49"/>
    </row>
    <row r="159">
      <c r="A159" s="44"/>
      <c r="B159" s="45"/>
      <c r="C159" s="46"/>
      <c r="D159" s="47"/>
      <c r="E159" s="47"/>
      <c r="F159" s="45"/>
      <c r="G159" s="47"/>
      <c r="H159" s="48"/>
      <c r="I159" s="45"/>
      <c r="J159" s="49"/>
      <c r="K159" s="46"/>
      <c r="L159" s="49"/>
    </row>
    <row r="160">
      <c r="A160" s="44"/>
      <c r="B160" s="45"/>
      <c r="C160" s="46"/>
      <c r="D160" s="47"/>
      <c r="E160" s="47"/>
      <c r="F160" s="45"/>
      <c r="G160" s="47"/>
      <c r="H160" s="48"/>
      <c r="I160" s="45"/>
      <c r="J160" s="49"/>
      <c r="K160" s="46"/>
      <c r="L160" s="49"/>
    </row>
    <row r="161">
      <c r="A161" s="44"/>
      <c r="B161" s="45"/>
      <c r="C161" s="46"/>
      <c r="D161" s="47"/>
      <c r="E161" s="47"/>
      <c r="F161" s="45"/>
      <c r="G161" s="47"/>
      <c r="H161" s="48"/>
      <c r="I161" s="45"/>
      <c r="J161" s="49"/>
      <c r="K161" s="46"/>
      <c r="L161" s="49"/>
    </row>
    <row r="162">
      <c r="A162" s="44"/>
      <c r="B162" s="45"/>
      <c r="C162" s="46"/>
      <c r="D162" s="47"/>
      <c r="E162" s="47"/>
      <c r="F162" s="45"/>
      <c r="G162" s="47"/>
      <c r="H162" s="48"/>
      <c r="I162" s="45"/>
      <c r="J162" s="49"/>
      <c r="K162" s="46"/>
      <c r="L162" s="49"/>
    </row>
    <row r="163">
      <c r="A163" s="44"/>
      <c r="B163" s="45"/>
      <c r="C163" s="46"/>
      <c r="D163" s="47"/>
      <c r="E163" s="47"/>
      <c r="F163" s="45"/>
      <c r="G163" s="47"/>
      <c r="H163" s="48"/>
      <c r="I163" s="45"/>
      <c r="J163" s="49"/>
      <c r="K163" s="46"/>
      <c r="L163" s="49"/>
    </row>
    <row r="164">
      <c r="A164" s="44"/>
      <c r="B164" s="45"/>
      <c r="C164" s="46"/>
      <c r="D164" s="47"/>
      <c r="E164" s="47"/>
      <c r="F164" s="45"/>
      <c r="G164" s="47"/>
      <c r="H164" s="48"/>
      <c r="I164" s="45"/>
      <c r="J164" s="49"/>
      <c r="K164" s="46"/>
      <c r="L164" s="49"/>
    </row>
    <row r="165">
      <c r="A165" s="44"/>
      <c r="B165" s="45"/>
      <c r="C165" s="46"/>
      <c r="D165" s="47"/>
      <c r="E165" s="47"/>
      <c r="F165" s="45"/>
      <c r="G165" s="47"/>
      <c r="H165" s="48"/>
      <c r="I165" s="45"/>
      <c r="J165" s="49"/>
      <c r="K165" s="46"/>
      <c r="L165" s="49"/>
    </row>
    <row r="166">
      <c r="A166" s="44"/>
      <c r="B166" s="45"/>
      <c r="C166" s="46"/>
      <c r="D166" s="47"/>
      <c r="E166" s="47"/>
      <c r="F166" s="45"/>
      <c r="G166" s="47"/>
      <c r="H166" s="48"/>
      <c r="I166" s="45"/>
      <c r="J166" s="49"/>
      <c r="K166" s="46"/>
      <c r="L166" s="49"/>
    </row>
    <row r="167">
      <c r="A167" s="44"/>
      <c r="B167" s="45"/>
      <c r="C167" s="46"/>
      <c r="D167" s="47"/>
      <c r="E167" s="47"/>
      <c r="F167" s="45"/>
      <c r="G167" s="47"/>
      <c r="H167" s="48"/>
      <c r="I167" s="45"/>
      <c r="J167" s="49"/>
      <c r="K167" s="46"/>
      <c r="L167" s="49"/>
    </row>
    <row r="168">
      <c r="A168" s="44"/>
      <c r="B168" s="45"/>
      <c r="C168" s="46"/>
      <c r="D168" s="47"/>
      <c r="E168" s="47"/>
      <c r="F168" s="45"/>
      <c r="G168" s="47"/>
      <c r="H168" s="48"/>
      <c r="I168" s="45"/>
      <c r="J168" s="49"/>
      <c r="K168" s="46"/>
      <c r="L168" s="49"/>
    </row>
    <row r="169">
      <c r="A169" s="44"/>
      <c r="B169" s="45"/>
      <c r="C169" s="46"/>
      <c r="D169" s="47"/>
      <c r="E169" s="47"/>
      <c r="F169" s="45"/>
      <c r="G169" s="47"/>
      <c r="H169" s="48"/>
      <c r="I169" s="45"/>
      <c r="J169" s="49"/>
      <c r="K169" s="46"/>
      <c r="L169" s="49"/>
    </row>
    <row r="170">
      <c r="A170" s="44"/>
      <c r="B170" s="45"/>
      <c r="C170" s="46"/>
      <c r="D170" s="47"/>
      <c r="E170" s="47"/>
      <c r="F170" s="45"/>
      <c r="G170" s="47"/>
      <c r="H170" s="48"/>
      <c r="I170" s="45"/>
      <c r="J170" s="49"/>
      <c r="K170" s="46"/>
      <c r="L170" s="49"/>
    </row>
    <row r="171">
      <c r="A171" s="44"/>
      <c r="B171" s="45"/>
      <c r="C171" s="46"/>
      <c r="D171" s="47"/>
      <c r="E171" s="47"/>
      <c r="F171" s="45"/>
      <c r="G171" s="47"/>
      <c r="H171" s="48"/>
      <c r="I171" s="45"/>
      <c r="J171" s="49"/>
      <c r="K171" s="46"/>
      <c r="L171" s="49"/>
    </row>
    <row r="172">
      <c r="A172" s="44"/>
      <c r="B172" s="45"/>
      <c r="C172" s="46"/>
      <c r="D172" s="47"/>
      <c r="E172" s="47"/>
      <c r="F172" s="45"/>
      <c r="G172" s="47"/>
      <c r="H172" s="48"/>
      <c r="I172" s="45"/>
      <c r="J172" s="49"/>
      <c r="K172" s="46"/>
      <c r="L172" s="49"/>
    </row>
    <row r="173">
      <c r="A173" s="44"/>
      <c r="B173" s="45"/>
      <c r="C173" s="46"/>
      <c r="D173" s="47"/>
      <c r="E173" s="47"/>
      <c r="F173" s="45"/>
      <c r="G173" s="47"/>
      <c r="H173" s="48"/>
      <c r="I173" s="45"/>
      <c r="J173" s="49"/>
      <c r="K173" s="46"/>
      <c r="L173" s="49"/>
    </row>
    <row r="174">
      <c r="A174" s="44"/>
      <c r="B174" s="45"/>
      <c r="C174" s="46"/>
      <c r="D174" s="47"/>
      <c r="E174" s="47"/>
      <c r="F174" s="45"/>
      <c r="G174" s="47"/>
      <c r="H174" s="48"/>
      <c r="I174" s="45"/>
      <c r="J174" s="49"/>
      <c r="K174" s="46"/>
      <c r="L174" s="49"/>
    </row>
    <row r="175">
      <c r="A175" s="44"/>
      <c r="B175" s="45"/>
      <c r="C175" s="46"/>
      <c r="D175" s="47"/>
      <c r="E175" s="47"/>
      <c r="F175" s="45"/>
      <c r="G175" s="47"/>
      <c r="H175" s="48"/>
      <c r="I175" s="45"/>
      <c r="J175" s="49"/>
      <c r="K175" s="46"/>
      <c r="L175" s="49"/>
    </row>
    <row r="176">
      <c r="A176" s="44"/>
      <c r="B176" s="45"/>
      <c r="C176" s="46"/>
      <c r="D176" s="47"/>
      <c r="E176" s="47"/>
      <c r="F176" s="45"/>
      <c r="G176" s="47"/>
      <c r="H176" s="48"/>
      <c r="I176" s="45"/>
      <c r="J176" s="49"/>
      <c r="K176" s="46"/>
      <c r="L176" s="49"/>
    </row>
    <row r="177">
      <c r="A177" s="44"/>
      <c r="B177" s="45"/>
      <c r="C177" s="46"/>
      <c r="D177" s="47"/>
      <c r="E177" s="47"/>
      <c r="F177" s="45"/>
      <c r="G177" s="47"/>
      <c r="H177" s="48"/>
      <c r="I177" s="45"/>
      <c r="J177" s="49"/>
      <c r="K177" s="46"/>
      <c r="L177" s="49"/>
    </row>
    <row r="178">
      <c r="A178" s="44"/>
      <c r="B178" s="45"/>
      <c r="C178" s="46"/>
      <c r="D178" s="47"/>
      <c r="E178" s="47"/>
      <c r="F178" s="45"/>
      <c r="G178" s="47"/>
      <c r="H178" s="48"/>
      <c r="I178" s="45"/>
      <c r="J178" s="49"/>
      <c r="K178" s="46"/>
      <c r="L178" s="49"/>
    </row>
    <row r="179">
      <c r="A179" s="44"/>
      <c r="B179" s="45"/>
      <c r="C179" s="46"/>
      <c r="D179" s="47"/>
      <c r="E179" s="47"/>
      <c r="F179" s="45"/>
      <c r="G179" s="47"/>
      <c r="H179" s="48"/>
      <c r="I179" s="45"/>
      <c r="J179" s="49"/>
      <c r="K179" s="46"/>
      <c r="L179" s="49"/>
    </row>
    <row r="180">
      <c r="A180" s="44"/>
      <c r="B180" s="45"/>
      <c r="C180" s="46"/>
      <c r="D180" s="47"/>
      <c r="E180" s="47"/>
      <c r="F180" s="45"/>
      <c r="G180" s="47"/>
      <c r="H180" s="48"/>
      <c r="I180" s="45"/>
      <c r="J180" s="49"/>
      <c r="K180" s="46"/>
      <c r="L180" s="49"/>
    </row>
    <row r="181">
      <c r="A181" s="44"/>
      <c r="B181" s="45"/>
      <c r="C181" s="46"/>
      <c r="D181" s="47"/>
      <c r="E181" s="47"/>
      <c r="F181" s="45"/>
      <c r="G181" s="47"/>
      <c r="H181" s="48"/>
      <c r="I181" s="45"/>
      <c r="J181" s="49"/>
      <c r="K181" s="46"/>
      <c r="L181" s="49"/>
    </row>
    <row r="182">
      <c r="A182" s="44"/>
      <c r="B182" s="45"/>
      <c r="C182" s="46"/>
      <c r="D182" s="47"/>
      <c r="E182" s="47"/>
      <c r="F182" s="45"/>
      <c r="G182" s="47"/>
      <c r="H182" s="48"/>
      <c r="I182" s="45"/>
      <c r="J182" s="49"/>
      <c r="K182" s="46"/>
      <c r="L182" s="49"/>
    </row>
    <row r="183">
      <c r="A183" s="44"/>
      <c r="B183" s="45"/>
      <c r="C183" s="46"/>
      <c r="D183" s="47"/>
      <c r="E183" s="47"/>
      <c r="F183" s="45"/>
      <c r="G183" s="47"/>
      <c r="H183" s="48"/>
      <c r="I183" s="45"/>
      <c r="J183" s="49"/>
      <c r="K183" s="46"/>
      <c r="L183" s="49"/>
    </row>
    <row r="184">
      <c r="A184" s="44"/>
      <c r="B184" s="45"/>
      <c r="C184" s="46"/>
      <c r="D184" s="47"/>
      <c r="E184" s="47"/>
      <c r="F184" s="45"/>
      <c r="G184" s="47"/>
      <c r="H184" s="48"/>
      <c r="I184" s="45"/>
      <c r="J184" s="49"/>
      <c r="K184" s="46"/>
      <c r="L184" s="49"/>
    </row>
    <row r="185">
      <c r="A185" s="44"/>
      <c r="B185" s="45"/>
      <c r="C185" s="46"/>
      <c r="D185" s="47"/>
      <c r="E185" s="47"/>
      <c r="F185" s="45"/>
      <c r="G185" s="47"/>
      <c r="H185" s="48"/>
      <c r="I185" s="45"/>
      <c r="J185" s="49"/>
      <c r="K185" s="46"/>
      <c r="L185" s="49"/>
    </row>
    <row r="186">
      <c r="A186" s="44"/>
      <c r="B186" s="45"/>
      <c r="C186" s="46"/>
      <c r="D186" s="47"/>
      <c r="E186" s="47"/>
      <c r="F186" s="45"/>
      <c r="G186" s="47"/>
      <c r="H186" s="48"/>
      <c r="I186" s="45"/>
      <c r="J186" s="49"/>
      <c r="K186" s="46"/>
      <c r="L186" s="49"/>
    </row>
    <row r="187">
      <c r="A187" s="44"/>
      <c r="B187" s="45"/>
      <c r="C187" s="46"/>
      <c r="D187" s="47"/>
      <c r="E187" s="47"/>
      <c r="F187" s="45"/>
      <c r="G187" s="47"/>
      <c r="H187" s="48"/>
      <c r="I187" s="45"/>
      <c r="J187" s="49"/>
      <c r="K187" s="46"/>
      <c r="L187" s="49"/>
    </row>
    <row r="188">
      <c r="A188" s="44"/>
      <c r="B188" s="45"/>
      <c r="C188" s="46"/>
      <c r="D188" s="47"/>
      <c r="E188" s="47"/>
      <c r="F188" s="45"/>
      <c r="G188" s="47"/>
      <c r="H188" s="48"/>
      <c r="I188" s="45"/>
      <c r="J188" s="49"/>
      <c r="K188" s="46"/>
      <c r="L188" s="49"/>
    </row>
    <row r="189">
      <c r="A189" s="44"/>
      <c r="B189" s="45"/>
      <c r="C189" s="46"/>
      <c r="D189" s="47"/>
      <c r="E189" s="47"/>
      <c r="F189" s="45"/>
      <c r="G189" s="47"/>
      <c r="H189" s="48"/>
      <c r="I189" s="45"/>
      <c r="J189" s="49"/>
      <c r="K189" s="46"/>
      <c r="L189" s="49"/>
    </row>
    <row r="190">
      <c r="A190" s="44"/>
      <c r="B190" s="45"/>
      <c r="C190" s="46"/>
      <c r="D190" s="47"/>
      <c r="E190" s="47"/>
      <c r="F190" s="45"/>
      <c r="G190" s="47"/>
      <c r="H190" s="48"/>
      <c r="I190" s="45"/>
      <c r="J190" s="49"/>
      <c r="K190" s="46"/>
      <c r="L190" s="49"/>
    </row>
    <row r="191">
      <c r="A191" s="44"/>
      <c r="B191" s="45"/>
      <c r="C191" s="46"/>
      <c r="D191" s="47"/>
      <c r="E191" s="47"/>
      <c r="F191" s="45"/>
      <c r="G191" s="47"/>
      <c r="H191" s="48"/>
      <c r="I191" s="45"/>
      <c r="J191" s="49"/>
      <c r="K191" s="46"/>
      <c r="L191" s="49"/>
    </row>
    <row r="192">
      <c r="A192" s="44"/>
      <c r="B192" s="45"/>
      <c r="C192" s="46"/>
      <c r="D192" s="47"/>
      <c r="E192" s="47"/>
      <c r="F192" s="45"/>
      <c r="G192" s="47"/>
      <c r="H192" s="48"/>
      <c r="I192" s="45"/>
      <c r="J192" s="49"/>
      <c r="K192" s="46"/>
      <c r="L192" s="49"/>
    </row>
    <row r="193">
      <c r="A193" s="44"/>
      <c r="B193" s="45"/>
      <c r="C193" s="46"/>
      <c r="D193" s="47"/>
      <c r="E193" s="47"/>
      <c r="F193" s="45"/>
      <c r="G193" s="47"/>
      <c r="H193" s="48"/>
      <c r="I193" s="45"/>
      <c r="J193" s="49"/>
      <c r="K193" s="46"/>
      <c r="L193" s="49"/>
    </row>
    <row r="194">
      <c r="A194" s="44"/>
      <c r="B194" s="45"/>
      <c r="C194" s="46"/>
      <c r="D194" s="47"/>
      <c r="E194" s="47"/>
      <c r="F194" s="45"/>
      <c r="G194" s="47"/>
      <c r="H194" s="48"/>
      <c r="I194" s="45"/>
      <c r="J194" s="49"/>
      <c r="K194" s="46"/>
      <c r="L194" s="49"/>
    </row>
    <row r="195">
      <c r="A195" s="44"/>
      <c r="B195" s="45"/>
      <c r="C195" s="46"/>
      <c r="D195" s="47"/>
      <c r="E195" s="47"/>
      <c r="F195" s="45"/>
      <c r="G195" s="47"/>
      <c r="H195" s="48"/>
      <c r="I195" s="45"/>
      <c r="J195" s="49"/>
      <c r="K195" s="46"/>
      <c r="L195" s="49"/>
    </row>
    <row r="196">
      <c r="A196" s="44"/>
      <c r="B196" s="45"/>
      <c r="C196" s="46"/>
      <c r="D196" s="47"/>
      <c r="E196" s="47"/>
      <c r="F196" s="45"/>
      <c r="G196" s="47"/>
      <c r="H196" s="48"/>
      <c r="I196" s="45"/>
      <c r="J196" s="49"/>
      <c r="K196" s="46"/>
      <c r="L196" s="49"/>
    </row>
    <row r="197">
      <c r="A197" s="44"/>
      <c r="B197" s="45"/>
      <c r="C197" s="46"/>
      <c r="D197" s="47"/>
      <c r="E197" s="47"/>
      <c r="F197" s="45"/>
      <c r="G197" s="47"/>
      <c r="H197" s="48"/>
      <c r="I197" s="45"/>
      <c r="J197" s="49"/>
      <c r="K197" s="46"/>
      <c r="L197" s="49"/>
    </row>
    <row r="198">
      <c r="A198" s="44"/>
      <c r="B198" s="45"/>
      <c r="C198" s="46"/>
      <c r="D198" s="47"/>
      <c r="E198" s="47"/>
      <c r="F198" s="45"/>
      <c r="G198" s="47"/>
      <c r="H198" s="48"/>
      <c r="I198" s="45"/>
      <c r="J198" s="49"/>
      <c r="K198" s="46"/>
      <c r="L198" s="49"/>
    </row>
    <row r="199">
      <c r="A199" s="44"/>
      <c r="B199" s="45"/>
      <c r="C199" s="46"/>
      <c r="D199" s="47"/>
      <c r="E199" s="47"/>
      <c r="F199" s="45"/>
      <c r="G199" s="47"/>
      <c r="H199" s="48"/>
      <c r="I199" s="45"/>
      <c r="J199" s="49"/>
      <c r="K199" s="46"/>
      <c r="L199" s="49"/>
    </row>
    <row r="200">
      <c r="A200" s="44"/>
      <c r="B200" s="45"/>
      <c r="C200" s="46"/>
      <c r="D200" s="47"/>
      <c r="E200" s="47"/>
      <c r="F200" s="45"/>
      <c r="G200" s="47"/>
      <c r="H200" s="48"/>
      <c r="I200" s="45"/>
      <c r="J200" s="49"/>
      <c r="K200" s="46"/>
      <c r="L200" s="49"/>
    </row>
    <row r="201">
      <c r="A201" s="44"/>
      <c r="B201" s="45"/>
      <c r="C201" s="46"/>
      <c r="D201" s="47"/>
      <c r="E201" s="47"/>
      <c r="F201" s="45"/>
      <c r="G201" s="47"/>
      <c r="H201" s="48"/>
      <c r="I201" s="45"/>
      <c r="J201" s="49"/>
      <c r="K201" s="46"/>
      <c r="L201" s="49"/>
    </row>
    <row r="202">
      <c r="A202" s="44"/>
      <c r="B202" s="45"/>
      <c r="C202" s="46"/>
      <c r="D202" s="47"/>
      <c r="E202" s="47"/>
      <c r="F202" s="45"/>
      <c r="G202" s="47"/>
      <c r="H202" s="48"/>
      <c r="I202" s="45"/>
      <c r="J202" s="49"/>
      <c r="K202" s="46"/>
      <c r="L202" s="49"/>
    </row>
    <row r="203">
      <c r="A203" s="44"/>
      <c r="B203" s="45"/>
      <c r="C203" s="46"/>
      <c r="D203" s="47"/>
      <c r="E203" s="47"/>
      <c r="F203" s="45"/>
      <c r="G203" s="47"/>
      <c r="H203" s="48"/>
      <c r="I203" s="45"/>
      <c r="J203" s="49"/>
      <c r="K203" s="46"/>
      <c r="L203" s="49"/>
    </row>
    <row r="204">
      <c r="A204" s="44"/>
      <c r="B204" s="45"/>
      <c r="C204" s="46"/>
      <c r="D204" s="47"/>
      <c r="E204" s="47"/>
      <c r="F204" s="45"/>
      <c r="G204" s="47"/>
      <c r="H204" s="48"/>
      <c r="I204" s="45"/>
      <c r="J204" s="49"/>
      <c r="K204" s="46"/>
      <c r="L204" s="49"/>
    </row>
    <row r="205">
      <c r="A205" s="44"/>
      <c r="B205" s="45"/>
      <c r="C205" s="46"/>
      <c r="D205" s="47"/>
      <c r="E205" s="47"/>
      <c r="F205" s="45"/>
      <c r="G205" s="47"/>
      <c r="H205" s="48"/>
      <c r="I205" s="45"/>
      <c r="J205" s="49"/>
      <c r="K205" s="46"/>
      <c r="L205" s="49"/>
    </row>
    <row r="206">
      <c r="A206" s="44"/>
      <c r="B206" s="45"/>
      <c r="C206" s="46"/>
      <c r="D206" s="47"/>
      <c r="E206" s="47"/>
      <c r="F206" s="45"/>
      <c r="G206" s="47"/>
      <c r="H206" s="48"/>
      <c r="I206" s="45"/>
      <c r="J206" s="49"/>
      <c r="K206" s="46"/>
      <c r="L206" s="49"/>
    </row>
    <row r="207">
      <c r="A207" s="44"/>
      <c r="B207" s="45"/>
      <c r="C207" s="46"/>
      <c r="D207" s="47"/>
      <c r="E207" s="47"/>
      <c r="F207" s="45"/>
      <c r="G207" s="47"/>
      <c r="H207" s="48"/>
      <c r="I207" s="45"/>
      <c r="J207" s="49"/>
      <c r="K207" s="46"/>
      <c r="L207" s="49"/>
    </row>
    <row r="208">
      <c r="A208" s="44"/>
      <c r="B208" s="45"/>
      <c r="C208" s="46"/>
      <c r="D208" s="47"/>
      <c r="E208" s="47"/>
      <c r="F208" s="45"/>
      <c r="G208" s="47"/>
      <c r="H208" s="48"/>
      <c r="I208" s="45"/>
      <c r="J208" s="49"/>
      <c r="K208" s="46"/>
      <c r="L208" s="49"/>
    </row>
    <row r="209">
      <c r="A209" s="44"/>
      <c r="B209" s="45"/>
      <c r="C209" s="46"/>
      <c r="D209" s="47"/>
      <c r="E209" s="47"/>
      <c r="F209" s="45"/>
      <c r="G209" s="47"/>
      <c r="H209" s="48"/>
      <c r="I209" s="45"/>
      <c r="J209" s="49"/>
      <c r="K209" s="46"/>
      <c r="L209" s="49"/>
    </row>
    <row r="210">
      <c r="A210" s="44"/>
      <c r="B210" s="45"/>
      <c r="C210" s="46"/>
      <c r="D210" s="47"/>
      <c r="E210" s="47"/>
      <c r="F210" s="45"/>
      <c r="G210" s="47"/>
      <c r="H210" s="48"/>
      <c r="I210" s="45"/>
      <c r="J210" s="49"/>
      <c r="K210" s="46"/>
      <c r="L210" s="49"/>
    </row>
    <row r="211">
      <c r="A211" s="44"/>
      <c r="B211" s="45"/>
      <c r="C211" s="46"/>
      <c r="D211" s="47"/>
      <c r="E211" s="47"/>
      <c r="F211" s="45"/>
      <c r="G211" s="47"/>
      <c r="H211" s="48"/>
      <c r="I211" s="45"/>
      <c r="J211" s="49"/>
      <c r="K211" s="46"/>
      <c r="L211" s="49"/>
    </row>
    <row r="212">
      <c r="A212" s="44"/>
      <c r="B212" s="45"/>
      <c r="C212" s="46"/>
      <c r="D212" s="47"/>
      <c r="E212" s="47"/>
      <c r="F212" s="45"/>
      <c r="G212" s="47"/>
      <c r="H212" s="48"/>
      <c r="I212" s="45"/>
      <c r="J212" s="49"/>
      <c r="K212" s="46"/>
      <c r="L212" s="49"/>
    </row>
    <row r="213">
      <c r="A213" s="44"/>
      <c r="B213" s="45"/>
      <c r="C213" s="46"/>
      <c r="D213" s="47"/>
      <c r="E213" s="47"/>
      <c r="F213" s="45"/>
      <c r="G213" s="47"/>
      <c r="H213" s="48"/>
      <c r="I213" s="45"/>
      <c r="J213" s="49"/>
      <c r="K213" s="46"/>
      <c r="L213" s="49"/>
    </row>
    <row r="214">
      <c r="A214" s="44"/>
      <c r="B214" s="45"/>
      <c r="C214" s="46"/>
      <c r="D214" s="47"/>
      <c r="E214" s="47"/>
      <c r="F214" s="45"/>
      <c r="G214" s="47"/>
      <c r="H214" s="48"/>
      <c r="I214" s="45"/>
      <c r="J214" s="49"/>
      <c r="K214" s="46"/>
      <c r="L214" s="49"/>
    </row>
    <row r="215">
      <c r="A215" s="44"/>
      <c r="B215" s="45"/>
      <c r="C215" s="46"/>
      <c r="D215" s="47"/>
      <c r="E215" s="47"/>
      <c r="F215" s="45"/>
      <c r="G215" s="47"/>
      <c r="H215" s="48"/>
      <c r="I215" s="45"/>
      <c r="J215" s="49"/>
      <c r="K215" s="46"/>
      <c r="L215" s="49"/>
    </row>
    <row r="216">
      <c r="A216" s="44"/>
      <c r="B216" s="45"/>
      <c r="C216" s="46"/>
      <c r="D216" s="47"/>
      <c r="E216" s="47"/>
      <c r="F216" s="45"/>
      <c r="G216" s="47"/>
      <c r="H216" s="48"/>
      <c r="I216" s="45"/>
      <c r="J216" s="49"/>
      <c r="K216" s="46"/>
      <c r="L216" s="49"/>
    </row>
    <row r="217">
      <c r="A217" s="44"/>
      <c r="B217" s="45"/>
      <c r="C217" s="46"/>
      <c r="D217" s="47"/>
      <c r="E217" s="47"/>
      <c r="F217" s="45"/>
      <c r="G217" s="47"/>
      <c r="H217" s="48"/>
      <c r="I217" s="45"/>
      <c r="J217" s="49"/>
      <c r="K217" s="46"/>
      <c r="L217" s="49"/>
    </row>
    <row r="218">
      <c r="A218" s="44"/>
      <c r="B218" s="45"/>
      <c r="C218" s="46"/>
      <c r="D218" s="47"/>
      <c r="E218" s="47"/>
      <c r="F218" s="45"/>
      <c r="G218" s="47"/>
      <c r="H218" s="48"/>
      <c r="I218" s="45"/>
      <c r="J218" s="49"/>
      <c r="K218" s="46"/>
      <c r="L218" s="49"/>
    </row>
    <row r="219">
      <c r="A219" s="44"/>
      <c r="B219" s="45"/>
      <c r="C219" s="46"/>
      <c r="D219" s="47"/>
      <c r="E219" s="47"/>
      <c r="F219" s="45"/>
      <c r="G219" s="47"/>
      <c r="H219" s="48"/>
      <c r="I219" s="45"/>
      <c r="J219" s="49"/>
      <c r="K219" s="46"/>
      <c r="L219" s="49"/>
    </row>
    <row r="220">
      <c r="A220" s="44"/>
      <c r="B220" s="45"/>
      <c r="C220" s="46"/>
      <c r="D220" s="47"/>
      <c r="E220" s="47"/>
      <c r="F220" s="45"/>
      <c r="G220" s="47"/>
      <c r="H220" s="48"/>
      <c r="I220" s="45"/>
      <c r="J220" s="49"/>
      <c r="K220" s="46"/>
      <c r="L220" s="49"/>
    </row>
    <row r="221">
      <c r="A221" s="44"/>
      <c r="B221" s="45"/>
      <c r="C221" s="46"/>
      <c r="D221" s="47"/>
      <c r="E221" s="47"/>
      <c r="F221" s="45"/>
      <c r="G221" s="47"/>
      <c r="H221" s="48"/>
      <c r="I221" s="45"/>
      <c r="J221" s="49"/>
      <c r="K221" s="46"/>
      <c r="L221" s="49"/>
    </row>
    <row r="222">
      <c r="A222" s="44"/>
      <c r="B222" s="45"/>
      <c r="C222" s="46"/>
      <c r="D222" s="47"/>
      <c r="E222" s="47"/>
      <c r="F222" s="45"/>
      <c r="G222" s="47"/>
      <c r="H222" s="48"/>
      <c r="I222" s="45"/>
      <c r="J222" s="49"/>
      <c r="K222" s="46"/>
      <c r="L222" s="49"/>
    </row>
    <row r="223">
      <c r="A223" s="44"/>
      <c r="B223" s="45"/>
      <c r="C223" s="46"/>
      <c r="D223" s="47"/>
      <c r="E223" s="47"/>
      <c r="F223" s="45"/>
      <c r="G223" s="47"/>
      <c r="H223" s="48"/>
      <c r="I223" s="45"/>
      <c r="J223" s="49"/>
      <c r="K223" s="46"/>
      <c r="L223" s="49"/>
    </row>
    <row r="224">
      <c r="A224" s="44"/>
      <c r="B224" s="45"/>
      <c r="C224" s="46"/>
      <c r="D224" s="47"/>
      <c r="E224" s="47"/>
      <c r="F224" s="45"/>
      <c r="G224" s="47"/>
      <c r="H224" s="48"/>
      <c r="I224" s="45"/>
      <c r="J224" s="49"/>
      <c r="K224" s="46"/>
      <c r="L224" s="49"/>
    </row>
    <row r="225">
      <c r="A225" s="44"/>
      <c r="B225" s="45"/>
      <c r="C225" s="46"/>
      <c r="D225" s="47"/>
      <c r="E225" s="47"/>
      <c r="F225" s="45"/>
      <c r="G225" s="47"/>
      <c r="H225" s="48"/>
      <c r="I225" s="45"/>
      <c r="J225" s="49"/>
      <c r="K225" s="46"/>
      <c r="L225" s="49"/>
    </row>
    <row r="226">
      <c r="A226" s="44"/>
      <c r="B226" s="45"/>
      <c r="C226" s="46"/>
      <c r="D226" s="47"/>
      <c r="E226" s="47"/>
      <c r="F226" s="45"/>
      <c r="G226" s="47"/>
      <c r="H226" s="48"/>
      <c r="I226" s="45"/>
      <c r="J226" s="49"/>
      <c r="K226" s="46"/>
      <c r="L226" s="49"/>
    </row>
    <row r="227">
      <c r="A227" s="44"/>
      <c r="B227" s="45"/>
      <c r="C227" s="46"/>
      <c r="D227" s="47"/>
      <c r="E227" s="47"/>
      <c r="F227" s="45"/>
      <c r="G227" s="47"/>
      <c r="H227" s="48"/>
      <c r="I227" s="45"/>
      <c r="J227" s="49"/>
      <c r="K227" s="46"/>
      <c r="L227" s="49"/>
    </row>
    <row r="228">
      <c r="A228" s="44"/>
      <c r="B228" s="45"/>
      <c r="C228" s="46"/>
      <c r="D228" s="47"/>
      <c r="E228" s="47"/>
      <c r="F228" s="45"/>
      <c r="G228" s="47"/>
      <c r="H228" s="48"/>
      <c r="I228" s="45"/>
      <c r="J228" s="49"/>
      <c r="K228" s="46"/>
      <c r="L228" s="49"/>
    </row>
    <row r="229">
      <c r="A229" s="44"/>
      <c r="B229" s="45"/>
      <c r="C229" s="46"/>
      <c r="D229" s="47"/>
      <c r="E229" s="47"/>
      <c r="F229" s="45"/>
      <c r="G229" s="47"/>
      <c r="H229" s="48"/>
      <c r="I229" s="45"/>
      <c r="J229" s="49"/>
      <c r="K229" s="46"/>
      <c r="L229" s="49"/>
    </row>
    <row r="230">
      <c r="A230" s="44"/>
      <c r="B230" s="45"/>
      <c r="C230" s="46"/>
      <c r="D230" s="47"/>
      <c r="E230" s="47"/>
      <c r="F230" s="45"/>
      <c r="G230" s="47"/>
      <c r="H230" s="48"/>
      <c r="I230" s="45"/>
      <c r="J230" s="49"/>
      <c r="K230" s="46"/>
      <c r="L230" s="49"/>
    </row>
    <row r="231">
      <c r="A231" s="44"/>
      <c r="B231" s="45"/>
      <c r="C231" s="46"/>
      <c r="D231" s="47"/>
      <c r="E231" s="47"/>
      <c r="F231" s="45"/>
      <c r="G231" s="47"/>
      <c r="H231" s="48"/>
      <c r="I231" s="45"/>
      <c r="J231" s="49"/>
      <c r="K231" s="46"/>
      <c r="L231" s="49"/>
    </row>
    <row r="232">
      <c r="A232" s="44"/>
      <c r="B232" s="45"/>
      <c r="C232" s="46"/>
      <c r="D232" s="47"/>
      <c r="E232" s="47"/>
      <c r="F232" s="45"/>
      <c r="G232" s="47"/>
      <c r="H232" s="48"/>
      <c r="I232" s="45"/>
      <c r="J232" s="49"/>
      <c r="K232" s="46"/>
      <c r="L232" s="49"/>
    </row>
    <row r="233">
      <c r="A233" s="44"/>
      <c r="B233" s="45"/>
      <c r="C233" s="46"/>
      <c r="D233" s="47"/>
      <c r="E233" s="47"/>
      <c r="F233" s="45"/>
      <c r="G233" s="47"/>
      <c r="H233" s="48"/>
      <c r="I233" s="45"/>
      <c r="J233" s="49"/>
      <c r="K233" s="46"/>
      <c r="L233" s="49"/>
    </row>
    <row r="234">
      <c r="A234" s="44"/>
      <c r="B234" s="45"/>
      <c r="C234" s="46"/>
      <c r="D234" s="47"/>
      <c r="E234" s="47"/>
      <c r="F234" s="45"/>
      <c r="G234" s="47"/>
      <c r="H234" s="48"/>
      <c r="I234" s="45"/>
      <c r="J234" s="49"/>
      <c r="K234" s="46"/>
      <c r="L234" s="49"/>
    </row>
    <row r="235">
      <c r="A235" s="44"/>
      <c r="B235" s="45"/>
      <c r="C235" s="46"/>
      <c r="D235" s="47"/>
      <c r="E235" s="47"/>
      <c r="F235" s="45"/>
      <c r="G235" s="47"/>
      <c r="H235" s="48"/>
      <c r="I235" s="45"/>
      <c r="J235" s="49"/>
      <c r="K235" s="46"/>
      <c r="L235" s="49"/>
    </row>
    <row r="236">
      <c r="A236" s="44"/>
      <c r="B236" s="45"/>
      <c r="C236" s="46"/>
      <c r="D236" s="47"/>
      <c r="E236" s="47"/>
      <c r="F236" s="45"/>
      <c r="G236" s="47"/>
      <c r="H236" s="48"/>
      <c r="I236" s="45"/>
      <c r="J236" s="49"/>
      <c r="K236" s="46"/>
      <c r="L236" s="49"/>
    </row>
    <row r="237">
      <c r="A237" s="44"/>
      <c r="B237" s="45"/>
      <c r="C237" s="46"/>
      <c r="D237" s="47"/>
      <c r="E237" s="47"/>
      <c r="F237" s="45"/>
      <c r="G237" s="47"/>
      <c r="H237" s="48"/>
      <c r="I237" s="45"/>
      <c r="J237" s="49"/>
      <c r="K237" s="46"/>
      <c r="L237" s="49"/>
    </row>
    <row r="238">
      <c r="A238" s="44"/>
      <c r="B238" s="45"/>
      <c r="C238" s="46"/>
      <c r="D238" s="47"/>
      <c r="E238" s="47"/>
      <c r="F238" s="45"/>
      <c r="G238" s="47"/>
      <c r="H238" s="48"/>
      <c r="I238" s="45"/>
      <c r="J238" s="49"/>
      <c r="K238" s="46"/>
      <c r="L238" s="49"/>
    </row>
    <row r="239">
      <c r="A239" s="44"/>
      <c r="B239" s="45"/>
      <c r="C239" s="46"/>
      <c r="D239" s="47"/>
      <c r="E239" s="47"/>
      <c r="F239" s="45"/>
      <c r="G239" s="47"/>
      <c r="H239" s="48"/>
      <c r="I239" s="45"/>
      <c r="J239" s="49"/>
      <c r="K239" s="46"/>
      <c r="L239" s="49"/>
    </row>
    <row r="240">
      <c r="A240" s="44"/>
      <c r="B240" s="45"/>
      <c r="C240" s="46"/>
      <c r="D240" s="47"/>
      <c r="E240" s="47"/>
      <c r="F240" s="45"/>
      <c r="G240" s="47"/>
      <c r="H240" s="48"/>
      <c r="I240" s="45"/>
      <c r="J240" s="49"/>
      <c r="K240" s="46"/>
      <c r="L240" s="49"/>
    </row>
    <row r="241">
      <c r="A241" s="44"/>
      <c r="B241" s="45"/>
      <c r="C241" s="46"/>
      <c r="D241" s="47"/>
      <c r="E241" s="47"/>
      <c r="F241" s="45"/>
      <c r="G241" s="47"/>
      <c r="H241" s="48"/>
      <c r="I241" s="45"/>
      <c r="J241" s="49"/>
      <c r="K241" s="46"/>
      <c r="L241" s="49"/>
    </row>
    <row r="242">
      <c r="A242" s="44"/>
      <c r="B242" s="45"/>
      <c r="C242" s="46"/>
      <c r="D242" s="47"/>
      <c r="E242" s="47"/>
      <c r="F242" s="45"/>
      <c r="G242" s="47"/>
      <c r="H242" s="48"/>
      <c r="I242" s="45"/>
      <c r="J242" s="49"/>
      <c r="K242" s="46"/>
      <c r="L242" s="49"/>
    </row>
    <row r="243">
      <c r="A243" s="44"/>
      <c r="B243" s="45"/>
      <c r="C243" s="46"/>
      <c r="D243" s="47"/>
      <c r="E243" s="47"/>
      <c r="F243" s="45"/>
      <c r="G243" s="47"/>
      <c r="H243" s="48"/>
      <c r="I243" s="45"/>
      <c r="J243" s="49"/>
      <c r="K243" s="46"/>
      <c r="L243" s="49"/>
    </row>
    <row r="244">
      <c r="A244" s="44"/>
      <c r="B244" s="45"/>
      <c r="C244" s="46"/>
      <c r="D244" s="47"/>
      <c r="E244" s="47"/>
      <c r="F244" s="45"/>
      <c r="G244" s="47"/>
      <c r="H244" s="48"/>
      <c r="I244" s="45"/>
      <c r="J244" s="49"/>
      <c r="K244" s="46"/>
      <c r="L244" s="49"/>
    </row>
    <row r="245">
      <c r="A245" s="44"/>
      <c r="B245" s="45"/>
      <c r="C245" s="46"/>
      <c r="D245" s="47"/>
      <c r="E245" s="47"/>
      <c r="F245" s="45"/>
      <c r="G245" s="47"/>
      <c r="H245" s="48"/>
      <c r="I245" s="45"/>
      <c r="J245" s="49"/>
      <c r="K245" s="46"/>
      <c r="L245" s="49"/>
    </row>
    <row r="246">
      <c r="A246" s="44"/>
      <c r="B246" s="45"/>
      <c r="C246" s="46"/>
      <c r="D246" s="47"/>
      <c r="E246" s="47"/>
      <c r="F246" s="45"/>
      <c r="G246" s="47"/>
      <c r="H246" s="48"/>
      <c r="I246" s="45"/>
      <c r="J246" s="49"/>
      <c r="K246" s="46"/>
      <c r="L246" s="49"/>
    </row>
    <row r="247">
      <c r="A247" s="44"/>
      <c r="B247" s="45"/>
      <c r="C247" s="46"/>
      <c r="D247" s="47"/>
      <c r="E247" s="47"/>
      <c r="F247" s="45"/>
      <c r="G247" s="47"/>
      <c r="H247" s="48"/>
      <c r="I247" s="45"/>
      <c r="J247" s="49"/>
      <c r="K247" s="46"/>
      <c r="L247" s="49"/>
    </row>
    <row r="248">
      <c r="A248" s="44"/>
      <c r="B248" s="45"/>
      <c r="C248" s="46"/>
      <c r="D248" s="47"/>
      <c r="E248" s="47"/>
      <c r="F248" s="45"/>
      <c r="G248" s="47"/>
      <c r="H248" s="48"/>
      <c r="I248" s="45"/>
      <c r="J248" s="49"/>
      <c r="K248" s="46"/>
      <c r="L248" s="49"/>
    </row>
    <row r="249">
      <c r="A249" s="44"/>
      <c r="B249" s="45"/>
      <c r="C249" s="46"/>
      <c r="D249" s="47"/>
      <c r="E249" s="47"/>
      <c r="F249" s="45"/>
      <c r="G249" s="47"/>
      <c r="H249" s="48"/>
      <c r="I249" s="45"/>
      <c r="J249" s="49"/>
      <c r="K249" s="46"/>
      <c r="L249" s="49"/>
    </row>
    <row r="250">
      <c r="A250" s="44"/>
      <c r="B250" s="45"/>
      <c r="C250" s="46"/>
      <c r="D250" s="47"/>
      <c r="E250" s="47"/>
      <c r="F250" s="45"/>
      <c r="G250" s="47"/>
      <c r="H250" s="48"/>
      <c r="I250" s="45"/>
      <c r="J250" s="49"/>
      <c r="K250" s="46"/>
      <c r="L250" s="49"/>
    </row>
    <row r="251">
      <c r="A251" s="44"/>
      <c r="B251" s="45"/>
      <c r="C251" s="46"/>
      <c r="D251" s="47"/>
      <c r="E251" s="47"/>
      <c r="F251" s="45"/>
      <c r="G251" s="47"/>
      <c r="H251" s="48"/>
      <c r="I251" s="45"/>
      <c r="J251" s="49"/>
      <c r="K251" s="46"/>
      <c r="L251" s="49"/>
    </row>
    <row r="252">
      <c r="A252" s="44"/>
      <c r="B252" s="45"/>
      <c r="C252" s="46"/>
      <c r="D252" s="47"/>
      <c r="E252" s="47"/>
      <c r="F252" s="45"/>
      <c r="G252" s="47"/>
      <c r="H252" s="48"/>
      <c r="I252" s="45"/>
      <c r="J252" s="49"/>
      <c r="K252" s="46"/>
      <c r="L252" s="49"/>
    </row>
    <row r="253">
      <c r="A253" s="44"/>
      <c r="B253" s="45"/>
      <c r="C253" s="46"/>
      <c r="D253" s="47"/>
      <c r="E253" s="47"/>
      <c r="F253" s="45"/>
      <c r="G253" s="47"/>
      <c r="H253" s="48"/>
      <c r="I253" s="45"/>
      <c r="J253" s="49"/>
      <c r="K253" s="46"/>
      <c r="L253" s="49"/>
    </row>
    <row r="254">
      <c r="A254" s="44"/>
      <c r="B254" s="45"/>
      <c r="C254" s="46"/>
      <c r="D254" s="47"/>
      <c r="E254" s="47"/>
      <c r="F254" s="45"/>
      <c r="G254" s="47"/>
      <c r="H254" s="48"/>
      <c r="I254" s="45"/>
      <c r="J254" s="49"/>
      <c r="K254" s="46"/>
      <c r="L254" s="49"/>
    </row>
    <row r="255">
      <c r="A255" s="44"/>
      <c r="B255" s="45"/>
      <c r="C255" s="46"/>
      <c r="D255" s="47"/>
      <c r="E255" s="47"/>
      <c r="F255" s="45"/>
      <c r="G255" s="47"/>
      <c r="H255" s="48"/>
      <c r="I255" s="45"/>
      <c r="J255" s="49"/>
      <c r="K255" s="46"/>
      <c r="L255" s="49"/>
    </row>
    <row r="256">
      <c r="A256" s="44"/>
      <c r="B256" s="45"/>
      <c r="C256" s="46"/>
      <c r="D256" s="47"/>
      <c r="E256" s="47"/>
      <c r="F256" s="45"/>
      <c r="G256" s="47"/>
      <c r="H256" s="48"/>
      <c r="I256" s="45"/>
      <c r="J256" s="49"/>
      <c r="K256" s="46"/>
      <c r="L256" s="49"/>
    </row>
    <row r="257">
      <c r="A257" s="44"/>
      <c r="B257" s="45"/>
      <c r="C257" s="46"/>
      <c r="D257" s="47"/>
      <c r="E257" s="47"/>
      <c r="F257" s="45"/>
      <c r="G257" s="47"/>
      <c r="H257" s="48"/>
      <c r="I257" s="45"/>
      <c r="J257" s="49"/>
      <c r="K257" s="46"/>
      <c r="L257" s="49"/>
    </row>
    <row r="258">
      <c r="A258" s="44"/>
      <c r="B258" s="45"/>
      <c r="C258" s="46"/>
      <c r="D258" s="47"/>
      <c r="E258" s="47"/>
      <c r="F258" s="45"/>
      <c r="G258" s="47"/>
      <c r="H258" s="48"/>
      <c r="I258" s="45"/>
      <c r="J258" s="49"/>
      <c r="K258" s="46"/>
      <c r="L258" s="49"/>
    </row>
    <row r="259">
      <c r="A259" s="44"/>
      <c r="B259" s="45"/>
      <c r="C259" s="46"/>
      <c r="D259" s="47"/>
      <c r="E259" s="47"/>
      <c r="F259" s="45"/>
      <c r="G259" s="47"/>
      <c r="H259" s="48"/>
      <c r="I259" s="45"/>
      <c r="J259" s="49"/>
      <c r="K259" s="46"/>
      <c r="L259" s="49"/>
    </row>
    <row r="260">
      <c r="A260" s="44"/>
      <c r="B260" s="45"/>
      <c r="C260" s="46"/>
      <c r="D260" s="47"/>
      <c r="E260" s="47"/>
      <c r="F260" s="45"/>
      <c r="G260" s="47"/>
      <c r="H260" s="48"/>
      <c r="I260" s="45"/>
      <c r="J260" s="49"/>
      <c r="K260" s="46"/>
      <c r="L260" s="49"/>
    </row>
    <row r="261">
      <c r="A261" s="44"/>
      <c r="B261" s="45"/>
      <c r="C261" s="46"/>
      <c r="D261" s="47"/>
      <c r="E261" s="47"/>
      <c r="F261" s="45"/>
      <c r="G261" s="47"/>
      <c r="H261" s="48"/>
      <c r="I261" s="45"/>
      <c r="J261" s="49"/>
      <c r="K261" s="46"/>
      <c r="L261" s="49"/>
    </row>
    <row r="262">
      <c r="A262" s="44"/>
      <c r="B262" s="45"/>
      <c r="C262" s="46"/>
      <c r="D262" s="47"/>
      <c r="E262" s="47"/>
      <c r="F262" s="45"/>
      <c r="G262" s="47"/>
      <c r="H262" s="48"/>
      <c r="I262" s="45"/>
      <c r="J262" s="49"/>
      <c r="K262" s="46"/>
      <c r="L262" s="49"/>
    </row>
    <row r="263">
      <c r="A263" s="44"/>
      <c r="B263" s="45"/>
      <c r="C263" s="46"/>
      <c r="D263" s="47"/>
      <c r="E263" s="47"/>
      <c r="F263" s="45"/>
      <c r="G263" s="47"/>
      <c r="H263" s="48"/>
      <c r="I263" s="45"/>
      <c r="J263" s="49"/>
      <c r="K263" s="46"/>
      <c r="L263" s="49"/>
    </row>
    <row r="264">
      <c r="A264" s="44"/>
      <c r="B264" s="45"/>
      <c r="C264" s="46"/>
      <c r="D264" s="47"/>
      <c r="E264" s="47"/>
      <c r="F264" s="45"/>
      <c r="G264" s="47"/>
      <c r="H264" s="48"/>
      <c r="I264" s="45"/>
      <c r="J264" s="49"/>
      <c r="K264" s="46"/>
      <c r="L264" s="49"/>
    </row>
    <row r="265">
      <c r="A265" s="44"/>
      <c r="B265" s="45"/>
      <c r="C265" s="46"/>
      <c r="D265" s="47"/>
      <c r="E265" s="47"/>
      <c r="F265" s="45"/>
      <c r="G265" s="47"/>
      <c r="H265" s="48"/>
      <c r="I265" s="45"/>
      <c r="J265" s="49"/>
      <c r="K265" s="46"/>
      <c r="L265" s="49"/>
    </row>
    <row r="266">
      <c r="A266" s="44"/>
      <c r="B266" s="45"/>
      <c r="C266" s="46"/>
      <c r="D266" s="47"/>
      <c r="E266" s="47"/>
      <c r="F266" s="45"/>
      <c r="G266" s="47"/>
      <c r="H266" s="48"/>
      <c r="I266" s="45"/>
      <c r="J266" s="49"/>
      <c r="K266" s="46"/>
      <c r="L266" s="49"/>
    </row>
    <row r="267">
      <c r="A267" s="44"/>
      <c r="B267" s="45"/>
      <c r="C267" s="46"/>
      <c r="D267" s="47"/>
      <c r="E267" s="47"/>
      <c r="F267" s="45"/>
      <c r="G267" s="47"/>
      <c r="H267" s="48"/>
      <c r="I267" s="45"/>
      <c r="J267" s="49"/>
      <c r="K267" s="46"/>
      <c r="L267" s="49"/>
    </row>
    <row r="268">
      <c r="A268" s="44"/>
      <c r="B268" s="45"/>
      <c r="C268" s="46"/>
      <c r="D268" s="47"/>
      <c r="E268" s="47"/>
      <c r="F268" s="45"/>
      <c r="G268" s="47"/>
      <c r="H268" s="48"/>
      <c r="I268" s="45"/>
      <c r="J268" s="49"/>
      <c r="K268" s="46"/>
      <c r="L268" s="49"/>
    </row>
    <row r="269">
      <c r="A269" s="44"/>
      <c r="B269" s="45"/>
      <c r="C269" s="46"/>
      <c r="D269" s="47"/>
      <c r="E269" s="47"/>
      <c r="F269" s="45"/>
      <c r="G269" s="47"/>
      <c r="H269" s="48"/>
      <c r="I269" s="45"/>
      <c r="J269" s="49"/>
      <c r="K269" s="46"/>
      <c r="L269" s="49"/>
    </row>
    <row r="270">
      <c r="A270" s="44"/>
      <c r="B270" s="45"/>
      <c r="C270" s="46"/>
      <c r="D270" s="47"/>
      <c r="E270" s="47"/>
      <c r="F270" s="45"/>
      <c r="G270" s="47"/>
      <c r="H270" s="48"/>
      <c r="I270" s="45"/>
      <c r="J270" s="49"/>
      <c r="K270" s="46"/>
      <c r="L270" s="49"/>
    </row>
    <row r="271">
      <c r="A271" s="44"/>
      <c r="B271" s="45"/>
      <c r="C271" s="46"/>
      <c r="D271" s="47"/>
      <c r="E271" s="47"/>
      <c r="F271" s="45"/>
      <c r="G271" s="47"/>
      <c r="H271" s="48"/>
      <c r="I271" s="45"/>
      <c r="J271" s="49"/>
      <c r="K271" s="46"/>
      <c r="L271" s="49"/>
    </row>
    <row r="272">
      <c r="A272" s="44"/>
      <c r="B272" s="45"/>
      <c r="C272" s="46"/>
      <c r="D272" s="47"/>
      <c r="E272" s="47"/>
      <c r="F272" s="45"/>
      <c r="G272" s="47"/>
      <c r="H272" s="48"/>
      <c r="I272" s="45"/>
      <c r="J272" s="49"/>
      <c r="K272" s="46"/>
      <c r="L272" s="49"/>
    </row>
    <row r="273">
      <c r="A273" s="44"/>
      <c r="B273" s="45"/>
      <c r="C273" s="46"/>
      <c r="D273" s="47"/>
      <c r="E273" s="47"/>
      <c r="F273" s="45"/>
      <c r="G273" s="47"/>
      <c r="H273" s="48"/>
      <c r="I273" s="45"/>
      <c r="J273" s="49"/>
      <c r="K273" s="46"/>
      <c r="L273" s="49"/>
    </row>
    <row r="274">
      <c r="A274" s="44"/>
      <c r="B274" s="45"/>
      <c r="C274" s="46"/>
      <c r="D274" s="47"/>
      <c r="E274" s="47"/>
      <c r="F274" s="45"/>
      <c r="G274" s="47"/>
      <c r="H274" s="48"/>
      <c r="I274" s="45"/>
      <c r="J274" s="49"/>
      <c r="K274" s="46"/>
      <c r="L274" s="49"/>
    </row>
    <row r="275">
      <c r="A275" s="44"/>
      <c r="B275" s="45"/>
      <c r="C275" s="46"/>
      <c r="D275" s="47"/>
      <c r="E275" s="47"/>
      <c r="F275" s="45"/>
      <c r="G275" s="47"/>
      <c r="H275" s="48"/>
      <c r="I275" s="45"/>
      <c r="J275" s="49"/>
      <c r="K275" s="46"/>
      <c r="L275" s="49"/>
    </row>
    <row r="276">
      <c r="A276" s="44"/>
      <c r="B276" s="45"/>
      <c r="C276" s="46"/>
      <c r="D276" s="47"/>
      <c r="E276" s="47"/>
      <c r="F276" s="45"/>
      <c r="G276" s="47"/>
      <c r="H276" s="48"/>
      <c r="I276" s="45"/>
      <c r="J276" s="49"/>
      <c r="K276" s="46"/>
      <c r="L276" s="49"/>
    </row>
    <row r="277">
      <c r="A277" s="44"/>
      <c r="B277" s="45"/>
      <c r="C277" s="46"/>
      <c r="D277" s="47"/>
      <c r="E277" s="47"/>
      <c r="F277" s="45"/>
      <c r="G277" s="47"/>
      <c r="H277" s="48"/>
      <c r="I277" s="45"/>
      <c r="J277" s="49"/>
      <c r="K277" s="46"/>
      <c r="L277" s="49"/>
    </row>
    <row r="278">
      <c r="A278" s="44"/>
      <c r="B278" s="45"/>
      <c r="C278" s="46"/>
      <c r="D278" s="47"/>
      <c r="E278" s="47"/>
      <c r="F278" s="45"/>
      <c r="G278" s="47"/>
      <c r="H278" s="48"/>
      <c r="I278" s="45"/>
      <c r="J278" s="49"/>
      <c r="K278" s="46"/>
      <c r="L278" s="49"/>
    </row>
    <row r="279">
      <c r="A279" s="44"/>
      <c r="B279" s="45"/>
      <c r="C279" s="46"/>
      <c r="D279" s="47"/>
      <c r="E279" s="47"/>
      <c r="F279" s="45"/>
      <c r="G279" s="47"/>
      <c r="H279" s="48"/>
      <c r="I279" s="45"/>
      <c r="J279" s="49"/>
      <c r="K279" s="46"/>
      <c r="L279" s="49"/>
    </row>
    <row r="280">
      <c r="A280" s="44"/>
      <c r="B280" s="45"/>
      <c r="C280" s="46"/>
      <c r="D280" s="47"/>
      <c r="E280" s="47"/>
      <c r="F280" s="45"/>
      <c r="G280" s="47"/>
      <c r="H280" s="48"/>
      <c r="I280" s="45"/>
      <c r="J280" s="49"/>
      <c r="K280" s="46"/>
      <c r="L280" s="49"/>
    </row>
    <row r="281">
      <c r="A281" s="44"/>
      <c r="B281" s="45"/>
      <c r="C281" s="46"/>
      <c r="D281" s="47"/>
      <c r="E281" s="47"/>
      <c r="F281" s="45"/>
      <c r="G281" s="47"/>
      <c r="H281" s="48"/>
      <c r="I281" s="45"/>
      <c r="J281" s="49"/>
      <c r="K281" s="46"/>
      <c r="L281" s="49"/>
    </row>
    <row r="282">
      <c r="A282" s="44"/>
      <c r="B282" s="45"/>
      <c r="C282" s="46"/>
      <c r="D282" s="47"/>
      <c r="E282" s="47"/>
      <c r="F282" s="45"/>
      <c r="G282" s="47"/>
      <c r="H282" s="48"/>
      <c r="I282" s="45"/>
      <c r="J282" s="49"/>
      <c r="K282" s="46"/>
      <c r="L282" s="49"/>
    </row>
    <row r="283">
      <c r="A283" s="44"/>
      <c r="B283" s="45"/>
      <c r="C283" s="46"/>
      <c r="D283" s="47"/>
      <c r="E283" s="47"/>
      <c r="F283" s="45"/>
      <c r="G283" s="47"/>
      <c r="H283" s="48"/>
      <c r="I283" s="45"/>
      <c r="J283" s="49"/>
      <c r="K283" s="46"/>
      <c r="L283" s="49"/>
    </row>
    <row r="284">
      <c r="A284" s="44"/>
      <c r="B284" s="45"/>
      <c r="C284" s="46"/>
      <c r="D284" s="47"/>
      <c r="E284" s="47"/>
      <c r="F284" s="45"/>
      <c r="G284" s="47"/>
      <c r="H284" s="48"/>
      <c r="I284" s="45"/>
      <c r="J284" s="49"/>
      <c r="K284" s="46"/>
      <c r="L284" s="49"/>
    </row>
    <row r="285">
      <c r="A285" s="44"/>
      <c r="B285" s="45"/>
      <c r="C285" s="46"/>
      <c r="D285" s="47"/>
      <c r="E285" s="47"/>
      <c r="F285" s="45"/>
      <c r="G285" s="47"/>
      <c r="H285" s="48"/>
      <c r="I285" s="45"/>
      <c r="J285" s="49"/>
      <c r="K285" s="46"/>
      <c r="L285" s="49"/>
    </row>
    <row r="286">
      <c r="A286" s="44"/>
      <c r="B286" s="45"/>
      <c r="C286" s="46"/>
      <c r="D286" s="47"/>
      <c r="E286" s="47"/>
      <c r="F286" s="45"/>
      <c r="G286" s="47"/>
      <c r="H286" s="48"/>
      <c r="I286" s="45"/>
      <c r="J286" s="49"/>
      <c r="K286" s="46"/>
      <c r="L286" s="49"/>
    </row>
    <row r="287">
      <c r="A287" s="44"/>
      <c r="B287" s="45"/>
      <c r="C287" s="46"/>
      <c r="D287" s="47"/>
      <c r="E287" s="47"/>
      <c r="F287" s="45"/>
      <c r="G287" s="47"/>
      <c r="H287" s="48"/>
      <c r="I287" s="45"/>
      <c r="J287" s="49"/>
      <c r="K287" s="46"/>
      <c r="L287" s="49"/>
    </row>
    <row r="288">
      <c r="A288" s="44"/>
      <c r="B288" s="45"/>
      <c r="C288" s="46"/>
      <c r="D288" s="47"/>
      <c r="E288" s="47"/>
      <c r="F288" s="45"/>
      <c r="G288" s="47"/>
      <c r="H288" s="48"/>
      <c r="I288" s="45"/>
      <c r="J288" s="49"/>
      <c r="K288" s="46"/>
      <c r="L288" s="49"/>
    </row>
    <row r="289">
      <c r="A289" s="44"/>
      <c r="B289" s="45"/>
      <c r="C289" s="46"/>
      <c r="D289" s="47"/>
      <c r="E289" s="47"/>
      <c r="F289" s="45"/>
      <c r="G289" s="47"/>
      <c r="H289" s="48"/>
      <c r="I289" s="45"/>
      <c r="J289" s="49"/>
      <c r="K289" s="46"/>
      <c r="L289" s="49"/>
    </row>
    <row r="290">
      <c r="A290" s="44"/>
      <c r="B290" s="45"/>
      <c r="C290" s="46"/>
      <c r="D290" s="47"/>
      <c r="E290" s="47"/>
      <c r="F290" s="45"/>
      <c r="G290" s="47"/>
      <c r="H290" s="48"/>
      <c r="I290" s="45"/>
      <c r="J290" s="49"/>
      <c r="K290" s="46"/>
      <c r="L290" s="49"/>
    </row>
    <row r="291">
      <c r="A291" s="44"/>
      <c r="B291" s="45"/>
      <c r="C291" s="46"/>
      <c r="D291" s="47"/>
      <c r="E291" s="47"/>
      <c r="F291" s="45"/>
      <c r="G291" s="47"/>
      <c r="H291" s="48"/>
      <c r="I291" s="45"/>
      <c r="J291" s="49"/>
      <c r="K291" s="46"/>
      <c r="L291" s="49"/>
    </row>
    <row r="292">
      <c r="A292" s="44"/>
      <c r="B292" s="45"/>
      <c r="C292" s="46"/>
      <c r="D292" s="47"/>
      <c r="E292" s="47"/>
      <c r="F292" s="45"/>
      <c r="G292" s="47"/>
      <c r="H292" s="48"/>
      <c r="I292" s="45"/>
      <c r="J292" s="49"/>
      <c r="K292" s="46"/>
      <c r="L292" s="49"/>
    </row>
    <row r="293">
      <c r="A293" s="44"/>
      <c r="B293" s="45"/>
      <c r="C293" s="46"/>
      <c r="D293" s="47"/>
      <c r="E293" s="47"/>
      <c r="F293" s="45"/>
      <c r="G293" s="47"/>
      <c r="H293" s="48"/>
      <c r="I293" s="45"/>
      <c r="J293" s="49"/>
      <c r="K293" s="46"/>
      <c r="L293" s="49"/>
    </row>
    <row r="294">
      <c r="A294" s="44"/>
      <c r="B294" s="45"/>
      <c r="C294" s="46"/>
      <c r="D294" s="47"/>
      <c r="E294" s="47"/>
      <c r="F294" s="45"/>
      <c r="G294" s="47"/>
      <c r="H294" s="48"/>
      <c r="I294" s="45"/>
      <c r="J294" s="49"/>
      <c r="K294" s="46"/>
      <c r="L294" s="49"/>
    </row>
    <row r="295">
      <c r="A295" s="44"/>
      <c r="B295" s="45"/>
      <c r="C295" s="46"/>
      <c r="D295" s="47"/>
      <c r="E295" s="47"/>
      <c r="F295" s="45"/>
      <c r="G295" s="47"/>
      <c r="H295" s="48"/>
      <c r="I295" s="45"/>
      <c r="J295" s="49"/>
      <c r="K295" s="46"/>
      <c r="L295" s="49"/>
    </row>
    <row r="296">
      <c r="A296" s="44"/>
      <c r="B296" s="45"/>
      <c r="C296" s="46"/>
      <c r="D296" s="47"/>
      <c r="E296" s="47"/>
      <c r="F296" s="45"/>
      <c r="G296" s="47"/>
      <c r="H296" s="48"/>
      <c r="I296" s="45"/>
      <c r="J296" s="49"/>
      <c r="K296" s="46"/>
      <c r="L296" s="49"/>
    </row>
    <row r="297">
      <c r="A297" s="44"/>
      <c r="B297" s="45"/>
      <c r="C297" s="46"/>
      <c r="D297" s="47"/>
      <c r="E297" s="47"/>
      <c r="F297" s="45"/>
      <c r="G297" s="47"/>
      <c r="H297" s="48"/>
      <c r="I297" s="45"/>
      <c r="J297" s="49"/>
      <c r="K297" s="46"/>
      <c r="L297" s="49"/>
    </row>
    <row r="298">
      <c r="A298" s="44"/>
      <c r="B298" s="45"/>
      <c r="C298" s="46"/>
      <c r="D298" s="47"/>
      <c r="E298" s="47"/>
      <c r="F298" s="45"/>
      <c r="G298" s="47"/>
      <c r="H298" s="48"/>
      <c r="I298" s="45"/>
      <c r="J298" s="49"/>
      <c r="K298" s="46"/>
      <c r="L298" s="49"/>
    </row>
    <row r="299">
      <c r="A299" s="44"/>
      <c r="B299" s="45"/>
      <c r="C299" s="46"/>
      <c r="D299" s="47"/>
      <c r="E299" s="47"/>
      <c r="F299" s="45"/>
      <c r="G299" s="47"/>
      <c r="H299" s="48"/>
      <c r="I299" s="45"/>
      <c r="J299" s="49"/>
      <c r="K299" s="46"/>
      <c r="L299" s="49"/>
    </row>
    <row r="300">
      <c r="A300" s="44"/>
      <c r="B300" s="45"/>
      <c r="C300" s="46"/>
      <c r="D300" s="47"/>
      <c r="E300" s="47"/>
      <c r="F300" s="45"/>
      <c r="G300" s="47"/>
      <c r="H300" s="48"/>
      <c r="I300" s="45"/>
      <c r="J300" s="49"/>
      <c r="K300" s="46"/>
      <c r="L300" s="49"/>
    </row>
    <row r="301">
      <c r="A301" s="44"/>
      <c r="B301" s="45"/>
      <c r="C301" s="46"/>
      <c r="D301" s="47"/>
      <c r="E301" s="47"/>
      <c r="F301" s="45"/>
      <c r="G301" s="47"/>
      <c r="H301" s="48"/>
      <c r="I301" s="45"/>
      <c r="J301" s="49"/>
      <c r="K301" s="46"/>
      <c r="L301" s="49"/>
    </row>
    <row r="302">
      <c r="A302" s="44"/>
      <c r="B302" s="45"/>
      <c r="C302" s="46"/>
      <c r="D302" s="47"/>
      <c r="E302" s="47"/>
      <c r="F302" s="45"/>
      <c r="G302" s="47"/>
      <c r="H302" s="48"/>
      <c r="I302" s="45"/>
      <c r="J302" s="49"/>
      <c r="K302" s="46"/>
      <c r="L302" s="49"/>
    </row>
    <row r="303">
      <c r="A303" s="44"/>
      <c r="B303" s="45"/>
      <c r="C303" s="46"/>
      <c r="D303" s="47"/>
      <c r="E303" s="47"/>
      <c r="F303" s="45"/>
      <c r="G303" s="47"/>
      <c r="H303" s="48"/>
      <c r="I303" s="45"/>
      <c r="J303" s="49"/>
      <c r="K303" s="46"/>
      <c r="L303" s="49"/>
    </row>
    <row r="304">
      <c r="A304" s="44"/>
      <c r="B304" s="45"/>
      <c r="C304" s="46"/>
      <c r="D304" s="47"/>
      <c r="E304" s="47"/>
      <c r="F304" s="45"/>
      <c r="G304" s="47"/>
      <c r="H304" s="48"/>
      <c r="I304" s="45"/>
      <c r="J304" s="49"/>
      <c r="K304" s="46"/>
      <c r="L304" s="49"/>
    </row>
    <row r="305">
      <c r="A305" s="44"/>
      <c r="B305" s="45"/>
      <c r="C305" s="46"/>
      <c r="D305" s="47"/>
      <c r="E305" s="47"/>
      <c r="F305" s="45"/>
      <c r="G305" s="47"/>
      <c r="H305" s="48"/>
      <c r="I305" s="45"/>
      <c r="J305" s="49"/>
      <c r="K305" s="46"/>
      <c r="L305" s="49"/>
    </row>
    <row r="306">
      <c r="A306" s="44"/>
      <c r="B306" s="45"/>
      <c r="C306" s="46"/>
      <c r="D306" s="47"/>
      <c r="E306" s="47"/>
      <c r="F306" s="45"/>
      <c r="G306" s="47"/>
      <c r="H306" s="48"/>
      <c r="I306" s="45"/>
      <c r="J306" s="49"/>
      <c r="K306" s="46"/>
      <c r="L306" s="49"/>
    </row>
    <row r="307">
      <c r="A307" s="44"/>
      <c r="B307" s="45"/>
      <c r="C307" s="46"/>
      <c r="D307" s="47"/>
      <c r="E307" s="47"/>
      <c r="F307" s="45"/>
      <c r="G307" s="47"/>
      <c r="H307" s="48"/>
      <c r="I307" s="45"/>
      <c r="J307" s="49"/>
      <c r="K307" s="46"/>
      <c r="L307" s="49"/>
    </row>
    <row r="308">
      <c r="A308" s="44"/>
      <c r="B308" s="45"/>
      <c r="C308" s="46"/>
      <c r="D308" s="47"/>
      <c r="E308" s="47"/>
      <c r="F308" s="45"/>
      <c r="G308" s="47"/>
      <c r="H308" s="48"/>
      <c r="I308" s="45"/>
      <c r="J308" s="49"/>
      <c r="K308" s="46"/>
      <c r="L308" s="49"/>
    </row>
    <row r="309">
      <c r="A309" s="44"/>
      <c r="B309" s="45"/>
      <c r="C309" s="46"/>
      <c r="D309" s="47"/>
      <c r="E309" s="47"/>
      <c r="F309" s="45"/>
      <c r="G309" s="47"/>
      <c r="H309" s="48"/>
      <c r="I309" s="45"/>
      <c r="J309" s="49"/>
      <c r="K309" s="46"/>
      <c r="L309" s="49"/>
    </row>
    <row r="310">
      <c r="A310" s="44"/>
      <c r="B310" s="45"/>
      <c r="C310" s="46"/>
      <c r="D310" s="47"/>
      <c r="E310" s="47"/>
      <c r="F310" s="45"/>
      <c r="G310" s="47"/>
      <c r="H310" s="48"/>
      <c r="I310" s="45"/>
      <c r="J310" s="49"/>
      <c r="K310" s="46"/>
      <c r="L310" s="49"/>
    </row>
    <row r="311">
      <c r="A311" s="44"/>
      <c r="B311" s="45"/>
      <c r="C311" s="46"/>
      <c r="D311" s="47"/>
      <c r="E311" s="47"/>
      <c r="F311" s="45"/>
      <c r="G311" s="47"/>
      <c r="H311" s="48"/>
      <c r="I311" s="45"/>
      <c r="J311" s="49"/>
      <c r="K311" s="46"/>
      <c r="L311" s="49"/>
    </row>
    <row r="312">
      <c r="A312" s="44"/>
      <c r="B312" s="45"/>
      <c r="C312" s="46"/>
      <c r="D312" s="47"/>
      <c r="E312" s="47"/>
      <c r="F312" s="45"/>
      <c r="G312" s="47"/>
      <c r="H312" s="48"/>
      <c r="I312" s="45"/>
      <c r="J312" s="49"/>
      <c r="K312" s="46"/>
      <c r="L312" s="49"/>
    </row>
    <row r="313">
      <c r="A313" s="44"/>
      <c r="B313" s="45"/>
      <c r="C313" s="46"/>
      <c r="D313" s="47"/>
      <c r="E313" s="47"/>
      <c r="F313" s="45"/>
      <c r="G313" s="47"/>
      <c r="H313" s="48"/>
      <c r="I313" s="45"/>
      <c r="J313" s="49"/>
      <c r="K313" s="46"/>
      <c r="L313" s="49"/>
    </row>
    <row r="314">
      <c r="A314" s="44"/>
      <c r="B314" s="45"/>
      <c r="C314" s="46"/>
      <c r="D314" s="47"/>
      <c r="E314" s="47"/>
      <c r="F314" s="45"/>
      <c r="G314" s="47"/>
      <c r="H314" s="48"/>
      <c r="I314" s="45"/>
      <c r="J314" s="49"/>
      <c r="K314" s="46"/>
      <c r="L314" s="49"/>
    </row>
    <row r="315">
      <c r="A315" s="44"/>
      <c r="B315" s="45"/>
      <c r="C315" s="46"/>
      <c r="D315" s="47"/>
      <c r="E315" s="47"/>
      <c r="F315" s="45"/>
      <c r="G315" s="47"/>
      <c r="H315" s="48"/>
      <c r="I315" s="45"/>
      <c r="J315" s="49"/>
      <c r="K315" s="46"/>
      <c r="L315" s="49"/>
    </row>
    <row r="316">
      <c r="A316" s="44"/>
      <c r="B316" s="45"/>
      <c r="C316" s="46"/>
      <c r="D316" s="47"/>
      <c r="E316" s="47"/>
      <c r="F316" s="45"/>
      <c r="G316" s="47"/>
      <c r="H316" s="48"/>
      <c r="I316" s="45"/>
      <c r="J316" s="49"/>
      <c r="K316" s="46"/>
      <c r="L316" s="49"/>
    </row>
    <row r="317">
      <c r="A317" s="44"/>
      <c r="B317" s="45"/>
      <c r="C317" s="46"/>
      <c r="D317" s="47"/>
      <c r="E317" s="47"/>
      <c r="F317" s="45"/>
      <c r="G317" s="47"/>
      <c r="H317" s="48"/>
      <c r="I317" s="45"/>
      <c r="J317" s="49"/>
      <c r="K317" s="46"/>
      <c r="L317" s="49"/>
    </row>
    <row r="318">
      <c r="A318" s="44"/>
      <c r="B318" s="45"/>
      <c r="C318" s="46"/>
      <c r="D318" s="47"/>
      <c r="E318" s="47"/>
      <c r="F318" s="45"/>
      <c r="G318" s="47"/>
      <c r="H318" s="48"/>
      <c r="I318" s="45"/>
      <c r="J318" s="49"/>
      <c r="K318" s="46"/>
      <c r="L318" s="49"/>
    </row>
    <row r="319">
      <c r="A319" s="44"/>
      <c r="B319" s="45"/>
      <c r="C319" s="46"/>
      <c r="D319" s="47"/>
      <c r="E319" s="47"/>
      <c r="F319" s="45"/>
      <c r="G319" s="47"/>
      <c r="H319" s="48"/>
      <c r="I319" s="45"/>
      <c r="J319" s="49"/>
      <c r="K319" s="46"/>
      <c r="L319" s="49"/>
    </row>
    <row r="320">
      <c r="A320" s="44"/>
      <c r="B320" s="45"/>
      <c r="C320" s="46"/>
      <c r="D320" s="47"/>
      <c r="E320" s="47"/>
      <c r="F320" s="45"/>
      <c r="G320" s="47"/>
      <c r="H320" s="48"/>
      <c r="I320" s="45"/>
      <c r="J320" s="49"/>
      <c r="K320" s="46"/>
      <c r="L320" s="49"/>
    </row>
    <row r="321">
      <c r="A321" s="44"/>
      <c r="B321" s="45"/>
      <c r="C321" s="46"/>
      <c r="D321" s="47"/>
      <c r="E321" s="47"/>
      <c r="F321" s="45"/>
      <c r="G321" s="47"/>
      <c r="H321" s="48"/>
      <c r="I321" s="45"/>
      <c r="J321" s="49"/>
      <c r="K321" s="46"/>
      <c r="L321" s="49"/>
    </row>
    <row r="322">
      <c r="A322" s="44"/>
      <c r="B322" s="45"/>
      <c r="C322" s="46"/>
      <c r="D322" s="47"/>
      <c r="E322" s="47"/>
      <c r="F322" s="45"/>
      <c r="G322" s="47"/>
      <c r="H322" s="48"/>
      <c r="I322" s="45"/>
      <c r="J322" s="49"/>
      <c r="K322" s="46"/>
      <c r="L322" s="49"/>
    </row>
    <row r="323">
      <c r="A323" s="44"/>
      <c r="B323" s="45"/>
      <c r="C323" s="46"/>
      <c r="D323" s="47"/>
      <c r="E323" s="47"/>
      <c r="F323" s="45"/>
      <c r="G323" s="47"/>
      <c r="H323" s="48"/>
      <c r="I323" s="45"/>
      <c r="J323" s="49"/>
      <c r="K323" s="46"/>
      <c r="L323" s="49"/>
    </row>
    <row r="324">
      <c r="A324" s="44"/>
      <c r="B324" s="45"/>
      <c r="C324" s="46"/>
      <c r="D324" s="47"/>
      <c r="E324" s="47"/>
      <c r="F324" s="45"/>
      <c r="G324" s="47"/>
      <c r="H324" s="48"/>
      <c r="I324" s="45"/>
      <c r="J324" s="49"/>
      <c r="K324" s="46"/>
      <c r="L324" s="49"/>
    </row>
    <row r="325">
      <c r="A325" s="44"/>
      <c r="B325" s="45"/>
      <c r="C325" s="46"/>
      <c r="D325" s="47"/>
      <c r="E325" s="47"/>
      <c r="F325" s="45"/>
      <c r="G325" s="47"/>
      <c r="H325" s="48"/>
      <c r="I325" s="45"/>
      <c r="J325" s="49"/>
      <c r="K325" s="46"/>
      <c r="L325" s="49"/>
    </row>
    <row r="326">
      <c r="A326" s="44"/>
      <c r="B326" s="45"/>
      <c r="C326" s="46"/>
      <c r="D326" s="47"/>
      <c r="E326" s="47"/>
      <c r="F326" s="45"/>
      <c r="G326" s="47"/>
      <c r="H326" s="48"/>
      <c r="I326" s="45"/>
      <c r="J326" s="49"/>
      <c r="K326" s="46"/>
      <c r="L326" s="49"/>
    </row>
    <row r="327">
      <c r="A327" s="44"/>
      <c r="B327" s="45"/>
      <c r="C327" s="46"/>
      <c r="D327" s="47"/>
      <c r="E327" s="47"/>
      <c r="F327" s="45"/>
      <c r="G327" s="47"/>
      <c r="H327" s="48"/>
      <c r="I327" s="45"/>
      <c r="J327" s="49"/>
      <c r="K327" s="46"/>
      <c r="L327" s="49"/>
    </row>
    <row r="328">
      <c r="A328" s="44"/>
      <c r="B328" s="45"/>
      <c r="C328" s="46"/>
      <c r="D328" s="47"/>
      <c r="E328" s="47"/>
      <c r="F328" s="45"/>
      <c r="G328" s="47"/>
      <c r="H328" s="48"/>
      <c r="I328" s="45"/>
      <c r="J328" s="49"/>
      <c r="K328" s="46"/>
      <c r="L328" s="49"/>
    </row>
    <row r="329">
      <c r="A329" s="44"/>
      <c r="B329" s="45"/>
      <c r="C329" s="46"/>
      <c r="D329" s="47"/>
      <c r="E329" s="47"/>
      <c r="F329" s="45"/>
      <c r="G329" s="47"/>
      <c r="H329" s="48"/>
      <c r="I329" s="45"/>
      <c r="J329" s="49"/>
      <c r="K329" s="46"/>
      <c r="L329" s="49"/>
    </row>
    <row r="330">
      <c r="A330" s="44"/>
      <c r="B330" s="45"/>
      <c r="C330" s="46"/>
      <c r="D330" s="47"/>
      <c r="E330" s="47"/>
      <c r="F330" s="45"/>
      <c r="G330" s="47"/>
      <c r="H330" s="48"/>
      <c r="I330" s="45"/>
      <c r="J330" s="49"/>
      <c r="K330" s="46"/>
      <c r="L330" s="49"/>
    </row>
    <row r="331">
      <c r="A331" s="44"/>
      <c r="B331" s="45"/>
      <c r="C331" s="46"/>
      <c r="D331" s="47"/>
      <c r="E331" s="47"/>
      <c r="F331" s="45"/>
      <c r="G331" s="47"/>
      <c r="H331" s="48"/>
      <c r="I331" s="45"/>
      <c r="J331" s="49"/>
      <c r="K331" s="46"/>
      <c r="L331" s="49"/>
    </row>
    <row r="332">
      <c r="A332" s="44"/>
      <c r="B332" s="45"/>
      <c r="C332" s="46"/>
      <c r="D332" s="47"/>
      <c r="E332" s="47"/>
      <c r="F332" s="45"/>
      <c r="G332" s="47"/>
      <c r="H332" s="48"/>
      <c r="I332" s="45"/>
      <c r="J332" s="49"/>
      <c r="K332" s="46"/>
      <c r="L332" s="49"/>
    </row>
    <row r="333">
      <c r="A333" s="44"/>
      <c r="B333" s="45"/>
      <c r="C333" s="46"/>
      <c r="D333" s="47"/>
      <c r="E333" s="47"/>
      <c r="F333" s="45"/>
      <c r="G333" s="47"/>
      <c r="H333" s="48"/>
      <c r="I333" s="45"/>
      <c r="J333" s="49"/>
      <c r="K333" s="46"/>
      <c r="L333" s="49"/>
    </row>
    <row r="334">
      <c r="A334" s="44"/>
      <c r="B334" s="45"/>
      <c r="C334" s="46"/>
      <c r="D334" s="47"/>
      <c r="E334" s="47"/>
      <c r="F334" s="45"/>
      <c r="G334" s="47"/>
      <c r="H334" s="48"/>
      <c r="I334" s="45"/>
      <c r="J334" s="49"/>
      <c r="K334" s="46"/>
      <c r="L334" s="49"/>
    </row>
    <row r="335">
      <c r="A335" s="44"/>
      <c r="B335" s="45"/>
      <c r="C335" s="46"/>
      <c r="D335" s="47"/>
      <c r="E335" s="47"/>
      <c r="F335" s="45"/>
      <c r="G335" s="47"/>
      <c r="H335" s="48"/>
      <c r="I335" s="45"/>
      <c r="J335" s="49"/>
      <c r="K335" s="46"/>
      <c r="L335" s="49"/>
    </row>
    <row r="336">
      <c r="A336" s="44"/>
      <c r="B336" s="45"/>
      <c r="C336" s="46"/>
      <c r="D336" s="47"/>
      <c r="E336" s="47"/>
      <c r="F336" s="45"/>
      <c r="G336" s="47"/>
      <c r="H336" s="48"/>
      <c r="I336" s="45"/>
      <c r="J336" s="49"/>
      <c r="K336" s="46"/>
      <c r="L336" s="49"/>
    </row>
    <row r="337">
      <c r="A337" s="44"/>
      <c r="B337" s="45"/>
      <c r="C337" s="46"/>
      <c r="D337" s="47"/>
      <c r="E337" s="47"/>
      <c r="F337" s="45"/>
      <c r="G337" s="47"/>
      <c r="H337" s="48"/>
      <c r="I337" s="45"/>
      <c r="J337" s="49"/>
      <c r="K337" s="46"/>
      <c r="L337" s="49"/>
    </row>
    <row r="338">
      <c r="A338" s="44"/>
      <c r="B338" s="45"/>
      <c r="C338" s="46"/>
      <c r="D338" s="47"/>
      <c r="E338" s="47"/>
      <c r="F338" s="45"/>
      <c r="G338" s="47"/>
      <c r="H338" s="48"/>
      <c r="I338" s="45"/>
      <c r="J338" s="49"/>
      <c r="K338" s="46"/>
      <c r="L338" s="49"/>
    </row>
    <row r="339">
      <c r="A339" s="44"/>
      <c r="B339" s="45"/>
      <c r="C339" s="46"/>
      <c r="D339" s="47"/>
      <c r="E339" s="47"/>
      <c r="F339" s="45"/>
      <c r="G339" s="47"/>
      <c r="H339" s="48"/>
      <c r="I339" s="45"/>
      <c r="J339" s="49"/>
      <c r="K339" s="46"/>
      <c r="L339" s="49"/>
    </row>
    <row r="340">
      <c r="A340" s="44"/>
      <c r="B340" s="45"/>
      <c r="C340" s="46"/>
      <c r="D340" s="47"/>
      <c r="E340" s="47"/>
      <c r="F340" s="45"/>
      <c r="G340" s="47"/>
      <c r="H340" s="48"/>
      <c r="I340" s="45"/>
      <c r="J340" s="49"/>
      <c r="K340" s="46"/>
      <c r="L340" s="49"/>
    </row>
    <row r="341">
      <c r="A341" s="44"/>
      <c r="B341" s="45"/>
      <c r="C341" s="46"/>
      <c r="D341" s="47"/>
      <c r="E341" s="47"/>
      <c r="F341" s="45"/>
      <c r="G341" s="47"/>
      <c r="H341" s="48"/>
      <c r="I341" s="45"/>
      <c r="J341" s="49"/>
      <c r="K341" s="46"/>
      <c r="L341" s="49"/>
    </row>
    <row r="342">
      <c r="A342" s="44"/>
      <c r="B342" s="45"/>
      <c r="C342" s="46"/>
      <c r="D342" s="47"/>
      <c r="E342" s="47"/>
      <c r="F342" s="45"/>
      <c r="G342" s="47"/>
      <c r="H342" s="48"/>
      <c r="I342" s="45"/>
      <c r="J342" s="49"/>
      <c r="K342" s="46"/>
      <c r="L342" s="49"/>
    </row>
    <row r="343">
      <c r="A343" s="44"/>
      <c r="B343" s="45"/>
      <c r="C343" s="46"/>
      <c r="D343" s="47"/>
      <c r="E343" s="47"/>
      <c r="F343" s="45"/>
      <c r="G343" s="47"/>
      <c r="H343" s="48"/>
      <c r="I343" s="45"/>
      <c r="J343" s="49"/>
      <c r="K343" s="46"/>
      <c r="L343" s="49"/>
    </row>
    <row r="344">
      <c r="A344" s="44"/>
      <c r="B344" s="45"/>
      <c r="C344" s="46"/>
      <c r="D344" s="47"/>
      <c r="E344" s="47"/>
      <c r="F344" s="45"/>
      <c r="G344" s="47"/>
      <c r="H344" s="48"/>
      <c r="I344" s="45"/>
      <c r="J344" s="49"/>
      <c r="K344" s="46"/>
      <c r="L344" s="49"/>
    </row>
    <row r="345">
      <c r="A345" s="44"/>
      <c r="B345" s="45"/>
      <c r="C345" s="46"/>
      <c r="D345" s="47"/>
      <c r="E345" s="47"/>
      <c r="F345" s="45"/>
      <c r="G345" s="47"/>
      <c r="H345" s="48"/>
      <c r="I345" s="45"/>
      <c r="J345" s="49"/>
      <c r="K345" s="46"/>
      <c r="L345" s="49"/>
    </row>
    <row r="346">
      <c r="A346" s="44"/>
      <c r="B346" s="45"/>
      <c r="C346" s="46"/>
      <c r="D346" s="47"/>
      <c r="E346" s="47"/>
      <c r="F346" s="45"/>
      <c r="G346" s="47"/>
      <c r="H346" s="48"/>
      <c r="I346" s="45"/>
      <c r="J346" s="49"/>
      <c r="K346" s="46"/>
      <c r="L346" s="49"/>
    </row>
    <row r="347">
      <c r="A347" s="44"/>
      <c r="B347" s="45"/>
      <c r="C347" s="46"/>
      <c r="D347" s="47"/>
      <c r="E347" s="47"/>
      <c r="F347" s="45"/>
      <c r="G347" s="47"/>
      <c r="H347" s="48"/>
      <c r="I347" s="45"/>
      <c r="J347" s="49"/>
      <c r="K347" s="46"/>
      <c r="L347" s="49"/>
    </row>
    <row r="348">
      <c r="A348" s="44"/>
      <c r="B348" s="45"/>
      <c r="C348" s="46"/>
      <c r="D348" s="47"/>
      <c r="E348" s="47"/>
      <c r="F348" s="45"/>
      <c r="G348" s="47"/>
      <c r="H348" s="48"/>
      <c r="I348" s="45"/>
      <c r="J348" s="49"/>
      <c r="K348" s="46"/>
      <c r="L348" s="49"/>
    </row>
    <row r="349">
      <c r="A349" s="44"/>
      <c r="B349" s="45"/>
      <c r="C349" s="46"/>
      <c r="D349" s="47"/>
      <c r="E349" s="47"/>
      <c r="F349" s="45"/>
      <c r="G349" s="47"/>
      <c r="H349" s="48"/>
      <c r="I349" s="45"/>
      <c r="J349" s="49"/>
      <c r="K349" s="46"/>
      <c r="L349" s="49"/>
    </row>
    <row r="350">
      <c r="A350" s="44"/>
      <c r="B350" s="45"/>
      <c r="C350" s="46"/>
      <c r="D350" s="47"/>
      <c r="E350" s="47"/>
      <c r="F350" s="45"/>
      <c r="G350" s="47"/>
      <c r="H350" s="48"/>
      <c r="I350" s="45"/>
      <c r="J350" s="49"/>
      <c r="K350" s="46"/>
      <c r="L350" s="49"/>
    </row>
    <row r="351">
      <c r="A351" s="44"/>
      <c r="B351" s="45"/>
      <c r="C351" s="46"/>
      <c r="D351" s="47"/>
      <c r="E351" s="47"/>
      <c r="F351" s="45"/>
      <c r="G351" s="47"/>
      <c r="H351" s="48"/>
      <c r="I351" s="45"/>
      <c r="J351" s="49"/>
      <c r="K351" s="46"/>
      <c r="L351" s="49"/>
    </row>
    <row r="352">
      <c r="A352" s="44"/>
      <c r="B352" s="45"/>
      <c r="C352" s="46"/>
      <c r="D352" s="47"/>
      <c r="E352" s="47"/>
      <c r="F352" s="45"/>
      <c r="G352" s="47"/>
      <c r="H352" s="48"/>
      <c r="I352" s="45"/>
      <c r="J352" s="49"/>
      <c r="K352" s="46"/>
      <c r="L352" s="49"/>
    </row>
    <row r="353">
      <c r="A353" s="44"/>
      <c r="B353" s="45"/>
      <c r="C353" s="46"/>
      <c r="D353" s="47"/>
      <c r="E353" s="47"/>
      <c r="F353" s="45"/>
      <c r="G353" s="47"/>
      <c r="H353" s="48"/>
      <c r="I353" s="45"/>
      <c r="J353" s="49"/>
      <c r="K353" s="46"/>
      <c r="L353" s="49"/>
    </row>
    <row r="354">
      <c r="A354" s="44"/>
      <c r="B354" s="45"/>
      <c r="C354" s="46"/>
      <c r="D354" s="47"/>
      <c r="E354" s="47"/>
      <c r="F354" s="45"/>
      <c r="G354" s="47"/>
      <c r="H354" s="48"/>
      <c r="I354" s="45"/>
      <c r="J354" s="49"/>
      <c r="K354" s="46"/>
      <c r="L354" s="49"/>
    </row>
    <row r="355">
      <c r="A355" s="44"/>
      <c r="B355" s="45"/>
      <c r="C355" s="46"/>
      <c r="D355" s="47"/>
      <c r="E355" s="47"/>
      <c r="F355" s="45"/>
      <c r="G355" s="47"/>
      <c r="H355" s="48"/>
      <c r="I355" s="45"/>
      <c r="J355" s="49"/>
      <c r="K355" s="46"/>
      <c r="L355" s="49"/>
    </row>
    <row r="356">
      <c r="A356" s="44"/>
      <c r="B356" s="45"/>
      <c r="C356" s="46"/>
      <c r="D356" s="47"/>
      <c r="E356" s="47"/>
      <c r="F356" s="45"/>
      <c r="G356" s="47"/>
      <c r="H356" s="48"/>
      <c r="I356" s="45"/>
      <c r="J356" s="49"/>
      <c r="K356" s="46"/>
      <c r="L356" s="49"/>
    </row>
    <row r="357">
      <c r="A357" s="44"/>
      <c r="B357" s="45"/>
      <c r="C357" s="46"/>
      <c r="D357" s="47"/>
      <c r="E357" s="47"/>
      <c r="F357" s="45"/>
      <c r="G357" s="47"/>
      <c r="H357" s="48"/>
      <c r="I357" s="45"/>
      <c r="J357" s="49"/>
      <c r="K357" s="46"/>
      <c r="L357" s="49"/>
    </row>
    <row r="358">
      <c r="A358" s="44"/>
      <c r="B358" s="45"/>
      <c r="C358" s="46"/>
      <c r="D358" s="47"/>
      <c r="E358" s="47"/>
      <c r="F358" s="45"/>
      <c r="G358" s="47"/>
      <c r="H358" s="48"/>
      <c r="I358" s="45"/>
      <c r="J358" s="49"/>
      <c r="K358" s="46"/>
      <c r="L358" s="49"/>
    </row>
    <row r="359">
      <c r="A359" s="44"/>
      <c r="B359" s="45"/>
      <c r="C359" s="46"/>
      <c r="D359" s="47"/>
      <c r="E359" s="47"/>
      <c r="F359" s="45"/>
      <c r="G359" s="47"/>
      <c r="H359" s="48"/>
      <c r="I359" s="45"/>
      <c r="J359" s="49"/>
      <c r="K359" s="46"/>
      <c r="L359" s="49"/>
    </row>
    <row r="360">
      <c r="A360" s="44"/>
      <c r="B360" s="45"/>
      <c r="C360" s="46"/>
      <c r="D360" s="47"/>
      <c r="E360" s="47"/>
      <c r="F360" s="45"/>
      <c r="G360" s="47"/>
      <c r="H360" s="48"/>
      <c r="I360" s="45"/>
      <c r="J360" s="49"/>
      <c r="K360" s="46"/>
      <c r="L360" s="49"/>
    </row>
    <row r="361">
      <c r="A361" s="44"/>
      <c r="B361" s="45"/>
      <c r="C361" s="46"/>
      <c r="D361" s="47"/>
      <c r="E361" s="47"/>
      <c r="F361" s="45"/>
      <c r="G361" s="47"/>
      <c r="H361" s="48"/>
      <c r="I361" s="45"/>
      <c r="J361" s="49"/>
      <c r="K361" s="46"/>
      <c r="L361" s="49"/>
    </row>
    <row r="362">
      <c r="A362" s="44"/>
      <c r="B362" s="45"/>
      <c r="C362" s="46"/>
      <c r="D362" s="47"/>
      <c r="E362" s="47"/>
      <c r="F362" s="45"/>
      <c r="G362" s="47"/>
      <c r="H362" s="48"/>
      <c r="I362" s="45"/>
      <c r="J362" s="49"/>
      <c r="K362" s="46"/>
      <c r="L362" s="49"/>
    </row>
    <row r="363">
      <c r="A363" s="44"/>
      <c r="B363" s="45"/>
      <c r="C363" s="46"/>
      <c r="D363" s="47"/>
      <c r="E363" s="47"/>
      <c r="F363" s="45"/>
      <c r="G363" s="47"/>
      <c r="H363" s="48"/>
      <c r="I363" s="45"/>
      <c r="J363" s="49"/>
      <c r="K363" s="46"/>
      <c r="L363" s="49"/>
    </row>
    <row r="364">
      <c r="A364" s="44"/>
      <c r="B364" s="45"/>
      <c r="C364" s="46"/>
      <c r="D364" s="47"/>
      <c r="E364" s="47"/>
      <c r="F364" s="45"/>
      <c r="G364" s="47"/>
      <c r="H364" s="48"/>
      <c r="I364" s="45"/>
      <c r="J364" s="49"/>
      <c r="K364" s="46"/>
      <c r="L364" s="49"/>
    </row>
    <row r="365">
      <c r="A365" s="44"/>
      <c r="B365" s="45"/>
      <c r="C365" s="46"/>
      <c r="D365" s="47"/>
      <c r="E365" s="47"/>
      <c r="F365" s="45"/>
      <c r="G365" s="47"/>
      <c r="H365" s="48"/>
      <c r="I365" s="45"/>
      <c r="J365" s="49"/>
      <c r="K365" s="46"/>
      <c r="L365" s="49"/>
    </row>
    <row r="366">
      <c r="A366" s="44"/>
      <c r="B366" s="45"/>
      <c r="C366" s="46"/>
      <c r="D366" s="47"/>
      <c r="E366" s="47"/>
      <c r="F366" s="45"/>
      <c r="G366" s="47"/>
      <c r="H366" s="48"/>
      <c r="I366" s="45"/>
      <c r="J366" s="49"/>
      <c r="K366" s="46"/>
      <c r="L366" s="49"/>
    </row>
    <row r="367">
      <c r="A367" s="44"/>
      <c r="B367" s="45"/>
      <c r="C367" s="46"/>
      <c r="D367" s="47"/>
      <c r="E367" s="47"/>
      <c r="F367" s="45"/>
      <c r="G367" s="47"/>
      <c r="H367" s="48"/>
      <c r="I367" s="45"/>
      <c r="J367" s="49"/>
      <c r="K367" s="46"/>
      <c r="L367" s="49"/>
    </row>
    <row r="368">
      <c r="A368" s="44"/>
      <c r="B368" s="45"/>
      <c r="C368" s="46"/>
      <c r="D368" s="47"/>
      <c r="E368" s="47"/>
      <c r="F368" s="45"/>
      <c r="G368" s="47"/>
      <c r="H368" s="48"/>
      <c r="I368" s="45"/>
      <c r="J368" s="49"/>
      <c r="K368" s="46"/>
      <c r="L368" s="49"/>
    </row>
    <row r="369">
      <c r="A369" s="44"/>
      <c r="B369" s="45"/>
      <c r="C369" s="46"/>
      <c r="D369" s="47"/>
      <c r="E369" s="47"/>
      <c r="F369" s="45"/>
      <c r="G369" s="47"/>
      <c r="H369" s="48"/>
      <c r="I369" s="45"/>
      <c r="J369" s="49"/>
      <c r="K369" s="46"/>
      <c r="L369" s="49"/>
    </row>
    <row r="370">
      <c r="A370" s="44"/>
      <c r="B370" s="45"/>
      <c r="C370" s="46"/>
      <c r="D370" s="47"/>
      <c r="E370" s="47"/>
      <c r="F370" s="45"/>
      <c r="G370" s="47"/>
      <c r="H370" s="48"/>
      <c r="I370" s="45"/>
      <c r="J370" s="49"/>
      <c r="K370" s="46"/>
      <c r="L370" s="49"/>
    </row>
    <row r="371">
      <c r="A371" s="44"/>
      <c r="B371" s="45"/>
      <c r="C371" s="46"/>
      <c r="D371" s="47"/>
      <c r="E371" s="47"/>
      <c r="F371" s="45"/>
      <c r="G371" s="47"/>
      <c r="H371" s="48"/>
      <c r="I371" s="45"/>
      <c r="J371" s="49"/>
      <c r="K371" s="46"/>
      <c r="L371" s="49"/>
    </row>
    <row r="372">
      <c r="A372" s="44"/>
      <c r="B372" s="45"/>
      <c r="C372" s="46"/>
      <c r="D372" s="47"/>
      <c r="E372" s="47"/>
      <c r="F372" s="45"/>
      <c r="G372" s="47"/>
      <c r="H372" s="48"/>
      <c r="I372" s="45"/>
      <c r="J372" s="49"/>
      <c r="K372" s="46"/>
      <c r="L372" s="49"/>
    </row>
    <row r="373">
      <c r="A373" s="44"/>
      <c r="B373" s="45"/>
      <c r="C373" s="46"/>
      <c r="D373" s="47"/>
      <c r="E373" s="47"/>
      <c r="F373" s="45"/>
      <c r="G373" s="47"/>
      <c r="H373" s="48"/>
      <c r="I373" s="45"/>
      <c r="J373" s="49"/>
      <c r="K373" s="46"/>
      <c r="L373" s="49"/>
    </row>
    <row r="374">
      <c r="A374" s="44"/>
      <c r="B374" s="45"/>
      <c r="C374" s="46"/>
      <c r="D374" s="47"/>
      <c r="E374" s="47"/>
      <c r="F374" s="45"/>
      <c r="G374" s="47"/>
      <c r="H374" s="48"/>
      <c r="I374" s="45"/>
      <c r="J374" s="49"/>
      <c r="K374" s="46"/>
      <c r="L374" s="49"/>
    </row>
    <row r="375">
      <c r="A375" s="44"/>
      <c r="B375" s="45"/>
      <c r="C375" s="46"/>
      <c r="D375" s="47"/>
      <c r="E375" s="47"/>
      <c r="F375" s="45"/>
      <c r="G375" s="47"/>
      <c r="H375" s="48"/>
      <c r="I375" s="45"/>
      <c r="J375" s="49"/>
      <c r="K375" s="46"/>
      <c r="L375" s="49"/>
    </row>
    <row r="376">
      <c r="A376" s="44"/>
      <c r="B376" s="45"/>
      <c r="C376" s="46"/>
      <c r="D376" s="47"/>
      <c r="E376" s="47"/>
      <c r="F376" s="45"/>
      <c r="G376" s="47"/>
      <c r="H376" s="48"/>
      <c r="I376" s="45"/>
      <c r="J376" s="49"/>
      <c r="K376" s="46"/>
      <c r="L376" s="49"/>
    </row>
    <row r="377">
      <c r="A377" s="44"/>
      <c r="B377" s="45"/>
      <c r="C377" s="46"/>
      <c r="D377" s="47"/>
      <c r="E377" s="47"/>
      <c r="F377" s="45"/>
      <c r="G377" s="47"/>
      <c r="H377" s="48"/>
      <c r="I377" s="45"/>
      <c r="J377" s="49"/>
      <c r="K377" s="46"/>
      <c r="L377" s="49"/>
    </row>
    <row r="378">
      <c r="A378" s="44"/>
      <c r="B378" s="45"/>
      <c r="C378" s="46"/>
      <c r="D378" s="47"/>
      <c r="E378" s="47"/>
      <c r="F378" s="45"/>
      <c r="G378" s="47"/>
      <c r="H378" s="48"/>
      <c r="I378" s="45"/>
      <c r="J378" s="49"/>
      <c r="K378" s="46"/>
      <c r="L378" s="49"/>
    </row>
    <row r="379">
      <c r="A379" s="44"/>
      <c r="B379" s="45"/>
      <c r="C379" s="46"/>
      <c r="D379" s="47"/>
      <c r="E379" s="47"/>
      <c r="F379" s="45"/>
      <c r="G379" s="47"/>
      <c r="H379" s="48"/>
      <c r="I379" s="45"/>
      <c r="J379" s="49"/>
      <c r="K379" s="46"/>
      <c r="L379" s="49"/>
    </row>
    <row r="380">
      <c r="A380" s="44"/>
      <c r="B380" s="45"/>
      <c r="C380" s="46"/>
      <c r="D380" s="47"/>
      <c r="E380" s="47"/>
      <c r="F380" s="45"/>
      <c r="G380" s="47"/>
      <c r="H380" s="48"/>
      <c r="I380" s="45"/>
      <c r="J380" s="49"/>
      <c r="K380" s="46"/>
      <c r="L380" s="49"/>
    </row>
    <row r="381">
      <c r="A381" s="44"/>
      <c r="B381" s="45"/>
      <c r="C381" s="46"/>
      <c r="D381" s="47"/>
      <c r="E381" s="47"/>
      <c r="F381" s="45"/>
      <c r="G381" s="47"/>
      <c r="H381" s="48"/>
      <c r="I381" s="45"/>
      <c r="J381" s="49"/>
      <c r="K381" s="46"/>
      <c r="L381" s="49"/>
    </row>
    <row r="382">
      <c r="A382" s="44"/>
      <c r="B382" s="45"/>
      <c r="C382" s="46"/>
      <c r="D382" s="47"/>
      <c r="E382" s="47"/>
      <c r="F382" s="45"/>
      <c r="G382" s="47"/>
      <c r="H382" s="48"/>
      <c r="I382" s="45"/>
      <c r="J382" s="49"/>
      <c r="K382" s="46"/>
      <c r="L382" s="49"/>
    </row>
    <row r="383">
      <c r="A383" s="44"/>
      <c r="B383" s="45"/>
      <c r="C383" s="46"/>
      <c r="D383" s="47"/>
      <c r="E383" s="47"/>
      <c r="F383" s="45"/>
      <c r="G383" s="47"/>
      <c r="H383" s="48"/>
      <c r="I383" s="45"/>
      <c r="J383" s="49"/>
      <c r="K383" s="46"/>
      <c r="L383" s="49"/>
    </row>
    <row r="384">
      <c r="A384" s="44"/>
      <c r="B384" s="45"/>
      <c r="C384" s="46"/>
      <c r="D384" s="47"/>
      <c r="E384" s="47"/>
      <c r="F384" s="45"/>
      <c r="G384" s="47"/>
      <c r="H384" s="48"/>
      <c r="I384" s="45"/>
      <c r="J384" s="49"/>
      <c r="K384" s="46"/>
      <c r="L384" s="49"/>
    </row>
    <row r="385">
      <c r="A385" s="44"/>
      <c r="B385" s="45"/>
      <c r="C385" s="46"/>
      <c r="D385" s="47"/>
      <c r="E385" s="47"/>
      <c r="F385" s="45"/>
      <c r="G385" s="47"/>
      <c r="H385" s="48"/>
      <c r="I385" s="45"/>
      <c r="J385" s="49"/>
      <c r="K385" s="46"/>
      <c r="L385" s="49"/>
    </row>
    <row r="386">
      <c r="A386" s="44"/>
      <c r="B386" s="45"/>
      <c r="C386" s="46"/>
      <c r="D386" s="47"/>
      <c r="E386" s="47"/>
      <c r="F386" s="45"/>
      <c r="G386" s="47"/>
      <c r="H386" s="48"/>
      <c r="I386" s="45"/>
      <c r="J386" s="49"/>
      <c r="K386" s="46"/>
      <c r="L386" s="49"/>
    </row>
    <row r="387">
      <c r="A387" s="44"/>
      <c r="B387" s="45"/>
      <c r="C387" s="46"/>
      <c r="D387" s="47"/>
      <c r="E387" s="47"/>
      <c r="F387" s="45"/>
      <c r="G387" s="47"/>
      <c r="H387" s="48"/>
      <c r="I387" s="45"/>
      <c r="J387" s="49"/>
      <c r="K387" s="46"/>
      <c r="L387" s="49"/>
    </row>
    <row r="388">
      <c r="A388" s="44"/>
      <c r="B388" s="45"/>
      <c r="C388" s="46"/>
      <c r="D388" s="47"/>
      <c r="E388" s="47"/>
      <c r="F388" s="45"/>
      <c r="G388" s="47"/>
      <c r="H388" s="48"/>
      <c r="I388" s="45"/>
      <c r="J388" s="49"/>
      <c r="K388" s="46"/>
      <c r="L388" s="49"/>
    </row>
    <row r="389">
      <c r="A389" s="44"/>
      <c r="B389" s="45"/>
      <c r="C389" s="46"/>
      <c r="D389" s="47"/>
      <c r="E389" s="47"/>
      <c r="F389" s="45"/>
      <c r="G389" s="47"/>
      <c r="H389" s="48"/>
      <c r="I389" s="45"/>
      <c r="J389" s="49"/>
      <c r="K389" s="46"/>
      <c r="L389" s="49"/>
    </row>
    <row r="390">
      <c r="A390" s="44"/>
      <c r="B390" s="45"/>
      <c r="C390" s="46"/>
      <c r="D390" s="47"/>
      <c r="E390" s="47"/>
      <c r="F390" s="45"/>
      <c r="G390" s="47"/>
      <c r="H390" s="48"/>
      <c r="I390" s="45"/>
      <c r="J390" s="49"/>
      <c r="K390" s="46"/>
      <c r="L390" s="49"/>
    </row>
    <row r="391">
      <c r="A391" s="44"/>
      <c r="B391" s="45"/>
      <c r="C391" s="46"/>
      <c r="D391" s="47"/>
      <c r="E391" s="47"/>
      <c r="F391" s="45"/>
      <c r="G391" s="47"/>
      <c r="H391" s="48"/>
      <c r="I391" s="45"/>
      <c r="J391" s="49"/>
      <c r="K391" s="46"/>
      <c r="L391" s="49"/>
    </row>
    <row r="392">
      <c r="A392" s="44"/>
      <c r="B392" s="45"/>
      <c r="C392" s="46"/>
      <c r="D392" s="47"/>
      <c r="E392" s="47"/>
      <c r="F392" s="45"/>
      <c r="G392" s="47"/>
      <c r="H392" s="48"/>
      <c r="I392" s="45"/>
      <c r="J392" s="49"/>
      <c r="K392" s="46"/>
      <c r="L392" s="49"/>
    </row>
    <row r="393">
      <c r="A393" s="44"/>
      <c r="B393" s="45"/>
      <c r="C393" s="46"/>
      <c r="D393" s="47"/>
      <c r="E393" s="47"/>
      <c r="F393" s="45"/>
      <c r="G393" s="47"/>
      <c r="H393" s="48"/>
      <c r="I393" s="45"/>
      <c r="J393" s="49"/>
      <c r="K393" s="46"/>
      <c r="L393" s="49"/>
    </row>
    <row r="394">
      <c r="A394" s="44"/>
      <c r="B394" s="45"/>
      <c r="C394" s="46"/>
      <c r="D394" s="47"/>
      <c r="E394" s="47"/>
      <c r="F394" s="45"/>
      <c r="G394" s="47"/>
      <c r="H394" s="48"/>
      <c r="I394" s="45"/>
      <c r="J394" s="49"/>
      <c r="K394" s="46"/>
      <c r="L394" s="49"/>
    </row>
    <row r="395">
      <c r="A395" s="44"/>
      <c r="B395" s="45"/>
      <c r="C395" s="46"/>
      <c r="D395" s="47"/>
      <c r="E395" s="47"/>
      <c r="F395" s="45"/>
      <c r="G395" s="47"/>
      <c r="H395" s="48"/>
      <c r="I395" s="45"/>
      <c r="J395" s="49"/>
      <c r="K395" s="46"/>
      <c r="L395" s="49"/>
    </row>
    <row r="396">
      <c r="A396" s="44"/>
      <c r="B396" s="45"/>
      <c r="C396" s="46"/>
      <c r="D396" s="47"/>
      <c r="E396" s="47"/>
      <c r="F396" s="45"/>
      <c r="G396" s="47"/>
      <c r="H396" s="48"/>
      <c r="I396" s="45"/>
      <c r="J396" s="49"/>
      <c r="K396" s="46"/>
      <c r="L396" s="49"/>
    </row>
    <row r="397">
      <c r="A397" s="44"/>
      <c r="B397" s="45"/>
      <c r="C397" s="46"/>
      <c r="D397" s="47"/>
      <c r="E397" s="47"/>
      <c r="F397" s="45"/>
      <c r="G397" s="47"/>
      <c r="H397" s="48"/>
      <c r="I397" s="45"/>
      <c r="J397" s="49"/>
      <c r="K397" s="46"/>
      <c r="L397" s="49"/>
    </row>
    <row r="398">
      <c r="A398" s="44"/>
      <c r="B398" s="45"/>
      <c r="C398" s="46"/>
      <c r="D398" s="47"/>
      <c r="E398" s="47"/>
      <c r="F398" s="45"/>
      <c r="G398" s="47"/>
      <c r="H398" s="48"/>
      <c r="I398" s="45"/>
      <c r="J398" s="49"/>
      <c r="K398" s="46"/>
      <c r="L398" s="49"/>
    </row>
    <row r="399">
      <c r="A399" s="44"/>
      <c r="B399" s="45"/>
      <c r="C399" s="46"/>
      <c r="D399" s="47"/>
      <c r="E399" s="47"/>
      <c r="F399" s="45"/>
      <c r="G399" s="47"/>
      <c r="H399" s="48"/>
      <c r="I399" s="45"/>
      <c r="J399" s="49"/>
      <c r="K399" s="46"/>
      <c r="L399" s="49"/>
    </row>
    <row r="400">
      <c r="A400" s="44"/>
      <c r="B400" s="45"/>
      <c r="C400" s="46"/>
      <c r="D400" s="47"/>
      <c r="E400" s="47"/>
      <c r="F400" s="45"/>
      <c r="G400" s="47"/>
      <c r="H400" s="48"/>
      <c r="I400" s="45"/>
      <c r="J400" s="49"/>
      <c r="K400" s="46"/>
      <c r="L400" s="49"/>
    </row>
    <row r="401">
      <c r="A401" s="44"/>
      <c r="B401" s="45"/>
      <c r="C401" s="46"/>
      <c r="D401" s="47"/>
      <c r="E401" s="47"/>
      <c r="F401" s="45"/>
      <c r="G401" s="47"/>
      <c r="H401" s="48"/>
      <c r="I401" s="45"/>
      <c r="J401" s="49"/>
      <c r="K401" s="46"/>
      <c r="L401" s="49"/>
    </row>
    <row r="402">
      <c r="A402" s="44"/>
      <c r="B402" s="45"/>
      <c r="C402" s="46"/>
      <c r="D402" s="47"/>
      <c r="E402" s="47"/>
      <c r="F402" s="45"/>
      <c r="G402" s="47"/>
      <c r="H402" s="48"/>
      <c r="I402" s="45"/>
      <c r="J402" s="49"/>
      <c r="K402" s="46"/>
      <c r="L402" s="49"/>
    </row>
    <row r="403">
      <c r="A403" s="44"/>
      <c r="B403" s="45"/>
      <c r="C403" s="46"/>
      <c r="D403" s="47"/>
      <c r="E403" s="47"/>
      <c r="F403" s="45"/>
      <c r="G403" s="47"/>
      <c r="H403" s="48"/>
      <c r="I403" s="45"/>
      <c r="J403" s="49"/>
      <c r="K403" s="46"/>
      <c r="L403" s="49"/>
    </row>
    <row r="404">
      <c r="A404" s="44"/>
      <c r="B404" s="45"/>
      <c r="C404" s="46"/>
      <c r="D404" s="47"/>
      <c r="E404" s="47"/>
      <c r="F404" s="45"/>
      <c r="G404" s="47"/>
      <c r="H404" s="48"/>
      <c r="I404" s="45"/>
      <c r="J404" s="49"/>
      <c r="K404" s="46"/>
      <c r="L404" s="49"/>
    </row>
    <row r="405">
      <c r="A405" s="44"/>
      <c r="B405" s="45"/>
      <c r="C405" s="46"/>
      <c r="D405" s="47"/>
      <c r="E405" s="47"/>
      <c r="F405" s="45"/>
      <c r="G405" s="47"/>
      <c r="H405" s="48"/>
      <c r="I405" s="45"/>
      <c r="J405" s="49"/>
      <c r="K405" s="46"/>
      <c r="L405" s="49"/>
    </row>
    <row r="406">
      <c r="A406" s="44"/>
      <c r="B406" s="45"/>
      <c r="C406" s="46"/>
      <c r="D406" s="47"/>
      <c r="E406" s="47"/>
      <c r="F406" s="45"/>
      <c r="G406" s="47"/>
      <c r="H406" s="48"/>
      <c r="I406" s="45"/>
      <c r="J406" s="49"/>
      <c r="K406" s="46"/>
      <c r="L406" s="49"/>
    </row>
    <row r="407">
      <c r="A407" s="44"/>
      <c r="B407" s="45"/>
      <c r="C407" s="46"/>
      <c r="D407" s="47"/>
      <c r="E407" s="47"/>
      <c r="F407" s="45"/>
      <c r="G407" s="47"/>
      <c r="H407" s="48"/>
      <c r="I407" s="45"/>
      <c r="J407" s="49"/>
      <c r="K407" s="46"/>
      <c r="L407" s="49"/>
    </row>
    <row r="408">
      <c r="A408" s="44"/>
      <c r="B408" s="45"/>
      <c r="C408" s="46"/>
      <c r="D408" s="47"/>
      <c r="E408" s="47"/>
      <c r="F408" s="45"/>
      <c r="G408" s="47"/>
      <c r="H408" s="48"/>
      <c r="I408" s="45"/>
      <c r="J408" s="49"/>
      <c r="K408" s="46"/>
      <c r="L408" s="49"/>
    </row>
    <row r="409">
      <c r="A409" s="44"/>
      <c r="B409" s="45"/>
      <c r="C409" s="46"/>
      <c r="D409" s="47"/>
      <c r="E409" s="47"/>
      <c r="F409" s="45"/>
      <c r="G409" s="47"/>
      <c r="H409" s="48"/>
      <c r="I409" s="45"/>
      <c r="J409" s="49"/>
      <c r="K409" s="46"/>
      <c r="L409" s="49"/>
    </row>
    <row r="410">
      <c r="A410" s="44"/>
      <c r="B410" s="45"/>
      <c r="C410" s="46"/>
      <c r="D410" s="47"/>
      <c r="E410" s="47"/>
      <c r="F410" s="45"/>
      <c r="G410" s="47"/>
      <c r="H410" s="48"/>
      <c r="I410" s="45"/>
      <c r="J410" s="49"/>
      <c r="K410" s="46"/>
      <c r="L410" s="49"/>
    </row>
    <row r="411">
      <c r="A411" s="44"/>
      <c r="B411" s="45"/>
      <c r="C411" s="46"/>
      <c r="D411" s="47"/>
      <c r="E411" s="47"/>
      <c r="F411" s="45"/>
      <c r="G411" s="47"/>
      <c r="H411" s="48"/>
      <c r="I411" s="45"/>
      <c r="J411" s="49"/>
      <c r="K411" s="46"/>
      <c r="L411" s="49"/>
    </row>
    <row r="412">
      <c r="A412" s="44"/>
      <c r="B412" s="45"/>
      <c r="C412" s="46"/>
      <c r="D412" s="47"/>
      <c r="E412" s="47"/>
      <c r="F412" s="45"/>
      <c r="G412" s="47"/>
      <c r="H412" s="48"/>
      <c r="I412" s="45"/>
      <c r="J412" s="49"/>
      <c r="K412" s="46"/>
      <c r="L412" s="49"/>
    </row>
    <row r="413">
      <c r="A413" s="44"/>
      <c r="B413" s="45"/>
      <c r="C413" s="46"/>
      <c r="D413" s="47"/>
      <c r="E413" s="47"/>
      <c r="F413" s="45"/>
      <c r="G413" s="47"/>
      <c r="H413" s="48"/>
      <c r="I413" s="45"/>
      <c r="J413" s="49"/>
      <c r="K413" s="46"/>
      <c r="L413" s="49"/>
    </row>
    <row r="414">
      <c r="A414" s="44"/>
      <c r="B414" s="45"/>
      <c r="C414" s="46"/>
      <c r="D414" s="47"/>
      <c r="E414" s="47"/>
      <c r="F414" s="45"/>
      <c r="G414" s="47"/>
      <c r="H414" s="48"/>
      <c r="I414" s="45"/>
      <c r="J414" s="49"/>
      <c r="K414" s="46"/>
      <c r="L414" s="49"/>
    </row>
    <row r="415">
      <c r="A415" s="44"/>
      <c r="B415" s="45"/>
      <c r="C415" s="46"/>
      <c r="D415" s="47"/>
      <c r="E415" s="47"/>
      <c r="F415" s="45"/>
      <c r="G415" s="47"/>
      <c r="H415" s="48"/>
      <c r="I415" s="45"/>
      <c r="J415" s="49"/>
      <c r="K415" s="46"/>
      <c r="L415" s="49"/>
    </row>
    <row r="416">
      <c r="A416" s="44"/>
      <c r="B416" s="45"/>
      <c r="C416" s="46"/>
      <c r="D416" s="47"/>
      <c r="E416" s="47"/>
      <c r="F416" s="45"/>
      <c r="G416" s="47"/>
      <c r="H416" s="48"/>
      <c r="I416" s="45"/>
      <c r="J416" s="49"/>
      <c r="K416" s="46"/>
      <c r="L416" s="49"/>
    </row>
    <row r="417">
      <c r="A417" s="44"/>
      <c r="B417" s="45"/>
      <c r="C417" s="46"/>
      <c r="D417" s="47"/>
      <c r="E417" s="47"/>
      <c r="F417" s="45"/>
      <c r="G417" s="47"/>
      <c r="H417" s="48"/>
      <c r="I417" s="45"/>
      <c r="J417" s="49"/>
      <c r="K417" s="46"/>
      <c r="L417" s="49"/>
    </row>
    <row r="418">
      <c r="A418" s="44"/>
      <c r="B418" s="45"/>
      <c r="C418" s="46"/>
      <c r="D418" s="47"/>
      <c r="E418" s="47"/>
      <c r="F418" s="45"/>
      <c r="G418" s="47"/>
      <c r="H418" s="48"/>
      <c r="I418" s="45"/>
      <c r="J418" s="49"/>
      <c r="K418" s="46"/>
      <c r="L418" s="49"/>
    </row>
    <row r="419">
      <c r="A419" s="44"/>
      <c r="B419" s="45"/>
      <c r="C419" s="46"/>
      <c r="D419" s="47"/>
      <c r="E419" s="47"/>
      <c r="F419" s="45"/>
      <c r="G419" s="47"/>
      <c r="H419" s="48"/>
      <c r="I419" s="45"/>
      <c r="J419" s="49"/>
      <c r="K419" s="46"/>
      <c r="L419" s="49"/>
    </row>
    <row r="420">
      <c r="A420" s="44"/>
      <c r="B420" s="45"/>
      <c r="C420" s="46"/>
      <c r="D420" s="47"/>
      <c r="E420" s="47"/>
      <c r="F420" s="45"/>
      <c r="G420" s="47"/>
      <c r="H420" s="48"/>
      <c r="I420" s="45"/>
      <c r="J420" s="49"/>
      <c r="K420" s="46"/>
      <c r="L420" s="49"/>
    </row>
    <row r="421">
      <c r="A421" s="44"/>
      <c r="B421" s="45"/>
      <c r="C421" s="46"/>
      <c r="D421" s="47"/>
      <c r="E421" s="47"/>
      <c r="F421" s="45"/>
      <c r="G421" s="47"/>
      <c r="H421" s="48"/>
      <c r="I421" s="45"/>
      <c r="J421" s="49"/>
      <c r="K421" s="46"/>
      <c r="L421" s="49"/>
    </row>
    <row r="422">
      <c r="A422" s="44"/>
      <c r="B422" s="45"/>
      <c r="C422" s="46"/>
      <c r="D422" s="47"/>
      <c r="E422" s="47"/>
      <c r="F422" s="45"/>
      <c r="G422" s="47"/>
      <c r="H422" s="48"/>
      <c r="I422" s="45"/>
      <c r="J422" s="49"/>
      <c r="K422" s="46"/>
      <c r="L422" s="49"/>
    </row>
    <row r="423">
      <c r="A423" s="44"/>
      <c r="B423" s="45"/>
      <c r="C423" s="46"/>
      <c r="D423" s="47"/>
      <c r="E423" s="47"/>
      <c r="F423" s="45"/>
      <c r="G423" s="47"/>
      <c r="H423" s="48"/>
      <c r="I423" s="45"/>
      <c r="J423" s="49"/>
      <c r="K423" s="46"/>
      <c r="L423" s="49"/>
    </row>
    <row r="424">
      <c r="A424" s="44"/>
      <c r="B424" s="45"/>
      <c r="C424" s="46"/>
      <c r="D424" s="47"/>
      <c r="E424" s="47"/>
      <c r="F424" s="45"/>
      <c r="G424" s="47"/>
      <c r="H424" s="48"/>
      <c r="I424" s="45"/>
      <c r="J424" s="49"/>
      <c r="K424" s="46"/>
      <c r="L424" s="49"/>
    </row>
    <row r="425">
      <c r="A425" s="44"/>
      <c r="B425" s="45"/>
      <c r="C425" s="46"/>
      <c r="D425" s="47"/>
      <c r="E425" s="47"/>
      <c r="F425" s="45"/>
      <c r="G425" s="47"/>
      <c r="H425" s="48"/>
      <c r="I425" s="45"/>
      <c r="J425" s="49"/>
      <c r="K425" s="46"/>
      <c r="L425" s="49"/>
    </row>
    <row r="426">
      <c r="A426" s="44"/>
      <c r="B426" s="45"/>
      <c r="C426" s="46"/>
      <c r="D426" s="47"/>
      <c r="E426" s="47"/>
      <c r="F426" s="45"/>
      <c r="G426" s="47"/>
      <c r="H426" s="48"/>
      <c r="I426" s="45"/>
      <c r="J426" s="49"/>
      <c r="K426" s="46"/>
      <c r="L426" s="49"/>
    </row>
    <row r="427">
      <c r="A427" s="44"/>
      <c r="B427" s="45"/>
      <c r="C427" s="46"/>
      <c r="D427" s="47"/>
      <c r="E427" s="47"/>
      <c r="F427" s="45"/>
      <c r="G427" s="47"/>
      <c r="H427" s="48"/>
      <c r="I427" s="45"/>
      <c r="J427" s="49"/>
      <c r="K427" s="46"/>
      <c r="L427" s="49"/>
    </row>
    <row r="428">
      <c r="A428" s="44"/>
      <c r="B428" s="45"/>
      <c r="C428" s="46"/>
      <c r="D428" s="47"/>
      <c r="E428" s="47"/>
      <c r="F428" s="45"/>
      <c r="G428" s="47"/>
      <c r="H428" s="48"/>
      <c r="I428" s="45"/>
      <c r="J428" s="49"/>
      <c r="K428" s="46"/>
      <c r="L428" s="49"/>
    </row>
    <row r="429">
      <c r="A429" s="44"/>
      <c r="B429" s="45"/>
      <c r="C429" s="46"/>
      <c r="D429" s="47"/>
      <c r="E429" s="47"/>
      <c r="F429" s="45"/>
      <c r="G429" s="47"/>
      <c r="H429" s="48"/>
      <c r="I429" s="45"/>
      <c r="J429" s="49"/>
      <c r="K429" s="46"/>
      <c r="L429" s="49"/>
    </row>
    <row r="430">
      <c r="A430" s="44"/>
      <c r="B430" s="45"/>
      <c r="C430" s="46"/>
      <c r="D430" s="47"/>
      <c r="E430" s="47"/>
      <c r="F430" s="45"/>
      <c r="G430" s="47"/>
      <c r="H430" s="48"/>
      <c r="I430" s="45"/>
      <c r="J430" s="49"/>
      <c r="K430" s="46"/>
      <c r="L430" s="49"/>
    </row>
    <row r="431">
      <c r="A431" s="44"/>
      <c r="B431" s="45"/>
      <c r="C431" s="46"/>
      <c r="D431" s="47"/>
      <c r="E431" s="47"/>
      <c r="F431" s="45"/>
      <c r="G431" s="47"/>
      <c r="H431" s="48"/>
      <c r="I431" s="45"/>
      <c r="J431" s="49"/>
      <c r="K431" s="46"/>
      <c r="L431" s="49"/>
    </row>
    <row r="432">
      <c r="A432" s="44"/>
      <c r="B432" s="45"/>
      <c r="C432" s="46"/>
      <c r="D432" s="47"/>
      <c r="E432" s="47"/>
      <c r="F432" s="45"/>
      <c r="G432" s="47"/>
      <c r="H432" s="48"/>
      <c r="I432" s="45"/>
      <c r="J432" s="49"/>
      <c r="K432" s="46"/>
      <c r="L432" s="49"/>
    </row>
    <row r="433">
      <c r="A433" s="44"/>
      <c r="B433" s="45"/>
      <c r="C433" s="46"/>
      <c r="D433" s="47"/>
      <c r="E433" s="47"/>
      <c r="F433" s="45"/>
      <c r="G433" s="47"/>
      <c r="H433" s="48"/>
      <c r="I433" s="45"/>
      <c r="J433" s="49"/>
      <c r="K433" s="46"/>
      <c r="L433" s="49"/>
    </row>
    <row r="434">
      <c r="A434" s="44"/>
      <c r="B434" s="45"/>
      <c r="C434" s="46"/>
      <c r="D434" s="47"/>
      <c r="E434" s="47"/>
      <c r="F434" s="45"/>
      <c r="G434" s="47"/>
      <c r="H434" s="48"/>
      <c r="I434" s="45"/>
      <c r="J434" s="49"/>
      <c r="K434" s="46"/>
      <c r="L434" s="49"/>
    </row>
    <row r="435">
      <c r="A435" s="44"/>
      <c r="B435" s="45"/>
      <c r="C435" s="46"/>
      <c r="D435" s="47"/>
      <c r="E435" s="47"/>
      <c r="F435" s="45"/>
      <c r="G435" s="47"/>
      <c r="H435" s="48"/>
      <c r="I435" s="45"/>
      <c r="J435" s="49"/>
      <c r="K435" s="46"/>
      <c r="L435" s="49"/>
    </row>
    <row r="436">
      <c r="A436" s="44"/>
      <c r="B436" s="45"/>
      <c r="C436" s="46"/>
      <c r="D436" s="47"/>
      <c r="E436" s="47"/>
      <c r="F436" s="45"/>
      <c r="G436" s="47"/>
      <c r="H436" s="48"/>
      <c r="I436" s="45"/>
      <c r="J436" s="49"/>
      <c r="K436" s="46"/>
      <c r="L436" s="49"/>
    </row>
    <row r="437">
      <c r="A437" s="44"/>
      <c r="B437" s="45"/>
      <c r="C437" s="46"/>
      <c r="D437" s="47"/>
      <c r="E437" s="47"/>
      <c r="F437" s="45"/>
      <c r="G437" s="47"/>
      <c r="H437" s="48"/>
      <c r="I437" s="45"/>
      <c r="J437" s="49"/>
      <c r="K437" s="46"/>
      <c r="L437" s="49"/>
    </row>
    <row r="438">
      <c r="A438" s="44"/>
      <c r="B438" s="45"/>
      <c r="C438" s="46"/>
      <c r="D438" s="47"/>
      <c r="E438" s="47"/>
      <c r="F438" s="45"/>
      <c r="G438" s="47"/>
      <c r="H438" s="48"/>
      <c r="I438" s="45"/>
      <c r="J438" s="49"/>
      <c r="K438" s="46"/>
      <c r="L438" s="49"/>
    </row>
    <row r="439">
      <c r="A439" s="44"/>
      <c r="B439" s="45"/>
      <c r="C439" s="46"/>
      <c r="D439" s="47"/>
      <c r="E439" s="47"/>
      <c r="F439" s="45"/>
      <c r="G439" s="47"/>
      <c r="H439" s="48"/>
      <c r="I439" s="45"/>
      <c r="J439" s="49"/>
      <c r="K439" s="46"/>
      <c r="L439" s="49"/>
    </row>
    <row r="440">
      <c r="A440" s="44"/>
      <c r="B440" s="45"/>
      <c r="C440" s="46"/>
      <c r="D440" s="47"/>
      <c r="E440" s="47"/>
      <c r="F440" s="45"/>
      <c r="G440" s="47"/>
      <c r="H440" s="48"/>
      <c r="I440" s="45"/>
      <c r="J440" s="49"/>
      <c r="K440" s="46"/>
      <c r="L440" s="49"/>
    </row>
    <row r="441">
      <c r="A441" s="44"/>
      <c r="B441" s="45"/>
      <c r="C441" s="46"/>
      <c r="D441" s="47"/>
      <c r="E441" s="47"/>
      <c r="F441" s="45"/>
      <c r="G441" s="47"/>
      <c r="H441" s="48"/>
      <c r="I441" s="45"/>
      <c r="J441" s="49"/>
      <c r="K441" s="46"/>
      <c r="L441" s="49"/>
    </row>
    <row r="442">
      <c r="A442" s="44"/>
      <c r="B442" s="45"/>
      <c r="C442" s="46"/>
      <c r="D442" s="47"/>
      <c r="E442" s="47"/>
      <c r="F442" s="45"/>
      <c r="G442" s="47"/>
      <c r="H442" s="48"/>
      <c r="I442" s="45"/>
      <c r="J442" s="49"/>
      <c r="K442" s="46"/>
      <c r="L442" s="49"/>
    </row>
    <row r="443">
      <c r="A443" s="44"/>
      <c r="B443" s="45"/>
      <c r="C443" s="46"/>
      <c r="D443" s="47"/>
      <c r="E443" s="47"/>
      <c r="F443" s="45"/>
      <c r="G443" s="47"/>
      <c r="H443" s="48"/>
      <c r="I443" s="45"/>
      <c r="J443" s="49"/>
      <c r="K443" s="46"/>
      <c r="L443" s="49"/>
    </row>
    <row r="444">
      <c r="A444" s="44"/>
      <c r="B444" s="45"/>
      <c r="C444" s="46"/>
      <c r="D444" s="47"/>
      <c r="E444" s="47"/>
      <c r="F444" s="45"/>
      <c r="G444" s="47"/>
      <c r="H444" s="48"/>
      <c r="I444" s="45"/>
      <c r="J444" s="49"/>
      <c r="K444" s="46"/>
      <c r="L444" s="49"/>
    </row>
    <row r="445">
      <c r="A445" s="44"/>
      <c r="B445" s="45"/>
      <c r="C445" s="46"/>
      <c r="D445" s="47"/>
      <c r="E445" s="47"/>
      <c r="F445" s="45"/>
      <c r="G445" s="47"/>
      <c r="H445" s="48"/>
      <c r="I445" s="45"/>
      <c r="J445" s="49"/>
      <c r="K445" s="46"/>
      <c r="L445" s="49"/>
    </row>
    <row r="446">
      <c r="A446" s="44"/>
      <c r="B446" s="45"/>
      <c r="C446" s="46"/>
      <c r="D446" s="47"/>
      <c r="E446" s="47"/>
      <c r="F446" s="45"/>
      <c r="G446" s="47"/>
      <c r="H446" s="48"/>
      <c r="I446" s="45"/>
      <c r="J446" s="49"/>
      <c r="K446" s="46"/>
      <c r="L446" s="49"/>
    </row>
    <row r="447">
      <c r="A447" s="44"/>
      <c r="B447" s="45"/>
      <c r="C447" s="46"/>
      <c r="D447" s="47"/>
      <c r="E447" s="47"/>
      <c r="F447" s="45"/>
      <c r="G447" s="47"/>
      <c r="H447" s="48"/>
      <c r="I447" s="45"/>
      <c r="J447" s="49"/>
      <c r="K447" s="46"/>
      <c r="L447" s="49"/>
    </row>
    <row r="448">
      <c r="A448" s="44"/>
      <c r="B448" s="45"/>
      <c r="C448" s="46"/>
      <c r="D448" s="47"/>
      <c r="E448" s="47"/>
      <c r="F448" s="45"/>
      <c r="G448" s="47"/>
      <c r="H448" s="48"/>
      <c r="I448" s="45"/>
      <c r="J448" s="49"/>
      <c r="K448" s="46"/>
      <c r="L448" s="49"/>
    </row>
    <row r="449">
      <c r="A449" s="44"/>
      <c r="B449" s="45"/>
      <c r="C449" s="46"/>
      <c r="D449" s="47"/>
      <c r="E449" s="47"/>
      <c r="F449" s="45"/>
      <c r="G449" s="47"/>
      <c r="H449" s="48"/>
      <c r="I449" s="45"/>
      <c r="J449" s="49"/>
      <c r="K449" s="46"/>
      <c r="L449" s="49"/>
    </row>
    <row r="450">
      <c r="A450" s="44"/>
      <c r="B450" s="45"/>
      <c r="C450" s="46"/>
      <c r="D450" s="47"/>
      <c r="E450" s="47"/>
      <c r="F450" s="45"/>
      <c r="G450" s="47"/>
      <c r="H450" s="48"/>
      <c r="I450" s="45"/>
      <c r="J450" s="49"/>
      <c r="K450" s="46"/>
      <c r="L450" s="49"/>
    </row>
    <row r="451">
      <c r="A451" s="44"/>
      <c r="B451" s="45"/>
      <c r="C451" s="46"/>
      <c r="D451" s="47"/>
      <c r="E451" s="47"/>
      <c r="F451" s="45"/>
      <c r="G451" s="47"/>
      <c r="H451" s="48"/>
      <c r="I451" s="45"/>
      <c r="J451" s="49"/>
      <c r="K451" s="46"/>
      <c r="L451" s="49"/>
    </row>
    <row r="452">
      <c r="A452" s="44"/>
      <c r="B452" s="45"/>
      <c r="C452" s="46"/>
      <c r="D452" s="47"/>
      <c r="E452" s="47"/>
      <c r="F452" s="45"/>
      <c r="G452" s="47"/>
      <c r="H452" s="48"/>
      <c r="I452" s="45"/>
      <c r="J452" s="49"/>
      <c r="K452" s="46"/>
      <c r="L452" s="49"/>
    </row>
    <row r="453">
      <c r="A453" s="44"/>
      <c r="B453" s="45"/>
      <c r="C453" s="46"/>
      <c r="D453" s="47"/>
      <c r="E453" s="47"/>
      <c r="F453" s="45"/>
      <c r="G453" s="47"/>
      <c r="H453" s="48"/>
      <c r="I453" s="45"/>
      <c r="J453" s="49"/>
      <c r="K453" s="46"/>
      <c r="L453" s="49"/>
    </row>
    <row r="454">
      <c r="A454" s="44"/>
      <c r="B454" s="45"/>
      <c r="C454" s="46"/>
      <c r="D454" s="47"/>
      <c r="E454" s="47"/>
      <c r="F454" s="45"/>
      <c r="G454" s="47"/>
      <c r="H454" s="48"/>
      <c r="I454" s="45"/>
      <c r="J454" s="49"/>
      <c r="K454" s="46"/>
      <c r="L454" s="49"/>
    </row>
    <row r="455">
      <c r="A455" s="44"/>
      <c r="B455" s="45"/>
      <c r="C455" s="46"/>
      <c r="D455" s="47"/>
      <c r="E455" s="47"/>
      <c r="F455" s="45"/>
      <c r="G455" s="47"/>
      <c r="H455" s="48"/>
      <c r="I455" s="45"/>
      <c r="J455" s="49"/>
      <c r="K455" s="46"/>
      <c r="L455" s="49"/>
    </row>
    <row r="456">
      <c r="A456" s="44"/>
      <c r="B456" s="45"/>
      <c r="C456" s="46"/>
      <c r="D456" s="47"/>
      <c r="E456" s="47"/>
      <c r="F456" s="45"/>
      <c r="G456" s="47"/>
      <c r="H456" s="48"/>
      <c r="I456" s="45"/>
      <c r="J456" s="49"/>
      <c r="K456" s="46"/>
      <c r="L456" s="49"/>
    </row>
    <row r="457">
      <c r="A457" s="44"/>
      <c r="B457" s="45"/>
      <c r="C457" s="46"/>
      <c r="D457" s="47"/>
      <c r="E457" s="47"/>
      <c r="F457" s="45"/>
      <c r="G457" s="47"/>
      <c r="H457" s="48"/>
      <c r="I457" s="45"/>
      <c r="J457" s="49"/>
      <c r="K457" s="46"/>
      <c r="L457" s="49"/>
    </row>
    <row r="458">
      <c r="A458" s="44"/>
      <c r="B458" s="45"/>
      <c r="C458" s="46"/>
      <c r="D458" s="47"/>
      <c r="E458" s="47"/>
      <c r="F458" s="45"/>
      <c r="G458" s="47"/>
      <c r="H458" s="48"/>
      <c r="I458" s="45"/>
      <c r="J458" s="49"/>
      <c r="K458" s="46"/>
      <c r="L458" s="49"/>
    </row>
    <row r="459">
      <c r="A459" s="44"/>
      <c r="B459" s="45"/>
      <c r="C459" s="46"/>
      <c r="D459" s="47"/>
      <c r="E459" s="47"/>
      <c r="F459" s="45"/>
      <c r="G459" s="47"/>
      <c r="H459" s="48"/>
      <c r="I459" s="45"/>
      <c r="J459" s="49"/>
      <c r="K459" s="46"/>
      <c r="L459" s="49"/>
    </row>
    <row r="460">
      <c r="A460" s="44"/>
      <c r="B460" s="45"/>
      <c r="C460" s="46"/>
      <c r="D460" s="47"/>
      <c r="E460" s="47"/>
      <c r="F460" s="45"/>
      <c r="G460" s="47"/>
      <c r="H460" s="48"/>
      <c r="I460" s="45"/>
      <c r="J460" s="49"/>
      <c r="K460" s="46"/>
      <c r="L460" s="49"/>
    </row>
    <row r="461">
      <c r="A461" s="44"/>
      <c r="B461" s="45"/>
      <c r="C461" s="46"/>
      <c r="D461" s="47"/>
      <c r="E461" s="47"/>
      <c r="F461" s="45"/>
      <c r="G461" s="47"/>
      <c r="H461" s="48"/>
      <c r="I461" s="45"/>
      <c r="J461" s="49"/>
      <c r="K461" s="46"/>
      <c r="L461" s="49"/>
    </row>
    <row r="462">
      <c r="A462" s="44"/>
      <c r="B462" s="45"/>
      <c r="C462" s="46"/>
      <c r="D462" s="47"/>
      <c r="E462" s="47"/>
      <c r="F462" s="45"/>
      <c r="G462" s="47"/>
      <c r="H462" s="48"/>
      <c r="I462" s="45"/>
      <c r="J462" s="49"/>
      <c r="K462" s="46"/>
      <c r="L462" s="49"/>
    </row>
    <row r="463">
      <c r="A463" s="44"/>
      <c r="B463" s="45"/>
      <c r="C463" s="46"/>
      <c r="D463" s="47"/>
      <c r="E463" s="47"/>
      <c r="F463" s="45"/>
      <c r="G463" s="47"/>
      <c r="H463" s="48"/>
      <c r="I463" s="45"/>
      <c r="J463" s="49"/>
      <c r="K463" s="46"/>
      <c r="L463" s="49"/>
    </row>
    <row r="464">
      <c r="A464" s="44"/>
      <c r="B464" s="45"/>
      <c r="C464" s="46"/>
      <c r="D464" s="47"/>
      <c r="E464" s="47"/>
      <c r="F464" s="45"/>
      <c r="G464" s="47"/>
      <c r="H464" s="48"/>
      <c r="I464" s="45"/>
      <c r="J464" s="49"/>
      <c r="K464" s="46"/>
      <c r="L464" s="49"/>
    </row>
    <row r="465">
      <c r="A465" s="44"/>
      <c r="B465" s="45"/>
      <c r="C465" s="46"/>
      <c r="D465" s="47"/>
      <c r="E465" s="47"/>
      <c r="F465" s="45"/>
      <c r="G465" s="47"/>
      <c r="H465" s="48"/>
      <c r="I465" s="45"/>
      <c r="J465" s="49"/>
      <c r="K465" s="46"/>
      <c r="L465" s="49"/>
    </row>
    <row r="466">
      <c r="A466" s="44"/>
      <c r="B466" s="45"/>
      <c r="C466" s="46"/>
      <c r="D466" s="47"/>
      <c r="E466" s="47"/>
      <c r="F466" s="45"/>
      <c r="G466" s="47"/>
      <c r="H466" s="48"/>
      <c r="I466" s="45"/>
      <c r="J466" s="49"/>
      <c r="K466" s="46"/>
      <c r="L466" s="49"/>
    </row>
    <row r="467">
      <c r="A467" s="44"/>
      <c r="B467" s="45"/>
      <c r="C467" s="46"/>
      <c r="D467" s="47"/>
      <c r="E467" s="47"/>
      <c r="F467" s="45"/>
      <c r="G467" s="47"/>
      <c r="H467" s="48"/>
      <c r="I467" s="45"/>
      <c r="J467" s="49"/>
      <c r="K467" s="46"/>
      <c r="L467" s="49"/>
    </row>
    <row r="468">
      <c r="A468" s="44"/>
      <c r="B468" s="45"/>
      <c r="C468" s="46"/>
      <c r="D468" s="47"/>
      <c r="E468" s="47"/>
      <c r="F468" s="45"/>
      <c r="G468" s="47"/>
      <c r="H468" s="48"/>
      <c r="I468" s="45"/>
      <c r="J468" s="49"/>
      <c r="K468" s="46"/>
      <c r="L468" s="49"/>
    </row>
    <row r="469">
      <c r="A469" s="44"/>
      <c r="B469" s="45"/>
      <c r="C469" s="46"/>
      <c r="D469" s="47"/>
      <c r="E469" s="47"/>
      <c r="F469" s="45"/>
      <c r="G469" s="47"/>
      <c r="H469" s="48"/>
      <c r="I469" s="45"/>
      <c r="J469" s="49"/>
      <c r="K469" s="46"/>
      <c r="L469" s="49"/>
    </row>
    <row r="470">
      <c r="A470" s="44"/>
      <c r="B470" s="45"/>
      <c r="C470" s="46"/>
      <c r="D470" s="47"/>
      <c r="E470" s="47"/>
      <c r="F470" s="45"/>
      <c r="G470" s="47"/>
      <c r="H470" s="48"/>
      <c r="I470" s="45"/>
      <c r="J470" s="49"/>
      <c r="K470" s="46"/>
      <c r="L470" s="49"/>
    </row>
    <row r="471">
      <c r="A471" s="44"/>
      <c r="B471" s="45"/>
      <c r="C471" s="46"/>
      <c r="D471" s="47"/>
      <c r="E471" s="47"/>
      <c r="F471" s="45"/>
      <c r="G471" s="47"/>
      <c r="H471" s="48"/>
      <c r="I471" s="45"/>
      <c r="J471" s="49"/>
      <c r="K471" s="46"/>
      <c r="L471" s="49"/>
    </row>
    <row r="472">
      <c r="A472" s="44"/>
      <c r="B472" s="45"/>
      <c r="C472" s="46"/>
      <c r="D472" s="47"/>
      <c r="E472" s="47"/>
      <c r="F472" s="45"/>
      <c r="G472" s="47"/>
      <c r="H472" s="48"/>
      <c r="I472" s="45"/>
      <c r="J472" s="49"/>
      <c r="K472" s="46"/>
      <c r="L472" s="49"/>
    </row>
    <row r="473">
      <c r="A473" s="44"/>
      <c r="B473" s="45"/>
      <c r="C473" s="46"/>
      <c r="D473" s="47"/>
      <c r="E473" s="47"/>
      <c r="F473" s="45"/>
      <c r="G473" s="47"/>
      <c r="H473" s="48"/>
      <c r="I473" s="45"/>
      <c r="J473" s="49"/>
      <c r="K473" s="46"/>
      <c r="L473" s="49"/>
    </row>
    <row r="474">
      <c r="A474" s="44"/>
      <c r="B474" s="45"/>
      <c r="C474" s="46"/>
      <c r="D474" s="47"/>
      <c r="E474" s="47"/>
      <c r="F474" s="45"/>
      <c r="G474" s="47"/>
      <c r="H474" s="48"/>
      <c r="I474" s="45"/>
      <c r="J474" s="49"/>
      <c r="K474" s="46"/>
      <c r="L474" s="49"/>
    </row>
    <row r="475">
      <c r="A475" s="44"/>
      <c r="B475" s="45"/>
      <c r="C475" s="46"/>
      <c r="D475" s="47"/>
      <c r="E475" s="47"/>
      <c r="F475" s="45"/>
      <c r="G475" s="47"/>
      <c r="H475" s="48"/>
      <c r="I475" s="45"/>
      <c r="J475" s="49"/>
      <c r="K475" s="46"/>
      <c r="L475" s="49"/>
    </row>
    <row r="476">
      <c r="A476" s="44"/>
      <c r="B476" s="45"/>
      <c r="C476" s="46"/>
      <c r="D476" s="47"/>
      <c r="E476" s="47"/>
      <c r="F476" s="45"/>
      <c r="G476" s="47"/>
      <c r="H476" s="48"/>
      <c r="I476" s="45"/>
      <c r="J476" s="49"/>
      <c r="K476" s="46"/>
      <c r="L476" s="49"/>
    </row>
    <row r="477">
      <c r="A477" s="44"/>
      <c r="B477" s="45"/>
      <c r="C477" s="46"/>
      <c r="D477" s="47"/>
      <c r="E477" s="47"/>
      <c r="F477" s="45"/>
      <c r="G477" s="47"/>
      <c r="H477" s="48"/>
      <c r="I477" s="45"/>
      <c r="J477" s="49"/>
      <c r="K477" s="46"/>
      <c r="L477" s="49"/>
    </row>
    <row r="478">
      <c r="A478" s="44"/>
      <c r="B478" s="45"/>
      <c r="C478" s="46"/>
      <c r="D478" s="47"/>
      <c r="E478" s="47"/>
      <c r="F478" s="45"/>
      <c r="G478" s="47"/>
      <c r="H478" s="48"/>
      <c r="I478" s="45"/>
      <c r="J478" s="49"/>
      <c r="K478" s="46"/>
      <c r="L478" s="49"/>
    </row>
    <row r="479">
      <c r="A479" s="44"/>
      <c r="B479" s="45"/>
      <c r="C479" s="46"/>
      <c r="D479" s="47"/>
      <c r="E479" s="47"/>
      <c r="F479" s="45"/>
      <c r="G479" s="47"/>
      <c r="H479" s="48"/>
      <c r="I479" s="45"/>
      <c r="J479" s="49"/>
      <c r="K479" s="46"/>
      <c r="L479" s="49"/>
    </row>
    <row r="480">
      <c r="A480" s="44"/>
      <c r="B480" s="45"/>
      <c r="C480" s="46"/>
      <c r="D480" s="47"/>
      <c r="E480" s="47"/>
      <c r="F480" s="45"/>
      <c r="G480" s="47"/>
      <c r="H480" s="48"/>
      <c r="I480" s="45"/>
      <c r="J480" s="49"/>
      <c r="K480" s="46"/>
      <c r="L480" s="49"/>
    </row>
    <row r="481">
      <c r="A481" s="44"/>
      <c r="B481" s="45"/>
      <c r="C481" s="46"/>
      <c r="D481" s="47"/>
      <c r="E481" s="47"/>
      <c r="F481" s="45"/>
      <c r="G481" s="47"/>
      <c r="H481" s="48"/>
      <c r="I481" s="45"/>
      <c r="J481" s="49"/>
      <c r="K481" s="46"/>
      <c r="L481" s="49"/>
    </row>
    <row r="482">
      <c r="A482" s="44"/>
      <c r="B482" s="45"/>
      <c r="C482" s="46"/>
      <c r="D482" s="47"/>
      <c r="E482" s="47"/>
      <c r="F482" s="45"/>
      <c r="G482" s="47"/>
      <c r="H482" s="48"/>
      <c r="I482" s="45"/>
      <c r="J482" s="49"/>
      <c r="K482" s="46"/>
      <c r="L482" s="49"/>
    </row>
    <row r="483">
      <c r="A483" s="44"/>
      <c r="B483" s="45"/>
      <c r="C483" s="46"/>
      <c r="D483" s="47"/>
      <c r="E483" s="47"/>
      <c r="F483" s="45"/>
      <c r="G483" s="47"/>
      <c r="H483" s="48"/>
      <c r="I483" s="45"/>
      <c r="J483" s="49"/>
      <c r="K483" s="46"/>
      <c r="L483" s="49"/>
    </row>
    <row r="484">
      <c r="A484" s="44"/>
      <c r="B484" s="45"/>
      <c r="C484" s="46"/>
      <c r="D484" s="47"/>
      <c r="E484" s="47"/>
      <c r="F484" s="45"/>
      <c r="G484" s="47"/>
      <c r="H484" s="48"/>
      <c r="I484" s="45"/>
      <c r="J484" s="49"/>
      <c r="K484" s="46"/>
      <c r="L484" s="49"/>
    </row>
    <row r="485">
      <c r="A485" s="44"/>
      <c r="B485" s="45"/>
      <c r="C485" s="46"/>
      <c r="D485" s="47"/>
      <c r="E485" s="47"/>
      <c r="F485" s="45"/>
      <c r="G485" s="47"/>
      <c r="H485" s="48"/>
      <c r="I485" s="45"/>
      <c r="J485" s="49"/>
      <c r="K485" s="46"/>
      <c r="L485" s="49"/>
    </row>
    <row r="486">
      <c r="A486" s="44"/>
      <c r="B486" s="45"/>
      <c r="C486" s="46"/>
      <c r="D486" s="47"/>
      <c r="E486" s="47"/>
      <c r="F486" s="45"/>
      <c r="G486" s="47"/>
      <c r="H486" s="48"/>
      <c r="I486" s="45"/>
      <c r="J486" s="49"/>
      <c r="K486" s="46"/>
      <c r="L486" s="49"/>
    </row>
    <row r="487">
      <c r="A487" s="44"/>
      <c r="B487" s="45"/>
      <c r="C487" s="46"/>
      <c r="D487" s="47"/>
      <c r="E487" s="47"/>
      <c r="F487" s="45"/>
      <c r="G487" s="47"/>
      <c r="H487" s="48"/>
      <c r="I487" s="45"/>
      <c r="J487" s="49"/>
      <c r="K487" s="46"/>
      <c r="L487" s="49"/>
    </row>
    <row r="488">
      <c r="A488" s="44"/>
      <c r="B488" s="45"/>
      <c r="C488" s="46"/>
      <c r="D488" s="47"/>
      <c r="E488" s="47"/>
      <c r="F488" s="45"/>
      <c r="G488" s="47"/>
      <c r="H488" s="48"/>
      <c r="I488" s="45"/>
      <c r="J488" s="49"/>
      <c r="K488" s="46"/>
      <c r="L488" s="49"/>
    </row>
    <row r="489">
      <c r="A489" s="44"/>
      <c r="B489" s="45"/>
      <c r="C489" s="46"/>
      <c r="D489" s="47"/>
      <c r="E489" s="47"/>
      <c r="F489" s="45"/>
      <c r="G489" s="47"/>
      <c r="H489" s="48"/>
      <c r="I489" s="45"/>
      <c r="J489" s="49"/>
      <c r="K489" s="46"/>
      <c r="L489" s="49"/>
    </row>
    <row r="490">
      <c r="A490" s="44"/>
      <c r="B490" s="45"/>
      <c r="C490" s="46"/>
      <c r="D490" s="47"/>
      <c r="E490" s="47"/>
      <c r="F490" s="45"/>
      <c r="G490" s="47"/>
      <c r="H490" s="48"/>
      <c r="I490" s="45"/>
      <c r="J490" s="49"/>
      <c r="K490" s="46"/>
      <c r="L490" s="49"/>
    </row>
    <row r="491">
      <c r="A491" s="44"/>
      <c r="B491" s="45"/>
      <c r="C491" s="46"/>
      <c r="D491" s="47"/>
      <c r="E491" s="47"/>
      <c r="F491" s="45"/>
      <c r="G491" s="47"/>
      <c r="H491" s="48"/>
      <c r="I491" s="45"/>
      <c r="J491" s="49"/>
      <c r="K491" s="46"/>
      <c r="L491" s="49"/>
    </row>
    <row r="492">
      <c r="A492" s="44"/>
      <c r="B492" s="45"/>
      <c r="C492" s="46"/>
      <c r="D492" s="47"/>
      <c r="E492" s="47"/>
      <c r="F492" s="45"/>
      <c r="G492" s="47"/>
      <c r="H492" s="48"/>
      <c r="I492" s="45"/>
      <c r="J492" s="49"/>
      <c r="K492" s="46"/>
      <c r="L492" s="49"/>
    </row>
    <row r="493">
      <c r="A493" s="44"/>
      <c r="B493" s="45"/>
      <c r="C493" s="46"/>
      <c r="D493" s="47"/>
      <c r="E493" s="47"/>
      <c r="F493" s="45"/>
      <c r="G493" s="47"/>
      <c r="H493" s="48"/>
      <c r="I493" s="45"/>
      <c r="J493" s="49"/>
      <c r="K493" s="46"/>
      <c r="L493" s="49"/>
    </row>
    <row r="494">
      <c r="A494" s="44"/>
      <c r="B494" s="45"/>
      <c r="C494" s="46"/>
      <c r="D494" s="47"/>
      <c r="E494" s="47"/>
      <c r="F494" s="45"/>
      <c r="G494" s="47"/>
      <c r="H494" s="48"/>
      <c r="I494" s="45"/>
      <c r="J494" s="49"/>
      <c r="K494" s="46"/>
      <c r="L494" s="49"/>
    </row>
    <row r="495">
      <c r="A495" s="44"/>
      <c r="B495" s="45"/>
      <c r="C495" s="46"/>
      <c r="D495" s="47"/>
      <c r="E495" s="47"/>
      <c r="F495" s="45"/>
      <c r="G495" s="47"/>
      <c r="H495" s="48"/>
      <c r="I495" s="45"/>
      <c r="J495" s="49"/>
      <c r="K495" s="46"/>
      <c r="L495" s="49"/>
    </row>
    <row r="496">
      <c r="A496" s="44"/>
      <c r="B496" s="45"/>
      <c r="C496" s="46"/>
      <c r="D496" s="47"/>
      <c r="E496" s="47"/>
      <c r="F496" s="45"/>
      <c r="G496" s="47"/>
      <c r="H496" s="48"/>
      <c r="I496" s="45"/>
      <c r="J496" s="49"/>
      <c r="K496" s="46"/>
      <c r="L496" s="49"/>
    </row>
    <row r="497">
      <c r="A497" s="44"/>
      <c r="B497" s="45"/>
      <c r="C497" s="46"/>
      <c r="D497" s="47"/>
      <c r="E497" s="47"/>
      <c r="F497" s="45"/>
      <c r="G497" s="47"/>
      <c r="H497" s="48"/>
      <c r="I497" s="45"/>
      <c r="J497" s="49"/>
      <c r="K497" s="46"/>
      <c r="L497" s="49"/>
    </row>
    <row r="498">
      <c r="A498" s="44"/>
      <c r="B498" s="45"/>
      <c r="C498" s="46"/>
      <c r="D498" s="47"/>
      <c r="E498" s="47"/>
      <c r="F498" s="45"/>
      <c r="G498" s="47"/>
      <c r="H498" s="48"/>
      <c r="I498" s="45"/>
      <c r="J498" s="49"/>
      <c r="K498" s="46"/>
      <c r="L498" s="49"/>
    </row>
    <row r="499">
      <c r="A499" s="44"/>
      <c r="B499" s="45"/>
      <c r="C499" s="46"/>
      <c r="D499" s="47"/>
      <c r="E499" s="47"/>
      <c r="F499" s="45"/>
      <c r="G499" s="47"/>
      <c r="H499" s="48"/>
      <c r="I499" s="45"/>
      <c r="J499" s="49"/>
      <c r="K499" s="46"/>
      <c r="L499" s="49"/>
    </row>
    <row r="500">
      <c r="A500" s="44"/>
      <c r="B500" s="45"/>
      <c r="C500" s="46"/>
      <c r="D500" s="47"/>
      <c r="E500" s="47"/>
      <c r="F500" s="45"/>
      <c r="G500" s="47"/>
      <c r="H500" s="48"/>
      <c r="I500" s="45"/>
      <c r="J500" s="49"/>
      <c r="K500" s="46"/>
      <c r="L500" s="49"/>
    </row>
    <row r="501">
      <c r="A501" s="44"/>
      <c r="B501" s="45"/>
      <c r="C501" s="46"/>
      <c r="D501" s="47"/>
      <c r="E501" s="47"/>
      <c r="F501" s="45"/>
      <c r="G501" s="47"/>
      <c r="H501" s="48"/>
      <c r="I501" s="45"/>
      <c r="J501" s="49"/>
      <c r="K501" s="46"/>
      <c r="L501" s="49"/>
    </row>
    <row r="502">
      <c r="A502" s="44"/>
      <c r="B502" s="45"/>
      <c r="C502" s="46"/>
      <c r="D502" s="47"/>
      <c r="E502" s="47"/>
      <c r="F502" s="45"/>
      <c r="G502" s="47"/>
      <c r="H502" s="48"/>
      <c r="I502" s="45"/>
      <c r="J502" s="49"/>
      <c r="K502" s="46"/>
      <c r="L502" s="49"/>
    </row>
    <row r="503">
      <c r="A503" s="44"/>
      <c r="B503" s="45"/>
      <c r="C503" s="46"/>
      <c r="D503" s="47"/>
      <c r="E503" s="47"/>
      <c r="F503" s="45"/>
      <c r="G503" s="47"/>
      <c r="H503" s="48"/>
      <c r="I503" s="45"/>
      <c r="J503" s="49"/>
      <c r="K503" s="46"/>
      <c r="L503" s="49"/>
    </row>
    <row r="504">
      <c r="A504" s="44"/>
      <c r="B504" s="45"/>
      <c r="C504" s="46"/>
      <c r="D504" s="47"/>
      <c r="E504" s="47"/>
      <c r="F504" s="45"/>
      <c r="G504" s="47"/>
      <c r="H504" s="48"/>
      <c r="I504" s="45"/>
      <c r="J504" s="49"/>
      <c r="K504" s="46"/>
      <c r="L504" s="49"/>
    </row>
    <row r="505">
      <c r="A505" s="44"/>
      <c r="B505" s="45"/>
      <c r="C505" s="46"/>
      <c r="D505" s="47"/>
      <c r="E505" s="47"/>
      <c r="F505" s="45"/>
      <c r="G505" s="47"/>
      <c r="H505" s="48"/>
      <c r="I505" s="45"/>
      <c r="J505" s="49"/>
      <c r="K505" s="46"/>
      <c r="L505" s="49"/>
    </row>
    <row r="506">
      <c r="A506" s="44"/>
      <c r="B506" s="45"/>
      <c r="C506" s="46"/>
      <c r="D506" s="47"/>
      <c r="E506" s="47"/>
      <c r="F506" s="45"/>
      <c r="G506" s="47"/>
      <c r="H506" s="48"/>
      <c r="I506" s="45"/>
      <c r="J506" s="49"/>
      <c r="K506" s="46"/>
      <c r="L506" s="49"/>
    </row>
    <row r="507">
      <c r="A507" s="44"/>
      <c r="B507" s="45"/>
      <c r="C507" s="46"/>
      <c r="D507" s="47"/>
      <c r="E507" s="47"/>
      <c r="F507" s="45"/>
      <c r="G507" s="47"/>
      <c r="H507" s="48"/>
      <c r="I507" s="45"/>
      <c r="J507" s="49"/>
      <c r="K507" s="46"/>
      <c r="L507" s="49"/>
    </row>
    <row r="508">
      <c r="A508" s="44"/>
      <c r="B508" s="45"/>
      <c r="C508" s="46"/>
      <c r="D508" s="47"/>
      <c r="E508" s="47"/>
      <c r="F508" s="45"/>
      <c r="G508" s="47"/>
      <c r="H508" s="48"/>
      <c r="I508" s="45"/>
      <c r="J508" s="49"/>
      <c r="K508" s="46"/>
      <c r="L508" s="49"/>
    </row>
    <row r="509">
      <c r="A509" s="44"/>
      <c r="B509" s="45"/>
      <c r="C509" s="46"/>
      <c r="D509" s="47"/>
      <c r="E509" s="47"/>
      <c r="F509" s="45"/>
      <c r="G509" s="47"/>
      <c r="H509" s="48"/>
      <c r="I509" s="45"/>
      <c r="J509" s="49"/>
      <c r="K509" s="46"/>
      <c r="L509" s="49"/>
    </row>
    <row r="510">
      <c r="A510" s="44"/>
      <c r="B510" s="45"/>
      <c r="C510" s="46"/>
      <c r="D510" s="47"/>
      <c r="E510" s="47"/>
      <c r="F510" s="45"/>
      <c r="G510" s="47"/>
      <c r="H510" s="48"/>
      <c r="I510" s="45"/>
      <c r="J510" s="49"/>
      <c r="K510" s="46"/>
      <c r="L510" s="49"/>
    </row>
    <row r="511">
      <c r="A511" s="44"/>
      <c r="B511" s="45"/>
      <c r="C511" s="46"/>
      <c r="D511" s="47"/>
      <c r="E511" s="47"/>
      <c r="F511" s="45"/>
      <c r="G511" s="47"/>
      <c r="H511" s="48"/>
      <c r="I511" s="45"/>
      <c r="J511" s="49"/>
      <c r="K511" s="46"/>
      <c r="L511" s="49"/>
    </row>
    <row r="512">
      <c r="A512" s="44"/>
      <c r="B512" s="45"/>
      <c r="C512" s="46"/>
      <c r="D512" s="47"/>
      <c r="E512" s="47"/>
      <c r="F512" s="45"/>
      <c r="G512" s="47"/>
      <c r="H512" s="48"/>
      <c r="I512" s="45"/>
      <c r="J512" s="49"/>
      <c r="K512" s="46"/>
      <c r="L512" s="49"/>
    </row>
    <row r="513">
      <c r="A513" s="44"/>
      <c r="B513" s="45"/>
      <c r="C513" s="46"/>
      <c r="D513" s="47"/>
      <c r="E513" s="47"/>
      <c r="F513" s="45"/>
      <c r="G513" s="47"/>
      <c r="H513" s="48"/>
      <c r="I513" s="45"/>
      <c r="J513" s="49"/>
      <c r="K513" s="46"/>
      <c r="L513" s="49"/>
    </row>
    <row r="514">
      <c r="A514" s="44"/>
      <c r="B514" s="45"/>
      <c r="C514" s="46"/>
      <c r="D514" s="47"/>
      <c r="E514" s="47"/>
      <c r="F514" s="45"/>
      <c r="G514" s="47"/>
      <c r="H514" s="48"/>
      <c r="I514" s="45"/>
      <c r="J514" s="49"/>
      <c r="K514" s="46"/>
      <c r="L514" s="49"/>
    </row>
    <row r="515">
      <c r="A515" s="44"/>
      <c r="B515" s="45"/>
      <c r="C515" s="46"/>
      <c r="D515" s="47"/>
      <c r="E515" s="47"/>
      <c r="F515" s="45"/>
      <c r="G515" s="47"/>
      <c r="H515" s="48"/>
      <c r="I515" s="45"/>
      <c r="J515" s="49"/>
      <c r="K515" s="46"/>
      <c r="L515" s="49"/>
    </row>
    <row r="516">
      <c r="A516" s="44"/>
      <c r="B516" s="45"/>
      <c r="C516" s="46"/>
      <c r="D516" s="47"/>
      <c r="E516" s="47"/>
      <c r="F516" s="45"/>
      <c r="G516" s="47"/>
      <c r="H516" s="48"/>
      <c r="I516" s="45"/>
      <c r="J516" s="49"/>
      <c r="K516" s="46"/>
      <c r="L516" s="49"/>
    </row>
    <row r="517">
      <c r="A517" s="44"/>
      <c r="B517" s="45"/>
      <c r="C517" s="46"/>
      <c r="D517" s="47"/>
      <c r="E517" s="47"/>
      <c r="F517" s="45"/>
      <c r="G517" s="47"/>
      <c r="H517" s="48"/>
      <c r="I517" s="45"/>
      <c r="J517" s="49"/>
      <c r="K517" s="46"/>
      <c r="L517" s="49"/>
    </row>
    <row r="518">
      <c r="A518" s="44"/>
      <c r="B518" s="45"/>
      <c r="C518" s="46"/>
      <c r="D518" s="47"/>
      <c r="E518" s="47"/>
      <c r="F518" s="45"/>
      <c r="G518" s="47"/>
      <c r="H518" s="48"/>
      <c r="I518" s="45"/>
      <c r="J518" s="49"/>
      <c r="K518" s="46"/>
      <c r="L518" s="49"/>
    </row>
    <row r="519">
      <c r="A519" s="44"/>
      <c r="B519" s="45"/>
      <c r="C519" s="46"/>
      <c r="D519" s="47"/>
      <c r="E519" s="47"/>
      <c r="F519" s="45"/>
      <c r="G519" s="47"/>
      <c r="H519" s="48"/>
      <c r="I519" s="45"/>
      <c r="J519" s="49"/>
      <c r="K519" s="46"/>
      <c r="L519" s="49"/>
    </row>
    <row r="520">
      <c r="A520" s="44"/>
      <c r="B520" s="45"/>
      <c r="C520" s="46"/>
      <c r="D520" s="47"/>
      <c r="E520" s="47"/>
      <c r="F520" s="45"/>
      <c r="G520" s="47"/>
      <c r="H520" s="48"/>
      <c r="I520" s="45"/>
      <c r="J520" s="49"/>
      <c r="K520" s="46"/>
      <c r="L520" s="49"/>
    </row>
    <row r="521">
      <c r="A521" s="44"/>
      <c r="B521" s="45"/>
      <c r="C521" s="46"/>
      <c r="D521" s="47"/>
      <c r="E521" s="47"/>
      <c r="F521" s="45"/>
      <c r="G521" s="47"/>
      <c r="H521" s="48"/>
      <c r="I521" s="45"/>
      <c r="J521" s="49"/>
      <c r="K521" s="46"/>
      <c r="L521" s="49"/>
    </row>
    <row r="522">
      <c r="A522" s="44"/>
      <c r="B522" s="45"/>
      <c r="C522" s="46"/>
      <c r="D522" s="47"/>
      <c r="E522" s="47"/>
      <c r="F522" s="45"/>
      <c r="G522" s="47"/>
      <c r="H522" s="48"/>
      <c r="I522" s="45"/>
      <c r="J522" s="49"/>
      <c r="K522" s="46"/>
      <c r="L522" s="49"/>
    </row>
    <row r="523">
      <c r="A523" s="44"/>
      <c r="B523" s="45"/>
      <c r="C523" s="46"/>
      <c r="D523" s="47"/>
      <c r="E523" s="47"/>
      <c r="F523" s="45"/>
      <c r="G523" s="47"/>
      <c r="H523" s="48"/>
      <c r="I523" s="45"/>
      <c r="J523" s="49"/>
      <c r="K523" s="46"/>
      <c r="L523" s="49"/>
    </row>
    <row r="524">
      <c r="A524" s="44"/>
      <c r="B524" s="45"/>
      <c r="C524" s="46"/>
      <c r="D524" s="47"/>
      <c r="E524" s="47"/>
      <c r="F524" s="45"/>
      <c r="G524" s="47"/>
      <c r="H524" s="48"/>
      <c r="I524" s="45"/>
      <c r="J524" s="49"/>
      <c r="K524" s="46"/>
      <c r="L524" s="49"/>
    </row>
    <row r="525">
      <c r="A525" s="44"/>
      <c r="B525" s="45"/>
      <c r="C525" s="46"/>
      <c r="D525" s="47"/>
      <c r="E525" s="47"/>
      <c r="F525" s="45"/>
      <c r="G525" s="47"/>
      <c r="H525" s="48"/>
      <c r="I525" s="45"/>
      <c r="J525" s="49"/>
      <c r="K525" s="46"/>
      <c r="L525" s="49"/>
    </row>
    <row r="526">
      <c r="A526" s="44"/>
      <c r="B526" s="45"/>
      <c r="C526" s="46"/>
      <c r="D526" s="47"/>
      <c r="E526" s="47"/>
      <c r="F526" s="45"/>
      <c r="G526" s="47"/>
      <c r="H526" s="48"/>
      <c r="I526" s="45"/>
      <c r="J526" s="49"/>
      <c r="K526" s="46"/>
      <c r="L526" s="49"/>
    </row>
    <row r="527">
      <c r="A527" s="44"/>
      <c r="B527" s="45"/>
      <c r="C527" s="46"/>
      <c r="D527" s="47"/>
      <c r="E527" s="47"/>
      <c r="F527" s="45"/>
      <c r="G527" s="47"/>
      <c r="H527" s="48"/>
      <c r="I527" s="45"/>
      <c r="J527" s="49"/>
      <c r="K527" s="46"/>
      <c r="L527" s="49"/>
    </row>
    <row r="528">
      <c r="A528" s="44"/>
      <c r="B528" s="45"/>
      <c r="C528" s="46"/>
      <c r="D528" s="47"/>
      <c r="E528" s="47"/>
      <c r="F528" s="45"/>
      <c r="G528" s="47"/>
      <c r="H528" s="48"/>
      <c r="I528" s="45"/>
      <c r="J528" s="49"/>
      <c r="K528" s="46"/>
      <c r="L528" s="49"/>
    </row>
    <row r="529">
      <c r="A529" s="44"/>
      <c r="B529" s="45"/>
      <c r="C529" s="46"/>
      <c r="D529" s="47"/>
      <c r="E529" s="47"/>
      <c r="F529" s="45"/>
      <c r="G529" s="47"/>
      <c r="H529" s="48"/>
      <c r="I529" s="45"/>
      <c r="J529" s="49"/>
      <c r="K529" s="46"/>
      <c r="L529" s="49"/>
    </row>
    <row r="530">
      <c r="A530" s="44"/>
      <c r="B530" s="45"/>
      <c r="C530" s="46"/>
      <c r="D530" s="47"/>
      <c r="E530" s="47"/>
      <c r="F530" s="45"/>
      <c r="G530" s="47"/>
      <c r="H530" s="48"/>
      <c r="I530" s="45"/>
      <c r="J530" s="49"/>
      <c r="K530" s="46"/>
      <c r="L530" s="49"/>
    </row>
    <row r="531">
      <c r="A531" s="44"/>
      <c r="B531" s="45"/>
      <c r="C531" s="46"/>
      <c r="D531" s="47"/>
      <c r="E531" s="47"/>
      <c r="F531" s="45"/>
      <c r="G531" s="47"/>
      <c r="H531" s="48"/>
      <c r="I531" s="45"/>
      <c r="J531" s="49"/>
      <c r="K531" s="46"/>
      <c r="L531" s="49"/>
    </row>
    <row r="532">
      <c r="A532" s="44"/>
      <c r="B532" s="45"/>
      <c r="C532" s="46"/>
      <c r="D532" s="47"/>
      <c r="E532" s="47"/>
      <c r="F532" s="45"/>
      <c r="G532" s="47"/>
      <c r="H532" s="48"/>
      <c r="I532" s="45"/>
      <c r="J532" s="49"/>
      <c r="K532" s="46"/>
      <c r="L532" s="49"/>
    </row>
    <row r="533">
      <c r="A533" s="44"/>
      <c r="B533" s="45"/>
      <c r="C533" s="46"/>
      <c r="D533" s="47"/>
      <c r="E533" s="47"/>
      <c r="F533" s="45"/>
      <c r="G533" s="47"/>
      <c r="H533" s="48"/>
      <c r="I533" s="45"/>
      <c r="J533" s="49"/>
      <c r="K533" s="46"/>
      <c r="L533" s="49"/>
    </row>
    <row r="534">
      <c r="A534" s="44"/>
      <c r="B534" s="45"/>
      <c r="C534" s="46"/>
      <c r="D534" s="47"/>
      <c r="E534" s="47"/>
      <c r="F534" s="45"/>
      <c r="G534" s="47"/>
      <c r="H534" s="48"/>
      <c r="I534" s="45"/>
      <c r="J534" s="49"/>
      <c r="K534" s="46"/>
      <c r="L534" s="49"/>
    </row>
    <row r="535">
      <c r="A535" s="44"/>
      <c r="B535" s="45"/>
      <c r="C535" s="46"/>
      <c r="D535" s="47"/>
      <c r="E535" s="47"/>
      <c r="F535" s="45"/>
      <c r="G535" s="47"/>
      <c r="H535" s="48"/>
      <c r="I535" s="45"/>
      <c r="J535" s="49"/>
      <c r="K535" s="46"/>
      <c r="L535" s="49"/>
    </row>
    <row r="536">
      <c r="A536" s="44"/>
      <c r="B536" s="45"/>
      <c r="C536" s="46"/>
      <c r="D536" s="47"/>
      <c r="E536" s="47"/>
      <c r="F536" s="45"/>
      <c r="G536" s="47"/>
      <c r="H536" s="48"/>
      <c r="I536" s="45"/>
      <c r="J536" s="49"/>
      <c r="K536" s="46"/>
      <c r="L536" s="49"/>
    </row>
    <row r="537">
      <c r="A537" s="44"/>
      <c r="B537" s="45"/>
      <c r="C537" s="46"/>
      <c r="D537" s="47"/>
      <c r="E537" s="47"/>
      <c r="F537" s="45"/>
      <c r="G537" s="47"/>
      <c r="H537" s="48"/>
      <c r="I537" s="45"/>
      <c r="J537" s="49"/>
      <c r="K537" s="46"/>
      <c r="L537" s="49"/>
    </row>
    <row r="538">
      <c r="A538" s="44"/>
      <c r="B538" s="45"/>
      <c r="C538" s="46"/>
      <c r="D538" s="47"/>
      <c r="E538" s="47"/>
      <c r="F538" s="45"/>
      <c r="G538" s="47"/>
      <c r="H538" s="48"/>
      <c r="I538" s="45"/>
      <c r="J538" s="49"/>
      <c r="K538" s="46"/>
      <c r="L538" s="49"/>
    </row>
    <row r="539">
      <c r="A539" s="44"/>
      <c r="B539" s="45"/>
      <c r="C539" s="46"/>
      <c r="D539" s="47"/>
      <c r="E539" s="47"/>
      <c r="F539" s="45"/>
      <c r="G539" s="47"/>
      <c r="H539" s="48"/>
      <c r="I539" s="45"/>
      <c r="J539" s="49"/>
      <c r="K539" s="46"/>
      <c r="L539" s="49"/>
    </row>
    <row r="540">
      <c r="A540" s="44"/>
      <c r="B540" s="45"/>
      <c r="C540" s="46"/>
      <c r="D540" s="47"/>
      <c r="E540" s="47"/>
      <c r="F540" s="45"/>
      <c r="G540" s="47"/>
      <c r="H540" s="48"/>
      <c r="I540" s="45"/>
      <c r="J540" s="49"/>
      <c r="K540" s="46"/>
      <c r="L540" s="49"/>
    </row>
    <row r="541">
      <c r="A541" s="44"/>
      <c r="B541" s="45"/>
      <c r="C541" s="46"/>
      <c r="D541" s="47"/>
      <c r="E541" s="47"/>
      <c r="F541" s="45"/>
      <c r="G541" s="47"/>
      <c r="H541" s="48"/>
      <c r="I541" s="45"/>
      <c r="J541" s="49"/>
      <c r="K541" s="46"/>
      <c r="L541" s="49"/>
    </row>
    <row r="542">
      <c r="A542" s="44"/>
      <c r="B542" s="45"/>
      <c r="C542" s="46"/>
      <c r="D542" s="47"/>
      <c r="E542" s="47"/>
      <c r="F542" s="45"/>
      <c r="G542" s="47"/>
      <c r="H542" s="48"/>
      <c r="I542" s="45"/>
      <c r="J542" s="49"/>
      <c r="K542" s="46"/>
      <c r="L542" s="49"/>
    </row>
    <row r="543">
      <c r="A543" s="44"/>
      <c r="B543" s="45"/>
      <c r="C543" s="46"/>
      <c r="D543" s="47"/>
      <c r="E543" s="47"/>
      <c r="F543" s="45"/>
      <c r="G543" s="47"/>
      <c r="H543" s="48"/>
      <c r="I543" s="45"/>
      <c r="J543" s="49"/>
      <c r="K543" s="46"/>
      <c r="L543" s="49"/>
    </row>
    <row r="544">
      <c r="A544" s="44"/>
      <c r="B544" s="45"/>
      <c r="C544" s="46"/>
      <c r="D544" s="47"/>
      <c r="E544" s="47"/>
      <c r="F544" s="45"/>
      <c r="G544" s="47"/>
      <c r="H544" s="48"/>
      <c r="I544" s="45"/>
      <c r="J544" s="49"/>
      <c r="K544" s="46"/>
      <c r="L544" s="49"/>
    </row>
    <row r="545">
      <c r="A545" s="44"/>
      <c r="B545" s="45"/>
      <c r="C545" s="46"/>
      <c r="D545" s="47"/>
      <c r="E545" s="47"/>
      <c r="F545" s="45"/>
      <c r="G545" s="47"/>
      <c r="H545" s="48"/>
      <c r="I545" s="45"/>
      <c r="J545" s="49"/>
      <c r="K545" s="46"/>
      <c r="L545" s="49"/>
    </row>
    <row r="546">
      <c r="A546" s="44"/>
      <c r="B546" s="45"/>
      <c r="C546" s="46"/>
      <c r="D546" s="47"/>
      <c r="E546" s="47"/>
      <c r="F546" s="45"/>
      <c r="G546" s="47"/>
      <c r="H546" s="48"/>
      <c r="I546" s="45"/>
      <c r="J546" s="49"/>
      <c r="K546" s="46"/>
      <c r="L546" s="49"/>
    </row>
    <row r="547">
      <c r="A547" s="44"/>
      <c r="B547" s="45"/>
      <c r="C547" s="46"/>
      <c r="D547" s="47"/>
      <c r="E547" s="47"/>
      <c r="F547" s="45"/>
      <c r="G547" s="47"/>
      <c r="H547" s="48"/>
      <c r="I547" s="45"/>
      <c r="J547" s="49"/>
      <c r="K547" s="46"/>
      <c r="L547" s="49"/>
    </row>
    <row r="548">
      <c r="A548" s="44"/>
      <c r="B548" s="45"/>
      <c r="C548" s="46"/>
      <c r="D548" s="47"/>
      <c r="E548" s="47"/>
      <c r="F548" s="45"/>
      <c r="G548" s="47"/>
      <c r="H548" s="48"/>
      <c r="I548" s="45"/>
      <c r="J548" s="49"/>
      <c r="K548" s="46"/>
      <c r="L548" s="49"/>
    </row>
    <row r="549">
      <c r="A549" s="44"/>
      <c r="B549" s="45"/>
      <c r="C549" s="46"/>
      <c r="D549" s="47"/>
      <c r="E549" s="47"/>
      <c r="F549" s="45"/>
      <c r="G549" s="47"/>
      <c r="H549" s="48"/>
      <c r="I549" s="45"/>
      <c r="J549" s="49"/>
      <c r="K549" s="46"/>
      <c r="L549" s="49"/>
    </row>
    <row r="550">
      <c r="A550" s="44"/>
      <c r="B550" s="45"/>
      <c r="C550" s="46"/>
      <c r="D550" s="47"/>
      <c r="E550" s="47"/>
      <c r="F550" s="45"/>
      <c r="G550" s="47"/>
      <c r="H550" s="48"/>
      <c r="I550" s="45"/>
      <c r="J550" s="49"/>
      <c r="K550" s="46"/>
      <c r="L550" s="49"/>
    </row>
    <row r="551">
      <c r="A551" s="44"/>
      <c r="B551" s="45"/>
      <c r="C551" s="46"/>
      <c r="D551" s="47"/>
      <c r="E551" s="47"/>
      <c r="F551" s="45"/>
      <c r="G551" s="47"/>
      <c r="H551" s="48"/>
      <c r="I551" s="45"/>
      <c r="J551" s="49"/>
      <c r="K551" s="46"/>
      <c r="L551" s="49"/>
    </row>
    <row r="552">
      <c r="A552" s="44"/>
      <c r="B552" s="45"/>
      <c r="C552" s="46"/>
      <c r="D552" s="47"/>
      <c r="E552" s="47"/>
      <c r="F552" s="45"/>
      <c r="G552" s="47"/>
      <c r="H552" s="48"/>
      <c r="I552" s="45"/>
      <c r="J552" s="49"/>
      <c r="K552" s="46"/>
      <c r="L552" s="49"/>
    </row>
    <row r="553">
      <c r="A553" s="44"/>
      <c r="B553" s="45"/>
      <c r="C553" s="46"/>
      <c r="D553" s="47"/>
      <c r="E553" s="47"/>
      <c r="F553" s="45"/>
      <c r="G553" s="47"/>
      <c r="H553" s="48"/>
      <c r="I553" s="45"/>
      <c r="J553" s="49"/>
      <c r="K553" s="46"/>
      <c r="L553" s="49"/>
    </row>
    <row r="554">
      <c r="A554" s="44"/>
      <c r="B554" s="45"/>
      <c r="C554" s="46"/>
      <c r="D554" s="47"/>
      <c r="E554" s="47"/>
      <c r="F554" s="45"/>
      <c r="G554" s="47"/>
      <c r="H554" s="48"/>
      <c r="I554" s="45"/>
      <c r="J554" s="49"/>
      <c r="K554" s="46"/>
      <c r="L554" s="49"/>
    </row>
    <row r="555">
      <c r="A555" s="44"/>
      <c r="B555" s="45"/>
      <c r="C555" s="46"/>
      <c r="D555" s="47"/>
      <c r="E555" s="47"/>
      <c r="F555" s="45"/>
      <c r="G555" s="47"/>
      <c r="H555" s="48"/>
      <c r="I555" s="45"/>
      <c r="J555" s="49"/>
      <c r="K555" s="46"/>
      <c r="L555" s="49"/>
    </row>
    <row r="556">
      <c r="A556" s="44"/>
      <c r="B556" s="45"/>
      <c r="C556" s="46"/>
      <c r="D556" s="47"/>
      <c r="E556" s="47"/>
      <c r="F556" s="45"/>
      <c r="G556" s="47"/>
      <c r="H556" s="48"/>
      <c r="I556" s="45"/>
      <c r="J556" s="49"/>
      <c r="K556" s="46"/>
      <c r="L556" s="49"/>
    </row>
    <row r="557">
      <c r="A557" s="44"/>
      <c r="B557" s="45"/>
      <c r="C557" s="46"/>
      <c r="D557" s="47"/>
      <c r="E557" s="47"/>
      <c r="F557" s="45"/>
      <c r="G557" s="47"/>
      <c r="H557" s="48"/>
      <c r="I557" s="45"/>
      <c r="J557" s="49"/>
      <c r="K557" s="46"/>
      <c r="L557" s="49"/>
    </row>
    <row r="558">
      <c r="A558" s="44"/>
      <c r="B558" s="45"/>
      <c r="C558" s="46"/>
      <c r="D558" s="47"/>
      <c r="E558" s="47"/>
      <c r="F558" s="45"/>
      <c r="G558" s="47"/>
      <c r="H558" s="48"/>
      <c r="I558" s="45"/>
      <c r="J558" s="49"/>
      <c r="K558" s="46"/>
      <c r="L558" s="49"/>
    </row>
    <row r="559">
      <c r="A559" s="44"/>
      <c r="B559" s="45"/>
      <c r="C559" s="46"/>
      <c r="D559" s="47"/>
      <c r="E559" s="47"/>
      <c r="F559" s="45"/>
      <c r="G559" s="47"/>
      <c r="H559" s="48"/>
      <c r="I559" s="45"/>
      <c r="J559" s="49"/>
      <c r="K559" s="46"/>
      <c r="L559" s="49"/>
    </row>
    <row r="560">
      <c r="A560" s="44"/>
      <c r="B560" s="45"/>
      <c r="C560" s="46"/>
      <c r="D560" s="47"/>
      <c r="E560" s="47"/>
      <c r="F560" s="45"/>
      <c r="G560" s="47"/>
      <c r="H560" s="48"/>
      <c r="I560" s="45"/>
      <c r="J560" s="49"/>
      <c r="K560" s="46"/>
      <c r="L560" s="49"/>
    </row>
    <row r="561">
      <c r="A561" s="44"/>
      <c r="B561" s="45"/>
      <c r="C561" s="46"/>
      <c r="D561" s="47"/>
      <c r="E561" s="47"/>
      <c r="F561" s="45"/>
      <c r="G561" s="47"/>
      <c r="H561" s="48"/>
      <c r="I561" s="45"/>
      <c r="J561" s="49"/>
      <c r="K561" s="46"/>
      <c r="L561" s="49"/>
    </row>
    <row r="562">
      <c r="A562" s="44"/>
      <c r="B562" s="45"/>
      <c r="C562" s="46"/>
      <c r="D562" s="47"/>
      <c r="E562" s="47"/>
      <c r="F562" s="45"/>
      <c r="G562" s="47"/>
      <c r="H562" s="48"/>
      <c r="I562" s="45"/>
      <c r="J562" s="49"/>
      <c r="K562" s="46"/>
      <c r="L562" s="49"/>
    </row>
    <row r="563">
      <c r="A563" s="44"/>
      <c r="B563" s="45"/>
      <c r="C563" s="46"/>
      <c r="D563" s="47"/>
      <c r="E563" s="47"/>
      <c r="F563" s="45"/>
      <c r="G563" s="47"/>
      <c r="H563" s="48"/>
      <c r="I563" s="45"/>
      <c r="J563" s="49"/>
      <c r="K563" s="46"/>
      <c r="L563" s="49"/>
    </row>
    <row r="564">
      <c r="A564" s="44"/>
      <c r="B564" s="45"/>
      <c r="C564" s="46"/>
      <c r="D564" s="47"/>
      <c r="E564" s="47"/>
      <c r="F564" s="45"/>
      <c r="G564" s="47"/>
      <c r="H564" s="48"/>
      <c r="I564" s="45"/>
      <c r="J564" s="49"/>
      <c r="K564" s="46"/>
      <c r="L564" s="49"/>
    </row>
    <row r="565">
      <c r="A565" s="44"/>
      <c r="B565" s="45"/>
      <c r="C565" s="46"/>
      <c r="D565" s="47"/>
      <c r="E565" s="47"/>
      <c r="F565" s="45"/>
      <c r="G565" s="47"/>
      <c r="H565" s="48"/>
      <c r="I565" s="45"/>
      <c r="J565" s="49"/>
      <c r="K565" s="46"/>
      <c r="L565" s="49"/>
    </row>
    <row r="566">
      <c r="A566" s="44"/>
      <c r="B566" s="45"/>
      <c r="C566" s="46"/>
      <c r="D566" s="47"/>
      <c r="E566" s="47"/>
      <c r="F566" s="45"/>
      <c r="G566" s="47"/>
      <c r="H566" s="48"/>
      <c r="I566" s="45"/>
      <c r="J566" s="49"/>
      <c r="K566" s="46"/>
      <c r="L566" s="49"/>
    </row>
    <row r="567">
      <c r="A567" s="44"/>
      <c r="B567" s="45"/>
      <c r="C567" s="46"/>
      <c r="D567" s="47"/>
      <c r="E567" s="47"/>
      <c r="F567" s="45"/>
      <c r="G567" s="47"/>
      <c r="H567" s="48"/>
      <c r="I567" s="45"/>
      <c r="J567" s="49"/>
      <c r="K567" s="46"/>
      <c r="L567" s="49"/>
    </row>
    <row r="568">
      <c r="A568" s="44"/>
      <c r="B568" s="45"/>
      <c r="C568" s="46"/>
      <c r="D568" s="47"/>
      <c r="E568" s="47"/>
      <c r="F568" s="45"/>
      <c r="G568" s="47"/>
      <c r="H568" s="48"/>
      <c r="I568" s="45"/>
      <c r="J568" s="49"/>
      <c r="K568" s="46"/>
      <c r="L568" s="49"/>
    </row>
    <row r="569">
      <c r="A569" s="44"/>
      <c r="B569" s="45"/>
      <c r="C569" s="46"/>
      <c r="D569" s="47"/>
      <c r="E569" s="47"/>
      <c r="F569" s="45"/>
      <c r="G569" s="47"/>
      <c r="H569" s="48"/>
      <c r="I569" s="45"/>
      <c r="J569" s="49"/>
      <c r="K569" s="46"/>
      <c r="L569" s="49"/>
    </row>
    <row r="570">
      <c r="A570" s="44"/>
      <c r="B570" s="45"/>
      <c r="C570" s="46"/>
      <c r="D570" s="47"/>
      <c r="E570" s="47"/>
      <c r="F570" s="45"/>
      <c r="G570" s="47"/>
      <c r="H570" s="48"/>
      <c r="I570" s="45"/>
      <c r="J570" s="49"/>
      <c r="K570" s="46"/>
      <c r="L570" s="49"/>
    </row>
    <row r="571">
      <c r="A571" s="44"/>
      <c r="B571" s="45"/>
      <c r="C571" s="46"/>
      <c r="D571" s="47"/>
      <c r="E571" s="47"/>
      <c r="F571" s="45"/>
      <c r="G571" s="47"/>
      <c r="H571" s="48"/>
      <c r="I571" s="45"/>
      <c r="J571" s="49"/>
      <c r="K571" s="46"/>
      <c r="L571" s="49"/>
    </row>
    <row r="572">
      <c r="A572" s="44"/>
      <c r="B572" s="45"/>
      <c r="C572" s="46"/>
      <c r="D572" s="47"/>
      <c r="E572" s="47"/>
      <c r="F572" s="45"/>
      <c r="G572" s="47"/>
      <c r="H572" s="48"/>
      <c r="I572" s="45"/>
      <c r="J572" s="49"/>
      <c r="K572" s="46"/>
      <c r="L572" s="49"/>
    </row>
    <row r="573">
      <c r="A573" s="44"/>
      <c r="B573" s="45"/>
      <c r="C573" s="46"/>
      <c r="D573" s="47"/>
      <c r="E573" s="47"/>
      <c r="F573" s="45"/>
      <c r="G573" s="47"/>
      <c r="H573" s="48"/>
      <c r="I573" s="45"/>
      <c r="J573" s="49"/>
      <c r="K573" s="46"/>
      <c r="L573" s="49"/>
    </row>
    <row r="574">
      <c r="A574" s="44"/>
      <c r="B574" s="45"/>
      <c r="C574" s="46"/>
      <c r="D574" s="47"/>
      <c r="E574" s="47"/>
      <c r="F574" s="45"/>
      <c r="G574" s="47"/>
      <c r="H574" s="48"/>
      <c r="I574" s="45"/>
      <c r="J574" s="49"/>
      <c r="K574" s="46"/>
      <c r="L574" s="49"/>
    </row>
    <row r="575">
      <c r="A575" s="44"/>
      <c r="B575" s="45"/>
      <c r="C575" s="46"/>
      <c r="D575" s="47"/>
      <c r="E575" s="47"/>
      <c r="F575" s="45"/>
      <c r="G575" s="47"/>
      <c r="H575" s="48"/>
      <c r="I575" s="45"/>
      <c r="J575" s="49"/>
      <c r="K575" s="46"/>
      <c r="L575" s="49"/>
    </row>
    <row r="576">
      <c r="A576" s="44"/>
      <c r="B576" s="45"/>
      <c r="C576" s="46"/>
      <c r="D576" s="47"/>
      <c r="E576" s="47"/>
      <c r="F576" s="45"/>
      <c r="G576" s="47"/>
      <c r="H576" s="48"/>
      <c r="I576" s="45"/>
      <c r="J576" s="49"/>
      <c r="K576" s="46"/>
      <c r="L576" s="49"/>
    </row>
    <row r="577">
      <c r="A577" s="44"/>
      <c r="B577" s="45"/>
      <c r="C577" s="46"/>
      <c r="D577" s="47"/>
      <c r="E577" s="47"/>
      <c r="F577" s="45"/>
      <c r="G577" s="47"/>
      <c r="H577" s="48"/>
      <c r="I577" s="45"/>
      <c r="J577" s="49"/>
      <c r="K577" s="46"/>
      <c r="L577" s="49"/>
    </row>
    <row r="578">
      <c r="A578" s="44"/>
      <c r="B578" s="45"/>
      <c r="C578" s="46"/>
      <c r="D578" s="47"/>
      <c r="E578" s="47"/>
      <c r="F578" s="45"/>
      <c r="G578" s="47"/>
      <c r="H578" s="48"/>
      <c r="I578" s="45"/>
      <c r="J578" s="49"/>
      <c r="K578" s="46"/>
      <c r="L578" s="49"/>
    </row>
    <row r="579">
      <c r="A579" s="44"/>
      <c r="B579" s="45"/>
      <c r="C579" s="46"/>
      <c r="D579" s="47"/>
      <c r="E579" s="47"/>
      <c r="F579" s="45"/>
      <c r="G579" s="47"/>
      <c r="H579" s="48"/>
      <c r="I579" s="45"/>
      <c r="J579" s="49"/>
      <c r="K579" s="46"/>
      <c r="L579" s="49"/>
    </row>
    <row r="580">
      <c r="A580" s="44"/>
      <c r="B580" s="45"/>
      <c r="C580" s="46"/>
      <c r="D580" s="47"/>
      <c r="E580" s="47"/>
      <c r="F580" s="45"/>
      <c r="G580" s="47"/>
      <c r="H580" s="48"/>
      <c r="I580" s="45"/>
      <c r="J580" s="49"/>
      <c r="K580" s="46"/>
      <c r="L580" s="49"/>
    </row>
    <row r="581">
      <c r="A581" s="44"/>
      <c r="B581" s="45"/>
      <c r="C581" s="46"/>
      <c r="D581" s="47"/>
      <c r="E581" s="47"/>
      <c r="F581" s="45"/>
      <c r="G581" s="47"/>
      <c r="H581" s="48"/>
      <c r="I581" s="45"/>
      <c r="J581" s="49"/>
      <c r="K581" s="46"/>
      <c r="L581" s="49"/>
    </row>
    <row r="582">
      <c r="A582" s="44"/>
      <c r="B582" s="45"/>
      <c r="C582" s="46"/>
      <c r="D582" s="47"/>
      <c r="E582" s="47"/>
      <c r="F582" s="45"/>
      <c r="G582" s="47"/>
      <c r="H582" s="48"/>
      <c r="I582" s="45"/>
      <c r="J582" s="49"/>
      <c r="K582" s="46"/>
      <c r="L582" s="49"/>
    </row>
    <row r="583">
      <c r="A583" s="44"/>
      <c r="B583" s="45"/>
      <c r="C583" s="46"/>
      <c r="D583" s="47"/>
      <c r="E583" s="47"/>
      <c r="F583" s="45"/>
      <c r="G583" s="47"/>
      <c r="H583" s="48"/>
      <c r="I583" s="45"/>
      <c r="J583" s="49"/>
      <c r="K583" s="46"/>
      <c r="L583" s="49"/>
    </row>
    <row r="584">
      <c r="A584" s="44"/>
      <c r="B584" s="45"/>
      <c r="C584" s="46"/>
      <c r="D584" s="47"/>
      <c r="E584" s="47"/>
      <c r="F584" s="45"/>
      <c r="G584" s="47"/>
      <c r="H584" s="48"/>
      <c r="I584" s="45"/>
      <c r="J584" s="49"/>
      <c r="K584" s="46"/>
      <c r="L584" s="49"/>
    </row>
    <row r="585">
      <c r="A585" s="44"/>
      <c r="B585" s="45"/>
      <c r="C585" s="46"/>
      <c r="D585" s="47"/>
      <c r="E585" s="47"/>
      <c r="F585" s="45"/>
      <c r="G585" s="47"/>
      <c r="H585" s="48"/>
      <c r="I585" s="45"/>
      <c r="J585" s="49"/>
      <c r="K585" s="46"/>
      <c r="L585" s="49"/>
    </row>
    <row r="586">
      <c r="A586" s="44"/>
      <c r="B586" s="45"/>
      <c r="C586" s="46"/>
      <c r="D586" s="47"/>
      <c r="E586" s="47"/>
      <c r="F586" s="45"/>
      <c r="G586" s="47"/>
      <c r="H586" s="48"/>
      <c r="I586" s="45"/>
      <c r="J586" s="49"/>
      <c r="K586" s="46"/>
      <c r="L586" s="49"/>
    </row>
    <row r="587">
      <c r="A587" s="44"/>
      <c r="B587" s="45"/>
      <c r="C587" s="46"/>
      <c r="D587" s="47"/>
      <c r="E587" s="47"/>
      <c r="F587" s="45"/>
      <c r="G587" s="47"/>
      <c r="H587" s="48"/>
      <c r="I587" s="45"/>
      <c r="J587" s="49"/>
      <c r="K587" s="46"/>
      <c r="L587" s="49"/>
    </row>
    <row r="588">
      <c r="A588" s="44"/>
      <c r="B588" s="45"/>
      <c r="C588" s="46"/>
      <c r="D588" s="47"/>
      <c r="E588" s="47"/>
      <c r="F588" s="45"/>
      <c r="G588" s="47"/>
      <c r="H588" s="48"/>
      <c r="I588" s="45"/>
      <c r="J588" s="49"/>
      <c r="K588" s="46"/>
      <c r="L588" s="49"/>
    </row>
    <row r="589">
      <c r="A589" s="44"/>
      <c r="B589" s="45"/>
      <c r="C589" s="46"/>
      <c r="D589" s="47"/>
      <c r="E589" s="47"/>
      <c r="F589" s="45"/>
      <c r="G589" s="47"/>
      <c r="H589" s="48"/>
      <c r="I589" s="45"/>
      <c r="J589" s="49"/>
      <c r="K589" s="46"/>
      <c r="L589" s="49"/>
    </row>
    <row r="590">
      <c r="A590" s="44"/>
      <c r="B590" s="45"/>
      <c r="C590" s="46"/>
      <c r="D590" s="47"/>
      <c r="E590" s="47"/>
      <c r="F590" s="45"/>
      <c r="G590" s="47"/>
      <c r="H590" s="48"/>
      <c r="I590" s="45"/>
      <c r="J590" s="49"/>
      <c r="K590" s="46"/>
      <c r="L590" s="49"/>
    </row>
    <row r="591">
      <c r="A591" s="44"/>
      <c r="B591" s="45"/>
      <c r="C591" s="46"/>
      <c r="D591" s="47"/>
      <c r="E591" s="47"/>
      <c r="F591" s="45"/>
      <c r="G591" s="47"/>
      <c r="H591" s="48"/>
      <c r="I591" s="45"/>
      <c r="J591" s="49"/>
      <c r="K591" s="46"/>
      <c r="L591" s="49"/>
    </row>
    <row r="592">
      <c r="A592" s="44"/>
      <c r="B592" s="45"/>
      <c r="C592" s="46"/>
      <c r="D592" s="47"/>
      <c r="E592" s="47"/>
      <c r="F592" s="45"/>
      <c r="G592" s="47"/>
      <c r="H592" s="48"/>
      <c r="I592" s="45"/>
      <c r="J592" s="49"/>
      <c r="K592" s="46"/>
      <c r="L592" s="49"/>
    </row>
    <row r="593">
      <c r="A593" s="44"/>
      <c r="B593" s="45"/>
      <c r="C593" s="46"/>
      <c r="D593" s="47"/>
      <c r="E593" s="47"/>
      <c r="F593" s="45"/>
      <c r="G593" s="47"/>
      <c r="H593" s="48"/>
      <c r="I593" s="45"/>
      <c r="J593" s="49"/>
      <c r="K593" s="46"/>
      <c r="L593" s="49"/>
    </row>
    <row r="594">
      <c r="A594" s="44"/>
      <c r="B594" s="45"/>
      <c r="C594" s="46"/>
      <c r="D594" s="47"/>
      <c r="E594" s="47"/>
      <c r="F594" s="45"/>
      <c r="G594" s="47"/>
      <c r="H594" s="48"/>
      <c r="I594" s="45"/>
      <c r="J594" s="49"/>
      <c r="K594" s="46"/>
      <c r="L594" s="49"/>
    </row>
    <row r="595">
      <c r="A595" s="44"/>
      <c r="B595" s="45"/>
      <c r="C595" s="46"/>
      <c r="D595" s="47"/>
      <c r="E595" s="47"/>
      <c r="F595" s="45"/>
      <c r="G595" s="47"/>
      <c r="H595" s="48"/>
      <c r="I595" s="45"/>
      <c r="J595" s="49"/>
      <c r="K595" s="46"/>
      <c r="L595" s="49"/>
    </row>
    <row r="596">
      <c r="A596" s="44"/>
      <c r="B596" s="45"/>
      <c r="C596" s="46"/>
      <c r="D596" s="47"/>
      <c r="E596" s="47"/>
      <c r="F596" s="45"/>
      <c r="G596" s="47"/>
      <c r="H596" s="48"/>
      <c r="I596" s="45"/>
      <c r="J596" s="49"/>
      <c r="K596" s="46"/>
      <c r="L596" s="49"/>
    </row>
    <row r="597">
      <c r="A597" s="44"/>
      <c r="B597" s="45"/>
      <c r="C597" s="46"/>
      <c r="D597" s="47"/>
      <c r="E597" s="47"/>
      <c r="F597" s="45"/>
      <c r="G597" s="47"/>
      <c r="H597" s="48"/>
      <c r="I597" s="45"/>
      <c r="J597" s="49"/>
      <c r="K597" s="46"/>
      <c r="L597" s="49"/>
    </row>
    <row r="598">
      <c r="A598" s="44"/>
      <c r="B598" s="45"/>
      <c r="C598" s="46"/>
      <c r="D598" s="47"/>
      <c r="E598" s="47"/>
      <c r="F598" s="45"/>
      <c r="G598" s="47"/>
      <c r="H598" s="48"/>
      <c r="I598" s="45"/>
      <c r="J598" s="49"/>
      <c r="K598" s="46"/>
      <c r="L598" s="49"/>
    </row>
    <row r="599">
      <c r="A599" s="44"/>
      <c r="B599" s="45"/>
      <c r="C599" s="46"/>
      <c r="D599" s="47"/>
      <c r="E599" s="47"/>
      <c r="F599" s="45"/>
      <c r="G599" s="47"/>
      <c r="H599" s="48"/>
      <c r="I599" s="45"/>
      <c r="J599" s="49"/>
      <c r="K599" s="46"/>
      <c r="L599" s="49"/>
    </row>
    <row r="600">
      <c r="A600" s="44"/>
      <c r="B600" s="45"/>
      <c r="C600" s="46"/>
      <c r="D600" s="47"/>
      <c r="E600" s="47"/>
      <c r="F600" s="45"/>
      <c r="G600" s="47"/>
      <c r="H600" s="48"/>
      <c r="I600" s="45"/>
      <c r="J600" s="49"/>
      <c r="K600" s="46"/>
      <c r="L600" s="49"/>
    </row>
    <row r="601">
      <c r="A601" s="44"/>
      <c r="B601" s="45"/>
      <c r="C601" s="46"/>
      <c r="D601" s="47"/>
      <c r="E601" s="47"/>
      <c r="F601" s="45"/>
      <c r="G601" s="47"/>
      <c r="H601" s="48"/>
      <c r="I601" s="45"/>
      <c r="J601" s="49"/>
      <c r="K601" s="46"/>
      <c r="L601" s="49"/>
    </row>
    <row r="602">
      <c r="A602" s="44"/>
      <c r="B602" s="45"/>
      <c r="C602" s="46"/>
      <c r="D602" s="47"/>
      <c r="E602" s="47"/>
      <c r="F602" s="45"/>
      <c r="G602" s="47"/>
      <c r="H602" s="48"/>
      <c r="I602" s="45"/>
      <c r="J602" s="49"/>
      <c r="K602" s="46"/>
      <c r="L602" s="49"/>
    </row>
    <row r="603">
      <c r="A603" s="44"/>
      <c r="B603" s="45"/>
      <c r="C603" s="46"/>
      <c r="D603" s="47"/>
      <c r="E603" s="47"/>
      <c r="F603" s="45"/>
      <c r="G603" s="47"/>
      <c r="H603" s="48"/>
      <c r="I603" s="45"/>
      <c r="J603" s="49"/>
      <c r="K603" s="46"/>
      <c r="L603" s="49"/>
    </row>
    <row r="604">
      <c r="A604" s="44"/>
      <c r="B604" s="45"/>
      <c r="C604" s="46"/>
      <c r="D604" s="47"/>
      <c r="E604" s="47"/>
      <c r="F604" s="45"/>
      <c r="G604" s="47"/>
      <c r="H604" s="48"/>
      <c r="I604" s="45"/>
      <c r="J604" s="49"/>
      <c r="K604" s="46"/>
      <c r="L604" s="49"/>
    </row>
    <row r="605">
      <c r="A605" s="44"/>
      <c r="B605" s="45"/>
      <c r="C605" s="46"/>
      <c r="D605" s="47"/>
      <c r="E605" s="47"/>
      <c r="F605" s="45"/>
      <c r="G605" s="47"/>
      <c r="H605" s="48"/>
      <c r="I605" s="45"/>
      <c r="J605" s="49"/>
      <c r="K605" s="46"/>
      <c r="L605" s="49"/>
    </row>
    <row r="606">
      <c r="A606" s="44"/>
      <c r="B606" s="45"/>
      <c r="C606" s="46"/>
      <c r="D606" s="47"/>
      <c r="E606" s="47"/>
      <c r="F606" s="45"/>
      <c r="G606" s="47"/>
      <c r="H606" s="48"/>
      <c r="I606" s="45"/>
      <c r="J606" s="49"/>
      <c r="K606" s="46"/>
      <c r="L606" s="49"/>
    </row>
    <row r="607">
      <c r="A607" s="44"/>
      <c r="B607" s="45"/>
      <c r="C607" s="46"/>
      <c r="D607" s="47"/>
      <c r="E607" s="47"/>
      <c r="F607" s="45"/>
      <c r="G607" s="47"/>
      <c r="H607" s="48"/>
      <c r="I607" s="45"/>
      <c r="J607" s="49"/>
      <c r="K607" s="46"/>
      <c r="L607" s="49"/>
    </row>
    <row r="608">
      <c r="A608" s="44"/>
      <c r="B608" s="45"/>
      <c r="C608" s="46"/>
      <c r="D608" s="47"/>
      <c r="E608" s="47"/>
      <c r="F608" s="45"/>
      <c r="G608" s="47"/>
      <c r="H608" s="48"/>
      <c r="I608" s="45"/>
      <c r="J608" s="49"/>
      <c r="K608" s="46"/>
      <c r="L608" s="49"/>
    </row>
    <row r="609">
      <c r="A609" s="44"/>
      <c r="B609" s="45"/>
      <c r="C609" s="46"/>
      <c r="D609" s="47"/>
      <c r="E609" s="47"/>
      <c r="F609" s="45"/>
      <c r="G609" s="47"/>
      <c r="H609" s="48"/>
      <c r="I609" s="45"/>
      <c r="J609" s="49"/>
      <c r="K609" s="46"/>
      <c r="L609" s="49"/>
    </row>
    <row r="610">
      <c r="A610" s="44"/>
      <c r="B610" s="45"/>
      <c r="C610" s="46"/>
      <c r="D610" s="47"/>
      <c r="E610" s="47"/>
      <c r="F610" s="45"/>
      <c r="G610" s="47"/>
      <c r="H610" s="48"/>
      <c r="I610" s="45"/>
      <c r="J610" s="49"/>
      <c r="K610" s="46"/>
      <c r="L610" s="49"/>
    </row>
    <row r="611">
      <c r="A611" s="44"/>
      <c r="B611" s="45"/>
      <c r="C611" s="46"/>
      <c r="D611" s="47"/>
      <c r="E611" s="47"/>
      <c r="F611" s="45"/>
      <c r="G611" s="47"/>
      <c r="H611" s="48"/>
      <c r="I611" s="45"/>
      <c r="J611" s="49"/>
      <c r="K611" s="46"/>
      <c r="L611" s="49"/>
    </row>
    <row r="612">
      <c r="A612" s="44"/>
      <c r="B612" s="45"/>
      <c r="C612" s="46"/>
      <c r="D612" s="47"/>
      <c r="E612" s="47"/>
      <c r="F612" s="45"/>
      <c r="G612" s="47"/>
      <c r="H612" s="48"/>
      <c r="I612" s="45"/>
      <c r="J612" s="49"/>
      <c r="K612" s="46"/>
      <c r="L612" s="49"/>
    </row>
    <row r="613">
      <c r="A613" s="44"/>
      <c r="B613" s="45"/>
      <c r="C613" s="46"/>
      <c r="D613" s="47"/>
      <c r="E613" s="47"/>
      <c r="F613" s="45"/>
      <c r="G613" s="47"/>
      <c r="H613" s="48"/>
      <c r="I613" s="45"/>
      <c r="J613" s="49"/>
      <c r="K613" s="46"/>
      <c r="L613" s="49"/>
    </row>
    <row r="614">
      <c r="A614" s="44"/>
      <c r="B614" s="45"/>
      <c r="C614" s="46"/>
      <c r="D614" s="47"/>
      <c r="E614" s="47"/>
      <c r="F614" s="45"/>
      <c r="G614" s="47"/>
      <c r="H614" s="48"/>
      <c r="I614" s="45"/>
      <c r="J614" s="49"/>
      <c r="K614" s="46"/>
      <c r="L614" s="49"/>
    </row>
    <row r="615">
      <c r="A615" s="44"/>
      <c r="B615" s="45"/>
      <c r="C615" s="46"/>
      <c r="D615" s="47"/>
      <c r="E615" s="47"/>
      <c r="F615" s="45"/>
      <c r="G615" s="47"/>
      <c r="H615" s="48"/>
      <c r="I615" s="45"/>
      <c r="J615" s="49"/>
      <c r="K615" s="46"/>
      <c r="L615" s="49"/>
    </row>
    <row r="616">
      <c r="A616" s="44"/>
      <c r="B616" s="45"/>
      <c r="C616" s="46"/>
      <c r="D616" s="47"/>
      <c r="E616" s="47"/>
      <c r="F616" s="45"/>
      <c r="G616" s="47"/>
      <c r="H616" s="48"/>
      <c r="I616" s="45"/>
      <c r="J616" s="49"/>
      <c r="K616" s="46"/>
      <c r="L616" s="49"/>
    </row>
    <row r="617">
      <c r="A617" s="44"/>
      <c r="B617" s="45"/>
      <c r="C617" s="46"/>
      <c r="D617" s="47"/>
      <c r="E617" s="47"/>
      <c r="F617" s="45"/>
      <c r="G617" s="47"/>
      <c r="H617" s="48"/>
      <c r="I617" s="45"/>
      <c r="J617" s="49"/>
      <c r="K617" s="46"/>
      <c r="L617" s="49"/>
    </row>
    <row r="618">
      <c r="A618" s="44"/>
      <c r="B618" s="45"/>
      <c r="C618" s="46"/>
      <c r="D618" s="47"/>
      <c r="E618" s="47"/>
      <c r="F618" s="45"/>
      <c r="G618" s="47"/>
      <c r="H618" s="48"/>
      <c r="I618" s="45"/>
      <c r="J618" s="49"/>
      <c r="K618" s="46"/>
      <c r="L618" s="49"/>
    </row>
    <row r="619">
      <c r="A619" s="44"/>
      <c r="B619" s="45"/>
      <c r="C619" s="46"/>
      <c r="D619" s="47"/>
      <c r="E619" s="47"/>
      <c r="F619" s="45"/>
      <c r="G619" s="47"/>
      <c r="H619" s="48"/>
      <c r="I619" s="45"/>
      <c r="J619" s="49"/>
      <c r="K619" s="46"/>
      <c r="L619" s="49"/>
    </row>
    <row r="620">
      <c r="A620" s="44"/>
      <c r="B620" s="45"/>
      <c r="C620" s="46"/>
      <c r="D620" s="47"/>
      <c r="E620" s="47"/>
      <c r="F620" s="45"/>
      <c r="G620" s="47"/>
      <c r="H620" s="48"/>
      <c r="I620" s="45"/>
      <c r="J620" s="49"/>
      <c r="K620" s="46"/>
      <c r="L620" s="49"/>
    </row>
    <row r="621">
      <c r="A621" s="44"/>
      <c r="B621" s="45"/>
      <c r="C621" s="46"/>
      <c r="D621" s="47"/>
      <c r="E621" s="47"/>
      <c r="F621" s="45"/>
      <c r="G621" s="47"/>
      <c r="H621" s="48"/>
      <c r="I621" s="45"/>
      <c r="J621" s="49"/>
      <c r="K621" s="46"/>
      <c r="L621" s="49"/>
    </row>
    <row r="622">
      <c r="A622" s="44"/>
      <c r="B622" s="45"/>
      <c r="C622" s="46"/>
      <c r="D622" s="47"/>
      <c r="E622" s="47"/>
      <c r="F622" s="45"/>
      <c r="G622" s="47"/>
      <c r="H622" s="48"/>
      <c r="I622" s="45"/>
      <c r="J622" s="49"/>
      <c r="K622" s="46"/>
      <c r="L622" s="49"/>
    </row>
    <row r="623">
      <c r="A623" s="44"/>
      <c r="B623" s="45"/>
      <c r="C623" s="46"/>
      <c r="D623" s="47"/>
      <c r="E623" s="47"/>
      <c r="F623" s="45"/>
      <c r="G623" s="47"/>
      <c r="H623" s="48"/>
      <c r="I623" s="45"/>
      <c r="J623" s="49"/>
      <c r="K623" s="46"/>
      <c r="L623" s="49"/>
    </row>
    <row r="624">
      <c r="A624" s="44"/>
      <c r="B624" s="45"/>
      <c r="C624" s="46"/>
      <c r="D624" s="47"/>
      <c r="E624" s="47"/>
      <c r="F624" s="45"/>
      <c r="G624" s="47"/>
      <c r="H624" s="48"/>
      <c r="I624" s="45"/>
      <c r="J624" s="49"/>
      <c r="K624" s="46"/>
      <c r="L624" s="49"/>
    </row>
    <row r="625">
      <c r="A625" s="44"/>
      <c r="B625" s="45"/>
      <c r="C625" s="46"/>
      <c r="D625" s="47"/>
      <c r="E625" s="47"/>
      <c r="F625" s="45"/>
      <c r="G625" s="47"/>
      <c r="H625" s="48"/>
      <c r="I625" s="45"/>
      <c r="J625" s="49"/>
      <c r="K625" s="46"/>
      <c r="L625" s="49"/>
    </row>
    <row r="626">
      <c r="A626" s="44"/>
      <c r="B626" s="45"/>
      <c r="C626" s="46"/>
      <c r="D626" s="47"/>
      <c r="E626" s="47"/>
      <c r="F626" s="45"/>
      <c r="G626" s="47"/>
      <c r="H626" s="48"/>
      <c r="I626" s="45"/>
      <c r="J626" s="49"/>
      <c r="K626" s="46"/>
      <c r="L626" s="49"/>
    </row>
    <row r="627">
      <c r="A627" s="44"/>
      <c r="B627" s="45"/>
      <c r="C627" s="46"/>
      <c r="D627" s="47"/>
      <c r="E627" s="47"/>
      <c r="F627" s="45"/>
      <c r="G627" s="47"/>
      <c r="H627" s="48"/>
      <c r="I627" s="45"/>
      <c r="J627" s="49"/>
      <c r="K627" s="46"/>
      <c r="L627" s="49"/>
    </row>
    <row r="628">
      <c r="A628" s="44"/>
      <c r="B628" s="45"/>
      <c r="C628" s="46"/>
      <c r="D628" s="47"/>
      <c r="E628" s="47"/>
      <c r="F628" s="45"/>
      <c r="G628" s="47"/>
      <c r="H628" s="48"/>
      <c r="I628" s="45"/>
      <c r="J628" s="49"/>
      <c r="K628" s="46"/>
      <c r="L628" s="49"/>
    </row>
    <row r="629">
      <c r="A629" s="44"/>
      <c r="B629" s="45"/>
      <c r="C629" s="46"/>
      <c r="D629" s="47"/>
      <c r="E629" s="47"/>
      <c r="F629" s="45"/>
      <c r="G629" s="47"/>
      <c r="H629" s="48"/>
      <c r="I629" s="45"/>
      <c r="J629" s="49"/>
      <c r="K629" s="46"/>
      <c r="L629" s="49"/>
    </row>
    <row r="630">
      <c r="A630" s="44"/>
      <c r="B630" s="45"/>
      <c r="C630" s="46"/>
      <c r="D630" s="47"/>
      <c r="E630" s="47"/>
      <c r="F630" s="45"/>
      <c r="G630" s="47"/>
      <c r="H630" s="48"/>
      <c r="I630" s="45"/>
      <c r="J630" s="49"/>
      <c r="K630" s="46"/>
      <c r="L630" s="49"/>
    </row>
    <row r="631">
      <c r="A631" s="44"/>
      <c r="B631" s="45"/>
      <c r="C631" s="46"/>
      <c r="D631" s="47"/>
      <c r="E631" s="47"/>
      <c r="F631" s="45"/>
      <c r="G631" s="47"/>
      <c r="H631" s="48"/>
      <c r="I631" s="45"/>
      <c r="J631" s="49"/>
      <c r="K631" s="46"/>
      <c r="L631" s="49"/>
    </row>
    <row r="632">
      <c r="A632" s="44"/>
      <c r="B632" s="45"/>
      <c r="C632" s="46"/>
      <c r="D632" s="47"/>
      <c r="E632" s="47"/>
      <c r="F632" s="45"/>
      <c r="G632" s="47"/>
      <c r="H632" s="48"/>
      <c r="I632" s="45"/>
      <c r="J632" s="49"/>
      <c r="K632" s="46"/>
      <c r="L632" s="49"/>
    </row>
    <row r="633">
      <c r="A633" s="44"/>
      <c r="B633" s="45"/>
      <c r="C633" s="46"/>
      <c r="D633" s="47"/>
      <c r="E633" s="47"/>
      <c r="F633" s="45"/>
      <c r="G633" s="47"/>
      <c r="H633" s="48"/>
      <c r="I633" s="45"/>
      <c r="J633" s="49"/>
      <c r="K633" s="46"/>
      <c r="L633" s="49"/>
    </row>
    <row r="634">
      <c r="A634" s="44"/>
      <c r="B634" s="45"/>
      <c r="C634" s="46"/>
      <c r="D634" s="47"/>
      <c r="E634" s="47"/>
      <c r="F634" s="45"/>
      <c r="G634" s="47"/>
      <c r="H634" s="48"/>
      <c r="I634" s="45"/>
      <c r="J634" s="49"/>
      <c r="K634" s="46"/>
      <c r="L634" s="49"/>
    </row>
    <row r="635">
      <c r="A635" s="44"/>
      <c r="B635" s="45"/>
      <c r="C635" s="46"/>
      <c r="D635" s="47"/>
      <c r="E635" s="47"/>
      <c r="F635" s="45"/>
      <c r="G635" s="47"/>
      <c r="H635" s="48"/>
      <c r="I635" s="45"/>
      <c r="J635" s="49"/>
      <c r="K635" s="46"/>
      <c r="L635" s="49"/>
    </row>
    <row r="636">
      <c r="A636" s="44"/>
      <c r="B636" s="45"/>
      <c r="C636" s="46"/>
      <c r="D636" s="47"/>
      <c r="E636" s="47"/>
      <c r="F636" s="45"/>
      <c r="G636" s="47"/>
      <c r="H636" s="48"/>
      <c r="I636" s="45"/>
      <c r="J636" s="49"/>
      <c r="K636" s="46"/>
      <c r="L636" s="49"/>
    </row>
    <row r="637">
      <c r="A637" s="44"/>
      <c r="B637" s="45"/>
      <c r="C637" s="46"/>
      <c r="D637" s="47"/>
      <c r="E637" s="47"/>
      <c r="F637" s="45"/>
      <c r="G637" s="47"/>
      <c r="H637" s="48"/>
      <c r="I637" s="45"/>
      <c r="J637" s="49"/>
      <c r="K637" s="46"/>
      <c r="L637" s="49"/>
    </row>
    <row r="638">
      <c r="A638" s="44"/>
      <c r="B638" s="45"/>
      <c r="C638" s="46"/>
      <c r="D638" s="47"/>
      <c r="E638" s="47"/>
      <c r="F638" s="45"/>
      <c r="G638" s="47"/>
      <c r="H638" s="48"/>
      <c r="I638" s="45"/>
      <c r="J638" s="49"/>
      <c r="K638" s="46"/>
      <c r="L638" s="49"/>
    </row>
    <row r="639">
      <c r="A639" s="44"/>
      <c r="B639" s="45"/>
      <c r="C639" s="46"/>
      <c r="D639" s="47"/>
      <c r="E639" s="47"/>
      <c r="F639" s="45"/>
      <c r="G639" s="47"/>
      <c r="H639" s="48"/>
      <c r="I639" s="45"/>
      <c r="J639" s="49"/>
      <c r="K639" s="46"/>
      <c r="L639" s="49"/>
    </row>
    <row r="640">
      <c r="A640" s="44"/>
      <c r="B640" s="45"/>
      <c r="C640" s="46"/>
      <c r="D640" s="47"/>
      <c r="E640" s="47"/>
      <c r="F640" s="45"/>
      <c r="G640" s="47"/>
      <c r="H640" s="48"/>
      <c r="I640" s="45"/>
      <c r="J640" s="49"/>
      <c r="K640" s="46"/>
      <c r="L640" s="49"/>
    </row>
    <row r="641">
      <c r="A641" s="44"/>
      <c r="B641" s="45"/>
      <c r="C641" s="46"/>
      <c r="D641" s="47"/>
      <c r="E641" s="47"/>
      <c r="F641" s="45"/>
      <c r="G641" s="47"/>
      <c r="H641" s="48"/>
      <c r="I641" s="45"/>
      <c r="J641" s="49"/>
      <c r="K641" s="46"/>
      <c r="L641" s="49"/>
    </row>
    <row r="642">
      <c r="A642" s="44"/>
      <c r="B642" s="45"/>
      <c r="C642" s="46"/>
      <c r="D642" s="47"/>
      <c r="E642" s="47"/>
      <c r="F642" s="45"/>
      <c r="G642" s="47"/>
      <c r="H642" s="48"/>
      <c r="I642" s="45"/>
      <c r="J642" s="49"/>
      <c r="K642" s="46"/>
      <c r="L642" s="49"/>
    </row>
    <row r="643">
      <c r="A643" s="44"/>
      <c r="B643" s="45"/>
      <c r="C643" s="46"/>
      <c r="D643" s="47"/>
      <c r="E643" s="47"/>
      <c r="F643" s="45"/>
      <c r="G643" s="47"/>
      <c r="H643" s="48"/>
      <c r="I643" s="45"/>
      <c r="J643" s="49"/>
      <c r="K643" s="46"/>
      <c r="L643" s="49"/>
    </row>
    <row r="644">
      <c r="A644" s="44"/>
      <c r="B644" s="45"/>
      <c r="C644" s="46"/>
      <c r="D644" s="47"/>
      <c r="E644" s="47"/>
      <c r="F644" s="45"/>
      <c r="G644" s="47"/>
      <c r="H644" s="48"/>
      <c r="I644" s="45"/>
      <c r="J644" s="49"/>
      <c r="K644" s="46"/>
      <c r="L644" s="49"/>
    </row>
    <row r="645">
      <c r="A645" s="44"/>
      <c r="B645" s="45"/>
      <c r="C645" s="46"/>
      <c r="D645" s="47"/>
      <c r="E645" s="47"/>
      <c r="F645" s="45"/>
      <c r="G645" s="47"/>
      <c r="H645" s="48"/>
      <c r="I645" s="45"/>
      <c r="J645" s="49"/>
      <c r="K645" s="46"/>
      <c r="L645" s="49"/>
    </row>
    <row r="646">
      <c r="A646" s="44"/>
      <c r="B646" s="45"/>
      <c r="C646" s="46"/>
      <c r="D646" s="47"/>
      <c r="E646" s="47"/>
      <c r="F646" s="45"/>
      <c r="G646" s="47"/>
      <c r="H646" s="48"/>
      <c r="I646" s="45"/>
      <c r="J646" s="49"/>
      <c r="K646" s="46"/>
      <c r="L646" s="49"/>
    </row>
    <row r="647">
      <c r="A647" s="44"/>
      <c r="B647" s="45"/>
      <c r="C647" s="46"/>
      <c r="D647" s="47"/>
      <c r="E647" s="47"/>
      <c r="F647" s="45"/>
      <c r="G647" s="47"/>
      <c r="H647" s="48"/>
      <c r="I647" s="45"/>
      <c r="J647" s="49"/>
      <c r="K647" s="46"/>
      <c r="L647" s="49"/>
    </row>
    <row r="648">
      <c r="A648" s="44"/>
      <c r="B648" s="45"/>
      <c r="C648" s="46"/>
      <c r="D648" s="47"/>
      <c r="E648" s="47"/>
      <c r="F648" s="45"/>
      <c r="G648" s="47"/>
      <c r="H648" s="48"/>
      <c r="I648" s="45"/>
      <c r="J648" s="49"/>
      <c r="K648" s="46"/>
      <c r="L648" s="49"/>
    </row>
    <row r="649">
      <c r="A649" s="44"/>
      <c r="B649" s="45"/>
      <c r="C649" s="46"/>
      <c r="D649" s="47"/>
      <c r="E649" s="47"/>
      <c r="F649" s="45"/>
      <c r="G649" s="47"/>
      <c r="H649" s="48"/>
      <c r="I649" s="45"/>
      <c r="J649" s="49"/>
      <c r="K649" s="46"/>
      <c r="L649" s="49"/>
    </row>
    <row r="650">
      <c r="A650" s="44"/>
      <c r="B650" s="45"/>
      <c r="C650" s="46"/>
      <c r="D650" s="47"/>
      <c r="E650" s="47"/>
      <c r="F650" s="45"/>
      <c r="G650" s="47"/>
      <c r="H650" s="48"/>
      <c r="I650" s="45"/>
      <c r="J650" s="49"/>
      <c r="K650" s="46"/>
      <c r="L650" s="49"/>
    </row>
    <row r="651">
      <c r="A651" s="44"/>
      <c r="B651" s="45"/>
      <c r="C651" s="46"/>
      <c r="D651" s="47"/>
      <c r="E651" s="47"/>
      <c r="F651" s="45"/>
      <c r="G651" s="47"/>
      <c r="H651" s="48"/>
      <c r="I651" s="45"/>
      <c r="J651" s="49"/>
      <c r="K651" s="46"/>
      <c r="L651" s="49"/>
    </row>
    <row r="652">
      <c r="A652" s="44"/>
      <c r="B652" s="45"/>
      <c r="C652" s="46"/>
      <c r="D652" s="47"/>
      <c r="E652" s="47"/>
      <c r="F652" s="45"/>
      <c r="G652" s="47"/>
      <c r="H652" s="48"/>
      <c r="I652" s="45"/>
      <c r="J652" s="49"/>
      <c r="K652" s="46"/>
      <c r="L652" s="49"/>
    </row>
    <row r="653">
      <c r="A653" s="44"/>
      <c r="B653" s="45"/>
      <c r="C653" s="46"/>
      <c r="D653" s="47"/>
      <c r="E653" s="47"/>
      <c r="F653" s="45"/>
      <c r="G653" s="47"/>
      <c r="H653" s="48"/>
      <c r="I653" s="45"/>
      <c r="J653" s="49"/>
      <c r="K653" s="46"/>
      <c r="L653" s="49"/>
    </row>
    <row r="654">
      <c r="A654" s="44"/>
      <c r="B654" s="45"/>
      <c r="C654" s="46"/>
      <c r="D654" s="47"/>
      <c r="E654" s="47"/>
      <c r="F654" s="45"/>
      <c r="G654" s="47"/>
      <c r="H654" s="48"/>
      <c r="I654" s="45"/>
      <c r="J654" s="49"/>
      <c r="K654" s="46"/>
      <c r="L654" s="49"/>
    </row>
    <row r="655">
      <c r="A655" s="44"/>
      <c r="B655" s="45"/>
      <c r="C655" s="46"/>
      <c r="D655" s="47"/>
      <c r="E655" s="47"/>
      <c r="F655" s="45"/>
      <c r="G655" s="47"/>
      <c r="H655" s="48"/>
      <c r="I655" s="45"/>
      <c r="J655" s="49"/>
      <c r="K655" s="46"/>
      <c r="L655" s="49"/>
    </row>
    <row r="656">
      <c r="A656" s="44"/>
      <c r="B656" s="45"/>
      <c r="C656" s="46"/>
      <c r="D656" s="47"/>
      <c r="E656" s="47"/>
      <c r="F656" s="45"/>
      <c r="G656" s="47"/>
      <c r="H656" s="48"/>
      <c r="I656" s="45"/>
      <c r="J656" s="49"/>
      <c r="K656" s="46"/>
      <c r="L656" s="49"/>
    </row>
    <row r="657">
      <c r="A657" s="44"/>
      <c r="B657" s="45"/>
      <c r="C657" s="46"/>
      <c r="D657" s="47"/>
      <c r="E657" s="47"/>
      <c r="F657" s="45"/>
      <c r="G657" s="47"/>
      <c r="H657" s="48"/>
      <c r="I657" s="45"/>
      <c r="J657" s="49"/>
      <c r="K657" s="46"/>
      <c r="L657" s="49"/>
    </row>
    <row r="658">
      <c r="A658" s="44"/>
      <c r="B658" s="45"/>
      <c r="C658" s="46"/>
      <c r="D658" s="47"/>
      <c r="E658" s="47"/>
      <c r="F658" s="45"/>
      <c r="G658" s="47"/>
      <c r="H658" s="48"/>
      <c r="I658" s="45"/>
      <c r="J658" s="49"/>
      <c r="K658" s="46"/>
      <c r="L658" s="49"/>
    </row>
    <row r="659">
      <c r="A659" s="44"/>
      <c r="B659" s="45"/>
      <c r="C659" s="46"/>
      <c r="D659" s="47"/>
      <c r="E659" s="47"/>
      <c r="F659" s="45"/>
      <c r="G659" s="47"/>
      <c r="H659" s="48"/>
      <c r="I659" s="45"/>
      <c r="J659" s="49"/>
      <c r="K659" s="46"/>
      <c r="L659" s="49"/>
    </row>
    <row r="660">
      <c r="A660" s="44"/>
      <c r="B660" s="45"/>
      <c r="C660" s="46"/>
      <c r="D660" s="47"/>
      <c r="E660" s="47"/>
      <c r="F660" s="45"/>
      <c r="G660" s="47"/>
      <c r="H660" s="48"/>
      <c r="I660" s="45"/>
      <c r="J660" s="49"/>
      <c r="K660" s="46"/>
      <c r="L660" s="49"/>
    </row>
    <row r="661">
      <c r="A661" s="44"/>
      <c r="B661" s="45"/>
      <c r="C661" s="46"/>
      <c r="D661" s="47"/>
      <c r="E661" s="47"/>
      <c r="F661" s="45"/>
      <c r="G661" s="47"/>
      <c r="H661" s="48"/>
      <c r="I661" s="45"/>
      <c r="J661" s="49"/>
      <c r="K661" s="46"/>
      <c r="L661" s="49"/>
    </row>
    <row r="662">
      <c r="A662" s="44"/>
      <c r="B662" s="45"/>
      <c r="C662" s="46"/>
      <c r="D662" s="47"/>
      <c r="E662" s="47"/>
      <c r="F662" s="45"/>
      <c r="G662" s="47"/>
      <c r="H662" s="48"/>
      <c r="I662" s="45"/>
      <c r="J662" s="49"/>
      <c r="K662" s="46"/>
      <c r="L662" s="49"/>
    </row>
    <row r="663">
      <c r="A663" s="44"/>
      <c r="B663" s="45"/>
      <c r="C663" s="46"/>
      <c r="D663" s="47"/>
      <c r="E663" s="47"/>
      <c r="F663" s="45"/>
      <c r="G663" s="47"/>
      <c r="H663" s="48"/>
      <c r="I663" s="45"/>
      <c r="J663" s="49"/>
      <c r="K663" s="46"/>
      <c r="L663" s="49"/>
    </row>
    <row r="664">
      <c r="A664" s="44"/>
      <c r="B664" s="45"/>
      <c r="C664" s="46"/>
      <c r="D664" s="47"/>
      <c r="E664" s="47"/>
      <c r="F664" s="45"/>
      <c r="G664" s="47"/>
      <c r="H664" s="48"/>
      <c r="I664" s="45"/>
      <c r="J664" s="49"/>
      <c r="K664" s="46"/>
      <c r="L664" s="49"/>
    </row>
    <row r="665">
      <c r="A665" s="44"/>
      <c r="B665" s="45"/>
      <c r="C665" s="46"/>
      <c r="D665" s="47"/>
      <c r="E665" s="47"/>
      <c r="F665" s="45"/>
      <c r="G665" s="47"/>
      <c r="H665" s="48"/>
      <c r="I665" s="45"/>
      <c r="J665" s="49"/>
      <c r="K665" s="46"/>
      <c r="L665" s="49"/>
    </row>
    <row r="666">
      <c r="A666" s="44"/>
      <c r="B666" s="45"/>
      <c r="C666" s="46"/>
      <c r="D666" s="47"/>
      <c r="E666" s="47"/>
      <c r="F666" s="45"/>
      <c r="G666" s="47"/>
      <c r="H666" s="48"/>
      <c r="I666" s="45"/>
      <c r="J666" s="49"/>
      <c r="K666" s="46"/>
      <c r="L666" s="49"/>
    </row>
    <row r="667">
      <c r="A667" s="44"/>
      <c r="B667" s="45"/>
      <c r="C667" s="46"/>
      <c r="D667" s="47"/>
      <c r="E667" s="47"/>
      <c r="F667" s="45"/>
      <c r="G667" s="47"/>
      <c r="H667" s="48"/>
      <c r="I667" s="45"/>
      <c r="J667" s="49"/>
      <c r="K667" s="46"/>
      <c r="L667" s="49"/>
    </row>
    <row r="668">
      <c r="A668" s="44"/>
      <c r="B668" s="45"/>
      <c r="C668" s="46"/>
      <c r="D668" s="47"/>
      <c r="E668" s="47"/>
      <c r="F668" s="45"/>
      <c r="G668" s="47"/>
      <c r="H668" s="48"/>
      <c r="I668" s="45"/>
      <c r="J668" s="49"/>
      <c r="K668" s="46"/>
      <c r="L668" s="49"/>
    </row>
    <row r="669">
      <c r="A669" s="44"/>
      <c r="B669" s="45"/>
      <c r="C669" s="46"/>
      <c r="D669" s="47"/>
      <c r="E669" s="47"/>
      <c r="F669" s="45"/>
      <c r="G669" s="47"/>
      <c r="H669" s="48"/>
      <c r="I669" s="45"/>
      <c r="J669" s="49"/>
      <c r="K669" s="46"/>
      <c r="L669" s="49"/>
    </row>
    <row r="670">
      <c r="A670" s="44"/>
      <c r="B670" s="45"/>
      <c r="C670" s="46"/>
      <c r="D670" s="47"/>
      <c r="E670" s="47"/>
      <c r="F670" s="45"/>
      <c r="G670" s="47"/>
      <c r="H670" s="48"/>
      <c r="I670" s="45"/>
      <c r="J670" s="49"/>
      <c r="K670" s="46"/>
      <c r="L670" s="49"/>
    </row>
    <row r="671">
      <c r="A671" s="44"/>
      <c r="B671" s="45"/>
      <c r="C671" s="46"/>
      <c r="D671" s="47"/>
      <c r="E671" s="47"/>
      <c r="F671" s="45"/>
      <c r="G671" s="47"/>
      <c r="H671" s="48"/>
      <c r="I671" s="45"/>
      <c r="J671" s="49"/>
      <c r="K671" s="46"/>
      <c r="L671" s="49"/>
    </row>
    <row r="672">
      <c r="A672" s="44"/>
      <c r="B672" s="45"/>
      <c r="C672" s="46"/>
      <c r="D672" s="47"/>
      <c r="E672" s="47"/>
      <c r="F672" s="45"/>
      <c r="G672" s="47"/>
      <c r="H672" s="48"/>
      <c r="I672" s="45"/>
      <c r="J672" s="49"/>
      <c r="K672" s="46"/>
      <c r="L672" s="49"/>
    </row>
    <row r="673">
      <c r="A673" s="44"/>
      <c r="B673" s="45"/>
      <c r="C673" s="46"/>
      <c r="D673" s="47"/>
      <c r="E673" s="47"/>
      <c r="F673" s="45"/>
      <c r="G673" s="47"/>
      <c r="H673" s="48"/>
      <c r="I673" s="45"/>
      <c r="J673" s="49"/>
      <c r="K673" s="46"/>
      <c r="L673" s="49"/>
    </row>
    <row r="674">
      <c r="A674" s="44"/>
      <c r="B674" s="45"/>
      <c r="C674" s="46"/>
      <c r="D674" s="47"/>
      <c r="E674" s="47"/>
      <c r="F674" s="45"/>
      <c r="G674" s="47"/>
      <c r="H674" s="48"/>
      <c r="I674" s="45"/>
      <c r="J674" s="49"/>
      <c r="K674" s="46"/>
      <c r="L674" s="49"/>
    </row>
    <row r="675">
      <c r="A675" s="44"/>
      <c r="B675" s="45"/>
      <c r="C675" s="46"/>
      <c r="D675" s="47"/>
      <c r="E675" s="47"/>
      <c r="F675" s="45"/>
      <c r="G675" s="47"/>
      <c r="H675" s="48"/>
      <c r="I675" s="45"/>
      <c r="J675" s="49"/>
      <c r="K675" s="46"/>
      <c r="L675" s="49"/>
    </row>
    <row r="676">
      <c r="A676" s="44"/>
      <c r="B676" s="45"/>
      <c r="C676" s="46"/>
      <c r="D676" s="47"/>
      <c r="E676" s="47"/>
      <c r="F676" s="45"/>
      <c r="G676" s="47"/>
      <c r="H676" s="48"/>
      <c r="I676" s="45"/>
      <c r="J676" s="49"/>
      <c r="K676" s="46"/>
      <c r="L676" s="49"/>
    </row>
    <row r="677">
      <c r="A677" s="44"/>
      <c r="B677" s="45"/>
      <c r="C677" s="46"/>
      <c r="D677" s="47"/>
      <c r="E677" s="47"/>
      <c r="F677" s="45"/>
      <c r="G677" s="47"/>
      <c r="H677" s="48"/>
      <c r="I677" s="45"/>
      <c r="J677" s="49"/>
      <c r="K677" s="46"/>
      <c r="L677" s="49"/>
    </row>
    <row r="678">
      <c r="A678" s="44"/>
      <c r="B678" s="45"/>
      <c r="C678" s="46"/>
      <c r="D678" s="47"/>
      <c r="E678" s="47"/>
      <c r="F678" s="45"/>
      <c r="G678" s="47"/>
      <c r="H678" s="48"/>
      <c r="I678" s="45"/>
      <c r="J678" s="49"/>
      <c r="K678" s="46"/>
      <c r="L678" s="49"/>
    </row>
    <row r="679">
      <c r="A679" s="44"/>
      <c r="B679" s="45"/>
      <c r="C679" s="46"/>
      <c r="D679" s="47"/>
      <c r="E679" s="47"/>
      <c r="F679" s="45"/>
      <c r="G679" s="47"/>
      <c r="H679" s="48"/>
      <c r="I679" s="45"/>
      <c r="J679" s="49"/>
      <c r="K679" s="46"/>
      <c r="L679" s="49"/>
    </row>
    <row r="680">
      <c r="A680" s="44"/>
      <c r="B680" s="45"/>
      <c r="C680" s="46"/>
      <c r="D680" s="47"/>
      <c r="E680" s="47"/>
      <c r="F680" s="45"/>
      <c r="G680" s="47"/>
      <c r="H680" s="48"/>
      <c r="I680" s="45"/>
      <c r="J680" s="49"/>
      <c r="K680" s="46"/>
      <c r="L680" s="49"/>
    </row>
    <row r="681">
      <c r="A681" s="44"/>
      <c r="B681" s="45"/>
      <c r="C681" s="46"/>
      <c r="D681" s="47"/>
      <c r="E681" s="47"/>
      <c r="F681" s="45"/>
      <c r="G681" s="47"/>
      <c r="H681" s="48"/>
      <c r="I681" s="45"/>
      <c r="J681" s="49"/>
      <c r="K681" s="46"/>
      <c r="L681" s="49"/>
    </row>
    <row r="682">
      <c r="A682" s="44"/>
      <c r="B682" s="45"/>
      <c r="C682" s="46"/>
      <c r="D682" s="47"/>
      <c r="E682" s="47"/>
      <c r="F682" s="45"/>
      <c r="G682" s="47"/>
      <c r="H682" s="48"/>
      <c r="I682" s="45"/>
      <c r="J682" s="49"/>
      <c r="K682" s="46"/>
      <c r="L682" s="49"/>
    </row>
    <row r="683">
      <c r="A683" s="44"/>
      <c r="B683" s="45"/>
      <c r="C683" s="46"/>
      <c r="D683" s="47"/>
      <c r="E683" s="47"/>
      <c r="F683" s="45"/>
      <c r="G683" s="47"/>
      <c r="H683" s="48"/>
      <c r="I683" s="45"/>
      <c r="J683" s="49"/>
      <c r="K683" s="46"/>
      <c r="L683" s="49"/>
    </row>
    <row r="684">
      <c r="A684" s="44"/>
      <c r="B684" s="45"/>
      <c r="C684" s="46"/>
      <c r="D684" s="47"/>
      <c r="E684" s="47"/>
      <c r="F684" s="45"/>
      <c r="G684" s="47"/>
      <c r="H684" s="48"/>
      <c r="I684" s="45"/>
      <c r="J684" s="49"/>
      <c r="K684" s="46"/>
      <c r="L684" s="49"/>
    </row>
    <row r="685">
      <c r="A685" s="44"/>
      <c r="B685" s="45"/>
      <c r="C685" s="46"/>
      <c r="D685" s="47"/>
      <c r="E685" s="47"/>
      <c r="F685" s="45"/>
      <c r="G685" s="47"/>
      <c r="H685" s="48"/>
      <c r="I685" s="45"/>
      <c r="J685" s="49"/>
      <c r="K685" s="46"/>
      <c r="L685" s="49"/>
    </row>
    <row r="686">
      <c r="A686" s="44"/>
      <c r="B686" s="45"/>
      <c r="C686" s="46"/>
      <c r="D686" s="47"/>
      <c r="E686" s="47"/>
      <c r="F686" s="45"/>
      <c r="G686" s="47"/>
      <c r="H686" s="48"/>
      <c r="I686" s="45"/>
      <c r="J686" s="49"/>
      <c r="K686" s="46"/>
      <c r="L686" s="49"/>
    </row>
    <row r="687">
      <c r="A687" s="44"/>
      <c r="B687" s="45"/>
      <c r="C687" s="46"/>
      <c r="D687" s="47"/>
      <c r="E687" s="47"/>
      <c r="F687" s="45"/>
      <c r="G687" s="47"/>
      <c r="H687" s="48"/>
      <c r="I687" s="45"/>
      <c r="J687" s="49"/>
      <c r="K687" s="46"/>
      <c r="L687" s="49"/>
    </row>
    <row r="688">
      <c r="A688" s="44"/>
      <c r="B688" s="45"/>
      <c r="C688" s="46"/>
      <c r="D688" s="47"/>
      <c r="E688" s="47"/>
      <c r="F688" s="45"/>
      <c r="G688" s="47"/>
      <c r="H688" s="48"/>
      <c r="I688" s="45"/>
      <c r="J688" s="49"/>
      <c r="K688" s="46"/>
      <c r="L688" s="49"/>
    </row>
    <row r="689">
      <c r="A689" s="44"/>
      <c r="B689" s="45"/>
      <c r="C689" s="46"/>
      <c r="D689" s="47"/>
      <c r="E689" s="47"/>
      <c r="F689" s="45"/>
      <c r="G689" s="47"/>
      <c r="H689" s="48"/>
      <c r="I689" s="45"/>
      <c r="J689" s="49"/>
      <c r="K689" s="46"/>
      <c r="L689" s="49"/>
    </row>
    <row r="690">
      <c r="A690" s="44"/>
      <c r="B690" s="45"/>
      <c r="C690" s="46"/>
      <c r="D690" s="47"/>
      <c r="E690" s="47"/>
      <c r="F690" s="45"/>
      <c r="G690" s="47"/>
      <c r="H690" s="48"/>
      <c r="I690" s="45"/>
      <c r="J690" s="49"/>
      <c r="K690" s="46"/>
      <c r="L690" s="49"/>
    </row>
    <row r="691">
      <c r="A691" s="44"/>
      <c r="B691" s="45"/>
      <c r="C691" s="46"/>
      <c r="D691" s="47"/>
      <c r="E691" s="47"/>
      <c r="F691" s="45"/>
      <c r="G691" s="47"/>
      <c r="H691" s="48"/>
      <c r="I691" s="45"/>
      <c r="J691" s="49"/>
      <c r="K691" s="46"/>
      <c r="L691" s="49"/>
    </row>
    <row r="692">
      <c r="A692" s="44"/>
      <c r="B692" s="45"/>
      <c r="C692" s="46"/>
      <c r="D692" s="47"/>
      <c r="E692" s="47"/>
      <c r="F692" s="45"/>
      <c r="G692" s="47"/>
      <c r="H692" s="48"/>
      <c r="I692" s="45"/>
      <c r="J692" s="49"/>
      <c r="K692" s="46"/>
      <c r="L692" s="49"/>
    </row>
    <row r="693">
      <c r="A693" s="44"/>
      <c r="B693" s="45"/>
      <c r="C693" s="46"/>
      <c r="D693" s="47"/>
      <c r="E693" s="47"/>
      <c r="F693" s="45"/>
      <c r="G693" s="47"/>
      <c r="H693" s="48"/>
      <c r="I693" s="45"/>
      <c r="J693" s="49"/>
      <c r="K693" s="46"/>
      <c r="L693" s="49"/>
    </row>
    <row r="694">
      <c r="A694" s="44"/>
      <c r="B694" s="45"/>
      <c r="C694" s="46"/>
      <c r="D694" s="47"/>
      <c r="E694" s="47"/>
      <c r="F694" s="45"/>
      <c r="G694" s="47"/>
      <c r="H694" s="48"/>
      <c r="I694" s="45"/>
      <c r="J694" s="49"/>
      <c r="K694" s="46"/>
      <c r="L694" s="49"/>
    </row>
    <row r="695">
      <c r="A695" s="44"/>
      <c r="B695" s="45"/>
      <c r="C695" s="46"/>
      <c r="D695" s="47"/>
      <c r="E695" s="47"/>
      <c r="F695" s="45"/>
      <c r="G695" s="47"/>
      <c r="H695" s="48"/>
      <c r="I695" s="45"/>
      <c r="J695" s="49"/>
      <c r="K695" s="46"/>
      <c r="L695" s="49"/>
    </row>
    <row r="696">
      <c r="A696" s="44"/>
      <c r="B696" s="45"/>
      <c r="C696" s="46"/>
      <c r="D696" s="47"/>
      <c r="E696" s="47"/>
      <c r="F696" s="45"/>
      <c r="G696" s="47"/>
      <c r="H696" s="48"/>
      <c r="I696" s="45"/>
      <c r="J696" s="49"/>
      <c r="K696" s="46"/>
      <c r="L696" s="49"/>
    </row>
    <row r="697">
      <c r="A697" s="44"/>
      <c r="B697" s="45"/>
      <c r="C697" s="46"/>
      <c r="D697" s="47"/>
      <c r="E697" s="47"/>
      <c r="F697" s="45"/>
      <c r="G697" s="47"/>
      <c r="H697" s="48"/>
      <c r="I697" s="45"/>
      <c r="J697" s="49"/>
      <c r="K697" s="46"/>
      <c r="L697" s="49"/>
    </row>
    <row r="698">
      <c r="A698" s="44"/>
      <c r="B698" s="45"/>
      <c r="C698" s="46"/>
      <c r="D698" s="47"/>
      <c r="E698" s="47"/>
      <c r="F698" s="45"/>
      <c r="G698" s="47"/>
      <c r="H698" s="48"/>
      <c r="I698" s="45"/>
      <c r="J698" s="49"/>
      <c r="K698" s="46"/>
      <c r="L698" s="49"/>
    </row>
    <row r="699">
      <c r="A699" s="44"/>
      <c r="B699" s="45"/>
      <c r="C699" s="46"/>
      <c r="D699" s="47"/>
      <c r="E699" s="47"/>
      <c r="F699" s="45"/>
      <c r="G699" s="47"/>
      <c r="H699" s="48"/>
      <c r="I699" s="45"/>
      <c r="J699" s="49"/>
      <c r="K699" s="46"/>
      <c r="L699" s="49"/>
    </row>
    <row r="700">
      <c r="A700" s="44"/>
      <c r="B700" s="45"/>
      <c r="C700" s="46"/>
      <c r="D700" s="47"/>
      <c r="E700" s="47"/>
      <c r="F700" s="45"/>
      <c r="G700" s="47"/>
      <c r="H700" s="48"/>
      <c r="I700" s="45"/>
      <c r="J700" s="49"/>
      <c r="K700" s="46"/>
      <c r="L700" s="49"/>
    </row>
    <row r="701">
      <c r="A701" s="44"/>
      <c r="B701" s="45"/>
      <c r="C701" s="46"/>
      <c r="D701" s="47"/>
      <c r="E701" s="47"/>
      <c r="F701" s="45"/>
      <c r="G701" s="47"/>
      <c r="H701" s="48"/>
      <c r="I701" s="45"/>
      <c r="J701" s="49"/>
      <c r="K701" s="46"/>
      <c r="L701" s="49"/>
    </row>
    <row r="702">
      <c r="A702" s="44"/>
      <c r="B702" s="45"/>
      <c r="C702" s="46"/>
      <c r="D702" s="47"/>
      <c r="E702" s="47"/>
      <c r="F702" s="45"/>
      <c r="G702" s="47"/>
      <c r="H702" s="48"/>
      <c r="I702" s="45"/>
      <c r="J702" s="49"/>
      <c r="K702" s="46"/>
      <c r="L702" s="49"/>
    </row>
    <row r="703">
      <c r="A703" s="44"/>
      <c r="B703" s="45"/>
      <c r="C703" s="46"/>
      <c r="D703" s="47"/>
      <c r="E703" s="47"/>
      <c r="F703" s="45"/>
      <c r="G703" s="47"/>
      <c r="H703" s="48"/>
      <c r="I703" s="45"/>
      <c r="J703" s="49"/>
      <c r="K703" s="46"/>
      <c r="L703" s="49"/>
    </row>
    <row r="704">
      <c r="A704" s="44"/>
      <c r="B704" s="45"/>
      <c r="C704" s="46"/>
      <c r="D704" s="47"/>
      <c r="E704" s="47"/>
      <c r="F704" s="45"/>
      <c r="G704" s="47"/>
      <c r="H704" s="48"/>
      <c r="I704" s="45"/>
      <c r="J704" s="49"/>
      <c r="K704" s="46"/>
      <c r="L704" s="49"/>
    </row>
    <row r="705">
      <c r="A705" s="44"/>
      <c r="B705" s="45"/>
      <c r="C705" s="46"/>
      <c r="D705" s="47"/>
      <c r="E705" s="47"/>
      <c r="F705" s="45"/>
      <c r="G705" s="47"/>
      <c r="H705" s="48"/>
      <c r="I705" s="45"/>
      <c r="J705" s="49"/>
      <c r="K705" s="46"/>
      <c r="L705" s="49"/>
    </row>
    <row r="706">
      <c r="A706" s="44"/>
      <c r="B706" s="45"/>
      <c r="C706" s="46"/>
      <c r="D706" s="47"/>
      <c r="E706" s="47"/>
      <c r="F706" s="45"/>
      <c r="G706" s="47"/>
      <c r="H706" s="48"/>
      <c r="I706" s="45"/>
      <c r="J706" s="49"/>
      <c r="K706" s="46"/>
      <c r="L706" s="49"/>
    </row>
    <row r="707">
      <c r="A707" s="44"/>
      <c r="B707" s="45"/>
      <c r="C707" s="46"/>
      <c r="D707" s="47"/>
      <c r="E707" s="47"/>
      <c r="F707" s="45"/>
      <c r="G707" s="47"/>
      <c r="H707" s="48"/>
      <c r="I707" s="45"/>
      <c r="J707" s="49"/>
      <c r="K707" s="46"/>
      <c r="L707" s="49"/>
    </row>
    <row r="708">
      <c r="A708" s="44"/>
      <c r="B708" s="45"/>
      <c r="C708" s="46"/>
      <c r="D708" s="47"/>
      <c r="E708" s="47"/>
      <c r="F708" s="45"/>
      <c r="G708" s="47"/>
      <c r="H708" s="48"/>
      <c r="I708" s="45"/>
      <c r="J708" s="49"/>
      <c r="K708" s="46"/>
      <c r="L708" s="49"/>
    </row>
    <row r="709">
      <c r="A709" s="44"/>
      <c r="B709" s="45"/>
      <c r="C709" s="46"/>
      <c r="D709" s="47"/>
      <c r="E709" s="47"/>
      <c r="F709" s="45"/>
      <c r="G709" s="47"/>
      <c r="H709" s="48"/>
      <c r="I709" s="45"/>
      <c r="J709" s="49"/>
      <c r="K709" s="46"/>
      <c r="L709" s="49"/>
    </row>
    <row r="710">
      <c r="A710" s="44"/>
      <c r="B710" s="45"/>
      <c r="C710" s="46"/>
      <c r="D710" s="47"/>
      <c r="E710" s="47"/>
      <c r="F710" s="45"/>
      <c r="G710" s="47"/>
      <c r="H710" s="48"/>
      <c r="I710" s="45"/>
      <c r="J710" s="49"/>
      <c r="K710" s="46"/>
      <c r="L710" s="49"/>
    </row>
    <row r="711">
      <c r="A711" s="44"/>
      <c r="B711" s="45"/>
      <c r="C711" s="46"/>
      <c r="D711" s="47"/>
      <c r="E711" s="47"/>
      <c r="F711" s="45"/>
      <c r="G711" s="47"/>
      <c r="H711" s="48"/>
      <c r="I711" s="45"/>
      <c r="J711" s="49"/>
      <c r="K711" s="46"/>
      <c r="L711" s="49"/>
    </row>
    <row r="712">
      <c r="A712" s="44"/>
      <c r="B712" s="45"/>
      <c r="C712" s="46"/>
      <c r="D712" s="47"/>
      <c r="E712" s="47"/>
      <c r="F712" s="45"/>
      <c r="G712" s="47"/>
      <c r="H712" s="48"/>
      <c r="I712" s="45"/>
      <c r="J712" s="49"/>
      <c r="K712" s="46"/>
      <c r="L712" s="49"/>
    </row>
    <row r="713">
      <c r="A713" s="44"/>
      <c r="B713" s="45"/>
      <c r="C713" s="46"/>
      <c r="D713" s="47"/>
      <c r="E713" s="47"/>
      <c r="F713" s="45"/>
      <c r="G713" s="47"/>
      <c r="H713" s="48"/>
      <c r="I713" s="45"/>
      <c r="J713" s="49"/>
      <c r="K713" s="46"/>
      <c r="L713" s="49"/>
    </row>
    <row r="714">
      <c r="A714" s="44"/>
      <c r="B714" s="45"/>
      <c r="C714" s="46"/>
      <c r="D714" s="47"/>
      <c r="E714" s="47"/>
      <c r="F714" s="45"/>
      <c r="G714" s="47"/>
      <c r="H714" s="48"/>
      <c r="I714" s="45"/>
      <c r="J714" s="49"/>
      <c r="K714" s="46"/>
      <c r="L714" s="49"/>
    </row>
    <row r="715">
      <c r="A715" s="44"/>
      <c r="B715" s="45"/>
      <c r="C715" s="46"/>
      <c r="D715" s="47"/>
      <c r="E715" s="47"/>
      <c r="F715" s="45"/>
      <c r="G715" s="47"/>
      <c r="H715" s="48"/>
      <c r="I715" s="45"/>
      <c r="J715" s="49"/>
      <c r="K715" s="46"/>
      <c r="L715" s="49"/>
    </row>
    <row r="716">
      <c r="A716" s="44"/>
      <c r="B716" s="45"/>
      <c r="C716" s="46"/>
      <c r="D716" s="47"/>
      <c r="E716" s="47"/>
      <c r="F716" s="45"/>
      <c r="G716" s="47"/>
      <c r="H716" s="48"/>
      <c r="I716" s="45"/>
      <c r="J716" s="49"/>
      <c r="K716" s="46"/>
      <c r="L716" s="49"/>
    </row>
    <row r="717">
      <c r="A717" s="44"/>
      <c r="B717" s="45"/>
      <c r="C717" s="46"/>
      <c r="D717" s="47"/>
      <c r="E717" s="47"/>
      <c r="F717" s="45"/>
      <c r="G717" s="47"/>
      <c r="H717" s="48"/>
      <c r="I717" s="45"/>
      <c r="J717" s="49"/>
      <c r="K717" s="46"/>
      <c r="L717" s="49"/>
    </row>
    <row r="718">
      <c r="A718" s="44"/>
      <c r="B718" s="45"/>
      <c r="C718" s="46"/>
      <c r="D718" s="47"/>
      <c r="E718" s="47"/>
      <c r="F718" s="45"/>
      <c r="G718" s="47"/>
      <c r="H718" s="48"/>
      <c r="I718" s="45"/>
      <c r="J718" s="49"/>
      <c r="K718" s="46"/>
      <c r="L718" s="49"/>
    </row>
    <row r="719">
      <c r="A719" s="44"/>
      <c r="B719" s="45"/>
      <c r="C719" s="46"/>
      <c r="D719" s="47"/>
      <c r="E719" s="47"/>
      <c r="F719" s="45"/>
      <c r="G719" s="47"/>
      <c r="H719" s="48"/>
      <c r="I719" s="45"/>
      <c r="J719" s="49"/>
      <c r="K719" s="46"/>
      <c r="L719" s="49"/>
    </row>
    <row r="720">
      <c r="A720" s="44"/>
      <c r="B720" s="45"/>
      <c r="C720" s="46"/>
      <c r="D720" s="47"/>
      <c r="E720" s="47"/>
      <c r="F720" s="45"/>
      <c r="G720" s="47"/>
      <c r="H720" s="48"/>
      <c r="I720" s="45"/>
      <c r="J720" s="49"/>
      <c r="K720" s="46"/>
      <c r="L720" s="49"/>
    </row>
    <row r="721">
      <c r="A721" s="44"/>
      <c r="B721" s="45"/>
      <c r="C721" s="46"/>
      <c r="D721" s="47"/>
      <c r="E721" s="47"/>
      <c r="F721" s="45"/>
      <c r="G721" s="47"/>
      <c r="H721" s="48"/>
      <c r="I721" s="45"/>
      <c r="J721" s="49"/>
      <c r="K721" s="46"/>
      <c r="L721" s="49"/>
    </row>
    <row r="722">
      <c r="A722" s="44"/>
      <c r="B722" s="45"/>
      <c r="C722" s="46"/>
      <c r="D722" s="47"/>
      <c r="E722" s="47"/>
      <c r="F722" s="45"/>
      <c r="G722" s="47"/>
      <c r="H722" s="48"/>
      <c r="I722" s="45"/>
      <c r="J722" s="49"/>
      <c r="K722" s="46"/>
      <c r="L722" s="49"/>
    </row>
    <row r="723">
      <c r="A723" s="44"/>
      <c r="B723" s="45"/>
      <c r="C723" s="46"/>
      <c r="D723" s="47"/>
      <c r="E723" s="47"/>
      <c r="F723" s="45"/>
      <c r="G723" s="47"/>
      <c r="H723" s="48"/>
      <c r="I723" s="45"/>
      <c r="J723" s="49"/>
      <c r="K723" s="46"/>
      <c r="L723" s="49"/>
    </row>
    <row r="724">
      <c r="A724" s="44"/>
      <c r="B724" s="45"/>
      <c r="C724" s="46"/>
      <c r="D724" s="47"/>
      <c r="E724" s="47"/>
      <c r="F724" s="45"/>
      <c r="G724" s="47"/>
      <c r="H724" s="48"/>
      <c r="I724" s="45"/>
      <c r="J724" s="49"/>
      <c r="K724" s="46"/>
      <c r="L724" s="49"/>
    </row>
    <row r="725">
      <c r="A725" s="44"/>
      <c r="B725" s="45"/>
      <c r="C725" s="46"/>
      <c r="D725" s="47"/>
      <c r="E725" s="47"/>
      <c r="F725" s="45"/>
      <c r="G725" s="47"/>
      <c r="H725" s="48"/>
      <c r="I725" s="45"/>
      <c r="J725" s="49"/>
      <c r="K725" s="46"/>
      <c r="L725" s="49"/>
    </row>
    <row r="726">
      <c r="A726" s="44"/>
      <c r="B726" s="45"/>
      <c r="C726" s="46"/>
      <c r="D726" s="47"/>
      <c r="E726" s="47"/>
      <c r="F726" s="45"/>
      <c r="G726" s="47"/>
      <c r="H726" s="48"/>
      <c r="I726" s="45"/>
      <c r="J726" s="49"/>
      <c r="K726" s="46"/>
      <c r="L726" s="49"/>
    </row>
    <row r="727">
      <c r="A727" s="44"/>
      <c r="B727" s="45"/>
      <c r="C727" s="46"/>
      <c r="D727" s="47"/>
      <c r="E727" s="47"/>
      <c r="F727" s="45"/>
      <c r="G727" s="47"/>
      <c r="H727" s="48"/>
      <c r="I727" s="45"/>
      <c r="J727" s="49"/>
      <c r="K727" s="46"/>
      <c r="L727" s="49"/>
    </row>
    <row r="728">
      <c r="A728" s="44"/>
      <c r="B728" s="45"/>
      <c r="C728" s="46"/>
      <c r="D728" s="47"/>
      <c r="E728" s="47"/>
      <c r="F728" s="45"/>
      <c r="G728" s="47"/>
      <c r="H728" s="48"/>
      <c r="I728" s="45"/>
      <c r="J728" s="49"/>
      <c r="K728" s="46"/>
      <c r="L728" s="49"/>
    </row>
    <row r="729">
      <c r="A729" s="44"/>
      <c r="B729" s="45"/>
      <c r="C729" s="46"/>
      <c r="D729" s="47"/>
      <c r="E729" s="47"/>
      <c r="F729" s="45"/>
      <c r="G729" s="47"/>
      <c r="H729" s="48"/>
      <c r="I729" s="45"/>
      <c r="J729" s="49"/>
      <c r="K729" s="46"/>
      <c r="L729" s="49"/>
    </row>
    <row r="730">
      <c r="A730" s="44"/>
      <c r="B730" s="45"/>
      <c r="C730" s="46"/>
      <c r="D730" s="47"/>
      <c r="E730" s="47"/>
      <c r="F730" s="45"/>
      <c r="G730" s="47"/>
      <c r="H730" s="48"/>
      <c r="I730" s="45"/>
      <c r="J730" s="49"/>
      <c r="K730" s="46"/>
      <c r="L730" s="49"/>
    </row>
    <row r="731">
      <c r="A731" s="44"/>
      <c r="B731" s="45"/>
      <c r="C731" s="46"/>
      <c r="D731" s="47"/>
      <c r="E731" s="47"/>
      <c r="F731" s="45"/>
      <c r="G731" s="47"/>
      <c r="H731" s="48"/>
      <c r="I731" s="45"/>
      <c r="J731" s="49"/>
      <c r="K731" s="46"/>
      <c r="L731" s="49"/>
    </row>
    <row r="732">
      <c r="A732" s="44"/>
      <c r="B732" s="45"/>
      <c r="C732" s="46"/>
      <c r="D732" s="47"/>
      <c r="E732" s="47"/>
      <c r="F732" s="45"/>
      <c r="G732" s="47"/>
      <c r="H732" s="48"/>
      <c r="I732" s="45"/>
      <c r="J732" s="49"/>
      <c r="K732" s="46"/>
      <c r="L732" s="49"/>
    </row>
    <row r="733">
      <c r="A733" s="44"/>
      <c r="B733" s="45"/>
      <c r="C733" s="46"/>
      <c r="D733" s="47"/>
      <c r="E733" s="47"/>
      <c r="F733" s="45"/>
      <c r="G733" s="47"/>
      <c r="H733" s="48"/>
      <c r="I733" s="45"/>
      <c r="J733" s="49"/>
      <c r="K733" s="46"/>
      <c r="L733" s="49"/>
    </row>
    <row r="734">
      <c r="A734" s="44"/>
      <c r="B734" s="45"/>
      <c r="C734" s="46"/>
      <c r="D734" s="47"/>
      <c r="E734" s="47"/>
      <c r="F734" s="45"/>
      <c r="G734" s="47"/>
      <c r="H734" s="48"/>
      <c r="I734" s="45"/>
      <c r="J734" s="49"/>
      <c r="K734" s="46"/>
      <c r="L734" s="49"/>
    </row>
    <row r="735">
      <c r="A735" s="44"/>
      <c r="B735" s="45"/>
      <c r="C735" s="46"/>
      <c r="D735" s="47"/>
      <c r="E735" s="47"/>
      <c r="F735" s="45"/>
      <c r="G735" s="47"/>
      <c r="H735" s="48"/>
      <c r="I735" s="45"/>
      <c r="J735" s="49"/>
      <c r="K735" s="46"/>
      <c r="L735" s="49"/>
    </row>
    <row r="736">
      <c r="A736" s="44"/>
      <c r="B736" s="45"/>
      <c r="C736" s="46"/>
      <c r="D736" s="47"/>
      <c r="E736" s="47"/>
      <c r="F736" s="45"/>
      <c r="G736" s="47"/>
      <c r="H736" s="48"/>
      <c r="I736" s="45"/>
      <c r="J736" s="49"/>
      <c r="K736" s="46"/>
      <c r="L736" s="49"/>
    </row>
    <row r="737">
      <c r="A737" s="44"/>
      <c r="B737" s="45"/>
      <c r="C737" s="46"/>
      <c r="D737" s="47"/>
      <c r="E737" s="47"/>
      <c r="F737" s="45"/>
      <c r="G737" s="47"/>
      <c r="H737" s="48"/>
      <c r="I737" s="45"/>
      <c r="J737" s="49"/>
      <c r="K737" s="46"/>
      <c r="L737" s="49"/>
    </row>
    <row r="738">
      <c r="A738" s="44"/>
      <c r="B738" s="45"/>
      <c r="C738" s="46"/>
      <c r="D738" s="47"/>
      <c r="E738" s="47"/>
      <c r="F738" s="45"/>
      <c r="G738" s="47"/>
      <c r="H738" s="48"/>
      <c r="I738" s="45"/>
      <c r="J738" s="49"/>
      <c r="K738" s="46"/>
      <c r="L738" s="49"/>
    </row>
    <row r="739">
      <c r="A739" s="44"/>
      <c r="B739" s="45"/>
      <c r="C739" s="46"/>
      <c r="D739" s="47"/>
      <c r="E739" s="47"/>
      <c r="F739" s="45"/>
      <c r="G739" s="47"/>
      <c r="H739" s="48"/>
      <c r="I739" s="45"/>
      <c r="J739" s="49"/>
      <c r="K739" s="46"/>
      <c r="L739" s="49"/>
    </row>
    <row r="740">
      <c r="A740" s="44"/>
      <c r="B740" s="45"/>
      <c r="C740" s="46"/>
      <c r="D740" s="47"/>
      <c r="E740" s="47"/>
      <c r="F740" s="45"/>
      <c r="G740" s="47"/>
      <c r="H740" s="48"/>
      <c r="I740" s="45"/>
      <c r="J740" s="49"/>
      <c r="K740" s="46"/>
      <c r="L740" s="49"/>
    </row>
    <row r="741">
      <c r="A741" s="44"/>
      <c r="B741" s="45"/>
      <c r="C741" s="46"/>
      <c r="D741" s="47"/>
      <c r="E741" s="47"/>
      <c r="F741" s="45"/>
      <c r="G741" s="47"/>
      <c r="H741" s="48"/>
      <c r="I741" s="45"/>
      <c r="J741" s="49"/>
      <c r="K741" s="46"/>
      <c r="L741" s="49"/>
    </row>
    <row r="742">
      <c r="A742" s="44"/>
      <c r="B742" s="45"/>
      <c r="C742" s="46"/>
      <c r="D742" s="47"/>
      <c r="E742" s="47"/>
      <c r="F742" s="45"/>
      <c r="G742" s="47"/>
      <c r="H742" s="48"/>
      <c r="I742" s="45"/>
      <c r="J742" s="49"/>
      <c r="K742" s="46"/>
      <c r="L742" s="49"/>
    </row>
    <row r="743">
      <c r="A743" s="44"/>
      <c r="B743" s="45"/>
      <c r="C743" s="46"/>
      <c r="D743" s="47"/>
      <c r="E743" s="47"/>
      <c r="F743" s="45"/>
      <c r="G743" s="47"/>
      <c r="H743" s="48"/>
      <c r="I743" s="45"/>
      <c r="J743" s="49"/>
      <c r="K743" s="46"/>
      <c r="L743" s="49"/>
    </row>
    <row r="744">
      <c r="A744" s="44"/>
      <c r="B744" s="45"/>
      <c r="C744" s="46"/>
      <c r="D744" s="47"/>
      <c r="E744" s="47"/>
      <c r="F744" s="45"/>
      <c r="G744" s="47"/>
      <c r="H744" s="48"/>
      <c r="I744" s="45"/>
      <c r="J744" s="49"/>
      <c r="K744" s="46"/>
      <c r="L744" s="49"/>
    </row>
    <row r="745">
      <c r="A745" s="44"/>
      <c r="B745" s="45"/>
      <c r="C745" s="46"/>
      <c r="D745" s="47"/>
      <c r="E745" s="47"/>
      <c r="F745" s="45"/>
      <c r="G745" s="47"/>
      <c r="H745" s="48"/>
      <c r="I745" s="45"/>
      <c r="J745" s="49"/>
      <c r="K745" s="46"/>
      <c r="L745" s="49"/>
    </row>
    <row r="746">
      <c r="A746" s="44"/>
      <c r="B746" s="45"/>
      <c r="C746" s="46"/>
      <c r="D746" s="47"/>
      <c r="E746" s="47"/>
      <c r="F746" s="45"/>
      <c r="G746" s="47"/>
      <c r="H746" s="48"/>
      <c r="I746" s="45"/>
      <c r="J746" s="49"/>
      <c r="K746" s="46"/>
      <c r="L746" s="49"/>
    </row>
    <row r="747">
      <c r="A747" s="44"/>
      <c r="B747" s="45"/>
      <c r="C747" s="46"/>
      <c r="D747" s="47"/>
      <c r="E747" s="47"/>
      <c r="F747" s="45"/>
      <c r="G747" s="47"/>
      <c r="H747" s="48"/>
      <c r="I747" s="45"/>
      <c r="J747" s="49"/>
      <c r="K747" s="46"/>
      <c r="L747" s="49"/>
    </row>
    <row r="748">
      <c r="A748" s="44"/>
      <c r="B748" s="45"/>
      <c r="C748" s="46"/>
      <c r="D748" s="47"/>
      <c r="E748" s="47"/>
      <c r="F748" s="45"/>
      <c r="G748" s="47"/>
      <c r="H748" s="48"/>
      <c r="I748" s="45"/>
      <c r="J748" s="49"/>
      <c r="K748" s="46"/>
      <c r="L748" s="49"/>
    </row>
    <row r="749">
      <c r="A749" s="44"/>
      <c r="B749" s="45"/>
      <c r="C749" s="46"/>
      <c r="D749" s="47"/>
      <c r="E749" s="47"/>
      <c r="F749" s="45"/>
      <c r="G749" s="47"/>
      <c r="H749" s="48"/>
      <c r="I749" s="45"/>
      <c r="J749" s="49"/>
      <c r="K749" s="46"/>
      <c r="L749" s="49"/>
    </row>
    <row r="750">
      <c r="A750" s="44"/>
      <c r="B750" s="45"/>
      <c r="C750" s="46"/>
      <c r="D750" s="47"/>
      <c r="E750" s="47"/>
      <c r="F750" s="45"/>
      <c r="G750" s="47"/>
      <c r="H750" s="48"/>
      <c r="I750" s="45"/>
      <c r="J750" s="49"/>
      <c r="K750" s="46"/>
      <c r="L750" s="49"/>
    </row>
    <row r="751">
      <c r="A751" s="44"/>
      <c r="B751" s="45"/>
      <c r="C751" s="46"/>
      <c r="D751" s="47"/>
      <c r="E751" s="47"/>
      <c r="F751" s="45"/>
      <c r="G751" s="47"/>
      <c r="H751" s="48"/>
      <c r="I751" s="45"/>
      <c r="J751" s="49"/>
      <c r="K751" s="46"/>
      <c r="L751" s="49"/>
    </row>
    <row r="752">
      <c r="A752" s="44"/>
      <c r="B752" s="45"/>
      <c r="C752" s="46"/>
      <c r="D752" s="47"/>
      <c r="E752" s="47"/>
      <c r="F752" s="45"/>
      <c r="G752" s="47"/>
      <c r="H752" s="48"/>
      <c r="I752" s="45"/>
      <c r="J752" s="49"/>
      <c r="K752" s="46"/>
      <c r="L752" s="49"/>
    </row>
    <row r="753">
      <c r="A753" s="44"/>
      <c r="B753" s="45"/>
      <c r="C753" s="46"/>
      <c r="D753" s="47"/>
      <c r="E753" s="47"/>
      <c r="F753" s="45"/>
      <c r="G753" s="47"/>
      <c r="H753" s="48"/>
      <c r="I753" s="45"/>
      <c r="J753" s="49"/>
      <c r="K753" s="46"/>
      <c r="L753" s="49"/>
    </row>
    <row r="754">
      <c r="A754" s="44"/>
      <c r="B754" s="45"/>
      <c r="C754" s="46"/>
      <c r="D754" s="47"/>
      <c r="E754" s="47"/>
      <c r="F754" s="45"/>
      <c r="G754" s="47"/>
      <c r="H754" s="48"/>
      <c r="I754" s="45"/>
      <c r="J754" s="49"/>
      <c r="K754" s="46"/>
      <c r="L754" s="49"/>
    </row>
    <row r="755">
      <c r="A755" s="44"/>
      <c r="B755" s="45"/>
      <c r="C755" s="46"/>
      <c r="D755" s="47"/>
      <c r="E755" s="47"/>
      <c r="F755" s="45"/>
      <c r="G755" s="47"/>
      <c r="H755" s="48"/>
      <c r="I755" s="45"/>
      <c r="J755" s="49"/>
      <c r="K755" s="46"/>
      <c r="L755" s="49"/>
    </row>
    <row r="756">
      <c r="A756" s="44"/>
      <c r="B756" s="45"/>
      <c r="C756" s="46"/>
      <c r="D756" s="47"/>
      <c r="E756" s="47"/>
      <c r="F756" s="45"/>
      <c r="G756" s="47"/>
      <c r="H756" s="48"/>
      <c r="I756" s="45"/>
      <c r="J756" s="49"/>
      <c r="K756" s="46"/>
      <c r="L756" s="49"/>
    </row>
    <row r="757">
      <c r="A757" s="44"/>
      <c r="B757" s="45"/>
      <c r="C757" s="46"/>
      <c r="D757" s="47"/>
      <c r="E757" s="47"/>
      <c r="F757" s="45"/>
      <c r="G757" s="47"/>
      <c r="H757" s="48"/>
      <c r="I757" s="45"/>
      <c r="J757" s="49"/>
      <c r="K757" s="46"/>
      <c r="L757" s="49"/>
    </row>
    <row r="758">
      <c r="A758" s="44"/>
      <c r="B758" s="45"/>
      <c r="C758" s="46"/>
      <c r="D758" s="47"/>
      <c r="E758" s="47"/>
      <c r="F758" s="45"/>
      <c r="G758" s="47"/>
      <c r="H758" s="48"/>
      <c r="I758" s="45"/>
      <c r="J758" s="49"/>
      <c r="K758" s="46"/>
      <c r="L758" s="49"/>
    </row>
    <row r="759">
      <c r="A759" s="44"/>
      <c r="B759" s="45"/>
      <c r="C759" s="46"/>
      <c r="D759" s="47"/>
      <c r="E759" s="47"/>
      <c r="F759" s="45"/>
      <c r="G759" s="47"/>
      <c r="H759" s="48"/>
      <c r="I759" s="45"/>
      <c r="J759" s="49"/>
      <c r="K759" s="46"/>
      <c r="L759" s="49"/>
    </row>
    <row r="760">
      <c r="A760" s="44"/>
      <c r="B760" s="45"/>
      <c r="C760" s="46"/>
      <c r="D760" s="47"/>
      <c r="E760" s="47"/>
      <c r="F760" s="45"/>
      <c r="G760" s="47"/>
      <c r="H760" s="48"/>
      <c r="I760" s="45"/>
      <c r="J760" s="49"/>
      <c r="K760" s="46"/>
      <c r="L760" s="49"/>
    </row>
    <row r="761">
      <c r="A761" s="44"/>
      <c r="B761" s="45"/>
      <c r="C761" s="46"/>
      <c r="D761" s="47"/>
      <c r="E761" s="47"/>
      <c r="F761" s="45"/>
      <c r="G761" s="47"/>
      <c r="H761" s="48"/>
      <c r="I761" s="45"/>
      <c r="J761" s="49"/>
      <c r="K761" s="46"/>
      <c r="L761" s="49"/>
    </row>
    <row r="762">
      <c r="A762" s="44"/>
      <c r="B762" s="45"/>
      <c r="C762" s="46"/>
      <c r="D762" s="47"/>
      <c r="E762" s="47"/>
      <c r="F762" s="45"/>
      <c r="G762" s="47"/>
      <c r="H762" s="48"/>
      <c r="I762" s="45"/>
      <c r="J762" s="49"/>
      <c r="K762" s="46"/>
      <c r="L762" s="49"/>
    </row>
    <row r="763">
      <c r="A763" s="44"/>
      <c r="B763" s="45"/>
      <c r="C763" s="46"/>
      <c r="D763" s="47"/>
      <c r="E763" s="47"/>
      <c r="F763" s="45"/>
      <c r="G763" s="47"/>
      <c r="H763" s="48"/>
      <c r="I763" s="45"/>
      <c r="J763" s="49"/>
      <c r="K763" s="46"/>
      <c r="L763" s="49"/>
    </row>
    <row r="764">
      <c r="A764" s="44"/>
      <c r="B764" s="45"/>
      <c r="C764" s="46"/>
      <c r="D764" s="47"/>
      <c r="E764" s="47"/>
      <c r="F764" s="45"/>
      <c r="G764" s="47"/>
      <c r="H764" s="48"/>
      <c r="I764" s="45"/>
      <c r="J764" s="49"/>
      <c r="K764" s="46"/>
      <c r="L764" s="49"/>
    </row>
    <row r="765">
      <c r="A765" s="44"/>
      <c r="B765" s="45"/>
      <c r="C765" s="46"/>
      <c r="D765" s="47"/>
      <c r="E765" s="47"/>
      <c r="F765" s="45"/>
      <c r="G765" s="47"/>
      <c r="H765" s="48"/>
      <c r="I765" s="45"/>
      <c r="J765" s="49"/>
      <c r="K765" s="46"/>
      <c r="L765" s="49"/>
    </row>
    <row r="766">
      <c r="A766" s="44"/>
      <c r="B766" s="45"/>
      <c r="C766" s="46"/>
      <c r="D766" s="47"/>
      <c r="E766" s="47"/>
      <c r="F766" s="45"/>
      <c r="G766" s="47"/>
      <c r="H766" s="48"/>
      <c r="I766" s="45"/>
      <c r="J766" s="49"/>
      <c r="K766" s="46"/>
      <c r="L766" s="49"/>
    </row>
    <row r="767">
      <c r="A767" s="44"/>
      <c r="B767" s="45"/>
      <c r="C767" s="46"/>
      <c r="D767" s="47"/>
      <c r="E767" s="47"/>
      <c r="F767" s="45"/>
      <c r="G767" s="47"/>
      <c r="H767" s="48"/>
      <c r="I767" s="45"/>
      <c r="J767" s="49"/>
      <c r="K767" s="46"/>
      <c r="L767" s="49"/>
    </row>
    <row r="768">
      <c r="A768" s="44"/>
      <c r="B768" s="45"/>
      <c r="C768" s="46"/>
      <c r="D768" s="47"/>
      <c r="E768" s="47"/>
      <c r="F768" s="45"/>
      <c r="G768" s="47"/>
      <c r="H768" s="48"/>
      <c r="I768" s="45"/>
      <c r="J768" s="49"/>
      <c r="K768" s="46"/>
      <c r="L768" s="49"/>
    </row>
    <row r="769">
      <c r="A769" s="44"/>
      <c r="B769" s="45"/>
      <c r="C769" s="46"/>
      <c r="D769" s="47"/>
      <c r="E769" s="47"/>
      <c r="F769" s="45"/>
      <c r="G769" s="47"/>
      <c r="H769" s="48"/>
      <c r="I769" s="45"/>
      <c r="J769" s="49"/>
      <c r="K769" s="46"/>
      <c r="L769" s="49"/>
    </row>
    <row r="770">
      <c r="A770" s="44"/>
      <c r="B770" s="45"/>
      <c r="C770" s="46"/>
      <c r="D770" s="47"/>
      <c r="E770" s="47"/>
      <c r="F770" s="45"/>
      <c r="G770" s="47"/>
      <c r="H770" s="48"/>
      <c r="I770" s="45"/>
      <c r="J770" s="49"/>
      <c r="K770" s="46"/>
      <c r="L770" s="49"/>
    </row>
    <row r="771">
      <c r="A771" s="44"/>
      <c r="B771" s="45"/>
      <c r="C771" s="46"/>
      <c r="D771" s="47"/>
      <c r="E771" s="47"/>
      <c r="F771" s="45"/>
      <c r="G771" s="47"/>
      <c r="H771" s="48"/>
      <c r="I771" s="45"/>
      <c r="J771" s="49"/>
      <c r="K771" s="46"/>
      <c r="L771" s="49"/>
    </row>
    <row r="772">
      <c r="A772" s="44"/>
      <c r="B772" s="45"/>
      <c r="C772" s="46"/>
      <c r="D772" s="47"/>
      <c r="E772" s="47"/>
      <c r="F772" s="45"/>
      <c r="G772" s="47"/>
      <c r="H772" s="48"/>
      <c r="I772" s="45"/>
      <c r="J772" s="49"/>
      <c r="K772" s="46"/>
      <c r="L772" s="49"/>
    </row>
    <row r="773">
      <c r="A773" s="44"/>
      <c r="B773" s="45"/>
      <c r="C773" s="46"/>
      <c r="D773" s="47"/>
      <c r="E773" s="47"/>
      <c r="F773" s="45"/>
      <c r="G773" s="47"/>
      <c r="H773" s="48"/>
      <c r="I773" s="45"/>
      <c r="J773" s="49"/>
      <c r="K773" s="46"/>
      <c r="L773" s="49"/>
    </row>
    <row r="774">
      <c r="A774" s="44"/>
      <c r="B774" s="45"/>
      <c r="C774" s="46"/>
      <c r="D774" s="47"/>
      <c r="E774" s="47"/>
      <c r="F774" s="45"/>
      <c r="G774" s="47"/>
      <c r="H774" s="48"/>
      <c r="I774" s="45"/>
      <c r="J774" s="49"/>
      <c r="K774" s="46"/>
      <c r="L774" s="49"/>
    </row>
    <row r="775">
      <c r="A775" s="44"/>
      <c r="B775" s="45"/>
      <c r="C775" s="46"/>
      <c r="D775" s="47"/>
      <c r="E775" s="47"/>
      <c r="F775" s="45"/>
      <c r="G775" s="47"/>
      <c r="H775" s="48"/>
      <c r="I775" s="45"/>
      <c r="J775" s="49"/>
      <c r="K775" s="46"/>
      <c r="L775" s="49"/>
    </row>
    <row r="776">
      <c r="A776" s="44"/>
      <c r="B776" s="45"/>
      <c r="C776" s="46"/>
      <c r="D776" s="47"/>
      <c r="E776" s="47"/>
      <c r="F776" s="45"/>
      <c r="G776" s="47"/>
      <c r="H776" s="48"/>
      <c r="I776" s="45"/>
      <c r="J776" s="49"/>
      <c r="K776" s="46"/>
      <c r="L776" s="49"/>
    </row>
    <row r="777">
      <c r="A777" s="44"/>
      <c r="B777" s="45"/>
      <c r="C777" s="46"/>
      <c r="D777" s="47"/>
      <c r="E777" s="47"/>
      <c r="F777" s="45"/>
      <c r="G777" s="47"/>
      <c r="H777" s="48"/>
      <c r="I777" s="45"/>
      <c r="J777" s="49"/>
      <c r="K777" s="46"/>
      <c r="L777" s="49"/>
    </row>
    <row r="778">
      <c r="A778" s="44"/>
      <c r="B778" s="45"/>
      <c r="C778" s="46"/>
      <c r="D778" s="47"/>
      <c r="E778" s="47"/>
      <c r="F778" s="45"/>
      <c r="G778" s="47"/>
      <c r="H778" s="48"/>
      <c r="I778" s="45"/>
      <c r="J778" s="49"/>
      <c r="K778" s="46"/>
      <c r="L778" s="49"/>
    </row>
    <row r="779">
      <c r="A779" s="44"/>
      <c r="B779" s="45"/>
      <c r="C779" s="46"/>
      <c r="D779" s="47"/>
      <c r="E779" s="47"/>
      <c r="F779" s="45"/>
      <c r="G779" s="47"/>
      <c r="H779" s="48"/>
      <c r="I779" s="45"/>
      <c r="J779" s="49"/>
      <c r="K779" s="46"/>
      <c r="L779" s="49"/>
    </row>
    <row r="780">
      <c r="A780" s="44"/>
      <c r="B780" s="45"/>
      <c r="C780" s="46"/>
      <c r="D780" s="47"/>
      <c r="E780" s="47"/>
      <c r="F780" s="45"/>
      <c r="G780" s="47"/>
      <c r="H780" s="48"/>
      <c r="I780" s="45"/>
      <c r="J780" s="49"/>
      <c r="K780" s="46"/>
      <c r="L780" s="49"/>
    </row>
    <row r="781">
      <c r="A781" s="44"/>
      <c r="B781" s="45"/>
      <c r="C781" s="46"/>
      <c r="D781" s="47"/>
      <c r="E781" s="47"/>
      <c r="F781" s="45"/>
      <c r="G781" s="47"/>
      <c r="H781" s="48"/>
      <c r="I781" s="45"/>
      <c r="J781" s="49"/>
      <c r="K781" s="46"/>
      <c r="L781" s="49"/>
    </row>
    <row r="782">
      <c r="A782" s="44"/>
      <c r="B782" s="45"/>
      <c r="C782" s="46"/>
      <c r="D782" s="47"/>
      <c r="E782" s="47"/>
      <c r="F782" s="45"/>
      <c r="G782" s="47"/>
      <c r="H782" s="48"/>
      <c r="I782" s="45"/>
      <c r="J782" s="49"/>
      <c r="K782" s="46"/>
      <c r="L782" s="49"/>
    </row>
    <row r="783">
      <c r="A783" s="44"/>
      <c r="B783" s="45"/>
      <c r="C783" s="46"/>
      <c r="D783" s="47"/>
      <c r="E783" s="47"/>
      <c r="F783" s="45"/>
      <c r="G783" s="47"/>
      <c r="H783" s="48"/>
      <c r="I783" s="45"/>
      <c r="J783" s="49"/>
      <c r="K783" s="46"/>
      <c r="L783" s="49"/>
    </row>
    <row r="784">
      <c r="A784" s="44"/>
      <c r="B784" s="45"/>
      <c r="C784" s="46"/>
      <c r="D784" s="47"/>
      <c r="E784" s="47"/>
      <c r="F784" s="45"/>
      <c r="G784" s="47"/>
      <c r="H784" s="48"/>
      <c r="I784" s="45"/>
      <c r="J784" s="49"/>
      <c r="K784" s="46"/>
      <c r="L784" s="49"/>
    </row>
    <row r="785">
      <c r="A785" s="44"/>
      <c r="B785" s="45"/>
      <c r="C785" s="46"/>
      <c r="D785" s="47"/>
      <c r="E785" s="47"/>
      <c r="F785" s="45"/>
      <c r="G785" s="47"/>
      <c r="H785" s="48"/>
      <c r="I785" s="45"/>
      <c r="J785" s="49"/>
      <c r="K785" s="46"/>
      <c r="L785" s="49"/>
    </row>
    <row r="786">
      <c r="A786" s="44"/>
      <c r="B786" s="45"/>
      <c r="C786" s="46"/>
      <c r="D786" s="47"/>
      <c r="E786" s="47"/>
      <c r="F786" s="45"/>
      <c r="G786" s="47"/>
      <c r="H786" s="48"/>
      <c r="I786" s="45"/>
      <c r="J786" s="49"/>
      <c r="K786" s="46"/>
      <c r="L786" s="49"/>
    </row>
    <row r="787">
      <c r="A787" s="44"/>
      <c r="B787" s="45"/>
      <c r="C787" s="46"/>
      <c r="D787" s="47"/>
      <c r="E787" s="47"/>
      <c r="F787" s="45"/>
      <c r="G787" s="47"/>
      <c r="H787" s="48"/>
      <c r="I787" s="45"/>
      <c r="J787" s="49"/>
      <c r="K787" s="46"/>
      <c r="L787" s="49"/>
    </row>
    <row r="788">
      <c r="A788" s="44"/>
      <c r="B788" s="45"/>
      <c r="C788" s="46"/>
      <c r="D788" s="47"/>
      <c r="E788" s="47"/>
      <c r="F788" s="45"/>
      <c r="G788" s="47"/>
      <c r="H788" s="48"/>
      <c r="I788" s="45"/>
      <c r="J788" s="49"/>
      <c r="K788" s="46"/>
      <c r="L788" s="49"/>
    </row>
    <row r="789">
      <c r="A789" s="44"/>
      <c r="B789" s="45"/>
      <c r="C789" s="46"/>
      <c r="D789" s="47"/>
      <c r="E789" s="47"/>
      <c r="F789" s="45"/>
      <c r="G789" s="47"/>
      <c r="H789" s="48"/>
      <c r="I789" s="45"/>
      <c r="J789" s="49"/>
      <c r="K789" s="46"/>
      <c r="L789" s="49"/>
    </row>
    <row r="790">
      <c r="A790" s="44"/>
      <c r="B790" s="45"/>
      <c r="C790" s="46"/>
      <c r="D790" s="47"/>
      <c r="E790" s="47"/>
      <c r="F790" s="45"/>
      <c r="G790" s="47"/>
      <c r="H790" s="48"/>
      <c r="I790" s="45"/>
      <c r="J790" s="49"/>
      <c r="K790" s="46"/>
      <c r="L790" s="49"/>
    </row>
    <row r="791">
      <c r="A791" s="44"/>
      <c r="B791" s="45"/>
      <c r="C791" s="46"/>
      <c r="D791" s="47"/>
      <c r="E791" s="47"/>
      <c r="F791" s="45"/>
      <c r="G791" s="47"/>
      <c r="H791" s="48"/>
      <c r="I791" s="45"/>
      <c r="J791" s="49"/>
      <c r="K791" s="46"/>
      <c r="L791" s="49"/>
    </row>
    <row r="792">
      <c r="A792" s="44"/>
      <c r="B792" s="45"/>
      <c r="C792" s="46"/>
      <c r="D792" s="47"/>
      <c r="E792" s="47"/>
      <c r="F792" s="45"/>
      <c r="G792" s="47"/>
      <c r="H792" s="48"/>
      <c r="I792" s="45"/>
      <c r="J792" s="49"/>
      <c r="K792" s="46"/>
      <c r="L792" s="49"/>
    </row>
    <row r="793">
      <c r="A793" s="44"/>
      <c r="B793" s="45"/>
      <c r="C793" s="46"/>
      <c r="D793" s="47"/>
      <c r="E793" s="47"/>
      <c r="F793" s="45"/>
      <c r="G793" s="47"/>
      <c r="H793" s="48"/>
      <c r="I793" s="45"/>
      <c r="J793" s="49"/>
      <c r="K793" s="46"/>
      <c r="L793" s="49"/>
    </row>
    <row r="794">
      <c r="A794" s="44"/>
      <c r="B794" s="45"/>
      <c r="C794" s="46"/>
      <c r="D794" s="47"/>
      <c r="E794" s="47"/>
      <c r="F794" s="45"/>
      <c r="G794" s="47"/>
      <c r="H794" s="48"/>
      <c r="I794" s="45"/>
      <c r="J794" s="49"/>
      <c r="K794" s="46"/>
      <c r="L794" s="49"/>
    </row>
    <row r="795">
      <c r="A795" s="44"/>
      <c r="B795" s="45"/>
      <c r="C795" s="46"/>
      <c r="D795" s="47"/>
      <c r="E795" s="47"/>
      <c r="F795" s="45"/>
      <c r="G795" s="47"/>
      <c r="H795" s="48"/>
      <c r="I795" s="45"/>
      <c r="J795" s="49"/>
      <c r="K795" s="46"/>
      <c r="L795" s="49"/>
    </row>
    <row r="796">
      <c r="A796" s="44"/>
      <c r="B796" s="45"/>
      <c r="C796" s="46"/>
      <c r="D796" s="47"/>
      <c r="E796" s="47"/>
      <c r="F796" s="45"/>
      <c r="G796" s="47"/>
      <c r="H796" s="48"/>
      <c r="I796" s="45"/>
      <c r="J796" s="49"/>
      <c r="K796" s="46"/>
      <c r="L796" s="49"/>
    </row>
    <row r="797">
      <c r="A797" s="44"/>
      <c r="B797" s="45"/>
      <c r="C797" s="46"/>
      <c r="D797" s="47"/>
      <c r="E797" s="47"/>
      <c r="F797" s="45"/>
      <c r="G797" s="47"/>
      <c r="H797" s="48"/>
      <c r="I797" s="45"/>
      <c r="J797" s="49"/>
      <c r="K797" s="46"/>
      <c r="L797" s="49"/>
    </row>
    <row r="798">
      <c r="A798" s="44"/>
      <c r="B798" s="45"/>
      <c r="C798" s="46"/>
      <c r="D798" s="47"/>
      <c r="E798" s="47"/>
      <c r="F798" s="45"/>
      <c r="G798" s="47"/>
      <c r="H798" s="48"/>
      <c r="I798" s="45"/>
      <c r="J798" s="49"/>
      <c r="K798" s="46"/>
      <c r="L798" s="49"/>
    </row>
    <row r="799">
      <c r="A799" s="44"/>
      <c r="B799" s="45"/>
      <c r="C799" s="46"/>
      <c r="D799" s="47"/>
      <c r="E799" s="47"/>
      <c r="F799" s="45"/>
      <c r="G799" s="47"/>
      <c r="H799" s="48"/>
      <c r="I799" s="45"/>
      <c r="J799" s="49"/>
      <c r="K799" s="46"/>
      <c r="L799" s="49"/>
    </row>
    <row r="800">
      <c r="A800" s="44"/>
      <c r="B800" s="45"/>
      <c r="C800" s="46"/>
      <c r="D800" s="47"/>
      <c r="E800" s="47"/>
      <c r="F800" s="45"/>
      <c r="G800" s="47"/>
      <c r="H800" s="48"/>
      <c r="I800" s="45"/>
      <c r="J800" s="49"/>
      <c r="K800" s="46"/>
      <c r="L800" s="49"/>
    </row>
    <row r="801">
      <c r="A801" s="44"/>
      <c r="B801" s="45"/>
      <c r="C801" s="46"/>
      <c r="D801" s="47"/>
      <c r="E801" s="47"/>
      <c r="F801" s="45"/>
      <c r="G801" s="47"/>
      <c r="H801" s="48"/>
      <c r="I801" s="45"/>
      <c r="J801" s="49"/>
      <c r="K801" s="46"/>
      <c r="L801" s="49"/>
    </row>
    <row r="802">
      <c r="A802" s="44"/>
      <c r="B802" s="45"/>
      <c r="C802" s="46"/>
      <c r="D802" s="47"/>
      <c r="E802" s="47"/>
      <c r="F802" s="45"/>
      <c r="G802" s="47"/>
      <c r="H802" s="48"/>
      <c r="I802" s="45"/>
      <c r="J802" s="49"/>
      <c r="K802" s="46"/>
      <c r="L802" s="49"/>
    </row>
    <row r="803">
      <c r="A803" s="44"/>
      <c r="B803" s="45"/>
      <c r="C803" s="46"/>
      <c r="D803" s="47"/>
      <c r="E803" s="47"/>
      <c r="F803" s="45"/>
      <c r="G803" s="47"/>
      <c r="H803" s="48"/>
      <c r="I803" s="45"/>
      <c r="J803" s="49"/>
      <c r="K803" s="46"/>
      <c r="L803" s="49"/>
    </row>
    <row r="804">
      <c r="A804" s="44"/>
      <c r="B804" s="45"/>
      <c r="C804" s="46"/>
      <c r="D804" s="47"/>
      <c r="E804" s="47"/>
      <c r="F804" s="45"/>
      <c r="G804" s="47"/>
      <c r="H804" s="48"/>
      <c r="I804" s="45"/>
      <c r="J804" s="49"/>
      <c r="K804" s="46"/>
      <c r="L804" s="49"/>
    </row>
    <row r="805">
      <c r="A805" s="44"/>
      <c r="B805" s="45"/>
      <c r="C805" s="46"/>
      <c r="D805" s="47"/>
      <c r="E805" s="47"/>
      <c r="F805" s="45"/>
      <c r="G805" s="47"/>
      <c r="H805" s="48"/>
      <c r="I805" s="45"/>
      <c r="J805" s="49"/>
      <c r="K805" s="46"/>
      <c r="L805" s="49"/>
    </row>
    <row r="806">
      <c r="A806" s="44"/>
      <c r="B806" s="45"/>
      <c r="C806" s="46"/>
      <c r="D806" s="47"/>
      <c r="E806" s="47"/>
      <c r="F806" s="45"/>
      <c r="G806" s="47"/>
      <c r="H806" s="48"/>
      <c r="I806" s="45"/>
      <c r="J806" s="49"/>
      <c r="K806" s="46"/>
      <c r="L806" s="49"/>
    </row>
    <row r="807">
      <c r="A807" s="44"/>
      <c r="B807" s="45"/>
      <c r="C807" s="46"/>
      <c r="D807" s="47"/>
      <c r="E807" s="47"/>
      <c r="F807" s="45"/>
      <c r="G807" s="47"/>
      <c r="H807" s="48"/>
      <c r="I807" s="45"/>
      <c r="J807" s="49"/>
      <c r="K807" s="46"/>
      <c r="L807" s="49"/>
    </row>
    <row r="808">
      <c r="A808" s="44"/>
      <c r="B808" s="45"/>
      <c r="C808" s="46"/>
      <c r="D808" s="47"/>
      <c r="E808" s="47"/>
      <c r="F808" s="45"/>
      <c r="G808" s="47"/>
      <c r="H808" s="48"/>
      <c r="I808" s="45"/>
      <c r="J808" s="49"/>
      <c r="K808" s="46"/>
      <c r="L808" s="49"/>
    </row>
    <row r="809">
      <c r="A809" s="44"/>
      <c r="B809" s="45"/>
      <c r="C809" s="46"/>
      <c r="D809" s="47"/>
      <c r="E809" s="47"/>
      <c r="F809" s="45"/>
      <c r="G809" s="47"/>
      <c r="H809" s="48"/>
      <c r="I809" s="45"/>
      <c r="J809" s="49"/>
      <c r="K809" s="46"/>
      <c r="L809" s="49"/>
    </row>
    <row r="810">
      <c r="A810" s="44"/>
      <c r="B810" s="45"/>
      <c r="C810" s="46"/>
      <c r="D810" s="47"/>
      <c r="E810" s="47"/>
      <c r="F810" s="45"/>
      <c r="G810" s="47"/>
      <c r="H810" s="48"/>
      <c r="I810" s="45"/>
      <c r="J810" s="49"/>
      <c r="K810" s="46"/>
      <c r="L810" s="49"/>
    </row>
    <row r="811">
      <c r="A811" s="44"/>
      <c r="B811" s="45"/>
      <c r="C811" s="46"/>
      <c r="D811" s="47"/>
      <c r="E811" s="47"/>
      <c r="F811" s="45"/>
      <c r="G811" s="47"/>
      <c r="H811" s="48"/>
      <c r="I811" s="45"/>
      <c r="J811" s="49"/>
      <c r="K811" s="46"/>
      <c r="L811" s="49"/>
    </row>
    <row r="812">
      <c r="A812" s="44"/>
      <c r="B812" s="45"/>
      <c r="C812" s="46"/>
      <c r="D812" s="47"/>
      <c r="E812" s="47"/>
      <c r="F812" s="45"/>
      <c r="G812" s="47"/>
      <c r="H812" s="48"/>
      <c r="I812" s="45"/>
      <c r="J812" s="49"/>
      <c r="K812" s="46"/>
      <c r="L812" s="49"/>
    </row>
    <row r="813">
      <c r="A813" s="44"/>
      <c r="B813" s="45"/>
      <c r="C813" s="46"/>
      <c r="D813" s="47"/>
      <c r="E813" s="47"/>
      <c r="F813" s="45"/>
      <c r="G813" s="47"/>
      <c r="H813" s="48"/>
      <c r="I813" s="45"/>
      <c r="J813" s="49"/>
      <c r="K813" s="46"/>
      <c r="L813" s="49"/>
    </row>
    <row r="814">
      <c r="A814" s="44"/>
      <c r="B814" s="45"/>
      <c r="C814" s="46"/>
      <c r="D814" s="47"/>
      <c r="E814" s="47"/>
      <c r="F814" s="45"/>
      <c r="G814" s="47"/>
      <c r="H814" s="48"/>
      <c r="I814" s="45"/>
      <c r="J814" s="49"/>
      <c r="K814" s="46"/>
      <c r="L814" s="49"/>
    </row>
    <row r="815">
      <c r="A815" s="44"/>
      <c r="B815" s="45"/>
      <c r="C815" s="46"/>
      <c r="D815" s="47"/>
      <c r="E815" s="47"/>
      <c r="F815" s="45"/>
      <c r="G815" s="47"/>
      <c r="H815" s="48"/>
      <c r="I815" s="45"/>
      <c r="J815" s="49"/>
      <c r="K815" s="46"/>
      <c r="L815" s="49"/>
    </row>
    <row r="816">
      <c r="A816" s="44"/>
      <c r="B816" s="45"/>
      <c r="C816" s="46"/>
      <c r="D816" s="47"/>
      <c r="E816" s="47"/>
      <c r="F816" s="45"/>
      <c r="G816" s="47"/>
      <c r="H816" s="48"/>
      <c r="I816" s="45"/>
      <c r="J816" s="49"/>
      <c r="K816" s="46"/>
      <c r="L816" s="49"/>
    </row>
    <row r="817">
      <c r="A817" s="44"/>
      <c r="B817" s="45"/>
      <c r="C817" s="46"/>
      <c r="D817" s="47"/>
      <c r="E817" s="47"/>
      <c r="F817" s="45"/>
      <c r="G817" s="47"/>
      <c r="H817" s="48"/>
      <c r="I817" s="45"/>
      <c r="J817" s="49"/>
      <c r="K817" s="46"/>
      <c r="L817" s="49"/>
    </row>
    <row r="818">
      <c r="A818" s="44"/>
      <c r="B818" s="45"/>
      <c r="C818" s="46"/>
      <c r="D818" s="47"/>
      <c r="E818" s="47"/>
      <c r="F818" s="45"/>
      <c r="G818" s="47"/>
      <c r="H818" s="48"/>
      <c r="I818" s="45"/>
      <c r="J818" s="49"/>
      <c r="K818" s="46"/>
      <c r="L818" s="49"/>
    </row>
    <row r="819">
      <c r="A819" s="44"/>
      <c r="B819" s="45"/>
      <c r="C819" s="46"/>
      <c r="D819" s="47"/>
      <c r="E819" s="47"/>
      <c r="F819" s="45"/>
      <c r="G819" s="47"/>
      <c r="H819" s="48"/>
      <c r="I819" s="45"/>
      <c r="J819" s="49"/>
      <c r="K819" s="46"/>
      <c r="L819" s="49"/>
    </row>
    <row r="820">
      <c r="A820" s="44"/>
      <c r="B820" s="45"/>
      <c r="C820" s="46"/>
      <c r="D820" s="47"/>
      <c r="E820" s="47"/>
      <c r="F820" s="45"/>
      <c r="G820" s="47"/>
      <c r="H820" s="48"/>
      <c r="I820" s="45"/>
      <c r="J820" s="49"/>
      <c r="K820" s="46"/>
      <c r="L820" s="49"/>
    </row>
    <row r="821">
      <c r="A821" s="44"/>
      <c r="B821" s="45"/>
      <c r="C821" s="46"/>
      <c r="D821" s="47"/>
      <c r="E821" s="47"/>
      <c r="F821" s="45"/>
      <c r="G821" s="47"/>
      <c r="H821" s="48"/>
      <c r="I821" s="45"/>
      <c r="J821" s="49"/>
      <c r="K821" s="46"/>
      <c r="L821" s="49"/>
    </row>
    <row r="822">
      <c r="A822" s="44"/>
      <c r="B822" s="45"/>
      <c r="C822" s="46"/>
      <c r="D822" s="47"/>
      <c r="E822" s="47"/>
      <c r="F822" s="45"/>
      <c r="G822" s="47"/>
      <c r="H822" s="48"/>
      <c r="I822" s="45"/>
      <c r="J822" s="49"/>
      <c r="K822" s="46"/>
      <c r="L822" s="49"/>
    </row>
    <row r="823">
      <c r="A823" s="44"/>
      <c r="B823" s="45"/>
      <c r="C823" s="46"/>
      <c r="D823" s="47"/>
      <c r="E823" s="47"/>
      <c r="F823" s="45"/>
      <c r="G823" s="47"/>
      <c r="H823" s="48"/>
      <c r="I823" s="45"/>
      <c r="J823" s="49"/>
      <c r="K823" s="46"/>
      <c r="L823" s="49"/>
    </row>
    <row r="824">
      <c r="A824" s="44"/>
      <c r="B824" s="45"/>
      <c r="C824" s="46"/>
      <c r="D824" s="47"/>
      <c r="E824" s="47"/>
      <c r="F824" s="45"/>
      <c r="G824" s="47"/>
      <c r="H824" s="48"/>
      <c r="I824" s="45"/>
      <c r="J824" s="49"/>
      <c r="K824" s="46"/>
      <c r="L824" s="49"/>
    </row>
    <row r="825">
      <c r="A825" s="44"/>
      <c r="B825" s="45"/>
      <c r="C825" s="46"/>
      <c r="D825" s="47"/>
      <c r="E825" s="47"/>
      <c r="F825" s="45"/>
      <c r="G825" s="47"/>
      <c r="H825" s="48"/>
      <c r="I825" s="45"/>
      <c r="J825" s="49"/>
      <c r="K825" s="46"/>
      <c r="L825" s="49"/>
    </row>
    <row r="826">
      <c r="A826" s="44"/>
      <c r="B826" s="45"/>
      <c r="C826" s="46"/>
      <c r="D826" s="47"/>
      <c r="E826" s="47"/>
      <c r="F826" s="45"/>
      <c r="G826" s="47"/>
      <c r="H826" s="48"/>
      <c r="I826" s="45"/>
      <c r="J826" s="49"/>
      <c r="K826" s="46"/>
      <c r="L826" s="49"/>
    </row>
    <row r="827">
      <c r="A827" s="44"/>
      <c r="B827" s="45"/>
      <c r="C827" s="46"/>
      <c r="D827" s="47"/>
      <c r="E827" s="47"/>
      <c r="F827" s="45"/>
      <c r="G827" s="47"/>
      <c r="H827" s="48"/>
      <c r="I827" s="45"/>
      <c r="J827" s="49"/>
      <c r="K827" s="46"/>
      <c r="L827" s="49"/>
    </row>
    <row r="828">
      <c r="A828" s="44"/>
      <c r="B828" s="45"/>
      <c r="C828" s="46"/>
      <c r="D828" s="47"/>
      <c r="E828" s="47"/>
      <c r="F828" s="45"/>
      <c r="G828" s="47"/>
      <c r="H828" s="48"/>
      <c r="I828" s="45"/>
      <c r="J828" s="49"/>
      <c r="K828" s="46"/>
      <c r="L828" s="49"/>
    </row>
    <row r="829">
      <c r="A829" s="44"/>
      <c r="B829" s="45"/>
      <c r="C829" s="46"/>
      <c r="D829" s="47"/>
      <c r="E829" s="47"/>
      <c r="F829" s="45"/>
      <c r="G829" s="47"/>
      <c r="H829" s="48"/>
      <c r="I829" s="45"/>
      <c r="J829" s="49"/>
      <c r="K829" s="46"/>
      <c r="L829" s="49"/>
    </row>
    <row r="830">
      <c r="A830" s="44"/>
      <c r="B830" s="45"/>
      <c r="C830" s="46"/>
      <c r="D830" s="47"/>
      <c r="E830" s="47"/>
      <c r="F830" s="45"/>
      <c r="G830" s="47"/>
      <c r="H830" s="48"/>
      <c r="I830" s="45"/>
      <c r="J830" s="49"/>
      <c r="K830" s="46"/>
      <c r="L830" s="49"/>
    </row>
    <row r="831">
      <c r="A831" s="44"/>
      <c r="B831" s="45"/>
      <c r="C831" s="46"/>
      <c r="D831" s="47"/>
      <c r="E831" s="47"/>
      <c r="F831" s="45"/>
      <c r="G831" s="47"/>
      <c r="H831" s="48"/>
      <c r="I831" s="45"/>
      <c r="J831" s="49"/>
      <c r="K831" s="46"/>
      <c r="L831" s="49"/>
    </row>
    <row r="832">
      <c r="A832" s="44"/>
      <c r="B832" s="45"/>
      <c r="C832" s="46"/>
      <c r="D832" s="47"/>
      <c r="E832" s="47"/>
      <c r="F832" s="45"/>
      <c r="G832" s="47"/>
      <c r="H832" s="48"/>
      <c r="I832" s="45"/>
      <c r="J832" s="49"/>
      <c r="K832" s="46"/>
      <c r="L832" s="49"/>
    </row>
    <row r="833">
      <c r="A833" s="44"/>
      <c r="B833" s="45"/>
      <c r="C833" s="46"/>
      <c r="D833" s="47"/>
      <c r="E833" s="47"/>
      <c r="F833" s="45"/>
      <c r="G833" s="47"/>
      <c r="H833" s="48"/>
      <c r="I833" s="45"/>
      <c r="J833" s="49"/>
      <c r="K833" s="46"/>
      <c r="L833" s="49"/>
    </row>
    <row r="834">
      <c r="A834" s="44"/>
      <c r="B834" s="45"/>
      <c r="C834" s="46"/>
      <c r="D834" s="47"/>
      <c r="E834" s="47"/>
      <c r="F834" s="45"/>
      <c r="G834" s="47"/>
      <c r="H834" s="48"/>
      <c r="I834" s="45"/>
      <c r="J834" s="49"/>
      <c r="K834" s="46"/>
      <c r="L834" s="49"/>
    </row>
    <row r="835">
      <c r="A835" s="44"/>
      <c r="B835" s="45"/>
      <c r="C835" s="46"/>
      <c r="D835" s="47"/>
      <c r="E835" s="47"/>
      <c r="F835" s="45"/>
      <c r="G835" s="47"/>
      <c r="H835" s="48"/>
      <c r="I835" s="45"/>
      <c r="J835" s="49"/>
      <c r="K835" s="46"/>
      <c r="L835" s="49"/>
    </row>
    <row r="836">
      <c r="A836" s="44"/>
      <c r="B836" s="45"/>
      <c r="C836" s="46"/>
      <c r="D836" s="47"/>
      <c r="E836" s="47"/>
      <c r="F836" s="45"/>
      <c r="G836" s="47"/>
      <c r="H836" s="48"/>
      <c r="I836" s="45"/>
      <c r="J836" s="49"/>
      <c r="K836" s="46"/>
      <c r="L836" s="49"/>
    </row>
    <row r="837">
      <c r="A837" s="44"/>
      <c r="B837" s="45"/>
      <c r="C837" s="46"/>
      <c r="D837" s="47"/>
      <c r="E837" s="47"/>
      <c r="F837" s="45"/>
      <c r="G837" s="47"/>
      <c r="H837" s="48"/>
      <c r="I837" s="45"/>
      <c r="J837" s="49"/>
      <c r="K837" s="46"/>
      <c r="L837" s="49"/>
    </row>
    <row r="838">
      <c r="A838" s="44"/>
      <c r="B838" s="45"/>
      <c r="C838" s="46"/>
      <c r="D838" s="47"/>
      <c r="E838" s="47"/>
      <c r="F838" s="45"/>
      <c r="G838" s="47"/>
      <c r="H838" s="48"/>
      <c r="I838" s="45"/>
      <c r="J838" s="49"/>
      <c r="K838" s="46"/>
      <c r="L838" s="49"/>
    </row>
    <row r="839">
      <c r="A839" s="44"/>
      <c r="B839" s="45"/>
      <c r="C839" s="46"/>
      <c r="D839" s="47"/>
      <c r="E839" s="47"/>
      <c r="F839" s="45"/>
      <c r="G839" s="47"/>
      <c r="H839" s="48"/>
      <c r="I839" s="45"/>
      <c r="J839" s="49"/>
      <c r="K839" s="46"/>
      <c r="L839" s="49"/>
    </row>
    <row r="840">
      <c r="A840" s="44"/>
      <c r="B840" s="45"/>
      <c r="C840" s="46"/>
      <c r="D840" s="47"/>
      <c r="E840" s="47"/>
      <c r="F840" s="45"/>
      <c r="G840" s="47"/>
      <c r="H840" s="48"/>
      <c r="I840" s="45"/>
      <c r="J840" s="49"/>
      <c r="K840" s="46"/>
      <c r="L840" s="49"/>
    </row>
    <row r="841">
      <c r="A841" s="44"/>
      <c r="B841" s="45"/>
      <c r="C841" s="46"/>
      <c r="D841" s="47"/>
      <c r="E841" s="47"/>
      <c r="F841" s="45"/>
      <c r="G841" s="47"/>
      <c r="H841" s="48"/>
      <c r="I841" s="45"/>
      <c r="J841" s="49"/>
      <c r="K841" s="46"/>
      <c r="L841" s="49"/>
    </row>
    <row r="842">
      <c r="A842" s="44"/>
      <c r="B842" s="45"/>
      <c r="C842" s="46"/>
      <c r="D842" s="47"/>
      <c r="E842" s="47"/>
      <c r="F842" s="45"/>
      <c r="G842" s="47"/>
      <c r="H842" s="48"/>
      <c r="I842" s="45"/>
      <c r="J842" s="49"/>
      <c r="K842" s="46"/>
      <c r="L842" s="49"/>
    </row>
    <row r="843">
      <c r="A843" s="44"/>
      <c r="B843" s="45"/>
      <c r="C843" s="46"/>
      <c r="D843" s="47"/>
      <c r="E843" s="47"/>
      <c r="F843" s="45"/>
      <c r="G843" s="47"/>
      <c r="H843" s="48"/>
      <c r="I843" s="45"/>
      <c r="J843" s="49"/>
      <c r="K843" s="46"/>
      <c r="L843" s="49"/>
    </row>
    <row r="844">
      <c r="A844" s="44"/>
      <c r="B844" s="45"/>
      <c r="C844" s="46"/>
      <c r="D844" s="47"/>
      <c r="E844" s="47"/>
      <c r="F844" s="45"/>
      <c r="G844" s="47"/>
      <c r="H844" s="48"/>
      <c r="I844" s="45"/>
      <c r="J844" s="49"/>
      <c r="K844" s="46"/>
      <c r="L844" s="49"/>
    </row>
    <row r="845">
      <c r="A845" s="44"/>
      <c r="B845" s="45"/>
      <c r="C845" s="46"/>
      <c r="D845" s="47"/>
      <c r="E845" s="47"/>
      <c r="F845" s="45"/>
      <c r="G845" s="47"/>
      <c r="H845" s="48"/>
      <c r="I845" s="45"/>
      <c r="J845" s="49"/>
      <c r="K845" s="46"/>
      <c r="L845" s="49"/>
    </row>
    <row r="846">
      <c r="A846" s="44"/>
      <c r="B846" s="45"/>
      <c r="C846" s="46"/>
      <c r="D846" s="47"/>
      <c r="E846" s="47"/>
      <c r="F846" s="45"/>
      <c r="G846" s="47"/>
      <c r="H846" s="48"/>
      <c r="I846" s="45"/>
      <c r="J846" s="49"/>
      <c r="K846" s="46"/>
      <c r="L846" s="49"/>
    </row>
    <row r="847">
      <c r="A847" s="44"/>
      <c r="B847" s="45"/>
      <c r="C847" s="46"/>
      <c r="D847" s="47"/>
      <c r="E847" s="47"/>
      <c r="F847" s="45"/>
      <c r="G847" s="47"/>
      <c r="H847" s="48"/>
      <c r="I847" s="45"/>
      <c r="J847" s="49"/>
      <c r="K847" s="46"/>
      <c r="L847" s="49"/>
    </row>
    <row r="848">
      <c r="A848" s="44"/>
      <c r="B848" s="45"/>
      <c r="C848" s="46"/>
      <c r="D848" s="47"/>
      <c r="E848" s="47"/>
      <c r="F848" s="45"/>
      <c r="G848" s="47"/>
      <c r="H848" s="48"/>
      <c r="I848" s="45"/>
      <c r="J848" s="49"/>
      <c r="K848" s="46"/>
      <c r="L848" s="49"/>
    </row>
    <row r="849">
      <c r="A849" s="44"/>
      <c r="B849" s="45"/>
      <c r="C849" s="46"/>
      <c r="D849" s="47"/>
      <c r="E849" s="47"/>
      <c r="F849" s="45"/>
      <c r="G849" s="47"/>
      <c r="H849" s="48"/>
      <c r="I849" s="45"/>
      <c r="J849" s="49"/>
      <c r="K849" s="46"/>
      <c r="L849" s="49"/>
    </row>
    <row r="850">
      <c r="A850" s="44"/>
      <c r="B850" s="45"/>
      <c r="C850" s="46"/>
      <c r="D850" s="47"/>
      <c r="E850" s="47"/>
      <c r="F850" s="45"/>
      <c r="G850" s="47"/>
      <c r="H850" s="48"/>
      <c r="I850" s="45"/>
      <c r="J850" s="49"/>
      <c r="K850" s="46"/>
      <c r="L850" s="49"/>
    </row>
    <row r="851">
      <c r="A851" s="44"/>
      <c r="B851" s="45"/>
      <c r="C851" s="46"/>
      <c r="D851" s="47"/>
      <c r="E851" s="47"/>
      <c r="F851" s="45"/>
      <c r="G851" s="47"/>
      <c r="H851" s="48"/>
      <c r="I851" s="45"/>
      <c r="J851" s="49"/>
      <c r="K851" s="46"/>
      <c r="L851" s="49"/>
    </row>
    <row r="852">
      <c r="A852" s="44"/>
      <c r="B852" s="45"/>
      <c r="C852" s="46"/>
      <c r="D852" s="47"/>
      <c r="E852" s="47"/>
      <c r="F852" s="45"/>
      <c r="G852" s="47"/>
      <c r="H852" s="48"/>
      <c r="I852" s="45"/>
      <c r="J852" s="49"/>
      <c r="K852" s="46"/>
      <c r="L852" s="49"/>
    </row>
    <row r="853">
      <c r="A853" s="44"/>
      <c r="B853" s="45"/>
      <c r="C853" s="46"/>
      <c r="D853" s="47"/>
      <c r="E853" s="47"/>
      <c r="F853" s="45"/>
      <c r="G853" s="47"/>
      <c r="H853" s="48"/>
      <c r="I853" s="45"/>
      <c r="J853" s="49"/>
      <c r="K853" s="46"/>
      <c r="L853" s="49"/>
    </row>
    <row r="854">
      <c r="A854" s="44"/>
      <c r="B854" s="45"/>
      <c r="C854" s="46"/>
      <c r="D854" s="47"/>
      <c r="E854" s="47"/>
      <c r="F854" s="45"/>
      <c r="G854" s="47"/>
      <c r="H854" s="48"/>
      <c r="I854" s="45"/>
      <c r="J854" s="49"/>
      <c r="K854" s="46"/>
      <c r="L854" s="49"/>
    </row>
    <row r="855">
      <c r="A855" s="44"/>
      <c r="B855" s="45"/>
      <c r="C855" s="46"/>
      <c r="D855" s="47"/>
      <c r="E855" s="47"/>
      <c r="F855" s="45"/>
      <c r="G855" s="47"/>
      <c r="H855" s="48"/>
      <c r="I855" s="45"/>
      <c r="J855" s="49"/>
      <c r="K855" s="46"/>
      <c r="L855" s="49"/>
    </row>
    <row r="856">
      <c r="A856" s="44"/>
      <c r="B856" s="45"/>
      <c r="C856" s="46"/>
      <c r="D856" s="47"/>
      <c r="E856" s="47"/>
      <c r="F856" s="45"/>
      <c r="G856" s="47"/>
      <c r="H856" s="48"/>
      <c r="I856" s="45"/>
      <c r="J856" s="49"/>
      <c r="K856" s="46"/>
      <c r="L856" s="49"/>
    </row>
    <row r="857">
      <c r="A857" s="44"/>
      <c r="B857" s="45"/>
      <c r="C857" s="46"/>
      <c r="D857" s="47"/>
      <c r="E857" s="47"/>
      <c r="F857" s="45"/>
      <c r="G857" s="47"/>
      <c r="H857" s="48"/>
      <c r="I857" s="45"/>
      <c r="J857" s="49"/>
      <c r="K857" s="46"/>
      <c r="L857" s="49"/>
    </row>
    <row r="858">
      <c r="A858" s="44"/>
      <c r="B858" s="45"/>
      <c r="C858" s="46"/>
      <c r="D858" s="47"/>
      <c r="E858" s="47"/>
      <c r="F858" s="45"/>
      <c r="G858" s="47"/>
      <c r="H858" s="48"/>
      <c r="I858" s="45"/>
      <c r="J858" s="49"/>
      <c r="K858" s="46"/>
      <c r="L858" s="49"/>
    </row>
    <row r="859">
      <c r="A859" s="44"/>
      <c r="B859" s="45"/>
      <c r="C859" s="46"/>
      <c r="D859" s="47"/>
      <c r="E859" s="47"/>
      <c r="F859" s="45"/>
      <c r="G859" s="47"/>
      <c r="H859" s="48"/>
      <c r="I859" s="45"/>
      <c r="J859" s="49"/>
      <c r="K859" s="46"/>
      <c r="L859" s="49"/>
    </row>
    <row r="860">
      <c r="A860" s="44"/>
      <c r="B860" s="45"/>
      <c r="C860" s="46"/>
      <c r="D860" s="47"/>
      <c r="E860" s="47"/>
      <c r="F860" s="45"/>
      <c r="G860" s="47"/>
      <c r="H860" s="48"/>
      <c r="I860" s="45"/>
      <c r="J860" s="49"/>
      <c r="K860" s="46"/>
      <c r="L860" s="49"/>
    </row>
    <row r="861">
      <c r="A861" s="44"/>
      <c r="B861" s="45"/>
      <c r="C861" s="46"/>
      <c r="D861" s="47"/>
      <c r="E861" s="47"/>
      <c r="F861" s="45"/>
      <c r="G861" s="47"/>
      <c r="H861" s="48"/>
      <c r="I861" s="45"/>
      <c r="J861" s="49"/>
      <c r="K861" s="46"/>
      <c r="L861" s="49"/>
    </row>
    <row r="862">
      <c r="A862" s="44"/>
      <c r="B862" s="45"/>
      <c r="C862" s="46"/>
      <c r="D862" s="47"/>
      <c r="E862" s="47"/>
      <c r="F862" s="45"/>
      <c r="G862" s="47"/>
      <c r="H862" s="48"/>
      <c r="I862" s="45"/>
      <c r="J862" s="49"/>
      <c r="K862" s="46"/>
      <c r="L862" s="49"/>
    </row>
    <row r="863">
      <c r="A863" s="44"/>
      <c r="B863" s="45"/>
      <c r="C863" s="46"/>
      <c r="D863" s="47"/>
      <c r="E863" s="47"/>
      <c r="F863" s="45"/>
      <c r="G863" s="47"/>
      <c r="H863" s="48"/>
      <c r="I863" s="45"/>
      <c r="J863" s="49"/>
      <c r="K863" s="46"/>
      <c r="L863" s="49"/>
    </row>
    <row r="864">
      <c r="A864" s="44"/>
      <c r="B864" s="45"/>
      <c r="C864" s="46"/>
      <c r="D864" s="47"/>
      <c r="E864" s="47"/>
      <c r="F864" s="45"/>
      <c r="G864" s="47"/>
      <c r="H864" s="48"/>
      <c r="I864" s="45"/>
      <c r="J864" s="49"/>
      <c r="K864" s="46"/>
      <c r="L864" s="49"/>
    </row>
    <row r="865">
      <c r="A865" s="44"/>
      <c r="B865" s="45"/>
      <c r="C865" s="46"/>
      <c r="D865" s="47"/>
      <c r="E865" s="47"/>
      <c r="F865" s="45"/>
      <c r="G865" s="47"/>
      <c r="H865" s="48"/>
      <c r="I865" s="45"/>
      <c r="J865" s="49"/>
      <c r="K865" s="46"/>
      <c r="L865" s="49"/>
    </row>
    <row r="866">
      <c r="A866" s="44"/>
      <c r="B866" s="45"/>
      <c r="C866" s="46"/>
      <c r="D866" s="47"/>
      <c r="E866" s="47"/>
      <c r="F866" s="45"/>
      <c r="G866" s="47"/>
      <c r="H866" s="48"/>
      <c r="I866" s="45"/>
      <c r="J866" s="49"/>
      <c r="K866" s="46"/>
      <c r="L866" s="49"/>
    </row>
    <row r="867">
      <c r="A867" s="44"/>
      <c r="B867" s="45"/>
      <c r="C867" s="46"/>
      <c r="D867" s="47"/>
      <c r="E867" s="47"/>
      <c r="F867" s="45"/>
      <c r="G867" s="47"/>
      <c r="H867" s="48"/>
      <c r="I867" s="45"/>
      <c r="J867" s="49"/>
      <c r="K867" s="46"/>
      <c r="L867" s="49"/>
    </row>
    <row r="868">
      <c r="A868" s="44"/>
      <c r="B868" s="45"/>
      <c r="C868" s="46"/>
      <c r="D868" s="47"/>
      <c r="E868" s="47"/>
      <c r="F868" s="45"/>
      <c r="G868" s="47"/>
      <c r="H868" s="48"/>
      <c r="I868" s="45"/>
      <c r="J868" s="49"/>
      <c r="K868" s="46"/>
      <c r="L868" s="49"/>
    </row>
    <row r="869">
      <c r="A869" s="44"/>
      <c r="B869" s="45"/>
      <c r="C869" s="46"/>
      <c r="D869" s="47"/>
      <c r="E869" s="47"/>
      <c r="F869" s="45"/>
      <c r="G869" s="47"/>
      <c r="H869" s="48"/>
      <c r="I869" s="45"/>
      <c r="J869" s="49"/>
      <c r="K869" s="46"/>
      <c r="L869" s="49"/>
    </row>
    <row r="870">
      <c r="A870" s="44"/>
      <c r="B870" s="45"/>
      <c r="C870" s="46"/>
      <c r="D870" s="47"/>
      <c r="E870" s="47"/>
      <c r="F870" s="45"/>
      <c r="G870" s="47"/>
      <c r="H870" s="48"/>
      <c r="I870" s="45"/>
      <c r="J870" s="49"/>
      <c r="K870" s="46"/>
      <c r="L870" s="49"/>
    </row>
    <row r="871">
      <c r="A871" s="44"/>
      <c r="B871" s="45"/>
      <c r="C871" s="46"/>
      <c r="D871" s="47"/>
      <c r="E871" s="47"/>
      <c r="F871" s="45"/>
      <c r="G871" s="47"/>
      <c r="H871" s="48"/>
      <c r="I871" s="45"/>
      <c r="J871" s="49"/>
      <c r="K871" s="46"/>
      <c r="L871" s="49"/>
    </row>
    <row r="872">
      <c r="A872" s="44"/>
      <c r="B872" s="45"/>
      <c r="C872" s="46"/>
      <c r="D872" s="47"/>
      <c r="E872" s="47"/>
      <c r="F872" s="45"/>
      <c r="G872" s="47"/>
      <c r="H872" s="48"/>
      <c r="I872" s="45"/>
      <c r="J872" s="49"/>
      <c r="K872" s="46"/>
      <c r="L872" s="49"/>
    </row>
    <row r="873">
      <c r="A873" s="44"/>
      <c r="B873" s="45"/>
      <c r="C873" s="46"/>
      <c r="D873" s="47"/>
      <c r="E873" s="47"/>
      <c r="F873" s="45"/>
      <c r="G873" s="47"/>
      <c r="H873" s="48"/>
      <c r="I873" s="45"/>
      <c r="J873" s="49"/>
      <c r="K873" s="46"/>
      <c r="L873" s="49"/>
    </row>
    <row r="874">
      <c r="A874" s="44"/>
      <c r="B874" s="45"/>
      <c r="C874" s="46"/>
      <c r="D874" s="47"/>
      <c r="E874" s="47"/>
      <c r="F874" s="45"/>
      <c r="G874" s="47"/>
      <c r="H874" s="48"/>
      <c r="I874" s="45"/>
      <c r="J874" s="49"/>
      <c r="K874" s="46"/>
      <c r="L874" s="49"/>
    </row>
    <row r="875">
      <c r="A875" s="44"/>
      <c r="B875" s="45"/>
      <c r="C875" s="46"/>
      <c r="D875" s="47"/>
      <c r="E875" s="47"/>
      <c r="F875" s="45"/>
      <c r="G875" s="47"/>
      <c r="H875" s="48"/>
      <c r="I875" s="45"/>
      <c r="J875" s="49"/>
      <c r="K875" s="46"/>
      <c r="L875" s="49"/>
    </row>
    <row r="876">
      <c r="A876" s="44"/>
      <c r="B876" s="45"/>
      <c r="C876" s="46"/>
      <c r="D876" s="47"/>
      <c r="E876" s="47"/>
      <c r="F876" s="45"/>
      <c r="G876" s="47"/>
      <c r="H876" s="48"/>
      <c r="I876" s="45"/>
      <c r="J876" s="49"/>
      <c r="K876" s="46"/>
      <c r="L876" s="49"/>
    </row>
    <row r="877">
      <c r="A877" s="44"/>
      <c r="B877" s="45"/>
      <c r="C877" s="46"/>
      <c r="D877" s="47"/>
      <c r="E877" s="47"/>
      <c r="F877" s="45"/>
      <c r="G877" s="47"/>
      <c r="H877" s="48"/>
      <c r="I877" s="45"/>
      <c r="J877" s="49"/>
      <c r="K877" s="46"/>
      <c r="L877" s="49"/>
    </row>
    <row r="878">
      <c r="A878" s="44"/>
      <c r="B878" s="45"/>
      <c r="C878" s="46"/>
      <c r="D878" s="47"/>
      <c r="E878" s="47"/>
      <c r="F878" s="45"/>
      <c r="G878" s="47"/>
      <c r="H878" s="48"/>
      <c r="I878" s="45"/>
      <c r="J878" s="49"/>
      <c r="K878" s="46"/>
      <c r="L878" s="49"/>
    </row>
    <row r="879">
      <c r="A879" s="44"/>
      <c r="B879" s="45"/>
      <c r="C879" s="46"/>
      <c r="D879" s="47"/>
      <c r="E879" s="47"/>
      <c r="F879" s="45"/>
      <c r="G879" s="47"/>
      <c r="H879" s="48"/>
      <c r="I879" s="45"/>
      <c r="J879" s="49"/>
      <c r="K879" s="46"/>
      <c r="L879" s="49"/>
    </row>
    <row r="880">
      <c r="A880" s="44"/>
      <c r="B880" s="45"/>
      <c r="C880" s="46"/>
      <c r="D880" s="47"/>
      <c r="E880" s="47"/>
      <c r="F880" s="45"/>
      <c r="G880" s="47"/>
      <c r="H880" s="48"/>
      <c r="I880" s="45"/>
      <c r="J880" s="49"/>
      <c r="K880" s="46"/>
      <c r="L880" s="49"/>
    </row>
    <row r="881">
      <c r="A881" s="44"/>
      <c r="B881" s="45"/>
      <c r="C881" s="46"/>
      <c r="D881" s="47"/>
      <c r="E881" s="47"/>
      <c r="F881" s="45"/>
      <c r="G881" s="47"/>
      <c r="H881" s="48"/>
      <c r="I881" s="45"/>
      <c r="J881" s="49"/>
      <c r="K881" s="46"/>
      <c r="L881" s="49"/>
    </row>
    <row r="882">
      <c r="A882" s="44"/>
      <c r="B882" s="45"/>
      <c r="C882" s="46"/>
      <c r="D882" s="47"/>
      <c r="E882" s="47"/>
      <c r="F882" s="45"/>
      <c r="G882" s="47"/>
      <c r="H882" s="48"/>
      <c r="I882" s="45"/>
      <c r="J882" s="49"/>
      <c r="K882" s="46"/>
      <c r="L882" s="49"/>
    </row>
    <row r="883">
      <c r="A883" s="44"/>
      <c r="B883" s="45"/>
      <c r="C883" s="46"/>
      <c r="D883" s="47"/>
      <c r="E883" s="47"/>
      <c r="F883" s="45"/>
      <c r="G883" s="47"/>
      <c r="H883" s="48"/>
      <c r="I883" s="45"/>
      <c r="J883" s="49"/>
      <c r="K883" s="46"/>
      <c r="L883" s="49"/>
    </row>
    <row r="884">
      <c r="A884" s="44"/>
      <c r="B884" s="45"/>
      <c r="C884" s="46"/>
      <c r="D884" s="47"/>
      <c r="E884" s="47"/>
      <c r="F884" s="45"/>
      <c r="G884" s="47"/>
      <c r="H884" s="48"/>
      <c r="I884" s="45"/>
      <c r="J884" s="49"/>
      <c r="K884" s="46"/>
      <c r="L884" s="49"/>
    </row>
    <row r="885">
      <c r="A885" s="44"/>
      <c r="B885" s="45"/>
      <c r="C885" s="46"/>
      <c r="D885" s="47"/>
      <c r="E885" s="47"/>
      <c r="F885" s="45"/>
      <c r="G885" s="47"/>
      <c r="H885" s="48"/>
      <c r="I885" s="45"/>
      <c r="J885" s="49"/>
      <c r="K885" s="46"/>
      <c r="L885" s="49"/>
    </row>
    <row r="886">
      <c r="A886" s="44"/>
      <c r="B886" s="45"/>
      <c r="C886" s="46"/>
      <c r="D886" s="47"/>
      <c r="E886" s="47"/>
      <c r="F886" s="45"/>
      <c r="G886" s="47"/>
      <c r="H886" s="48"/>
      <c r="I886" s="45"/>
      <c r="J886" s="49"/>
      <c r="K886" s="46"/>
      <c r="L886" s="49"/>
    </row>
    <row r="887">
      <c r="A887" s="44"/>
      <c r="B887" s="45"/>
      <c r="C887" s="46"/>
      <c r="D887" s="47"/>
      <c r="E887" s="47"/>
      <c r="F887" s="45"/>
      <c r="G887" s="47"/>
      <c r="H887" s="48"/>
      <c r="I887" s="45"/>
      <c r="J887" s="49"/>
      <c r="K887" s="46"/>
      <c r="L887" s="49"/>
    </row>
    <row r="888">
      <c r="A888" s="44"/>
      <c r="B888" s="45"/>
      <c r="C888" s="46"/>
      <c r="D888" s="47"/>
      <c r="E888" s="47"/>
      <c r="F888" s="45"/>
      <c r="G888" s="47"/>
      <c r="H888" s="48"/>
      <c r="I888" s="45"/>
      <c r="J888" s="49"/>
      <c r="K888" s="46"/>
      <c r="L888" s="49"/>
    </row>
    <row r="889">
      <c r="A889" s="44"/>
      <c r="B889" s="45"/>
      <c r="C889" s="46"/>
      <c r="D889" s="47"/>
      <c r="E889" s="47"/>
      <c r="F889" s="45"/>
      <c r="G889" s="47"/>
      <c r="H889" s="48"/>
      <c r="I889" s="45"/>
      <c r="J889" s="49"/>
      <c r="K889" s="46"/>
      <c r="L889" s="49"/>
    </row>
    <row r="890">
      <c r="A890" s="44"/>
      <c r="B890" s="45"/>
      <c r="C890" s="46"/>
      <c r="D890" s="47"/>
      <c r="E890" s="47"/>
      <c r="F890" s="45"/>
      <c r="G890" s="47"/>
      <c r="H890" s="48"/>
      <c r="I890" s="45"/>
      <c r="J890" s="49"/>
      <c r="K890" s="46"/>
      <c r="L890" s="49"/>
    </row>
    <row r="891">
      <c r="A891" s="44"/>
      <c r="B891" s="45"/>
      <c r="C891" s="46"/>
      <c r="D891" s="47"/>
      <c r="E891" s="47"/>
      <c r="F891" s="45"/>
      <c r="G891" s="47"/>
      <c r="H891" s="48"/>
      <c r="I891" s="45"/>
      <c r="J891" s="49"/>
      <c r="K891" s="46"/>
      <c r="L891" s="49"/>
    </row>
    <row r="892">
      <c r="A892" s="44"/>
      <c r="B892" s="45"/>
      <c r="C892" s="46"/>
      <c r="D892" s="47"/>
      <c r="E892" s="47"/>
      <c r="F892" s="45"/>
      <c r="G892" s="47"/>
      <c r="H892" s="48"/>
      <c r="I892" s="45"/>
      <c r="J892" s="49"/>
      <c r="K892" s="46"/>
      <c r="L892" s="49"/>
    </row>
    <row r="893">
      <c r="A893" s="44"/>
      <c r="B893" s="45"/>
      <c r="C893" s="46"/>
      <c r="D893" s="47"/>
      <c r="E893" s="47"/>
      <c r="F893" s="45"/>
      <c r="G893" s="47"/>
      <c r="H893" s="48"/>
      <c r="I893" s="45"/>
      <c r="J893" s="49"/>
      <c r="K893" s="46"/>
      <c r="L893" s="49"/>
    </row>
    <row r="894">
      <c r="A894" s="44"/>
      <c r="B894" s="45"/>
      <c r="C894" s="46"/>
      <c r="D894" s="47"/>
      <c r="E894" s="47"/>
      <c r="F894" s="45"/>
      <c r="G894" s="47"/>
      <c r="H894" s="48"/>
      <c r="I894" s="45"/>
      <c r="J894" s="49"/>
      <c r="K894" s="46"/>
      <c r="L894" s="49"/>
    </row>
    <row r="895">
      <c r="A895" s="44"/>
      <c r="B895" s="45"/>
      <c r="C895" s="46"/>
      <c r="D895" s="47"/>
      <c r="E895" s="47"/>
      <c r="F895" s="45"/>
      <c r="G895" s="47"/>
      <c r="H895" s="48"/>
      <c r="I895" s="45"/>
      <c r="J895" s="49"/>
      <c r="K895" s="46"/>
      <c r="L895" s="49"/>
    </row>
    <row r="896">
      <c r="A896" s="44"/>
      <c r="B896" s="45"/>
      <c r="C896" s="46"/>
      <c r="D896" s="47"/>
      <c r="E896" s="47"/>
      <c r="F896" s="45"/>
      <c r="G896" s="47"/>
      <c r="H896" s="48"/>
      <c r="I896" s="45"/>
      <c r="J896" s="49"/>
      <c r="K896" s="46"/>
      <c r="L896" s="49"/>
    </row>
    <row r="897">
      <c r="A897" s="44"/>
      <c r="B897" s="45"/>
      <c r="C897" s="46"/>
      <c r="D897" s="47"/>
      <c r="E897" s="47"/>
      <c r="F897" s="45"/>
      <c r="G897" s="47"/>
      <c r="H897" s="48"/>
      <c r="I897" s="45"/>
      <c r="J897" s="49"/>
      <c r="K897" s="46"/>
      <c r="L897" s="49"/>
    </row>
    <row r="898">
      <c r="A898" s="44"/>
      <c r="B898" s="45"/>
      <c r="C898" s="46"/>
      <c r="D898" s="47"/>
      <c r="E898" s="47"/>
      <c r="F898" s="45"/>
      <c r="G898" s="47"/>
      <c r="H898" s="48"/>
      <c r="I898" s="45"/>
      <c r="J898" s="49"/>
      <c r="K898" s="46"/>
      <c r="L898" s="49"/>
    </row>
    <row r="899">
      <c r="A899" s="44"/>
      <c r="B899" s="45"/>
      <c r="C899" s="46"/>
      <c r="D899" s="47"/>
      <c r="E899" s="47"/>
      <c r="F899" s="45"/>
      <c r="G899" s="47"/>
      <c r="H899" s="48"/>
      <c r="I899" s="45"/>
      <c r="J899" s="49"/>
      <c r="K899" s="46"/>
      <c r="L899" s="49"/>
    </row>
    <row r="900">
      <c r="A900" s="44"/>
      <c r="B900" s="45"/>
      <c r="C900" s="46"/>
      <c r="D900" s="47"/>
      <c r="E900" s="47"/>
      <c r="F900" s="45"/>
      <c r="G900" s="47"/>
      <c r="H900" s="48"/>
      <c r="I900" s="45"/>
      <c r="J900" s="49"/>
      <c r="K900" s="46"/>
      <c r="L900" s="49"/>
    </row>
    <row r="901">
      <c r="A901" s="44"/>
      <c r="B901" s="45"/>
      <c r="C901" s="46"/>
      <c r="D901" s="47"/>
      <c r="E901" s="47"/>
      <c r="F901" s="45"/>
      <c r="G901" s="47"/>
      <c r="H901" s="48"/>
      <c r="I901" s="45"/>
      <c r="J901" s="49"/>
      <c r="K901" s="46"/>
      <c r="L901" s="49"/>
    </row>
    <row r="902">
      <c r="A902" s="44"/>
      <c r="B902" s="45"/>
      <c r="C902" s="46"/>
      <c r="D902" s="47"/>
      <c r="E902" s="47"/>
      <c r="F902" s="45"/>
      <c r="G902" s="47"/>
      <c r="H902" s="48"/>
      <c r="I902" s="45"/>
      <c r="J902" s="49"/>
      <c r="K902" s="46"/>
      <c r="L902" s="49"/>
    </row>
    <row r="903">
      <c r="A903" s="44"/>
      <c r="B903" s="45"/>
      <c r="C903" s="46"/>
      <c r="D903" s="47"/>
      <c r="E903" s="47"/>
      <c r="F903" s="45"/>
      <c r="G903" s="47"/>
      <c r="H903" s="48"/>
      <c r="I903" s="45"/>
      <c r="J903" s="49"/>
      <c r="K903" s="46"/>
      <c r="L903" s="49"/>
    </row>
    <row r="904">
      <c r="A904" s="44"/>
      <c r="B904" s="45"/>
      <c r="C904" s="46"/>
      <c r="D904" s="47"/>
      <c r="E904" s="47"/>
      <c r="F904" s="45"/>
      <c r="G904" s="47"/>
      <c r="H904" s="48"/>
      <c r="I904" s="45"/>
      <c r="J904" s="49"/>
      <c r="K904" s="46"/>
      <c r="L904" s="49"/>
    </row>
    <row r="905">
      <c r="A905" s="44"/>
      <c r="B905" s="45"/>
      <c r="C905" s="46"/>
      <c r="D905" s="47"/>
      <c r="E905" s="47"/>
      <c r="F905" s="45"/>
      <c r="G905" s="47"/>
      <c r="H905" s="48"/>
      <c r="I905" s="45"/>
      <c r="J905" s="49"/>
      <c r="K905" s="46"/>
      <c r="L905" s="49"/>
    </row>
    <row r="906">
      <c r="A906" s="44"/>
      <c r="B906" s="45"/>
      <c r="C906" s="46"/>
      <c r="D906" s="47"/>
      <c r="E906" s="47"/>
      <c r="F906" s="45"/>
      <c r="G906" s="47"/>
      <c r="H906" s="48"/>
      <c r="I906" s="45"/>
      <c r="J906" s="49"/>
      <c r="K906" s="46"/>
      <c r="L906" s="49"/>
    </row>
    <row r="907">
      <c r="A907" s="44"/>
      <c r="B907" s="45"/>
      <c r="C907" s="46"/>
      <c r="D907" s="47"/>
      <c r="E907" s="47"/>
      <c r="F907" s="45"/>
      <c r="G907" s="47"/>
      <c r="H907" s="48"/>
      <c r="I907" s="45"/>
      <c r="J907" s="49"/>
      <c r="K907" s="46"/>
      <c r="L907" s="49"/>
    </row>
    <row r="908">
      <c r="A908" s="44"/>
      <c r="B908" s="45"/>
      <c r="C908" s="46"/>
      <c r="D908" s="47"/>
      <c r="E908" s="47"/>
      <c r="F908" s="45"/>
      <c r="G908" s="47"/>
      <c r="H908" s="48"/>
      <c r="I908" s="45"/>
      <c r="J908" s="49"/>
      <c r="K908" s="46"/>
      <c r="L908" s="49"/>
    </row>
    <row r="909">
      <c r="A909" s="44"/>
      <c r="B909" s="45"/>
      <c r="C909" s="46"/>
      <c r="D909" s="47"/>
      <c r="E909" s="47"/>
      <c r="F909" s="45"/>
      <c r="G909" s="47"/>
      <c r="H909" s="48"/>
      <c r="I909" s="45"/>
      <c r="J909" s="49"/>
      <c r="K909" s="46"/>
      <c r="L909" s="49"/>
    </row>
    <row r="910">
      <c r="A910" s="44"/>
      <c r="B910" s="45"/>
      <c r="C910" s="46"/>
      <c r="D910" s="47"/>
      <c r="E910" s="47"/>
      <c r="F910" s="45"/>
      <c r="G910" s="47"/>
      <c r="H910" s="48"/>
      <c r="I910" s="45"/>
      <c r="J910" s="49"/>
      <c r="K910" s="46"/>
      <c r="L910" s="49"/>
    </row>
    <row r="911">
      <c r="A911" s="44"/>
      <c r="B911" s="45"/>
      <c r="C911" s="46"/>
      <c r="D911" s="47"/>
      <c r="E911" s="47"/>
      <c r="F911" s="45"/>
      <c r="G911" s="47"/>
      <c r="H911" s="48"/>
      <c r="I911" s="45"/>
      <c r="J911" s="49"/>
      <c r="K911" s="46"/>
      <c r="L911" s="49"/>
    </row>
    <row r="912">
      <c r="A912" s="44"/>
      <c r="B912" s="45"/>
      <c r="C912" s="46"/>
      <c r="D912" s="47"/>
      <c r="E912" s="47"/>
      <c r="F912" s="45"/>
      <c r="G912" s="47"/>
      <c r="H912" s="48"/>
      <c r="I912" s="45"/>
      <c r="J912" s="49"/>
      <c r="K912" s="46"/>
      <c r="L912" s="49"/>
    </row>
    <row r="913">
      <c r="A913" s="44"/>
      <c r="B913" s="45"/>
      <c r="C913" s="46"/>
      <c r="D913" s="47"/>
      <c r="E913" s="47"/>
      <c r="F913" s="45"/>
      <c r="G913" s="47"/>
      <c r="H913" s="48"/>
      <c r="I913" s="45"/>
      <c r="J913" s="49"/>
      <c r="K913" s="46"/>
      <c r="L913" s="49"/>
    </row>
    <row r="914">
      <c r="A914" s="44"/>
      <c r="B914" s="45"/>
      <c r="C914" s="46"/>
      <c r="D914" s="47"/>
      <c r="E914" s="47"/>
      <c r="F914" s="45"/>
      <c r="G914" s="47"/>
      <c r="H914" s="48"/>
      <c r="I914" s="45"/>
      <c r="J914" s="49"/>
      <c r="K914" s="46"/>
      <c r="L914" s="49"/>
    </row>
    <row r="915">
      <c r="A915" s="44"/>
      <c r="B915" s="45"/>
      <c r="C915" s="46"/>
      <c r="D915" s="47"/>
      <c r="E915" s="47"/>
      <c r="F915" s="45"/>
      <c r="G915" s="47"/>
      <c r="H915" s="48"/>
      <c r="I915" s="45"/>
      <c r="J915" s="49"/>
      <c r="K915" s="46"/>
      <c r="L915" s="49"/>
    </row>
    <row r="916">
      <c r="A916" s="44"/>
      <c r="B916" s="45"/>
      <c r="C916" s="46"/>
      <c r="D916" s="47"/>
      <c r="E916" s="47"/>
      <c r="F916" s="45"/>
      <c r="G916" s="47"/>
      <c r="H916" s="48"/>
      <c r="I916" s="45"/>
      <c r="J916" s="49"/>
      <c r="K916" s="46"/>
      <c r="L916" s="49"/>
    </row>
    <row r="917">
      <c r="A917" s="44"/>
      <c r="B917" s="45"/>
      <c r="C917" s="46"/>
      <c r="D917" s="47"/>
      <c r="E917" s="47"/>
      <c r="F917" s="45"/>
      <c r="G917" s="47"/>
      <c r="H917" s="48"/>
      <c r="I917" s="45"/>
      <c r="J917" s="49"/>
      <c r="K917" s="46"/>
      <c r="L917" s="49"/>
    </row>
    <row r="918">
      <c r="A918" s="44"/>
      <c r="B918" s="45"/>
      <c r="C918" s="46"/>
      <c r="D918" s="47"/>
      <c r="E918" s="47"/>
      <c r="F918" s="45"/>
      <c r="G918" s="47"/>
      <c r="H918" s="48"/>
      <c r="I918" s="45"/>
      <c r="J918" s="49"/>
      <c r="K918" s="46"/>
      <c r="L918" s="49"/>
    </row>
    <row r="919">
      <c r="A919" s="44"/>
      <c r="B919" s="45"/>
      <c r="C919" s="46"/>
      <c r="D919" s="47"/>
      <c r="E919" s="47"/>
      <c r="F919" s="45"/>
      <c r="G919" s="47"/>
      <c r="H919" s="48"/>
      <c r="I919" s="45"/>
      <c r="J919" s="49"/>
      <c r="K919" s="46"/>
      <c r="L919" s="49"/>
    </row>
    <row r="920">
      <c r="A920" s="44"/>
      <c r="B920" s="45"/>
      <c r="C920" s="46"/>
      <c r="D920" s="47"/>
      <c r="E920" s="47"/>
      <c r="F920" s="45"/>
      <c r="G920" s="47"/>
      <c r="H920" s="48"/>
      <c r="I920" s="45"/>
      <c r="J920" s="49"/>
      <c r="K920" s="46"/>
      <c r="L920" s="49"/>
    </row>
    <row r="921">
      <c r="A921" s="44"/>
      <c r="B921" s="45"/>
      <c r="C921" s="46"/>
      <c r="D921" s="47"/>
      <c r="E921" s="47"/>
      <c r="F921" s="45"/>
      <c r="G921" s="47"/>
      <c r="H921" s="48"/>
      <c r="I921" s="45"/>
      <c r="J921" s="49"/>
      <c r="K921" s="46"/>
      <c r="L921" s="49"/>
    </row>
    <row r="922">
      <c r="A922" s="44"/>
      <c r="B922" s="45"/>
      <c r="C922" s="46"/>
      <c r="D922" s="47"/>
      <c r="E922" s="47"/>
      <c r="F922" s="45"/>
      <c r="G922" s="47"/>
      <c r="H922" s="48"/>
      <c r="I922" s="45"/>
      <c r="J922" s="49"/>
      <c r="K922" s="46"/>
      <c r="L922" s="49"/>
    </row>
    <row r="923">
      <c r="A923" s="44"/>
      <c r="B923" s="45"/>
      <c r="C923" s="46"/>
      <c r="D923" s="47"/>
      <c r="E923" s="47"/>
      <c r="F923" s="45"/>
      <c r="G923" s="47"/>
      <c r="H923" s="48"/>
      <c r="I923" s="45"/>
      <c r="J923" s="49"/>
      <c r="K923" s="46"/>
      <c r="L923" s="49"/>
    </row>
    <row r="924">
      <c r="A924" s="44"/>
      <c r="B924" s="45"/>
      <c r="C924" s="46"/>
      <c r="D924" s="47"/>
      <c r="E924" s="47"/>
      <c r="F924" s="45"/>
      <c r="G924" s="47"/>
      <c r="H924" s="48"/>
      <c r="I924" s="45"/>
      <c r="J924" s="49"/>
      <c r="K924" s="46"/>
      <c r="L924" s="49"/>
    </row>
    <row r="925">
      <c r="A925" s="44"/>
      <c r="B925" s="45"/>
      <c r="C925" s="46"/>
      <c r="D925" s="47"/>
      <c r="E925" s="47"/>
      <c r="F925" s="45"/>
      <c r="G925" s="47"/>
      <c r="H925" s="48"/>
      <c r="I925" s="45"/>
      <c r="J925" s="49"/>
      <c r="K925" s="46"/>
      <c r="L925" s="49"/>
    </row>
    <row r="926">
      <c r="A926" s="44"/>
      <c r="B926" s="45"/>
      <c r="C926" s="46"/>
      <c r="D926" s="47"/>
      <c r="E926" s="47"/>
      <c r="F926" s="45"/>
      <c r="G926" s="47"/>
      <c r="H926" s="48"/>
      <c r="I926" s="45"/>
      <c r="J926" s="49"/>
      <c r="K926" s="46"/>
      <c r="L926" s="49"/>
    </row>
    <row r="927">
      <c r="A927" s="44"/>
      <c r="B927" s="45"/>
      <c r="C927" s="46"/>
      <c r="D927" s="47"/>
      <c r="E927" s="47"/>
      <c r="F927" s="45"/>
      <c r="G927" s="47"/>
      <c r="H927" s="48"/>
      <c r="I927" s="45"/>
      <c r="J927" s="49"/>
      <c r="K927" s="46"/>
      <c r="L927" s="49"/>
    </row>
    <row r="928">
      <c r="A928" s="44"/>
      <c r="B928" s="45"/>
      <c r="C928" s="46"/>
      <c r="D928" s="47"/>
      <c r="E928" s="47"/>
      <c r="F928" s="45"/>
      <c r="G928" s="47"/>
      <c r="H928" s="48"/>
      <c r="I928" s="45"/>
      <c r="J928" s="49"/>
      <c r="K928" s="46"/>
      <c r="L928" s="49"/>
    </row>
    <row r="929">
      <c r="A929" s="44"/>
      <c r="B929" s="45"/>
      <c r="C929" s="46"/>
      <c r="D929" s="47"/>
      <c r="E929" s="47"/>
      <c r="F929" s="45"/>
      <c r="G929" s="47"/>
      <c r="H929" s="48"/>
      <c r="I929" s="45"/>
      <c r="J929" s="49"/>
      <c r="K929" s="46"/>
      <c r="L929" s="49"/>
    </row>
    <row r="930">
      <c r="A930" s="44"/>
      <c r="B930" s="45"/>
      <c r="C930" s="46"/>
      <c r="D930" s="47"/>
      <c r="E930" s="47"/>
      <c r="F930" s="45"/>
      <c r="G930" s="47"/>
      <c r="H930" s="48"/>
      <c r="I930" s="45"/>
      <c r="J930" s="49"/>
      <c r="K930" s="46"/>
      <c r="L930" s="49"/>
    </row>
    <row r="931">
      <c r="A931" s="44"/>
      <c r="B931" s="45"/>
      <c r="C931" s="46"/>
      <c r="D931" s="47"/>
      <c r="E931" s="47"/>
      <c r="F931" s="45"/>
      <c r="G931" s="47"/>
      <c r="H931" s="48"/>
      <c r="I931" s="45"/>
      <c r="J931" s="49"/>
      <c r="K931" s="46"/>
      <c r="L931" s="49"/>
    </row>
    <row r="932">
      <c r="A932" s="44"/>
      <c r="B932" s="45"/>
      <c r="C932" s="46"/>
      <c r="D932" s="47"/>
      <c r="E932" s="47"/>
      <c r="F932" s="45"/>
      <c r="G932" s="47"/>
      <c r="H932" s="48"/>
      <c r="I932" s="45"/>
      <c r="J932" s="49"/>
      <c r="K932" s="46"/>
      <c r="L932" s="49"/>
    </row>
    <row r="933">
      <c r="A933" s="44"/>
      <c r="B933" s="45"/>
      <c r="C933" s="46"/>
      <c r="D933" s="47"/>
      <c r="E933" s="47"/>
      <c r="F933" s="45"/>
      <c r="G933" s="47"/>
      <c r="H933" s="48"/>
      <c r="I933" s="45"/>
      <c r="J933" s="49"/>
      <c r="K933" s="46"/>
      <c r="L933" s="49"/>
    </row>
    <row r="934">
      <c r="A934" s="44"/>
      <c r="B934" s="45"/>
      <c r="C934" s="46"/>
      <c r="D934" s="47"/>
      <c r="E934" s="47"/>
      <c r="F934" s="45"/>
      <c r="G934" s="47"/>
      <c r="H934" s="48"/>
      <c r="I934" s="45"/>
      <c r="J934" s="49"/>
      <c r="K934" s="46"/>
      <c r="L934" s="49"/>
    </row>
    <row r="935">
      <c r="A935" s="44"/>
      <c r="B935" s="45"/>
      <c r="C935" s="46"/>
      <c r="D935" s="47"/>
      <c r="E935" s="47"/>
      <c r="F935" s="45"/>
      <c r="G935" s="47"/>
      <c r="H935" s="48"/>
      <c r="I935" s="45"/>
      <c r="J935" s="49"/>
      <c r="K935" s="46"/>
      <c r="L935" s="49"/>
    </row>
    <row r="936">
      <c r="A936" s="44"/>
      <c r="B936" s="45"/>
      <c r="C936" s="46"/>
      <c r="D936" s="47"/>
      <c r="E936" s="47"/>
      <c r="F936" s="45"/>
      <c r="G936" s="47"/>
      <c r="H936" s="48"/>
      <c r="I936" s="45"/>
      <c r="J936" s="49"/>
      <c r="K936" s="46"/>
      <c r="L936" s="49"/>
    </row>
    <row r="937">
      <c r="A937" s="44"/>
      <c r="B937" s="45"/>
      <c r="C937" s="46"/>
      <c r="D937" s="47"/>
      <c r="E937" s="47"/>
      <c r="F937" s="45"/>
      <c r="G937" s="47"/>
      <c r="H937" s="48"/>
      <c r="I937" s="45"/>
      <c r="J937" s="49"/>
      <c r="K937" s="46"/>
      <c r="L937" s="49"/>
    </row>
    <row r="938">
      <c r="A938" s="44"/>
      <c r="B938" s="45"/>
      <c r="C938" s="46"/>
      <c r="D938" s="47"/>
      <c r="E938" s="47"/>
      <c r="F938" s="45"/>
      <c r="G938" s="47"/>
      <c r="H938" s="48"/>
      <c r="I938" s="45"/>
      <c r="J938" s="49"/>
      <c r="K938" s="46"/>
      <c r="L938" s="49"/>
    </row>
    <row r="939">
      <c r="A939" s="44"/>
      <c r="B939" s="45"/>
      <c r="C939" s="46"/>
      <c r="D939" s="47"/>
      <c r="E939" s="47"/>
      <c r="F939" s="45"/>
      <c r="G939" s="47"/>
      <c r="H939" s="48"/>
      <c r="I939" s="45"/>
      <c r="J939" s="49"/>
      <c r="K939" s="46"/>
      <c r="L939" s="49"/>
    </row>
    <row r="940">
      <c r="A940" s="44"/>
      <c r="B940" s="45"/>
      <c r="C940" s="46"/>
      <c r="D940" s="47"/>
      <c r="E940" s="47"/>
      <c r="F940" s="45"/>
      <c r="G940" s="47"/>
      <c r="H940" s="48"/>
      <c r="I940" s="45"/>
      <c r="J940" s="49"/>
      <c r="K940" s="46"/>
      <c r="L940" s="49"/>
    </row>
    <row r="941">
      <c r="A941" s="44"/>
      <c r="B941" s="45"/>
      <c r="C941" s="46"/>
      <c r="D941" s="47"/>
      <c r="E941" s="47"/>
      <c r="F941" s="45"/>
      <c r="G941" s="47"/>
      <c r="H941" s="48"/>
      <c r="I941" s="45"/>
      <c r="J941" s="49"/>
      <c r="K941" s="46"/>
      <c r="L941" s="49"/>
    </row>
    <row r="942">
      <c r="A942" s="44"/>
      <c r="B942" s="45"/>
      <c r="C942" s="46"/>
      <c r="D942" s="47"/>
      <c r="E942" s="47"/>
      <c r="F942" s="45"/>
      <c r="G942" s="47"/>
      <c r="H942" s="48"/>
      <c r="I942" s="45"/>
      <c r="J942" s="49"/>
      <c r="K942" s="46"/>
      <c r="L942" s="49"/>
    </row>
    <row r="943">
      <c r="A943" s="44"/>
      <c r="B943" s="45"/>
      <c r="C943" s="46"/>
      <c r="D943" s="47"/>
      <c r="E943" s="47"/>
      <c r="F943" s="45"/>
      <c r="G943" s="47"/>
      <c r="H943" s="48"/>
      <c r="I943" s="45"/>
      <c r="J943" s="49"/>
      <c r="K943" s="46"/>
      <c r="L943" s="49"/>
    </row>
    <row r="944">
      <c r="A944" s="44"/>
      <c r="B944" s="45"/>
      <c r="C944" s="46"/>
      <c r="D944" s="47"/>
      <c r="E944" s="47"/>
      <c r="F944" s="45"/>
      <c r="G944" s="47"/>
      <c r="H944" s="48"/>
      <c r="I944" s="45"/>
      <c r="J944" s="49"/>
      <c r="K944" s="46"/>
      <c r="L944" s="49"/>
    </row>
    <row r="945">
      <c r="A945" s="44"/>
      <c r="B945" s="45"/>
      <c r="C945" s="46"/>
      <c r="D945" s="47"/>
      <c r="E945" s="47"/>
      <c r="F945" s="45"/>
      <c r="G945" s="47"/>
      <c r="H945" s="48"/>
      <c r="I945" s="45"/>
      <c r="J945" s="49"/>
      <c r="K945" s="46"/>
      <c r="L945" s="49"/>
    </row>
    <row r="946">
      <c r="A946" s="44"/>
      <c r="B946" s="45"/>
      <c r="C946" s="46"/>
      <c r="D946" s="47"/>
      <c r="E946" s="47"/>
      <c r="F946" s="45"/>
      <c r="G946" s="47"/>
      <c r="H946" s="48"/>
      <c r="I946" s="45"/>
      <c r="J946" s="49"/>
      <c r="K946" s="46"/>
      <c r="L946" s="49"/>
    </row>
    <row r="947">
      <c r="A947" s="44"/>
      <c r="B947" s="45"/>
      <c r="C947" s="46"/>
      <c r="D947" s="47"/>
      <c r="E947" s="47"/>
      <c r="F947" s="45"/>
      <c r="G947" s="47"/>
      <c r="H947" s="48"/>
      <c r="I947" s="45"/>
      <c r="J947" s="49"/>
      <c r="K947" s="46"/>
      <c r="L947" s="49"/>
    </row>
    <row r="948">
      <c r="A948" s="44"/>
      <c r="B948" s="45"/>
      <c r="C948" s="46"/>
      <c r="D948" s="47"/>
      <c r="E948" s="47"/>
      <c r="F948" s="45"/>
      <c r="G948" s="47"/>
      <c r="H948" s="48"/>
      <c r="I948" s="45"/>
      <c r="J948" s="49"/>
      <c r="K948" s="46"/>
      <c r="L948" s="49"/>
    </row>
    <row r="949">
      <c r="A949" s="44"/>
      <c r="B949" s="45"/>
      <c r="C949" s="46"/>
      <c r="D949" s="47"/>
      <c r="E949" s="47"/>
      <c r="F949" s="45"/>
      <c r="G949" s="47"/>
      <c r="H949" s="48"/>
      <c r="I949" s="45"/>
      <c r="J949" s="49"/>
      <c r="K949" s="46"/>
      <c r="L949" s="49"/>
    </row>
    <row r="950">
      <c r="A950" s="44"/>
      <c r="B950" s="45"/>
      <c r="C950" s="46"/>
      <c r="D950" s="47"/>
      <c r="E950" s="47"/>
      <c r="F950" s="45"/>
      <c r="G950" s="47"/>
      <c r="H950" s="48"/>
      <c r="I950" s="45"/>
      <c r="J950" s="49"/>
      <c r="K950" s="46"/>
      <c r="L950" s="49"/>
    </row>
    <row r="951">
      <c r="A951" s="44"/>
      <c r="B951" s="45"/>
      <c r="C951" s="46"/>
      <c r="D951" s="47"/>
      <c r="E951" s="47"/>
      <c r="F951" s="45"/>
      <c r="G951" s="47"/>
      <c r="H951" s="48"/>
      <c r="I951" s="45"/>
      <c r="J951" s="49"/>
      <c r="K951" s="46"/>
      <c r="L951" s="49"/>
    </row>
    <row r="952">
      <c r="A952" s="44"/>
      <c r="B952" s="45"/>
      <c r="C952" s="46"/>
      <c r="D952" s="47"/>
      <c r="E952" s="47"/>
      <c r="F952" s="45"/>
      <c r="G952" s="47"/>
      <c r="H952" s="48"/>
      <c r="I952" s="45"/>
      <c r="J952" s="49"/>
      <c r="K952" s="46"/>
      <c r="L952" s="49"/>
    </row>
    <row r="953">
      <c r="A953" s="44"/>
      <c r="B953" s="45"/>
      <c r="C953" s="46"/>
      <c r="D953" s="47"/>
      <c r="E953" s="47"/>
      <c r="F953" s="45"/>
      <c r="G953" s="47"/>
      <c r="H953" s="48"/>
      <c r="I953" s="45"/>
      <c r="J953" s="49"/>
      <c r="K953" s="46"/>
      <c r="L953" s="49"/>
    </row>
    <row r="954">
      <c r="A954" s="44"/>
      <c r="B954" s="45"/>
      <c r="C954" s="46"/>
      <c r="D954" s="47"/>
      <c r="E954" s="47"/>
      <c r="F954" s="45"/>
      <c r="G954" s="47"/>
      <c r="H954" s="48"/>
      <c r="I954" s="45"/>
      <c r="J954" s="49"/>
      <c r="K954" s="46"/>
      <c r="L954" s="49"/>
    </row>
    <row r="955">
      <c r="A955" s="44"/>
      <c r="B955" s="45"/>
      <c r="C955" s="46"/>
      <c r="D955" s="47"/>
      <c r="E955" s="47"/>
      <c r="F955" s="45"/>
      <c r="G955" s="47"/>
      <c r="H955" s="48"/>
      <c r="I955" s="45"/>
      <c r="J955" s="49"/>
      <c r="K955" s="46"/>
      <c r="L955" s="49"/>
    </row>
    <row r="956">
      <c r="A956" s="44"/>
      <c r="B956" s="45"/>
      <c r="C956" s="46"/>
      <c r="D956" s="47"/>
      <c r="E956" s="47"/>
      <c r="F956" s="45"/>
      <c r="G956" s="47"/>
      <c r="H956" s="48"/>
      <c r="I956" s="45"/>
      <c r="J956" s="49"/>
      <c r="K956" s="46"/>
      <c r="L956" s="49"/>
    </row>
    <row r="957">
      <c r="A957" s="44"/>
      <c r="B957" s="45"/>
      <c r="C957" s="46"/>
      <c r="D957" s="47"/>
      <c r="E957" s="47"/>
      <c r="F957" s="45"/>
      <c r="G957" s="47"/>
      <c r="H957" s="48"/>
      <c r="I957" s="45"/>
      <c r="J957" s="49"/>
      <c r="K957" s="46"/>
      <c r="L957" s="49"/>
    </row>
    <row r="958">
      <c r="A958" s="44"/>
      <c r="B958" s="45"/>
      <c r="C958" s="46"/>
      <c r="D958" s="47"/>
      <c r="E958" s="47"/>
      <c r="F958" s="45"/>
      <c r="G958" s="47"/>
      <c r="H958" s="48"/>
      <c r="I958" s="45"/>
      <c r="J958" s="49"/>
      <c r="K958" s="46"/>
      <c r="L958" s="49"/>
    </row>
    <row r="959">
      <c r="A959" s="44"/>
      <c r="B959" s="45"/>
      <c r="C959" s="46"/>
      <c r="D959" s="47"/>
      <c r="E959" s="47"/>
      <c r="F959" s="45"/>
      <c r="G959" s="47"/>
      <c r="H959" s="48"/>
      <c r="I959" s="45"/>
      <c r="J959" s="49"/>
      <c r="K959" s="46"/>
      <c r="L959" s="49"/>
    </row>
    <row r="960">
      <c r="A960" s="44"/>
      <c r="B960" s="45"/>
      <c r="C960" s="46"/>
      <c r="D960" s="47"/>
      <c r="E960" s="47"/>
      <c r="F960" s="45"/>
      <c r="G960" s="47"/>
      <c r="H960" s="48"/>
      <c r="I960" s="45"/>
      <c r="J960" s="49"/>
      <c r="K960" s="46"/>
      <c r="L960" s="49"/>
    </row>
    <row r="961">
      <c r="A961" s="44"/>
      <c r="B961" s="45"/>
      <c r="C961" s="46"/>
      <c r="D961" s="47"/>
      <c r="E961" s="47"/>
      <c r="F961" s="45"/>
      <c r="G961" s="47"/>
      <c r="H961" s="48"/>
      <c r="I961" s="45"/>
      <c r="J961" s="49"/>
      <c r="K961" s="46"/>
      <c r="L961" s="49"/>
    </row>
    <row r="962">
      <c r="A962" s="44"/>
      <c r="B962" s="45"/>
      <c r="C962" s="46"/>
      <c r="D962" s="47"/>
      <c r="E962" s="47"/>
      <c r="F962" s="45"/>
      <c r="G962" s="47"/>
      <c r="H962" s="48"/>
      <c r="I962" s="45"/>
      <c r="J962" s="49"/>
      <c r="K962" s="46"/>
      <c r="L962" s="49"/>
    </row>
    <row r="963">
      <c r="A963" s="44"/>
      <c r="B963" s="45"/>
      <c r="C963" s="46"/>
      <c r="D963" s="47"/>
      <c r="E963" s="47"/>
      <c r="F963" s="45"/>
      <c r="G963" s="47"/>
      <c r="H963" s="48"/>
      <c r="I963" s="45"/>
      <c r="J963" s="49"/>
      <c r="K963" s="46"/>
      <c r="L963" s="49"/>
    </row>
    <row r="964">
      <c r="A964" s="44"/>
      <c r="B964" s="45"/>
      <c r="C964" s="46"/>
      <c r="D964" s="47"/>
      <c r="E964" s="47"/>
      <c r="F964" s="45"/>
      <c r="G964" s="47"/>
      <c r="H964" s="48"/>
      <c r="I964" s="45"/>
      <c r="J964" s="49"/>
      <c r="K964" s="46"/>
      <c r="L964" s="49"/>
    </row>
    <row r="965">
      <c r="A965" s="44"/>
      <c r="B965" s="45"/>
      <c r="C965" s="46"/>
      <c r="D965" s="47"/>
      <c r="E965" s="47"/>
      <c r="F965" s="45"/>
      <c r="G965" s="47"/>
      <c r="H965" s="48"/>
      <c r="I965" s="45"/>
      <c r="J965" s="49"/>
      <c r="K965" s="46"/>
      <c r="L965" s="49"/>
    </row>
    <row r="966">
      <c r="A966" s="44"/>
      <c r="B966" s="45"/>
      <c r="C966" s="46"/>
      <c r="D966" s="47"/>
      <c r="E966" s="47"/>
      <c r="F966" s="45"/>
      <c r="G966" s="47"/>
      <c r="H966" s="48"/>
      <c r="I966" s="45"/>
      <c r="J966" s="49"/>
      <c r="K966" s="46"/>
      <c r="L966" s="49"/>
    </row>
    <row r="967">
      <c r="A967" s="44"/>
      <c r="B967" s="45"/>
      <c r="C967" s="46"/>
      <c r="D967" s="47"/>
      <c r="E967" s="47"/>
      <c r="F967" s="45"/>
      <c r="G967" s="47"/>
      <c r="H967" s="48"/>
      <c r="I967" s="45"/>
      <c r="J967" s="49"/>
      <c r="K967" s="46"/>
      <c r="L967" s="49"/>
    </row>
    <row r="968">
      <c r="A968" s="44"/>
      <c r="B968" s="45"/>
      <c r="C968" s="46"/>
      <c r="D968" s="47"/>
      <c r="E968" s="47"/>
      <c r="F968" s="45"/>
      <c r="G968" s="47"/>
      <c r="H968" s="48"/>
      <c r="I968" s="45"/>
      <c r="J968" s="49"/>
      <c r="K968" s="46"/>
      <c r="L968" s="49"/>
    </row>
    <row r="969">
      <c r="A969" s="44"/>
      <c r="B969" s="45"/>
      <c r="C969" s="46"/>
      <c r="D969" s="47"/>
      <c r="E969" s="47"/>
      <c r="F969" s="45"/>
      <c r="G969" s="47"/>
      <c r="H969" s="48"/>
      <c r="I969" s="45"/>
      <c r="J969" s="49"/>
      <c r="K969" s="46"/>
      <c r="L969" s="49"/>
    </row>
    <row r="970">
      <c r="A970" s="44"/>
      <c r="B970" s="45"/>
      <c r="C970" s="46"/>
      <c r="D970" s="47"/>
      <c r="E970" s="47"/>
      <c r="F970" s="45"/>
      <c r="G970" s="47"/>
      <c r="H970" s="48"/>
      <c r="I970" s="45"/>
      <c r="J970" s="49"/>
      <c r="K970" s="46"/>
      <c r="L970" s="49"/>
    </row>
    <row r="971">
      <c r="A971" s="44"/>
      <c r="B971" s="45"/>
      <c r="C971" s="46"/>
      <c r="D971" s="47"/>
      <c r="E971" s="47"/>
      <c r="F971" s="45"/>
      <c r="G971" s="47"/>
      <c r="H971" s="48"/>
      <c r="I971" s="45"/>
      <c r="J971" s="49"/>
      <c r="K971" s="46"/>
      <c r="L971" s="49"/>
    </row>
    <row r="972">
      <c r="A972" s="44"/>
      <c r="B972" s="45"/>
      <c r="C972" s="46"/>
      <c r="D972" s="47"/>
      <c r="E972" s="47"/>
      <c r="F972" s="45"/>
      <c r="G972" s="47"/>
      <c r="H972" s="48"/>
      <c r="I972" s="45"/>
      <c r="J972" s="49"/>
      <c r="K972" s="46"/>
      <c r="L972" s="49"/>
    </row>
    <row r="973">
      <c r="A973" s="44"/>
      <c r="B973" s="45"/>
      <c r="C973" s="46"/>
      <c r="D973" s="47"/>
      <c r="E973" s="47"/>
      <c r="F973" s="45"/>
      <c r="G973" s="47"/>
      <c r="H973" s="48"/>
      <c r="I973" s="45"/>
      <c r="J973" s="49"/>
      <c r="K973" s="46"/>
      <c r="L973" s="49"/>
    </row>
    <row r="974">
      <c r="A974" s="44"/>
      <c r="B974" s="45"/>
      <c r="C974" s="46"/>
      <c r="D974" s="47"/>
      <c r="E974" s="47"/>
      <c r="F974" s="45"/>
      <c r="G974" s="47"/>
      <c r="H974" s="48"/>
      <c r="I974" s="45"/>
      <c r="J974" s="49"/>
      <c r="K974" s="46"/>
      <c r="L974" s="49"/>
    </row>
    <row r="975">
      <c r="A975" s="44"/>
      <c r="B975" s="45"/>
      <c r="C975" s="46"/>
      <c r="D975" s="47"/>
      <c r="E975" s="47"/>
      <c r="F975" s="45"/>
      <c r="G975" s="47"/>
      <c r="H975" s="48"/>
      <c r="I975" s="45"/>
      <c r="J975" s="49"/>
      <c r="K975" s="46"/>
      <c r="L975" s="49"/>
    </row>
    <row r="976">
      <c r="A976" s="44"/>
      <c r="B976" s="45"/>
      <c r="C976" s="46"/>
      <c r="D976" s="47"/>
      <c r="E976" s="47"/>
      <c r="F976" s="45"/>
      <c r="G976" s="47"/>
      <c r="H976" s="48"/>
      <c r="I976" s="45"/>
      <c r="J976" s="49"/>
      <c r="K976" s="46"/>
      <c r="L976" s="49"/>
    </row>
    <row r="977">
      <c r="A977" s="44"/>
      <c r="B977" s="45"/>
      <c r="C977" s="46"/>
      <c r="D977" s="47"/>
      <c r="E977" s="47"/>
      <c r="F977" s="45"/>
      <c r="G977" s="47"/>
      <c r="H977" s="48"/>
      <c r="I977" s="45"/>
      <c r="J977" s="49"/>
      <c r="K977" s="46"/>
      <c r="L977" s="49"/>
    </row>
    <row r="978">
      <c r="A978" s="44"/>
      <c r="B978" s="45"/>
      <c r="C978" s="46"/>
      <c r="D978" s="47"/>
      <c r="E978" s="47"/>
      <c r="F978" s="45"/>
      <c r="G978" s="47"/>
      <c r="H978" s="48"/>
      <c r="I978" s="45"/>
      <c r="J978" s="49"/>
      <c r="K978" s="46"/>
      <c r="L978" s="49"/>
    </row>
    <row r="979">
      <c r="A979" s="44"/>
      <c r="B979" s="45"/>
      <c r="C979" s="46"/>
      <c r="D979" s="47"/>
      <c r="E979" s="47"/>
      <c r="F979" s="45"/>
      <c r="G979" s="47"/>
      <c r="H979" s="48"/>
      <c r="I979" s="45"/>
      <c r="J979" s="49"/>
      <c r="K979" s="46"/>
      <c r="L979" s="49"/>
    </row>
    <row r="980">
      <c r="A980" s="44"/>
      <c r="B980" s="45"/>
      <c r="C980" s="46"/>
      <c r="D980" s="47"/>
      <c r="E980" s="47"/>
      <c r="F980" s="45"/>
      <c r="G980" s="47"/>
      <c r="H980" s="48"/>
      <c r="I980" s="45"/>
      <c r="J980" s="49"/>
      <c r="K980" s="46"/>
      <c r="L980" s="49"/>
    </row>
    <row r="981">
      <c r="A981" s="44"/>
      <c r="B981" s="45"/>
      <c r="C981" s="46"/>
      <c r="D981" s="47"/>
      <c r="E981" s="47"/>
      <c r="F981" s="45"/>
      <c r="G981" s="47"/>
      <c r="H981" s="48"/>
      <c r="I981" s="45"/>
      <c r="J981" s="49"/>
      <c r="K981" s="46"/>
      <c r="L981" s="49"/>
    </row>
    <row r="982">
      <c r="A982" s="44"/>
      <c r="B982" s="45"/>
      <c r="C982" s="46"/>
      <c r="D982" s="47"/>
      <c r="E982" s="47"/>
      <c r="F982" s="45"/>
      <c r="G982" s="47"/>
      <c r="H982" s="48"/>
      <c r="I982" s="45"/>
      <c r="J982" s="49"/>
      <c r="K982" s="46"/>
      <c r="L982" s="49"/>
    </row>
    <row r="983">
      <c r="A983" s="44"/>
      <c r="B983" s="45"/>
      <c r="C983" s="46"/>
      <c r="D983" s="47"/>
      <c r="E983" s="47"/>
      <c r="F983" s="45"/>
      <c r="G983" s="47"/>
      <c r="H983" s="48"/>
      <c r="I983" s="45"/>
      <c r="J983" s="49"/>
      <c r="K983" s="46"/>
      <c r="L983" s="49"/>
    </row>
    <row r="984">
      <c r="A984" s="44"/>
      <c r="B984" s="45"/>
      <c r="C984" s="46"/>
      <c r="D984" s="47"/>
      <c r="E984" s="47"/>
      <c r="F984" s="45"/>
      <c r="G984" s="47"/>
      <c r="H984" s="48"/>
      <c r="I984" s="45"/>
      <c r="J984" s="49"/>
      <c r="K984" s="46"/>
      <c r="L984" s="49"/>
    </row>
    <row r="985">
      <c r="A985" s="44"/>
      <c r="B985" s="45"/>
      <c r="C985" s="46"/>
      <c r="D985" s="47"/>
      <c r="E985" s="47"/>
      <c r="F985" s="45"/>
      <c r="G985" s="47"/>
      <c r="H985" s="48"/>
      <c r="I985" s="45"/>
      <c r="J985" s="49"/>
      <c r="K985" s="46"/>
      <c r="L985" s="49"/>
    </row>
    <row r="986">
      <c r="A986" s="44"/>
      <c r="B986" s="45"/>
      <c r="C986" s="46"/>
      <c r="D986" s="47"/>
      <c r="E986" s="47"/>
      <c r="F986" s="45"/>
      <c r="G986" s="47"/>
      <c r="H986" s="48"/>
      <c r="I986" s="45"/>
      <c r="J986" s="49"/>
      <c r="K986" s="46"/>
      <c r="L986" s="49"/>
    </row>
    <row r="987">
      <c r="A987" s="44"/>
      <c r="B987" s="45"/>
      <c r="C987" s="46"/>
      <c r="D987" s="47"/>
      <c r="E987" s="47"/>
      <c r="F987" s="45"/>
      <c r="G987" s="47"/>
      <c r="H987" s="48"/>
      <c r="I987" s="45"/>
      <c r="J987" s="49"/>
      <c r="K987" s="46"/>
      <c r="L987" s="49"/>
    </row>
    <row r="988">
      <c r="A988" s="44"/>
      <c r="B988" s="45"/>
      <c r="C988" s="46"/>
      <c r="D988" s="47"/>
      <c r="E988" s="47"/>
      <c r="F988" s="45"/>
      <c r="G988" s="47"/>
      <c r="H988" s="48"/>
      <c r="I988" s="45"/>
      <c r="J988" s="49"/>
      <c r="K988" s="46"/>
      <c r="L988" s="49"/>
    </row>
    <row r="989">
      <c r="A989" s="44"/>
      <c r="B989" s="45"/>
      <c r="C989" s="46"/>
      <c r="D989" s="47"/>
      <c r="E989" s="47"/>
      <c r="F989" s="45"/>
      <c r="G989" s="47"/>
      <c r="H989" s="48"/>
      <c r="I989" s="45"/>
      <c r="J989" s="49"/>
      <c r="K989" s="46"/>
      <c r="L989" s="49"/>
    </row>
    <row r="990">
      <c r="A990" s="44"/>
      <c r="B990" s="45"/>
      <c r="C990" s="46"/>
      <c r="D990" s="47"/>
      <c r="E990" s="47"/>
      <c r="F990" s="45"/>
      <c r="G990" s="47"/>
      <c r="H990" s="48"/>
      <c r="I990" s="45"/>
      <c r="J990" s="49"/>
      <c r="K990" s="46"/>
      <c r="L990" s="49"/>
    </row>
    <row r="991">
      <c r="A991" s="44"/>
      <c r="B991" s="45"/>
      <c r="C991" s="46"/>
      <c r="D991" s="47"/>
      <c r="E991" s="47"/>
      <c r="F991" s="45"/>
      <c r="G991" s="47"/>
      <c r="H991" s="48"/>
      <c r="I991" s="45"/>
      <c r="J991" s="49"/>
      <c r="K991" s="46"/>
      <c r="L991" s="49"/>
    </row>
    <row r="992">
      <c r="A992" s="44"/>
      <c r="B992" s="45"/>
      <c r="C992" s="46"/>
      <c r="D992" s="47"/>
      <c r="E992" s="47"/>
      <c r="F992" s="45"/>
      <c r="G992" s="47"/>
      <c r="H992" s="48"/>
      <c r="I992" s="45"/>
      <c r="J992" s="49"/>
      <c r="K992" s="46"/>
      <c r="L992" s="49"/>
    </row>
    <row r="993">
      <c r="A993" s="44"/>
      <c r="B993" s="45"/>
      <c r="C993" s="46"/>
      <c r="D993" s="47"/>
      <c r="E993" s="47"/>
      <c r="F993" s="45"/>
      <c r="G993" s="47"/>
      <c r="H993" s="48"/>
      <c r="I993" s="45"/>
      <c r="J993" s="49"/>
      <c r="K993" s="46"/>
      <c r="L993" s="49"/>
    </row>
    <row r="994">
      <c r="A994" s="44"/>
      <c r="B994" s="45"/>
      <c r="C994" s="46"/>
      <c r="D994" s="47"/>
      <c r="E994" s="47"/>
      <c r="F994" s="45"/>
      <c r="G994" s="47"/>
      <c r="H994" s="48"/>
      <c r="I994" s="45"/>
      <c r="J994" s="49"/>
      <c r="K994" s="46"/>
      <c r="L994" s="49"/>
    </row>
    <row r="995">
      <c r="A995" s="44"/>
      <c r="B995" s="45"/>
      <c r="C995" s="46"/>
      <c r="D995" s="47"/>
      <c r="E995" s="47"/>
      <c r="F995" s="45"/>
      <c r="G995" s="47"/>
      <c r="H995" s="48"/>
      <c r="I995" s="45"/>
      <c r="J995" s="49"/>
      <c r="K995" s="46"/>
      <c r="L995" s="49"/>
    </row>
    <row r="996">
      <c r="A996" s="44"/>
      <c r="B996" s="45"/>
      <c r="C996" s="46"/>
      <c r="D996" s="47"/>
      <c r="E996" s="47"/>
      <c r="F996" s="45"/>
      <c r="G996" s="47"/>
      <c r="H996" s="48"/>
      <c r="I996" s="45"/>
      <c r="J996" s="49"/>
      <c r="K996" s="46"/>
      <c r="L996" s="49"/>
    </row>
    <row r="997">
      <c r="A997" s="44"/>
      <c r="B997" s="45"/>
      <c r="C997" s="46"/>
      <c r="D997" s="47"/>
      <c r="E997" s="47"/>
      <c r="F997" s="45"/>
      <c r="G997" s="47"/>
      <c r="H997" s="48"/>
      <c r="I997" s="45"/>
      <c r="J997" s="49"/>
      <c r="K997" s="46"/>
      <c r="L997" s="49"/>
    </row>
    <row r="998">
      <c r="A998" s="44"/>
      <c r="B998" s="45"/>
      <c r="C998" s="46"/>
      <c r="D998" s="47"/>
      <c r="E998" s="47"/>
      <c r="F998" s="45"/>
      <c r="G998" s="47"/>
      <c r="H998" s="48"/>
      <c r="I998" s="45"/>
      <c r="J998" s="49"/>
      <c r="K998" s="46"/>
      <c r="L998" s="49"/>
    </row>
    <row r="999">
      <c r="A999" s="44"/>
      <c r="B999" s="45"/>
      <c r="C999" s="46"/>
      <c r="D999" s="47"/>
      <c r="E999" s="47"/>
      <c r="F999" s="45"/>
      <c r="G999" s="47"/>
      <c r="H999" s="48"/>
      <c r="I999" s="45"/>
      <c r="J999" s="49"/>
      <c r="K999" s="46"/>
      <c r="L999" s="49"/>
    </row>
  </sheetData>
  <autoFilter ref="$A$1:$L$34">
    <sortState ref="A1:L34">
      <sortCondition ref="F1:F34"/>
    </sortState>
  </autoFilter>
  <conditionalFormatting sqref="L2:L999">
    <cfRule type="cellIs" dxfId="0" priority="1" operator="equal">
      <formula>"DELIVERED"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14.38"/>
    <col customWidth="1" min="3" max="3" width="15.63"/>
    <col customWidth="1" min="4" max="4" width="4.0"/>
    <col customWidth="1" min="5" max="5" width="4.63"/>
    <col customWidth="1" min="6" max="6" width="14.5"/>
    <col customWidth="1" min="7" max="7" width="17.88"/>
    <col customWidth="1" min="8" max="8" width="17.0"/>
    <col customWidth="1" min="11" max="11" width="25.38"/>
  </cols>
  <sheetData>
    <row r="1">
      <c r="A1" s="22" t="s">
        <v>4</v>
      </c>
      <c r="B1" s="22" t="s">
        <v>11</v>
      </c>
      <c r="C1" s="22" t="s">
        <v>1</v>
      </c>
      <c r="D1" s="22" t="s">
        <v>19</v>
      </c>
      <c r="E1" s="22" t="s">
        <v>24</v>
      </c>
      <c r="F1" s="22" t="s">
        <v>28</v>
      </c>
      <c r="G1" s="22" t="s">
        <v>181</v>
      </c>
      <c r="H1" s="22" t="s">
        <v>37</v>
      </c>
      <c r="I1" s="22" t="s">
        <v>43</v>
      </c>
      <c r="J1" s="22" t="s">
        <v>46</v>
      </c>
      <c r="K1" s="22" t="s">
        <v>50</v>
      </c>
      <c r="L1" s="43" t="s">
        <v>261</v>
      </c>
      <c r="M1" s="43" t="s">
        <v>57</v>
      </c>
      <c r="N1" s="43" t="s">
        <v>60</v>
      </c>
      <c r="O1" s="43" t="s">
        <v>1905</v>
      </c>
      <c r="P1" s="43" t="s">
        <v>67</v>
      </c>
    </row>
    <row r="2">
      <c r="A2" s="44">
        <v>46106.56314763889</v>
      </c>
      <c r="B2" s="45" t="s">
        <v>3011</v>
      </c>
      <c r="C2" s="46" t="s">
        <v>361</v>
      </c>
      <c r="D2" s="47"/>
      <c r="E2" s="47"/>
      <c r="F2" s="47">
        <v>90.0</v>
      </c>
      <c r="G2" s="47" t="s">
        <v>363</v>
      </c>
      <c r="H2" s="48">
        <v>46098.0</v>
      </c>
      <c r="I2" s="45" t="s">
        <v>228</v>
      </c>
      <c r="J2" s="49"/>
      <c r="K2" s="46" t="s">
        <v>3013</v>
      </c>
      <c r="L2" s="49"/>
    </row>
    <row r="3">
      <c r="A3" s="44">
        <v>46107.311319050925</v>
      </c>
      <c r="B3" s="45" t="s">
        <v>3011</v>
      </c>
      <c r="C3" s="46" t="s">
        <v>402</v>
      </c>
      <c r="D3" s="47"/>
      <c r="E3" s="47"/>
      <c r="F3" s="47">
        <v>2.0</v>
      </c>
      <c r="G3" s="47" t="s">
        <v>363</v>
      </c>
      <c r="H3" s="48"/>
      <c r="I3" s="45" t="s">
        <v>226</v>
      </c>
      <c r="J3" s="49" t="s">
        <v>3014</v>
      </c>
      <c r="K3" s="46" t="s">
        <v>1462</v>
      </c>
      <c r="L3" s="49"/>
    </row>
    <row r="4">
      <c r="A4" s="44">
        <v>46107.31978075231</v>
      </c>
      <c r="B4" s="45" t="s">
        <v>3011</v>
      </c>
      <c r="C4" s="46" t="s">
        <v>402</v>
      </c>
      <c r="D4" s="47"/>
      <c r="E4" s="47"/>
      <c r="F4" s="47">
        <v>7.5</v>
      </c>
      <c r="G4" s="47" t="s">
        <v>363</v>
      </c>
      <c r="H4" s="48"/>
      <c r="I4" s="45" t="s">
        <v>233</v>
      </c>
      <c r="J4" s="49" t="s">
        <v>3017</v>
      </c>
      <c r="K4" s="46" t="s">
        <v>1474</v>
      </c>
      <c r="L4" s="49"/>
    </row>
    <row r="5">
      <c r="A5" s="44">
        <v>46111.645112071754</v>
      </c>
      <c r="B5" s="45" t="s">
        <v>3011</v>
      </c>
      <c r="C5" s="46" t="s">
        <v>395</v>
      </c>
      <c r="D5" s="47"/>
      <c r="E5" s="47"/>
      <c r="F5" s="47">
        <v>28.0</v>
      </c>
      <c r="G5" s="47" t="s">
        <v>363</v>
      </c>
      <c r="H5" s="48"/>
      <c r="I5" s="45" t="s">
        <v>233</v>
      </c>
      <c r="J5" s="49" t="s">
        <v>3020</v>
      </c>
      <c r="K5" s="46"/>
      <c r="L5" s="49"/>
    </row>
    <row r="6">
      <c r="A6" s="44">
        <v>46111.64834748843</v>
      </c>
      <c r="B6" s="45" t="s">
        <v>3011</v>
      </c>
      <c r="C6" s="46" t="s">
        <v>3022</v>
      </c>
      <c r="D6" s="47"/>
      <c r="E6" s="47"/>
      <c r="F6" s="47">
        <v>36.0</v>
      </c>
      <c r="G6" s="47" t="s">
        <v>363</v>
      </c>
      <c r="H6" s="48"/>
      <c r="I6" s="45" t="s">
        <v>234</v>
      </c>
      <c r="J6" s="49" t="s">
        <v>3020</v>
      </c>
      <c r="K6" s="46"/>
      <c r="L6" s="49"/>
    </row>
    <row r="7">
      <c r="A7" s="44">
        <v>46111.64984359954</v>
      </c>
      <c r="B7" s="45" t="s">
        <v>3011</v>
      </c>
      <c r="C7" s="46" t="s">
        <v>397</v>
      </c>
      <c r="D7" s="47"/>
      <c r="E7" s="47"/>
      <c r="F7" s="47">
        <v>21.0</v>
      </c>
      <c r="G7" s="47" t="s">
        <v>363</v>
      </c>
      <c r="H7" s="48"/>
      <c r="I7" s="45" t="s">
        <v>237</v>
      </c>
      <c r="J7" s="49" t="s">
        <v>3020</v>
      </c>
      <c r="K7" s="46"/>
      <c r="L7" s="49"/>
    </row>
    <row r="8">
      <c r="A8" s="44">
        <v>46111.650728506946</v>
      </c>
      <c r="B8" s="45" t="s">
        <v>3011</v>
      </c>
      <c r="C8" s="46" t="s">
        <v>1851</v>
      </c>
      <c r="D8" s="47"/>
      <c r="E8" s="47"/>
      <c r="F8" s="47">
        <v>27.0</v>
      </c>
      <c r="G8" s="47" t="s">
        <v>363</v>
      </c>
      <c r="H8" s="48"/>
      <c r="I8" s="45" t="s">
        <v>240</v>
      </c>
      <c r="J8" s="49" t="s">
        <v>3020</v>
      </c>
      <c r="K8" s="46"/>
      <c r="L8" s="49"/>
    </row>
    <row r="9">
      <c r="A9" s="44">
        <v>46111.65210309028</v>
      </c>
      <c r="B9" s="45" t="s">
        <v>3011</v>
      </c>
      <c r="C9" s="46" t="s">
        <v>401</v>
      </c>
      <c r="D9" s="47"/>
      <c r="E9" s="47"/>
      <c r="F9" s="47">
        <v>8.0</v>
      </c>
      <c r="G9" s="47" t="s">
        <v>363</v>
      </c>
      <c r="H9" s="48"/>
      <c r="I9" s="45" t="s">
        <v>237</v>
      </c>
      <c r="J9" s="49" t="s">
        <v>3020</v>
      </c>
      <c r="K9" s="46"/>
      <c r="L9" s="49"/>
    </row>
    <row r="10">
      <c r="A10" s="44">
        <v>46111.653327928245</v>
      </c>
      <c r="B10" s="45" t="s">
        <v>3011</v>
      </c>
      <c r="C10" s="46" t="s">
        <v>401</v>
      </c>
      <c r="D10" s="47"/>
      <c r="E10" s="47"/>
      <c r="F10" s="47">
        <v>16.0</v>
      </c>
      <c r="G10" s="47" t="s">
        <v>363</v>
      </c>
      <c r="H10" s="48"/>
      <c r="I10" s="45" t="s">
        <v>240</v>
      </c>
      <c r="J10" s="49" t="s">
        <v>3020</v>
      </c>
      <c r="K10" s="46"/>
      <c r="L10" s="49"/>
    </row>
    <row r="11">
      <c r="A11" s="44">
        <v>46111.65482472222</v>
      </c>
      <c r="B11" s="45" t="s">
        <v>3011</v>
      </c>
      <c r="C11" s="46" t="s">
        <v>548</v>
      </c>
      <c r="D11" s="47"/>
      <c r="E11" s="47"/>
      <c r="F11" s="47">
        <v>12.0</v>
      </c>
      <c r="G11" s="47" t="s">
        <v>363</v>
      </c>
      <c r="H11" s="48"/>
      <c r="I11" s="45" t="s">
        <v>233</v>
      </c>
      <c r="J11" s="49" t="s">
        <v>3020</v>
      </c>
      <c r="K11" s="46"/>
      <c r="L11" s="49"/>
    </row>
    <row r="12">
      <c r="A12" s="44">
        <v>46112.33998283565</v>
      </c>
      <c r="B12" s="45" t="s">
        <v>3011</v>
      </c>
      <c r="C12" s="46" t="s">
        <v>327</v>
      </c>
      <c r="D12" s="47"/>
      <c r="E12" s="47"/>
      <c r="F12" s="47">
        <v>18.5</v>
      </c>
      <c r="G12" s="47" t="s">
        <v>363</v>
      </c>
      <c r="H12" s="48"/>
      <c r="I12" s="45" t="s">
        <v>234</v>
      </c>
      <c r="J12" s="49" t="s">
        <v>69</v>
      </c>
      <c r="K12" s="46" t="s">
        <v>3032</v>
      </c>
      <c r="L12" s="49"/>
    </row>
    <row r="13">
      <c r="A13" s="44">
        <v>46112.34100922453</v>
      </c>
      <c r="B13" s="45" t="s">
        <v>3011</v>
      </c>
      <c r="C13" s="46" t="s">
        <v>339</v>
      </c>
      <c r="D13" s="47"/>
      <c r="E13" s="47"/>
      <c r="F13" s="47">
        <v>11.0</v>
      </c>
      <c r="G13" s="47" t="s">
        <v>363</v>
      </c>
      <c r="H13" s="48"/>
      <c r="I13" s="45" t="s">
        <v>234</v>
      </c>
      <c r="J13" s="49" t="s">
        <v>69</v>
      </c>
      <c r="K13" s="46" t="s">
        <v>3035</v>
      </c>
      <c r="L13" s="49"/>
    </row>
    <row r="14">
      <c r="A14" s="44"/>
      <c r="B14" s="45"/>
      <c r="C14" s="46"/>
      <c r="D14" s="47"/>
      <c r="E14" s="47"/>
      <c r="F14" s="45"/>
      <c r="G14" s="47"/>
      <c r="H14" s="48"/>
      <c r="I14" s="45"/>
      <c r="J14" s="49"/>
      <c r="K14" s="46"/>
      <c r="L14" s="49"/>
    </row>
    <row r="15">
      <c r="A15" s="44"/>
      <c r="B15" s="45"/>
      <c r="C15" s="46"/>
      <c r="D15" s="47"/>
      <c r="E15" s="47"/>
      <c r="F15" s="45"/>
      <c r="G15" s="47"/>
      <c r="H15" s="48"/>
      <c r="I15" s="45"/>
      <c r="J15" s="49"/>
      <c r="K15" s="46"/>
      <c r="L15" s="49"/>
    </row>
    <row r="16">
      <c r="A16" s="44"/>
      <c r="B16" s="45"/>
      <c r="C16" s="46"/>
      <c r="D16" s="47"/>
      <c r="E16" s="47"/>
      <c r="F16" s="45"/>
      <c r="G16" s="47"/>
      <c r="H16" s="48"/>
      <c r="I16" s="45"/>
      <c r="J16" s="49"/>
      <c r="K16" s="46"/>
      <c r="L16" s="49"/>
    </row>
    <row r="17">
      <c r="A17" s="44"/>
      <c r="B17" s="45"/>
      <c r="C17" s="46"/>
      <c r="D17" s="47"/>
      <c r="E17" s="47"/>
      <c r="F17" s="45"/>
      <c r="G17" s="47"/>
      <c r="H17" s="48"/>
      <c r="I17" s="45"/>
      <c r="J17" s="49"/>
      <c r="K17" s="46"/>
      <c r="L17" s="49"/>
    </row>
    <row r="18">
      <c r="A18" s="44"/>
      <c r="B18" s="45"/>
      <c r="C18" s="46"/>
      <c r="D18" s="47"/>
      <c r="E18" s="47"/>
      <c r="F18" s="45"/>
      <c r="G18" s="47"/>
      <c r="H18" s="48"/>
      <c r="I18" s="45"/>
      <c r="J18" s="49"/>
      <c r="K18" s="46"/>
      <c r="L18" s="49"/>
    </row>
    <row r="19">
      <c r="A19" s="44"/>
      <c r="B19" s="45"/>
      <c r="C19" s="46"/>
      <c r="D19" s="47"/>
      <c r="E19" s="47"/>
      <c r="F19" s="45"/>
      <c r="G19" s="47"/>
      <c r="H19" s="48"/>
      <c r="I19" s="45"/>
      <c r="J19" s="49"/>
      <c r="K19" s="46"/>
      <c r="L19" s="49"/>
    </row>
    <row r="20">
      <c r="A20" s="44"/>
      <c r="B20" s="45"/>
      <c r="C20" s="46"/>
      <c r="D20" s="47"/>
      <c r="E20" s="47"/>
      <c r="F20" s="45"/>
      <c r="G20" s="47"/>
      <c r="H20" s="48"/>
      <c r="I20" s="45"/>
      <c r="J20" s="49"/>
      <c r="K20" s="46"/>
      <c r="L20" s="49"/>
    </row>
    <row r="21">
      <c r="A21" s="44"/>
      <c r="B21" s="45"/>
      <c r="C21" s="46"/>
      <c r="D21" s="47"/>
      <c r="E21" s="47"/>
      <c r="F21" s="45"/>
      <c r="G21" s="47"/>
      <c r="H21" s="48"/>
      <c r="I21" s="45"/>
      <c r="J21" s="49"/>
      <c r="K21" s="46"/>
      <c r="L21" s="49"/>
    </row>
    <row r="22">
      <c r="A22" s="44"/>
      <c r="B22" s="45"/>
      <c r="C22" s="46"/>
      <c r="D22" s="47"/>
      <c r="E22" s="47"/>
      <c r="F22" s="45"/>
      <c r="G22" s="47"/>
      <c r="H22" s="48"/>
      <c r="I22" s="45"/>
      <c r="J22" s="49"/>
      <c r="K22" s="46"/>
      <c r="L22" s="49"/>
    </row>
    <row r="23">
      <c r="A23" s="44"/>
      <c r="B23" s="45"/>
      <c r="C23" s="46"/>
      <c r="D23" s="47"/>
      <c r="E23" s="47"/>
      <c r="F23" s="45"/>
      <c r="G23" s="47"/>
      <c r="H23" s="48"/>
      <c r="I23" s="45"/>
      <c r="J23" s="49"/>
      <c r="K23" s="46"/>
      <c r="L23" s="49"/>
    </row>
    <row r="24">
      <c r="A24" s="44"/>
      <c r="B24" s="45"/>
      <c r="C24" s="46"/>
      <c r="D24" s="47"/>
      <c r="E24" s="47"/>
      <c r="F24" s="45"/>
      <c r="G24" s="47"/>
      <c r="H24" s="48"/>
      <c r="I24" s="45"/>
      <c r="J24" s="49"/>
      <c r="K24" s="46"/>
      <c r="L24" s="49"/>
    </row>
    <row r="25">
      <c r="A25" s="44"/>
      <c r="B25" s="45"/>
      <c r="C25" s="46"/>
      <c r="D25" s="47"/>
      <c r="E25" s="47"/>
      <c r="F25" s="45"/>
      <c r="G25" s="47"/>
      <c r="H25" s="48"/>
      <c r="I25" s="45"/>
      <c r="J25" s="49"/>
      <c r="K25" s="46"/>
      <c r="L25" s="49"/>
    </row>
    <row r="26">
      <c r="A26" s="44"/>
      <c r="B26" s="45"/>
      <c r="C26" s="46"/>
      <c r="D26" s="47"/>
      <c r="E26" s="47"/>
      <c r="F26" s="45"/>
      <c r="G26" s="47"/>
      <c r="H26" s="48"/>
      <c r="I26" s="45"/>
      <c r="J26" s="49"/>
      <c r="K26" s="46"/>
      <c r="L26" s="49"/>
    </row>
    <row r="27">
      <c r="A27" s="44"/>
      <c r="B27" s="45"/>
      <c r="C27" s="46"/>
      <c r="D27" s="47"/>
      <c r="E27" s="47"/>
      <c r="F27" s="45"/>
      <c r="G27" s="47"/>
      <c r="H27" s="48"/>
      <c r="I27" s="45"/>
      <c r="J27" s="49"/>
      <c r="K27" s="46"/>
      <c r="L27" s="49"/>
    </row>
    <row r="28">
      <c r="A28" s="44"/>
      <c r="B28" s="45"/>
      <c r="C28" s="46"/>
      <c r="D28" s="47"/>
      <c r="E28" s="47"/>
      <c r="F28" s="45"/>
      <c r="G28" s="47"/>
      <c r="H28" s="48"/>
      <c r="I28" s="45"/>
      <c r="J28" s="49"/>
      <c r="K28" s="46"/>
      <c r="L28" s="49"/>
    </row>
    <row r="29">
      <c r="A29" s="44"/>
      <c r="B29" s="45"/>
      <c r="C29" s="46"/>
      <c r="D29" s="47"/>
      <c r="E29" s="47"/>
      <c r="F29" s="45"/>
      <c r="G29" s="47"/>
      <c r="H29" s="48"/>
      <c r="I29" s="45"/>
      <c r="J29" s="49"/>
      <c r="K29" s="46"/>
      <c r="L29" s="49"/>
    </row>
    <row r="30">
      <c r="A30" s="44"/>
      <c r="B30" s="45"/>
      <c r="C30" s="46"/>
      <c r="D30" s="47"/>
      <c r="E30" s="47"/>
      <c r="F30" s="45"/>
      <c r="G30" s="47"/>
      <c r="H30" s="48"/>
      <c r="I30" s="45"/>
      <c r="J30" s="49"/>
      <c r="K30" s="46"/>
      <c r="L30" s="49"/>
    </row>
    <row r="31">
      <c r="A31" s="44"/>
      <c r="B31" s="45"/>
      <c r="C31" s="46"/>
      <c r="D31" s="47"/>
      <c r="E31" s="47"/>
      <c r="F31" s="45"/>
      <c r="G31" s="47"/>
      <c r="H31" s="48"/>
      <c r="I31" s="45"/>
      <c r="J31" s="49"/>
      <c r="K31" s="46"/>
      <c r="L31" s="49"/>
    </row>
    <row r="32">
      <c r="A32" s="44"/>
      <c r="B32" s="45"/>
      <c r="C32" s="46"/>
      <c r="D32" s="47"/>
      <c r="E32" s="47"/>
      <c r="F32" s="45"/>
      <c r="G32" s="47"/>
      <c r="H32" s="48"/>
      <c r="I32" s="45"/>
      <c r="J32" s="49"/>
      <c r="K32" s="46"/>
      <c r="L32" s="49"/>
    </row>
    <row r="33">
      <c r="A33" s="44"/>
      <c r="B33" s="45"/>
      <c r="C33" s="46"/>
      <c r="D33" s="47"/>
      <c r="E33" s="47"/>
      <c r="F33" s="45"/>
      <c r="G33" s="47"/>
      <c r="H33" s="48"/>
      <c r="I33" s="45"/>
      <c r="J33" s="49"/>
      <c r="K33" s="46"/>
      <c r="L33" s="49"/>
    </row>
    <row r="34">
      <c r="A34" s="44"/>
      <c r="B34" s="45"/>
      <c r="C34" s="46"/>
      <c r="D34" s="47"/>
      <c r="E34" s="47"/>
      <c r="F34" s="45"/>
      <c r="G34" s="47"/>
      <c r="H34" s="48"/>
      <c r="I34" s="45"/>
      <c r="J34" s="49"/>
      <c r="K34" s="46"/>
      <c r="L34" s="49"/>
    </row>
    <row r="35">
      <c r="A35" s="44"/>
      <c r="B35" s="45"/>
      <c r="C35" s="46"/>
      <c r="D35" s="47"/>
      <c r="E35" s="47"/>
      <c r="F35" s="45"/>
      <c r="G35" s="47"/>
      <c r="H35" s="48"/>
      <c r="I35" s="45"/>
      <c r="J35" s="49"/>
      <c r="K35" s="46"/>
      <c r="L35" s="49"/>
    </row>
    <row r="36">
      <c r="A36" s="44"/>
      <c r="B36" s="45"/>
      <c r="C36" s="46"/>
      <c r="D36" s="47"/>
      <c r="E36" s="47"/>
      <c r="F36" s="45"/>
      <c r="G36" s="47"/>
      <c r="H36" s="48"/>
      <c r="I36" s="45"/>
      <c r="J36" s="49"/>
      <c r="K36" s="46"/>
      <c r="L36" s="49"/>
    </row>
    <row r="37">
      <c r="A37" s="44"/>
      <c r="B37" s="45"/>
      <c r="C37" s="46"/>
      <c r="D37" s="47"/>
      <c r="E37" s="47"/>
      <c r="F37" s="45"/>
      <c r="G37" s="47"/>
      <c r="H37" s="48"/>
      <c r="I37" s="45"/>
      <c r="J37" s="49"/>
      <c r="K37" s="46"/>
      <c r="L37" s="49"/>
    </row>
    <row r="38">
      <c r="A38" s="44"/>
      <c r="B38" s="45"/>
      <c r="C38" s="46"/>
      <c r="D38" s="47"/>
      <c r="E38" s="47"/>
      <c r="F38" s="45"/>
      <c r="G38" s="47"/>
      <c r="H38" s="48"/>
      <c r="I38" s="45"/>
      <c r="J38" s="49"/>
      <c r="K38" s="46"/>
      <c r="L38" s="49"/>
    </row>
    <row r="39">
      <c r="A39" s="44"/>
      <c r="B39" s="45"/>
      <c r="C39" s="46"/>
      <c r="D39" s="47"/>
      <c r="E39" s="47"/>
      <c r="F39" s="45"/>
      <c r="G39" s="47"/>
      <c r="H39" s="48"/>
      <c r="I39" s="45"/>
      <c r="J39" s="49"/>
      <c r="K39" s="46"/>
      <c r="L39" s="49"/>
    </row>
    <row r="40">
      <c r="A40" s="44"/>
      <c r="B40" s="45"/>
      <c r="C40" s="46"/>
      <c r="D40" s="47"/>
      <c r="E40" s="47"/>
      <c r="F40" s="45"/>
      <c r="G40" s="47"/>
      <c r="H40" s="48"/>
      <c r="I40" s="45"/>
      <c r="J40" s="49"/>
      <c r="K40" s="46"/>
      <c r="L40" s="49"/>
    </row>
    <row r="41">
      <c r="A41" s="44"/>
      <c r="B41" s="45"/>
      <c r="C41" s="46"/>
      <c r="D41" s="47"/>
      <c r="E41" s="47"/>
      <c r="F41" s="45"/>
      <c r="G41" s="47"/>
      <c r="H41" s="48"/>
      <c r="I41" s="45"/>
      <c r="J41" s="49"/>
      <c r="K41" s="46"/>
      <c r="L41" s="49"/>
    </row>
    <row r="42">
      <c r="A42" s="44"/>
      <c r="B42" s="45"/>
      <c r="C42" s="46"/>
      <c r="D42" s="47"/>
      <c r="E42" s="47"/>
      <c r="F42" s="45"/>
      <c r="G42" s="47"/>
      <c r="H42" s="48"/>
      <c r="I42" s="45"/>
      <c r="J42" s="49"/>
      <c r="K42" s="46"/>
      <c r="L42" s="49"/>
    </row>
    <row r="43">
      <c r="A43" s="44"/>
      <c r="B43" s="45"/>
      <c r="C43" s="46"/>
      <c r="D43" s="47"/>
      <c r="E43" s="47"/>
      <c r="F43" s="45"/>
      <c r="G43" s="47"/>
      <c r="H43" s="48"/>
      <c r="I43" s="45"/>
      <c r="J43" s="49"/>
      <c r="K43" s="46"/>
      <c r="L43" s="49"/>
    </row>
    <row r="44">
      <c r="A44" s="44"/>
      <c r="B44" s="45"/>
      <c r="C44" s="46"/>
      <c r="D44" s="47"/>
      <c r="E44" s="47"/>
      <c r="F44" s="45"/>
      <c r="G44" s="47"/>
      <c r="H44" s="48"/>
      <c r="I44" s="45"/>
      <c r="J44" s="49"/>
      <c r="K44" s="46"/>
      <c r="L44" s="49"/>
    </row>
    <row r="45">
      <c r="A45" s="44"/>
      <c r="B45" s="45"/>
      <c r="C45" s="46"/>
      <c r="D45" s="47"/>
      <c r="E45" s="47"/>
      <c r="F45" s="45"/>
      <c r="G45" s="47"/>
      <c r="H45" s="48"/>
      <c r="I45" s="45"/>
      <c r="J45" s="49"/>
      <c r="K45" s="46"/>
      <c r="L45" s="49"/>
    </row>
    <row r="46">
      <c r="A46" s="44"/>
      <c r="B46" s="45"/>
      <c r="C46" s="46"/>
      <c r="D46" s="47"/>
      <c r="E46" s="47"/>
      <c r="F46" s="45"/>
      <c r="G46" s="47"/>
      <c r="H46" s="48"/>
      <c r="I46" s="45"/>
      <c r="J46" s="49"/>
      <c r="K46" s="46"/>
      <c r="L46" s="49"/>
    </row>
    <row r="47">
      <c r="A47" s="44"/>
      <c r="B47" s="45"/>
      <c r="C47" s="46"/>
      <c r="D47" s="47"/>
      <c r="E47" s="47"/>
      <c r="F47" s="45"/>
      <c r="G47" s="47"/>
      <c r="H47" s="48"/>
      <c r="I47" s="45"/>
      <c r="J47" s="49"/>
      <c r="K47" s="46"/>
      <c r="L47" s="49"/>
    </row>
    <row r="48">
      <c r="A48" s="44"/>
      <c r="B48" s="45"/>
      <c r="C48" s="46"/>
      <c r="D48" s="47"/>
      <c r="E48" s="47"/>
      <c r="F48" s="45"/>
      <c r="G48" s="47"/>
      <c r="H48" s="48"/>
      <c r="I48" s="45"/>
      <c r="J48" s="49"/>
      <c r="K48" s="46"/>
      <c r="L48" s="49"/>
    </row>
    <row r="49">
      <c r="A49" s="44"/>
      <c r="B49" s="45"/>
      <c r="C49" s="46"/>
      <c r="D49" s="47"/>
      <c r="E49" s="47"/>
      <c r="F49" s="45"/>
      <c r="G49" s="47"/>
      <c r="H49" s="48"/>
      <c r="I49" s="45"/>
      <c r="J49" s="49"/>
      <c r="K49" s="46"/>
      <c r="L49" s="49"/>
    </row>
    <row r="50">
      <c r="A50" s="44"/>
      <c r="B50" s="45"/>
      <c r="C50" s="46"/>
      <c r="D50" s="47"/>
      <c r="E50" s="47"/>
      <c r="F50" s="45"/>
      <c r="G50" s="47"/>
      <c r="H50" s="48"/>
      <c r="I50" s="45"/>
      <c r="J50" s="49"/>
      <c r="K50" s="46"/>
      <c r="L50" s="49"/>
    </row>
    <row r="51">
      <c r="A51" s="44"/>
      <c r="B51" s="45"/>
      <c r="C51" s="46"/>
      <c r="D51" s="47"/>
      <c r="E51" s="47"/>
      <c r="F51" s="45"/>
      <c r="G51" s="47"/>
      <c r="H51" s="48"/>
      <c r="I51" s="45"/>
      <c r="J51" s="49"/>
      <c r="K51" s="46"/>
      <c r="L51" s="49"/>
    </row>
    <row r="52">
      <c r="A52" s="44"/>
      <c r="B52" s="45"/>
      <c r="C52" s="46"/>
      <c r="D52" s="47"/>
      <c r="E52" s="47"/>
      <c r="F52" s="45"/>
      <c r="G52" s="47"/>
      <c r="H52" s="48"/>
      <c r="I52" s="45"/>
      <c r="J52" s="49"/>
      <c r="K52" s="46"/>
      <c r="L52" s="49"/>
    </row>
    <row r="53">
      <c r="A53" s="44"/>
      <c r="B53" s="45"/>
      <c r="C53" s="46"/>
      <c r="D53" s="47"/>
      <c r="E53" s="47"/>
      <c r="F53" s="45"/>
      <c r="G53" s="47"/>
      <c r="H53" s="48"/>
      <c r="I53" s="45"/>
      <c r="J53" s="49"/>
      <c r="K53" s="46"/>
      <c r="L53" s="49"/>
    </row>
    <row r="54">
      <c r="A54" s="44"/>
      <c r="B54" s="45"/>
      <c r="C54" s="46"/>
      <c r="D54" s="47"/>
      <c r="E54" s="47"/>
      <c r="F54" s="45"/>
      <c r="G54" s="47"/>
      <c r="H54" s="48"/>
      <c r="I54" s="45"/>
      <c r="J54" s="49"/>
      <c r="K54" s="46"/>
      <c r="L54" s="49"/>
    </row>
    <row r="55">
      <c r="A55" s="44"/>
      <c r="B55" s="45"/>
      <c r="C55" s="46"/>
      <c r="D55" s="47"/>
      <c r="E55" s="47"/>
      <c r="F55" s="45"/>
      <c r="G55" s="47"/>
      <c r="H55" s="48"/>
      <c r="I55" s="45"/>
      <c r="J55" s="49"/>
      <c r="K55" s="46"/>
      <c r="L55" s="49"/>
    </row>
    <row r="56">
      <c r="A56" s="44"/>
      <c r="B56" s="45"/>
      <c r="C56" s="46"/>
      <c r="D56" s="47"/>
      <c r="E56" s="47"/>
      <c r="F56" s="45"/>
      <c r="G56" s="47"/>
      <c r="H56" s="48"/>
      <c r="I56" s="45"/>
      <c r="J56" s="49"/>
      <c r="K56" s="46"/>
      <c r="L56" s="49"/>
    </row>
    <row r="57">
      <c r="A57" s="44"/>
      <c r="B57" s="45"/>
      <c r="C57" s="46"/>
      <c r="D57" s="47"/>
      <c r="E57" s="47"/>
      <c r="F57" s="45"/>
      <c r="G57" s="47"/>
      <c r="H57" s="48"/>
      <c r="I57" s="45"/>
      <c r="J57" s="49"/>
      <c r="K57" s="46"/>
      <c r="L57" s="49"/>
    </row>
    <row r="58">
      <c r="A58" s="44"/>
      <c r="B58" s="45"/>
      <c r="C58" s="46"/>
      <c r="D58" s="47"/>
      <c r="E58" s="47"/>
      <c r="F58" s="45"/>
      <c r="G58" s="47"/>
      <c r="H58" s="48"/>
      <c r="I58" s="45"/>
      <c r="J58" s="49"/>
      <c r="K58" s="46"/>
      <c r="L58" s="49"/>
    </row>
    <row r="59">
      <c r="A59" s="44"/>
      <c r="B59" s="45"/>
      <c r="C59" s="46"/>
      <c r="D59" s="47"/>
      <c r="E59" s="47"/>
      <c r="F59" s="45"/>
      <c r="G59" s="47"/>
      <c r="H59" s="48"/>
      <c r="I59" s="45"/>
      <c r="J59" s="49"/>
      <c r="K59" s="46"/>
      <c r="L59" s="49"/>
    </row>
    <row r="60">
      <c r="A60" s="44"/>
      <c r="B60" s="45"/>
      <c r="C60" s="46"/>
      <c r="D60" s="47"/>
      <c r="E60" s="47"/>
      <c r="F60" s="45"/>
      <c r="G60" s="47"/>
      <c r="H60" s="48"/>
      <c r="I60" s="45"/>
      <c r="J60" s="49"/>
      <c r="K60" s="46"/>
      <c r="L60" s="49"/>
    </row>
    <row r="61">
      <c r="A61" s="44"/>
      <c r="B61" s="45"/>
      <c r="C61" s="46"/>
      <c r="D61" s="47"/>
      <c r="E61" s="47"/>
      <c r="F61" s="45"/>
      <c r="G61" s="47"/>
      <c r="H61" s="48"/>
      <c r="I61" s="45"/>
      <c r="J61" s="49"/>
      <c r="K61" s="46"/>
      <c r="L61" s="49"/>
    </row>
    <row r="62">
      <c r="A62" s="44"/>
      <c r="B62" s="45"/>
      <c r="C62" s="46"/>
      <c r="D62" s="47"/>
      <c r="E62" s="47"/>
      <c r="F62" s="45"/>
      <c r="G62" s="47"/>
      <c r="H62" s="48"/>
      <c r="I62" s="45"/>
      <c r="J62" s="49"/>
      <c r="K62" s="46"/>
      <c r="L62" s="49"/>
    </row>
    <row r="63">
      <c r="A63" s="44"/>
      <c r="B63" s="45"/>
      <c r="C63" s="46"/>
      <c r="D63" s="47"/>
      <c r="E63" s="47"/>
      <c r="F63" s="45"/>
      <c r="G63" s="47"/>
      <c r="H63" s="48"/>
      <c r="I63" s="45"/>
      <c r="J63" s="49"/>
      <c r="K63" s="46"/>
      <c r="L63" s="49"/>
    </row>
    <row r="64">
      <c r="A64" s="44"/>
      <c r="B64" s="45"/>
      <c r="C64" s="46"/>
      <c r="D64" s="47"/>
      <c r="E64" s="47"/>
      <c r="F64" s="45"/>
      <c r="G64" s="47"/>
      <c r="H64" s="48"/>
      <c r="I64" s="45"/>
      <c r="J64" s="49"/>
      <c r="K64" s="46"/>
      <c r="L64" s="49"/>
    </row>
    <row r="65">
      <c r="A65" s="44"/>
      <c r="B65" s="45"/>
      <c r="C65" s="46"/>
      <c r="D65" s="47"/>
      <c r="E65" s="47"/>
      <c r="F65" s="45"/>
      <c r="G65" s="47"/>
      <c r="H65" s="48"/>
      <c r="I65" s="45"/>
      <c r="J65" s="49"/>
      <c r="K65" s="46"/>
      <c r="L65" s="49"/>
    </row>
    <row r="66">
      <c r="A66" s="44"/>
      <c r="B66" s="45"/>
      <c r="C66" s="46"/>
      <c r="D66" s="47"/>
      <c r="E66" s="47"/>
      <c r="F66" s="45"/>
      <c r="G66" s="47"/>
      <c r="H66" s="48"/>
      <c r="I66" s="45"/>
      <c r="J66" s="49"/>
      <c r="K66" s="46"/>
      <c r="L66" s="49"/>
    </row>
    <row r="67">
      <c r="A67" s="44"/>
      <c r="B67" s="45"/>
      <c r="C67" s="46"/>
      <c r="D67" s="47"/>
      <c r="E67" s="47"/>
      <c r="F67" s="45"/>
      <c r="G67" s="47"/>
      <c r="H67" s="48"/>
      <c r="I67" s="45"/>
      <c r="J67" s="49"/>
      <c r="K67" s="46"/>
      <c r="L67" s="49"/>
    </row>
    <row r="68">
      <c r="A68" s="44"/>
      <c r="B68" s="45"/>
      <c r="C68" s="46"/>
      <c r="D68" s="47"/>
      <c r="E68" s="47"/>
      <c r="F68" s="45"/>
      <c r="G68" s="47"/>
      <c r="H68" s="48"/>
      <c r="I68" s="45"/>
      <c r="J68" s="49"/>
      <c r="K68" s="46"/>
      <c r="L68" s="49"/>
    </row>
    <row r="69">
      <c r="A69" s="44"/>
      <c r="B69" s="45"/>
      <c r="C69" s="46"/>
      <c r="D69" s="47"/>
      <c r="E69" s="47"/>
      <c r="F69" s="45"/>
      <c r="G69" s="47"/>
      <c r="H69" s="48"/>
      <c r="I69" s="45"/>
      <c r="J69" s="49"/>
      <c r="K69" s="46"/>
      <c r="L69" s="49"/>
    </row>
    <row r="70">
      <c r="A70" s="44"/>
      <c r="B70" s="45"/>
      <c r="C70" s="46"/>
      <c r="D70" s="47"/>
      <c r="E70" s="47"/>
      <c r="F70" s="45"/>
      <c r="G70" s="47"/>
      <c r="H70" s="48"/>
      <c r="I70" s="45"/>
      <c r="J70" s="49"/>
      <c r="K70" s="46"/>
      <c r="L70" s="49"/>
    </row>
    <row r="71">
      <c r="A71" s="44"/>
      <c r="B71" s="45"/>
      <c r="C71" s="46"/>
      <c r="D71" s="47"/>
      <c r="E71" s="47"/>
      <c r="F71" s="45"/>
      <c r="G71" s="47"/>
      <c r="H71" s="48"/>
      <c r="I71" s="45"/>
      <c r="J71" s="49"/>
      <c r="K71" s="46"/>
      <c r="L71" s="49"/>
    </row>
    <row r="72">
      <c r="A72" s="44"/>
      <c r="B72" s="45"/>
      <c r="C72" s="46"/>
      <c r="D72" s="47"/>
      <c r="E72" s="47"/>
      <c r="F72" s="45"/>
      <c r="G72" s="47"/>
      <c r="H72" s="48"/>
      <c r="I72" s="45"/>
      <c r="J72" s="49"/>
      <c r="K72" s="46"/>
      <c r="L72" s="49"/>
    </row>
    <row r="73">
      <c r="A73" s="44"/>
      <c r="B73" s="45"/>
      <c r="C73" s="46"/>
      <c r="D73" s="47"/>
      <c r="E73" s="47"/>
      <c r="F73" s="45"/>
      <c r="G73" s="47"/>
      <c r="H73" s="48"/>
      <c r="I73" s="45"/>
      <c r="J73" s="49"/>
      <c r="K73" s="46"/>
      <c r="L73" s="49"/>
    </row>
    <row r="74">
      <c r="A74" s="44"/>
      <c r="B74" s="45"/>
      <c r="C74" s="46"/>
      <c r="D74" s="47"/>
      <c r="E74" s="47"/>
      <c r="F74" s="45"/>
      <c r="G74" s="47"/>
      <c r="H74" s="48"/>
      <c r="I74" s="45"/>
      <c r="J74" s="49"/>
      <c r="K74" s="46"/>
      <c r="L74" s="49"/>
    </row>
    <row r="75">
      <c r="A75" s="44"/>
      <c r="B75" s="45"/>
      <c r="C75" s="46"/>
      <c r="D75" s="47"/>
      <c r="E75" s="47"/>
      <c r="F75" s="45"/>
      <c r="G75" s="47"/>
      <c r="H75" s="48"/>
      <c r="I75" s="45"/>
      <c r="J75" s="49"/>
      <c r="K75" s="46"/>
      <c r="L75" s="49"/>
    </row>
    <row r="76">
      <c r="A76" s="44"/>
      <c r="B76" s="45"/>
      <c r="C76" s="46"/>
      <c r="D76" s="47"/>
      <c r="E76" s="47"/>
      <c r="F76" s="45"/>
      <c r="G76" s="47"/>
      <c r="H76" s="48"/>
      <c r="I76" s="45"/>
      <c r="J76" s="49"/>
      <c r="K76" s="46"/>
      <c r="L76" s="49"/>
    </row>
    <row r="77">
      <c r="A77" s="44"/>
      <c r="B77" s="45"/>
      <c r="C77" s="46"/>
      <c r="D77" s="47"/>
      <c r="E77" s="47"/>
      <c r="F77" s="45"/>
      <c r="G77" s="47"/>
      <c r="H77" s="48"/>
      <c r="I77" s="45"/>
      <c r="J77" s="49"/>
      <c r="K77" s="46"/>
      <c r="L77" s="49"/>
    </row>
    <row r="78">
      <c r="A78" s="44"/>
      <c r="B78" s="45"/>
      <c r="C78" s="46"/>
      <c r="D78" s="47"/>
      <c r="E78" s="47"/>
      <c r="F78" s="45"/>
      <c r="G78" s="47"/>
      <c r="H78" s="48"/>
      <c r="I78" s="45"/>
      <c r="J78" s="49"/>
      <c r="K78" s="46"/>
      <c r="L78" s="49"/>
    </row>
    <row r="79">
      <c r="A79" s="44"/>
      <c r="B79" s="45"/>
      <c r="C79" s="46"/>
      <c r="D79" s="47"/>
      <c r="E79" s="47"/>
      <c r="F79" s="45"/>
      <c r="G79" s="47"/>
      <c r="H79" s="48"/>
      <c r="I79" s="45"/>
      <c r="J79" s="49"/>
      <c r="K79" s="46"/>
      <c r="L79" s="49"/>
    </row>
    <row r="80">
      <c r="A80" s="44"/>
      <c r="B80" s="45"/>
      <c r="C80" s="46"/>
      <c r="D80" s="47"/>
      <c r="E80" s="47"/>
      <c r="F80" s="45"/>
      <c r="G80" s="47"/>
      <c r="H80" s="48"/>
      <c r="I80" s="45"/>
      <c r="J80" s="49"/>
      <c r="K80" s="46"/>
      <c r="L80" s="49"/>
    </row>
    <row r="81">
      <c r="A81" s="44"/>
      <c r="B81" s="45"/>
      <c r="C81" s="46"/>
      <c r="D81" s="47"/>
      <c r="E81" s="47"/>
      <c r="F81" s="45"/>
      <c r="G81" s="47"/>
      <c r="H81" s="48"/>
      <c r="I81" s="45"/>
      <c r="J81" s="49"/>
      <c r="K81" s="46"/>
      <c r="L81" s="49"/>
    </row>
    <row r="82">
      <c r="A82" s="44"/>
      <c r="B82" s="45"/>
      <c r="C82" s="46"/>
      <c r="D82" s="47"/>
      <c r="E82" s="47"/>
      <c r="F82" s="45"/>
      <c r="G82" s="47"/>
      <c r="H82" s="48"/>
      <c r="I82" s="45"/>
      <c r="J82" s="49"/>
      <c r="K82" s="46"/>
      <c r="L82" s="49"/>
    </row>
    <row r="83">
      <c r="A83" s="44"/>
      <c r="B83" s="45"/>
      <c r="C83" s="46"/>
      <c r="D83" s="47"/>
      <c r="E83" s="47"/>
      <c r="F83" s="45"/>
      <c r="G83" s="47"/>
      <c r="H83" s="48"/>
      <c r="I83" s="45"/>
      <c r="J83" s="49"/>
      <c r="K83" s="46"/>
      <c r="L83" s="49"/>
    </row>
    <row r="84">
      <c r="A84" s="44"/>
      <c r="B84" s="45"/>
      <c r="C84" s="46"/>
      <c r="D84" s="47"/>
      <c r="E84" s="47"/>
      <c r="F84" s="45"/>
      <c r="G84" s="47"/>
      <c r="H84" s="48"/>
      <c r="I84" s="45"/>
      <c r="J84" s="49"/>
      <c r="K84" s="46"/>
      <c r="L84" s="49"/>
    </row>
    <row r="85">
      <c r="A85" s="44"/>
      <c r="B85" s="45"/>
      <c r="C85" s="46"/>
      <c r="D85" s="47"/>
      <c r="E85" s="47"/>
      <c r="F85" s="45"/>
      <c r="G85" s="47"/>
      <c r="H85" s="48"/>
      <c r="I85" s="45"/>
      <c r="J85" s="49"/>
      <c r="K85" s="46"/>
      <c r="L85" s="49"/>
    </row>
    <row r="86">
      <c r="A86" s="44"/>
      <c r="B86" s="45"/>
      <c r="C86" s="46"/>
      <c r="D86" s="47"/>
      <c r="E86" s="47"/>
      <c r="F86" s="45"/>
      <c r="G86" s="47"/>
      <c r="H86" s="48"/>
      <c r="I86" s="45"/>
      <c r="J86" s="49"/>
      <c r="K86" s="46"/>
      <c r="L86" s="49"/>
    </row>
    <row r="87">
      <c r="A87" s="44"/>
      <c r="B87" s="45"/>
      <c r="C87" s="46"/>
      <c r="D87" s="47"/>
      <c r="E87" s="47"/>
      <c r="F87" s="45"/>
      <c r="G87" s="47"/>
      <c r="H87" s="48"/>
      <c r="I87" s="45"/>
      <c r="J87" s="49"/>
      <c r="K87" s="46"/>
      <c r="L87" s="49"/>
    </row>
    <row r="88">
      <c r="A88" s="44"/>
      <c r="B88" s="45"/>
      <c r="C88" s="46"/>
      <c r="D88" s="47"/>
      <c r="E88" s="47"/>
      <c r="F88" s="45"/>
      <c r="G88" s="47"/>
      <c r="H88" s="48"/>
      <c r="I88" s="45"/>
      <c r="J88" s="49"/>
      <c r="K88" s="46"/>
      <c r="L88" s="49"/>
    </row>
    <row r="89">
      <c r="A89" s="44"/>
      <c r="B89" s="45"/>
      <c r="C89" s="46"/>
      <c r="D89" s="47"/>
      <c r="E89" s="47"/>
      <c r="F89" s="45"/>
      <c r="G89" s="47"/>
      <c r="H89" s="48"/>
      <c r="I89" s="45"/>
      <c r="J89" s="49"/>
      <c r="K89" s="46"/>
      <c r="L89" s="49"/>
    </row>
    <row r="90">
      <c r="A90" s="44"/>
      <c r="B90" s="45"/>
      <c r="C90" s="46"/>
      <c r="D90" s="47"/>
      <c r="E90" s="47"/>
      <c r="F90" s="45"/>
      <c r="G90" s="47"/>
      <c r="H90" s="48"/>
      <c r="I90" s="45"/>
      <c r="J90" s="49"/>
      <c r="K90" s="46"/>
      <c r="L90" s="49"/>
    </row>
    <row r="91">
      <c r="A91" s="44"/>
      <c r="B91" s="45"/>
      <c r="C91" s="46"/>
      <c r="D91" s="47"/>
      <c r="E91" s="47"/>
      <c r="F91" s="45"/>
      <c r="G91" s="47"/>
      <c r="H91" s="48"/>
      <c r="I91" s="45"/>
      <c r="J91" s="49"/>
      <c r="K91" s="46"/>
      <c r="L91" s="49"/>
    </row>
    <row r="92">
      <c r="A92" s="44"/>
      <c r="B92" s="45"/>
      <c r="C92" s="46"/>
      <c r="D92" s="47"/>
      <c r="E92" s="47"/>
      <c r="F92" s="45"/>
      <c r="G92" s="47"/>
      <c r="H92" s="48"/>
      <c r="I92" s="45"/>
      <c r="J92" s="49"/>
      <c r="K92" s="46"/>
      <c r="L92" s="49"/>
    </row>
    <row r="93">
      <c r="A93" s="44"/>
      <c r="B93" s="45"/>
      <c r="C93" s="46"/>
      <c r="D93" s="47"/>
      <c r="E93" s="47"/>
      <c r="F93" s="45"/>
      <c r="G93" s="47"/>
      <c r="H93" s="48"/>
      <c r="I93" s="45"/>
      <c r="J93" s="49"/>
      <c r="K93" s="46"/>
      <c r="L93" s="49"/>
    </row>
    <row r="94">
      <c r="A94" s="44"/>
      <c r="B94" s="45"/>
      <c r="C94" s="46"/>
      <c r="D94" s="47"/>
      <c r="E94" s="47"/>
      <c r="F94" s="45"/>
      <c r="G94" s="47"/>
      <c r="H94" s="48"/>
      <c r="I94" s="45"/>
      <c r="J94" s="49"/>
      <c r="K94" s="46"/>
      <c r="L94" s="49"/>
    </row>
    <row r="95">
      <c r="A95" s="44"/>
      <c r="B95" s="45"/>
      <c r="C95" s="46"/>
      <c r="D95" s="47"/>
      <c r="E95" s="47"/>
      <c r="F95" s="45"/>
      <c r="G95" s="47"/>
      <c r="H95" s="48"/>
      <c r="I95" s="45"/>
      <c r="J95" s="49"/>
      <c r="K95" s="46"/>
      <c r="L95" s="49"/>
    </row>
    <row r="96">
      <c r="A96" s="44"/>
      <c r="B96" s="45"/>
      <c r="C96" s="46"/>
      <c r="D96" s="47"/>
      <c r="E96" s="47"/>
      <c r="F96" s="45"/>
      <c r="G96" s="47"/>
      <c r="H96" s="48"/>
      <c r="I96" s="45"/>
      <c r="J96" s="49"/>
      <c r="K96" s="46"/>
      <c r="L96" s="49"/>
    </row>
    <row r="97">
      <c r="A97" s="44"/>
      <c r="B97" s="45"/>
      <c r="C97" s="46"/>
      <c r="D97" s="47"/>
      <c r="E97" s="47"/>
      <c r="F97" s="45"/>
      <c r="G97" s="47"/>
      <c r="H97" s="48"/>
      <c r="I97" s="45"/>
      <c r="J97" s="49"/>
      <c r="K97" s="46"/>
      <c r="L97" s="49"/>
    </row>
    <row r="98">
      <c r="A98" s="44"/>
      <c r="B98" s="45"/>
      <c r="C98" s="46"/>
      <c r="D98" s="47"/>
      <c r="E98" s="47"/>
      <c r="F98" s="45"/>
      <c r="G98" s="47"/>
      <c r="H98" s="48"/>
      <c r="I98" s="45"/>
      <c r="J98" s="49"/>
      <c r="K98" s="46"/>
      <c r="L98" s="49"/>
    </row>
    <row r="99">
      <c r="A99" s="44"/>
      <c r="B99" s="45"/>
      <c r="C99" s="46"/>
      <c r="D99" s="47"/>
      <c r="E99" s="47"/>
      <c r="F99" s="45"/>
      <c r="G99" s="47"/>
      <c r="H99" s="48"/>
      <c r="I99" s="45"/>
      <c r="J99" s="49"/>
      <c r="K99" s="46"/>
      <c r="L99" s="49"/>
    </row>
    <row r="100">
      <c r="A100" s="44"/>
      <c r="B100" s="45"/>
      <c r="C100" s="46"/>
      <c r="D100" s="47"/>
      <c r="E100" s="47"/>
      <c r="F100" s="45"/>
      <c r="G100" s="47"/>
      <c r="H100" s="48"/>
      <c r="I100" s="45"/>
      <c r="J100" s="49"/>
      <c r="K100" s="46"/>
      <c r="L100" s="49"/>
    </row>
    <row r="101">
      <c r="A101" s="44"/>
      <c r="B101" s="45"/>
      <c r="C101" s="46"/>
      <c r="D101" s="47"/>
      <c r="E101" s="47"/>
      <c r="F101" s="45"/>
      <c r="G101" s="47"/>
      <c r="H101" s="48"/>
      <c r="I101" s="45"/>
      <c r="J101" s="49"/>
      <c r="K101" s="46"/>
      <c r="L101" s="49"/>
    </row>
    <row r="102">
      <c r="A102" s="44"/>
      <c r="B102" s="45"/>
      <c r="C102" s="46"/>
      <c r="D102" s="47"/>
      <c r="E102" s="47"/>
      <c r="F102" s="45"/>
      <c r="G102" s="47"/>
      <c r="H102" s="48"/>
      <c r="I102" s="45"/>
      <c r="J102" s="49"/>
      <c r="K102" s="46"/>
      <c r="L102" s="49"/>
    </row>
    <row r="103">
      <c r="A103" s="44"/>
      <c r="B103" s="45"/>
      <c r="C103" s="46"/>
      <c r="D103" s="47"/>
      <c r="E103" s="47"/>
      <c r="F103" s="45"/>
      <c r="G103" s="47"/>
      <c r="H103" s="48"/>
      <c r="I103" s="45"/>
      <c r="J103" s="49"/>
      <c r="K103" s="46"/>
      <c r="L103" s="49"/>
    </row>
    <row r="104">
      <c r="A104" s="44"/>
      <c r="B104" s="45"/>
      <c r="C104" s="46"/>
      <c r="D104" s="47"/>
      <c r="E104" s="47"/>
      <c r="F104" s="45"/>
      <c r="G104" s="47"/>
      <c r="H104" s="48"/>
      <c r="I104" s="45"/>
      <c r="J104" s="49"/>
      <c r="K104" s="46"/>
      <c r="L104" s="49"/>
    </row>
    <row r="105">
      <c r="A105" s="44"/>
      <c r="B105" s="45"/>
      <c r="C105" s="46"/>
      <c r="D105" s="47"/>
      <c r="E105" s="47"/>
      <c r="F105" s="45"/>
      <c r="G105" s="47"/>
      <c r="H105" s="48"/>
      <c r="I105" s="45"/>
      <c r="J105" s="49"/>
      <c r="K105" s="46"/>
      <c r="L105" s="49"/>
    </row>
    <row r="106">
      <c r="A106" s="44"/>
      <c r="B106" s="45"/>
      <c r="C106" s="46"/>
      <c r="D106" s="47"/>
      <c r="E106" s="47"/>
      <c r="F106" s="45"/>
      <c r="G106" s="47"/>
      <c r="H106" s="48"/>
      <c r="I106" s="45"/>
      <c r="J106" s="49"/>
      <c r="K106" s="46"/>
      <c r="L106" s="49"/>
    </row>
    <row r="107">
      <c r="A107" s="44"/>
      <c r="B107" s="45"/>
      <c r="C107" s="46"/>
      <c r="D107" s="47"/>
      <c r="E107" s="47"/>
      <c r="F107" s="45"/>
      <c r="G107" s="47"/>
      <c r="H107" s="48"/>
      <c r="I107" s="45"/>
      <c r="J107" s="49"/>
      <c r="K107" s="46"/>
      <c r="L107" s="49"/>
    </row>
    <row r="108">
      <c r="A108" s="44"/>
      <c r="B108" s="45"/>
      <c r="C108" s="46"/>
      <c r="D108" s="47"/>
      <c r="E108" s="47"/>
      <c r="F108" s="45"/>
      <c r="G108" s="47"/>
      <c r="H108" s="48"/>
      <c r="I108" s="45"/>
      <c r="J108" s="49"/>
      <c r="K108" s="46"/>
      <c r="L108" s="49"/>
    </row>
    <row r="109">
      <c r="A109" s="44"/>
      <c r="B109" s="45"/>
      <c r="C109" s="46"/>
      <c r="D109" s="47"/>
      <c r="E109" s="47"/>
      <c r="F109" s="45"/>
      <c r="G109" s="47"/>
      <c r="H109" s="48"/>
      <c r="I109" s="45"/>
      <c r="J109" s="49"/>
      <c r="K109" s="46"/>
      <c r="L109" s="49"/>
    </row>
    <row r="110">
      <c r="A110" s="44"/>
      <c r="B110" s="45"/>
      <c r="C110" s="46"/>
      <c r="D110" s="47"/>
      <c r="E110" s="47"/>
      <c r="F110" s="45"/>
      <c r="G110" s="47"/>
      <c r="H110" s="48"/>
      <c r="I110" s="45"/>
      <c r="J110" s="49"/>
      <c r="K110" s="46"/>
      <c r="L110" s="49"/>
    </row>
    <row r="111">
      <c r="A111" s="44"/>
      <c r="B111" s="45"/>
      <c r="C111" s="46"/>
      <c r="D111" s="47"/>
      <c r="E111" s="47"/>
      <c r="F111" s="45"/>
      <c r="G111" s="47"/>
      <c r="H111" s="48"/>
      <c r="I111" s="45"/>
      <c r="J111" s="49"/>
      <c r="K111" s="46"/>
      <c r="L111" s="49"/>
    </row>
    <row r="112">
      <c r="A112" s="44"/>
      <c r="B112" s="45"/>
      <c r="C112" s="46"/>
      <c r="D112" s="47"/>
      <c r="E112" s="47"/>
      <c r="F112" s="45"/>
      <c r="G112" s="47"/>
      <c r="H112" s="48"/>
      <c r="I112" s="45"/>
      <c r="J112" s="49"/>
      <c r="K112" s="46"/>
      <c r="L112" s="49"/>
    </row>
    <row r="113">
      <c r="A113" s="44"/>
      <c r="B113" s="45"/>
      <c r="C113" s="46"/>
      <c r="D113" s="47"/>
      <c r="E113" s="47"/>
      <c r="F113" s="45"/>
      <c r="G113" s="47"/>
      <c r="H113" s="48"/>
      <c r="I113" s="45"/>
      <c r="J113" s="49"/>
      <c r="K113" s="46"/>
      <c r="L113" s="49"/>
    </row>
    <row r="114">
      <c r="A114" s="44"/>
      <c r="B114" s="45"/>
      <c r="C114" s="46"/>
      <c r="D114" s="47"/>
      <c r="E114" s="47"/>
      <c r="F114" s="45"/>
      <c r="G114" s="47"/>
      <c r="H114" s="48"/>
      <c r="I114" s="45"/>
      <c r="J114" s="49"/>
      <c r="K114" s="46"/>
      <c r="L114" s="49"/>
    </row>
    <row r="115">
      <c r="A115" s="44"/>
      <c r="B115" s="45"/>
      <c r="C115" s="46"/>
      <c r="D115" s="47"/>
      <c r="E115" s="47"/>
      <c r="F115" s="45"/>
      <c r="G115" s="47"/>
      <c r="H115" s="48"/>
      <c r="I115" s="45"/>
      <c r="J115" s="49"/>
      <c r="K115" s="46"/>
      <c r="L115" s="49"/>
    </row>
    <row r="116">
      <c r="A116" s="44"/>
      <c r="B116" s="45"/>
      <c r="C116" s="46"/>
      <c r="D116" s="47"/>
      <c r="E116" s="47"/>
      <c r="F116" s="45"/>
      <c r="G116" s="47"/>
      <c r="H116" s="48"/>
      <c r="I116" s="45"/>
      <c r="J116" s="49"/>
      <c r="K116" s="46"/>
      <c r="L116" s="49"/>
    </row>
    <row r="117">
      <c r="A117" s="44"/>
      <c r="B117" s="45"/>
      <c r="C117" s="46"/>
      <c r="D117" s="47"/>
      <c r="E117" s="47"/>
      <c r="F117" s="45"/>
      <c r="G117" s="47"/>
      <c r="H117" s="48"/>
      <c r="I117" s="45"/>
      <c r="J117" s="49"/>
      <c r="K117" s="46"/>
      <c r="L117" s="49"/>
    </row>
    <row r="118">
      <c r="A118" s="44"/>
      <c r="B118" s="45"/>
      <c r="C118" s="46"/>
      <c r="D118" s="47"/>
      <c r="E118" s="47"/>
      <c r="F118" s="45"/>
      <c r="G118" s="47"/>
      <c r="H118" s="48"/>
      <c r="I118" s="45"/>
      <c r="J118" s="49"/>
      <c r="K118" s="46"/>
      <c r="L118" s="49"/>
    </row>
    <row r="119">
      <c r="A119" s="44"/>
      <c r="B119" s="45"/>
      <c r="C119" s="46"/>
      <c r="D119" s="47"/>
      <c r="E119" s="47"/>
      <c r="F119" s="45"/>
      <c r="G119" s="47"/>
      <c r="H119" s="48"/>
      <c r="I119" s="45"/>
      <c r="J119" s="49"/>
      <c r="K119" s="46"/>
      <c r="L119" s="49"/>
    </row>
    <row r="120">
      <c r="A120" s="44"/>
      <c r="B120" s="45"/>
      <c r="C120" s="46"/>
      <c r="D120" s="47"/>
      <c r="E120" s="47"/>
      <c r="F120" s="45"/>
      <c r="G120" s="47"/>
      <c r="H120" s="48"/>
      <c r="I120" s="45"/>
      <c r="J120" s="49"/>
      <c r="K120" s="46"/>
      <c r="L120" s="49"/>
    </row>
    <row r="121">
      <c r="A121" s="44"/>
      <c r="B121" s="45"/>
      <c r="C121" s="46"/>
      <c r="D121" s="47"/>
      <c r="E121" s="47"/>
      <c r="F121" s="45"/>
      <c r="G121" s="47"/>
      <c r="H121" s="48"/>
      <c r="I121" s="45"/>
      <c r="J121" s="49"/>
      <c r="K121" s="46"/>
      <c r="L121" s="49"/>
    </row>
    <row r="122">
      <c r="A122" s="44"/>
      <c r="B122" s="45"/>
      <c r="C122" s="46"/>
      <c r="D122" s="47"/>
      <c r="E122" s="47"/>
      <c r="F122" s="45"/>
      <c r="G122" s="47"/>
      <c r="H122" s="48"/>
      <c r="I122" s="45"/>
      <c r="J122" s="49"/>
      <c r="K122" s="46"/>
      <c r="L122" s="49"/>
    </row>
    <row r="123">
      <c r="A123" s="44"/>
      <c r="B123" s="45"/>
      <c r="C123" s="46"/>
      <c r="D123" s="47"/>
      <c r="E123" s="47"/>
      <c r="F123" s="45"/>
      <c r="G123" s="47"/>
      <c r="H123" s="48"/>
      <c r="I123" s="45"/>
      <c r="J123" s="49"/>
      <c r="K123" s="46"/>
      <c r="L123" s="49"/>
    </row>
    <row r="124">
      <c r="A124" s="44"/>
      <c r="B124" s="45"/>
      <c r="C124" s="46"/>
      <c r="D124" s="47"/>
      <c r="E124" s="47"/>
      <c r="F124" s="45"/>
      <c r="G124" s="47"/>
      <c r="H124" s="48"/>
      <c r="I124" s="45"/>
      <c r="J124" s="49"/>
      <c r="K124" s="46"/>
      <c r="L124" s="49"/>
    </row>
    <row r="125">
      <c r="A125" s="44"/>
      <c r="B125" s="45"/>
      <c r="C125" s="46"/>
      <c r="D125" s="47"/>
      <c r="E125" s="47"/>
      <c r="F125" s="45"/>
      <c r="G125" s="47"/>
      <c r="H125" s="48"/>
      <c r="I125" s="45"/>
      <c r="J125" s="49"/>
      <c r="K125" s="46"/>
      <c r="L125" s="49"/>
    </row>
    <row r="126">
      <c r="A126" s="44"/>
      <c r="B126" s="45"/>
      <c r="C126" s="46"/>
      <c r="D126" s="47"/>
      <c r="E126" s="47"/>
      <c r="F126" s="45"/>
      <c r="G126" s="47"/>
      <c r="H126" s="48"/>
      <c r="I126" s="45"/>
      <c r="J126" s="49"/>
      <c r="K126" s="46"/>
      <c r="L126" s="49"/>
    </row>
    <row r="127">
      <c r="A127" s="44"/>
      <c r="B127" s="45"/>
      <c r="C127" s="46"/>
      <c r="D127" s="47"/>
      <c r="E127" s="47"/>
      <c r="F127" s="45"/>
      <c r="G127" s="47"/>
      <c r="H127" s="48"/>
      <c r="I127" s="45"/>
      <c r="J127" s="49"/>
      <c r="K127" s="46"/>
      <c r="L127" s="49"/>
    </row>
    <row r="128">
      <c r="A128" s="44"/>
      <c r="B128" s="45"/>
      <c r="C128" s="46"/>
      <c r="D128" s="47"/>
      <c r="E128" s="47"/>
      <c r="F128" s="45"/>
      <c r="G128" s="47"/>
      <c r="H128" s="48"/>
      <c r="I128" s="45"/>
      <c r="J128" s="49"/>
      <c r="K128" s="46"/>
      <c r="L128" s="49"/>
    </row>
    <row r="129">
      <c r="A129" s="44"/>
      <c r="B129" s="45"/>
      <c r="C129" s="46"/>
      <c r="D129" s="47"/>
      <c r="E129" s="47"/>
      <c r="F129" s="45"/>
      <c r="G129" s="47"/>
      <c r="H129" s="48"/>
      <c r="I129" s="45"/>
      <c r="J129" s="49"/>
      <c r="K129" s="46"/>
      <c r="L129" s="49"/>
    </row>
    <row r="130">
      <c r="A130" s="44"/>
      <c r="B130" s="45"/>
      <c r="C130" s="46"/>
      <c r="D130" s="47"/>
      <c r="E130" s="47"/>
      <c r="F130" s="45"/>
      <c r="G130" s="47"/>
      <c r="H130" s="48"/>
      <c r="I130" s="45"/>
      <c r="J130" s="49"/>
      <c r="K130" s="46"/>
      <c r="L130" s="49"/>
    </row>
    <row r="131">
      <c r="A131" s="44"/>
      <c r="B131" s="45"/>
      <c r="C131" s="46"/>
      <c r="D131" s="47"/>
      <c r="E131" s="47"/>
      <c r="F131" s="45"/>
      <c r="G131" s="47"/>
      <c r="H131" s="48"/>
      <c r="I131" s="45"/>
      <c r="J131" s="49"/>
      <c r="K131" s="46"/>
      <c r="L131" s="49"/>
    </row>
    <row r="132">
      <c r="A132" s="44"/>
      <c r="B132" s="45"/>
      <c r="C132" s="46"/>
      <c r="D132" s="47"/>
      <c r="E132" s="47"/>
      <c r="F132" s="45"/>
      <c r="G132" s="47"/>
      <c r="H132" s="48"/>
      <c r="I132" s="45"/>
      <c r="J132" s="49"/>
      <c r="K132" s="46"/>
      <c r="L132" s="49"/>
    </row>
    <row r="133">
      <c r="A133" s="44"/>
      <c r="B133" s="45"/>
      <c r="C133" s="46"/>
      <c r="D133" s="47"/>
      <c r="E133" s="47"/>
      <c r="F133" s="45"/>
      <c r="G133" s="47"/>
      <c r="H133" s="48"/>
      <c r="I133" s="45"/>
      <c r="J133" s="49"/>
      <c r="K133" s="46"/>
      <c r="L133" s="49"/>
    </row>
    <row r="134">
      <c r="A134" s="44"/>
      <c r="B134" s="45"/>
      <c r="C134" s="46"/>
      <c r="D134" s="47"/>
      <c r="E134" s="47"/>
      <c r="F134" s="45"/>
      <c r="G134" s="47"/>
      <c r="H134" s="48"/>
      <c r="I134" s="45"/>
      <c r="J134" s="49"/>
      <c r="K134" s="46"/>
      <c r="L134" s="49"/>
    </row>
    <row r="135">
      <c r="A135" s="44"/>
      <c r="B135" s="45"/>
      <c r="C135" s="46"/>
      <c r="D135" s="47"/>
      <c r="E135" s="47"/>
      <c r="F135" s="45"/>
      <c r="G135" s="47"/>
      <c r="H135" s="48"/>
      <c r="I135" s="45"/>
      <c r="J135" s="49"/>
      <c r="K135" s="46"/>
      <c r="L135" s="49"/>
    </row>
    <row r="136">
      <c r="A136" s="44"/>
      <c r="B136" s="45"/>
      <c r="C136" s="46"/>
      <c r="D136" s="47"/>
      <c r="E136" s="47"/>
      <c r="F136" s="45"/>
      <c r="G136" s="47"/>
      <c r="H136" s="48"/>
      <c r="I136" s="45"/>
      <c r="J136" s="49"/>
      <c r="K136" s="46"/>
      <c r="L136" s="49"/>
    </row>
    <row r="137">
      <c r="A137" s="44"/>
      <c r="B137" s="45"/>
      <c r="C137" s="46"/>
      <c r="D137" s="47"/>
      <c r="E137" s="47"/>
      <c r="F137" s="45"/>
      <c r="G137" s="47"/>
      <c r="H137" s="48"/>
      <c r="I137" s="45"/>
      <c r="J137" s="49"/>
      <c r="K137" s="46"/>
      <c r="L137" s="49"/>
    </row>
    <row r="138">
      <c r="A138" s="44"/>
      <c r="B138" s="45"/>
      <c r="C138" s="46"/>
      <c r="D138" s="47"/>
      <c r="E138" s="47"/>
      <c r="F138" s="45"/>
      <c r="G138" s="47"/>
      <c r="H138" s="48"/>
      <c r="I138" s="45"/>
      <c r="J138" s="49"/>
      <c r="K138" s="46"/>
      <c r="L138" s="49"/>
    </row>
    <row r="139">
      <c r="A139" s="44"/>
      <c r="B139" s="45"/>
      <c r="C139" s="46"/>
      <c r="D139" s="47"/>
      <c r="E139" s="47"/>
      <c r="F139" s="45"/>
      <c r="G139" s="47"/>
      <c r="H139" s="48"/>
      <c r="I139" s="45"/>
      <c r="J139" s="49"/>
      <c r="K139" s="46"/>
      <c r="L139" s="49"/>
    </row>
    <row r="140">
      <c r="A140" s="44"/>
      <c r="B140" s="45"/>
      <c r="C140" s="46"/>
      <c r="D140" s="47"/>
      <c r="E140" s="47"/>
      <c r="F140" s="45"/>
      <c r="G140" s="47"/>
      <c r="H140" s="48"/>
      <c r="I140" s="45"/>
      <c r="J140" s="49"/>
      <c r="K140" s="46"/>
      <c r="L140" s="49"/>
    </row>
    <row r="141">
      <c r="A141" s="44"/>
      <c r="B141" s="45"/>
      <c r="C141" s="46"/>
      <c r="D141" s="47"/>
      <c r="E141" s="47"/>
      <c r="F141" s="45"/>
      <c r="G141" s="47"/>
      <c r="H141" s="48"/>
      <c r="I141" s="45"/>
      <c r="J141" s="49"/>
      <c r="K141" s="46"/>
      <c r="L141" s="49"/>
    </row>
    <row r="142">
      <c r="A142" s="44"/>
      <c r="B142" s="45"/>
      <c r="C142" s="46"/>
      <c r="D142" s="47"/>
      <c r="E142" s="47"/>
      <c r="F142" s="45"/>
      <c r="G142" s="47"/>
      <c r="H142" s="48"/>
      <c r="I142" s="45"/>
      <c r="J142" s="49"/>
      <c r="K142" s="46"/>
      <c r="L142" s="49"/>
    </row>
    <row r="143">
      <c r="A143" s="44"/>
      <c r="B143" s="45"/>
      <c r="C143" s="46"/>
      <c r="D143" s="47"/>
      <c r="E143" s="47"/>
      <c r="F143" s="45"/>
      <c r="G143" s="47"/>
      <c r="H143" s="48"/>
      <c r="I143" s="45"/>
      <c r="J143" s="49"/>
      <c r="K143" s="46"/>
      <c r="L143" s="49"/>
    </row>
    <row r="144">
      <c r="A144" s="44"/>
      <c r="B144" s="45"/>
      <c r="C144" s="46"/>
      <c r="D144" s="47"/>
      <c r="E144" s="47"/>
      <c r="F144" s="45"/>
      <c r="G144" s="47"/>
      <c r="H144" s="48"/>
      <c r="I144" s="45"/>
      <c r="J144" s="49"/>
      <c r="K144" s="46"/>
      <c r="L144" s="49"/>
    </row>
    <row r="145">
      <c r="A145" s="44"/>
      <c r="B145" s="45"/>
      <c r="C145" s="46"/>
      <c r="D145" s="47"/>
      <c r="E145" s="47"/>
      <c r="F145" s="45"/>
      <c r="G145" s="47"/>
      <c r="H145" s="48"/>
      <c r="I145" s="45"/>
      <c r="J145" s="49"/>
      <c r="K145" s="46"/>
      <c r="L145" s="49"/>
    </row>
    <row r="146">
      <c r="A146" s="44"/>
      <c r="B146" s="45"/>
      <c r="C146" s="46"/>
      <c r="D146" s="47"/>
      <c r="E146" s="47"/>
      <c r="F146" s="45"/>
      <c r="G146" s="47"/>
      <c r="H146" s="48"/>
      <c r="I146" s="45"/>
      <c r="J146" s="49"/>
      <c r="K146" s="46"/>
      <c r="L146" s="49"/>
    </row>
    <row r="147">
      <c r="A147" s="44"/>
      <c r="B147" s="45"/>
      <c r="C147" s="46"/>
      <c r="D147" s="47"/>
      <c r="E147" s="47"/>
      <c r="F147" s="45"/>
      <c r="G147" s="47"/>
      <c r="H147" s="48"/>
      <c r="I147" s="45"/>
      <c r="J147" s="49"/>
      <c r="K147" s="46"/>
      <c r="L147" s="49"/>
    </row>
    <row r="148">
      <c r="A148" s="44"/>
      <c r="B148" s="45"/>
      <c r="C148" s="46"/>
      <c r="D148" s="47"/>
      <c r="E148" s="47"/>
      <c r="F148" s="45"/>
      <c r="G148" s="47"/>
      <c r="H148" s="48"/>
      <c r="I148" s="45"/>
      <c r="J148" s="49"/>
      <c r="K148" s="46"/>
      <c r="L148" s="49"/>
    </row>
    <row r="149">
      <c r="A149" s="44"/>
      <c r="B149" s="45"/>
      <c r="C149" s="46"/>
      <c r="D149" s="47"/>
      <c r="E149" s="47"/>
      <c r="F149" s="45"/>
      <c r="G149" s="47"/>
      <c r="H149" s="48"/>
      <c r="I149" s="45"/>
      <c r="J149" s="49"/>
      <c r="K149" s="46"/>
      <c r="L149" s="49"/>
    </row>
    <row r="150">
      <c r="A150" s="44"/>
      <c r="B150" s="45"/>
      <c r="C150" s="46"/>
      <c r="D150" s="47"/>
      <c r="E150" s="47"/>
      <c r="F150" s="45"/>
      <c r="G150" s="47"/>
      <c r="H150" s="48"/>
      <c r="I150" s="45"/>
      <c r="J150" s="49"/>
      <c r="K150" s="46"/>
      <c r="L150" s="49"/>
    </row>
    <row r="151">
      <c r="A151" s="44"/>
      <c r="B151" s="45"/>
      <c r="C151" s="46"/>
      <c r="D151" s="47"/>
      <c r="E151" s="47"/>
      <c r="F151" s="45"/>
      <c r="G151" s="47"/>
      <c r="H151" s="48"/>
      <c r="I151" s="45"/>
      <c r="J151" s="49"/>
      <c r="K151" s="46"/>
      <c r="L151" s="49"/>
    </row>
    <row r="152">
      <c r="A152" s="44"/>
      <c r="B152" s="45"/>
      <c r="C152" s="46"/>
      <c r="D152" s="47"/>
      <c r="E152" s="47"/>
      <c r="F152" s="45"/>
      <c r="G152" s="47"/>
      <c r="H152" s="48"/>
      <c r="I152" s="45"/>
      <c r="J152" s="49"/>
      <c r="K152" s="46"/>
      <c r="L152" s="49"/>
    </row>
    <row r="153">
      <c r="A153" s="44"/>
      <c r="B153" s="45"/>
      <c r="C153" s="46"/>
      <c r="D153" s="47"/>
      <c r="E153" s="47"/>
      <c r="F153" s="45"/>
      <c r="G153" s="47"/>
      <c r="H153" s="48"/>
      <c r="I153" s="45"/>
      <c r="J153" s="49"/>
      <c r="K153" s="46"/>
      <c r="L153" s="49"/>
    </row>
    <row r="154">
      <c r="A154" s="44"/>
      <c r="B154" s="45"/>
      <c r="C154" s="46"/>
      <c r="D154" s="47"/>
      <c r="E154" s="47"/>
      <c r="F154" s="45"/>
      <c r="G154" s="47"/>
      <c r="H154" s="48"/>
      <c r="I154" s="45"/>
      <c r="J154" s="49"/>
      <c r="K154" s="46"/>
      <c r="L154" s="49"/>
    </row>
    <row r="155">
      <c r="A155" s="44"/>
      <c r="B155" s="45"/>
      <c r="C155" s="46"/>
      <c r="D155" s="47"/>
      <c r="E155" s="47"/>
      <c r="F155" s="45"/>
      <c r="G155" s="47"/>
      <c r="H155" s="48"/>
      <c r="I155" s="45"/>
      <c r="J155" s="49"/>
      <c r="K155" s="46"/>
      <c r="L155" s="49"/>
    </row>
    <row r="156">
      <c r="A156" s="44"/>
      <c r="B156" s="45"/>
      <c r="C156" s="46"/>
      <c r="D156" s="47"/>
      <c r="E156" s="47"/>
      <c r="F156" s="45"/>
      <c r="G156" s="47"/>
      <c r="H156" s="48"/>
      <c r="I156" s="45"/>
      <c r="J156" s="49"/>
      <c r="K156" s="46"/>
      <c r="L156" s="49"/>
    </row>
    <row r="157">
      <c r="A157" s="44"/>
      <c r="B157" s="45"/>
      <c r="C157" s="46"/>
      <c r="D157" s="47"/>
      <c r="E157" s="47"/>
      <c r="F157" s="45"/>
      <c r="G157" s="47"/>
      <c r="H157" s="48"/>
      <c r="I157" s="45"/>
      <c r="J157" s="49"/>
      <c r="K157" s="46"/>
      <c r="L157" s="49"/>
    </row>
    <row r="158">
      <c r="A158" s="44"/>
      <c r="B158" s="45"/>
      <c r="C158" s="46"/>
      <c r="D158" s="47"/>
      <c r="E158" s="47"/>
      <c r="F158" s="45"/>
      <c r="G158" s="47"/>
      <c r="H158" s="48"/>
      <c r="I158" s="45"/>
      <c r="J158" s="49"/>
      <c r="K158" s="46"/>
      <c r="L158" s="49"/>
    </row>
    <row r="159">
      <c r="A159" s="44"/>
      <c r="B159" s="45"/>
      <c r="C159" s="46"/>
      <c r="D159" s="47"/>
      <c r="E159" s="47"/>
      <c r="F159" s="45"/>
      <c r="G159" s="47"/>
      <c r="H159" s="48"/>
      <c r="I159" s="45"/>
      <c r="J159" s="49"/>
      <c r="K159" s="46"/>
      <c r="L159" s="49"/>
    </row>
    <row r="160">
      <c r="A160" s="44"/>
      <c r="B160" s="45"/>
      <c r="C160" s="46"/>
      <c r="D160" s="47"/>
      <c r="E160" s="47"/>
      <c r="F160" s="45"/>
      <c r="G160" s="47"/>
      <c r="H160" s="48"/>
      <c r="I160" s="45"/>
      <c r="J160" s="49"/>
      <c r="K160" s="46"/>
      <c r="L160" s="49"/>
    </row>
    <row r="161">
      <c r="A161" s="44"/>
      <c r="B161" s="45"/>
      <c r="C161" s="46"/>
      <c r="D161" s="47"/>
      <c r="E161" s="47"/>
      <c r="F161" s="45"/>
      <c r="G161" s="47"/>
      <c r="H161" s="48"/>
      <c r="I161" s="45"/>
      <c r="J161" s="49"/>
      <c r="K161" s="46"/>
      <c r="L161" s="49"/>
    </row>
    <row r="162">
      <c r="A162" s="44"/>
      <c r="B162" s="45"/>
      <c r="C162" s="46"/>
      <c r="D162" s="47"/>
      <c r="E162" s="47"/>
      <c r="F162" s="45"/>
      <c r="G162" s="47"/>
      <c r="H162" s="48"/>
      <c r="I162" s="45"/>
      <c r="J162" s="49"/>
      <c r="K162" s="46"/>
      <c r="L162" s="49"/>
    </row>
    <row r="163">
      <c r="A163" s="44"/>
      <c r="B163" s="45"/>
      <c r="C163" s="46"/>
      <c r="D163" s="47"/>
      <c r="E163" s="47"/>
      <c r="F163" s="45"/>
      <c r="G163" s="47"/>
      <c r="H163" s="48"/>
      <c r="I163" s="45"/>
      <c r="J163" s="49"/>
      <c r="K163" s="46"/>
      <c r="L163" s="49"/>
    </row>
    <row r="164">
      <c r="A164" s="44"/>
      <c r="B164" s="45"/>
      <c r="C164" s="46"/>
      <c r="D164" s="47"/>
      <c r="E164" s="47"/>
      <c r="F164" s="45"/>
      <c r="G164" s="47"/>
      <c r="H164" s="48"/>
      <c r="I164" s="45"/>
      <c r="J164" s="49"/>
      <c r="K164" s="46"/>
      <c r="L164" s="49"/>
    </row>
    <row r="165">
      <c r="A165" s="44"/>
      <c r="B165" s="45"/>
      <c r="C165" s="46"/>
      <c r="D165" s="47"/>
      <c r="E165" s="47"/>
      <c r="F165" s="45"/>
      <c r="G165" s="47"/>
      <c r="H165" s="48"/>
      <c r="I165" s="45"/>
      <c r="J165" s="49"/>
      <c r="K165" s="46"/>
      <c r="L165" s="49"/>
    </row>
    <row r="166">
      <c r="A166" s="44"/>
      <c r="B166" s="45"/>
      <c r="C166" s="46"/>
      <c r="D166" s="47"/>
      <c r="E166" s="47"/>
      <c r="F166" s="45"/>
      <c r="G166" s="47"/>
      <c r="H166" s="48"/>
      <c r="I166" s="45"/>
      <c r="J166" s="49"/>
      <c r="K166" s="46"/>
      <c r="L166" s="49"/>
    </row>
    <row r="167">
      <c r="A167" s="44"/>
      <c r="B167" s="45"/>
      <c r="C167" s="46"/>
      <c r="D167" s="47"/>
      <c r="E167" s="47"/>
      <c r="F167" s="45"/>
      <c r="G167" s="47"/>
      <c r="H167" s="48"/>
      <c r="I167" s="45"/>
      <c r="J167" s="49"/>
      <c r="K167" s="46"/>
      <c r="L167" s="49"/>
    </row>
    <row r="168">
      <c r="A168" s="44"/>
      <c r="B168" s="45"/>
      <c r="C168" s="46"/>
      <c r="D168" s="47"/>
      <c r="E168" s="47"/>
      <c r="F168" s="45"/>
      <c r="G168" s="47"/>
      <c r="H168" s="48"/>
      <c r="I168" s="45"/>
      <c r="J168" s="49"/>
      <c r="K168" s="46"/>
      <c r="L168" s="49"/>
    </row>
    <row r="169">
      <c r="A169" s="44"/>
      <c r="B169" s="45"/>
      <c r="C169" s="46"/>
      <c r="D169" s="47"/>
      <c r="E169" s="47"/>
      <c r="F169" s="45"/>
      <c r="G169" s="47"/>
      <c r="H169" s="48"/>
      <c r="I169" s="45"/>
      <c r="J169" s="49"/>
      <c r="K169" s="46"/>
      <c r="L169" s="49"/>
    </row>
    <row r="170">
      <c r="A170" s="44"/>
      <c r="B170" s="45"/>
      <c r="C170" s="46"/>
      <c r="D170" s="47"/>
      <c r="E170" s="47"/>
      <c r="F170" s="45"/>
      <c r="G170" s="47"/>
      <c r="H170" s="48"/>
      <c r="I170" s="45"/>
      <c r="J170" s="49"/>
      <c r="K170" s="46"/>
      <c r="L170" s="49"/>
    </row>
    <row r="171">
      <c r="A171" s="44"/>
      <c r="B171" s="45"/>
      <c r="C171" s="46"/>
      <c r="D171" s="47"/>
      <c r="E171" s="47"/>
      <c r="F171" s="45"/>
      <c r="G171" s="47"/>
      <c r="H171" s="48"/>
      <c r="I171" s="45"/>
      <c r="J171" s="49"/>
      <c r="K171" s="46"/>
      <c r="L171" s="49"/>
    </row>
    <row r="172">
      <c r="A172" s="44"/>
      <c r="B172" s="45"/>
      <c r="C172" s="46"/>
      <c r="D172" s="47"/>
      <c r="E172" s="47"/>
      <c r="F172" s="45"/>
      <c r="G172" s="47"/>
      <c r="H172" s="48"/>
      <c r="I172" s="45"/>
      <c r="J172" s="49"/>
      <c r="K172" s="46"/>
      <c r="L172" s="49"/>
    </row>
    <row r="173">
      <c r="A173" s="44"/>
      <c r="B173" s="45"/>
      <c r="C173" s="46"/>
      <c r="D173" s="47"/>
      <c r="E173" s="47"/>
      <c r="F173" s="45"/>
      <c r="G173" s="47"/>
      <c r="H173" s="48"/>
      <c r="I173" s="45"/>
      <c r="J173" s="49"/>
      <c r="K173" s="46"/>
      <c r="L173" s="49"/>
    </row>
    <row r="174">
      <c r="A174" s="44"/>
      <c r="B174" s="45"/>
      <c r="C174" s="46"/>
      <c r="D174" s="47"/>
      <c r="E174" s="47"/>
      <c r="F174" s="45"/>
      <c r="G174" s="47"/>
      <c r="H174" s="48"/>
      <c r="I174" s="45"/>
      <c r="J174" s="49"/>
      <c r="K174" s="46"/>
      <c r="L174" s="49"/>
    </row>
    <row r="175">
      <c r="A175" s="44"/>
      <c r="B175" s="45"/>
      <c r="C175" s="46"/>
      <c r="D175" s="47"/>
      <c r="E175" s="47"/>
      <c r="F175" s="45"/>
      <c r="G175" s="47"/>
      <c r="H175" s="48"/>
      <c r="I175" s="45"/>
      <c r="J175" s="49"/>
      <c r="K175" s="46"/>
      <c r="L175" s="49"/>
    </row>
    <row r="176">
      <c r="A176" s="44"/>
      <c r="B176" s="45"/>
      <c r="C176" s="46"/>
      <c r="D176" s="47"/>
      <c r="E176" s="47"/>
      <c r="F176" s="45"/>
      <c r="G176" s="47"/>
      <c r="H176" s="48"/>
      <c r="I176" s="45"/>
      <c r="J176" s="49"/>
      <c r="K176" s="46"/>
      <c r="L176" s="49"/>
    </row>
    <row r="177">
      <c r="A177" s="44"/>
      <c r="B177" s="45"/>
      <c r="C177" s="46"/>
      <c r="D177" s="47"/>
      <c r="E177" s="47"/>
      <c r="F177" s="45"/>
      <c r="G177" s="47"/>
      <c r="H177" s="48"/>
      <c r="I177" s="45"/>
      <c r="J177" s="49"/>
      <c r="K177" s="46"/>
      <c r="L177" s="49"/>
    </row>
    <row r="178">
      <c r="A178" s="44"/>
      <c r="B178" s="45"/>
      <c r="C178" s="46"/>
      <c r="D178" s="47"/>
      <c r="E178" s="47"/>
      <c r="F178" s="45"/>
      <c r="G178" s="47"/>
      <c r="H178" s="48"/>
      <c r="I178" s="45"/>
      <c r="J178" s="49"/>
      <c r="K178" s="46"/>
      <c r="L178" s="49"/>
    </row>
    <row r="179">
      <c r="A179" s="44"/>
      <c r="B179" s="45"/>
      <c r="C179" s="46"/>
      <c r="D179" s="47"/>
      <c r="E179" s="47"/>
      <c r="F179" s="45"/>
      <c r="G179" s="47"/>
      <c r="H179" s="48"/>
      <c r="I179" s="45"/>
      <c r="J179" s="49"/>
      <c r="K179" s="46"/>
      <c r="L179" s="49"/>
    </row>
    <row r="180">
      <c r="A180" s="44"/>
      <c r="B180" s="45"/>
      <c r="C180" s="46"/>
      <c r="D180" s="47"/>
      <c r="E180" s="47"/>
      <c r="F180" s="45"/>
      <c r="G180" s="47"/>
      <c r="H180" s="48"/>
      <c r="I180" s="45"/>
      <c r="J180" s="49"/>
      <c r="K180" s="46"/>
      <c r="L180" s="49"/>
    </row>
    <row r="181">
      <c r="A181" s="44"/>
      <c r="B181" s="45"/>
      <c r="C181" s="46"/>
      <c r="D181" s="47"/>
      <c r="E181" s="47"/>
      <c r="F181" s="45"/>
      <c r="G181" s="47"/>
      <c r="H181" s="48"/>
      <c r="I181" s="45"/>
      <c r="J181" s="49"/>
      <c r="K181" s="46"/>
      <c r="L181" s="49"/>
    </row>
    <row r="182">
      <c r="A182" s="44"/>
      <c r="B182" s="45"/>
      <c r="C182" s="46"/>
      <c r="D182" s="47"/>
      <c r="E182" s="47"/>
      <c r="F182" s="45"/>
      <c r="G182" s="47"/>
      <c r="H182" s="48"/>
      <c r="I182" s="45"/>
      <c r="J182" s="49"/>
      <c r="K182" s="46"/>
      <c r="L182" s="49"/>
    </row>
    <row r="183">
      <c r="A183" s="44"/>
      <c r="B183" s="45"/>
      <c r="C183" s="46"/>
      <c r="D183" s="47"/>
      <c r="E183" s="47"/>
      <c r="F183" s="45"/>
      <c r="G183" s="47"/>
      <c r="H183" s="48"/>
      <c r="I183" s="45"/>
      <c r="J183" s="49"/>
      <c r="K183" s="46"/>
      <c r="L183" s="49"/>
    </row>
    <row r="184">
      <c r="A184" s="44"/>
      <c r="B184" s="45"/>
      <c r="C184" s="46"/>
      <c r="D184" s="47"/>
      <c r="E184" s="47"/>
      <c r="F184" s="45"/>
      <c r="G184" s="47"/>
      <c r="H184" s="48"/>
      <c r="I184" s="45"/>
      <c r="J184" s="49"/>
      <c r="K184" s="46"/>
      <c r="L184" s="49"/>
    </row>
    <row r="185">
      <c r="A185" s="44"/>
      <c r="B185" s="45"/>
      <c r="C185" s="46"/>
      <c r="D185" s="47"/>
      <c r="E185" s="47"/>
      <c r="F185" s="45"/>
      <c r="G185" s="47"/>
      <c r="H185" s="48"/>
      <c r="I185" s="45"/>
      <c r="J185" s="49"/>
      <c r="K185" s="46"/>
      <c r="L185" s="49"/>
    </row>
    <row r="186">
      <c r="A186" s="44"/>
      <c r="B186" s="45"/>
      <c r="C186" s="46"/>
      <c r="D186" s="47"/>
      <c r="E186" s="47"/>
      <c r="F186" s="45"/>
      <c r="G186" s="47"/>
      <c r="H186" s="48"/>
      <c r="I186" s="45"/>
      <c r="J186" s="49"/>
      <c r="K186" s="46"/>
      <c r="L186" s="49"/>
    </row>
    <row r="187">
      <c r="A187" s="44"/>
      <c r="B187" s="45"/>
      <c r="C187" s="46"/>
      <c r="D187" s="47"/>
      <c r="E187" s="47"/>
      <c r="F187" s="45"/>
      <c r="G187" s="47"/>
      <c r="H187" s="48"/>
      <c r="I187" s="45"/>
      <c r="J187" s="49"/>
      <c r="K187" s="46"/>
      <c r="L187" s="49"/>
    </row>
    <row r="188">
      <c r="A188" s="44"/>
      <c r="B188" s="45"/>
      <c r="C188" s="46"/>
      <c r="D188" s="47"/>
      <c r="E188" s="47"/>
      <c r="F188" s="45"/>
      <c r="G188" s="47"/>
      <c r="H188" s="48"/>
      <c r="I188" s="45"/>
      <c r="J188" s="49"/>
      <c r="K188" s="46"/>
      <c r="L188" s="49"/>
    </row>
    <row r="189">
      <c r="A189" s="44"/>
      <c r="B189" s="45"/>
      <c r="C189" s="46"/>
      <c r="D189" s="47"/>
      <c r="E189" s="47"/>
      <c r="F189" s="45"/>
      <c r="G189" s="47"/>
      <c r="H189" s="48"/>
      <c r="I189" s="45"/>
      <c r="J189" s="49"/>
      <c r="K189" s="46"/>
      <c r="L189" s="49"/>
    </row>
    <row r="190">
      <c r="A190" s="44"/>
      <c r="B190" s="45"/>
      <c r="C190" s="46"/>
      <c r="D190" s="47"/>
      <c r="E190" s="47"/>
      <c r="F190" s="45"/>
      <c r="G190" s="47"/>
      <c r="H190" s="48"/>
      <c r="I190" s="45"/>
      <c r="J190" s="49"/>
      <c r="K190" s="46"/>
      <c r="L190" s="49"/>
    </row>
    <row r="191">
      <c r="A191" s="44"/>
      <c r="B191" s="45"/>
      <c r="C191" s="46"/>
      <c r="D191" s="47"/>
      <c r="E191" s="47"/>
      <c r="F191" s="45"/>
      <c r="G191" s="47"/>
      <c r="H191" s="48"/>
      <c r="I191" s="45"/>
      <c r="J191" s="49"/>
      <c r="K191" s="46"/>
      <c r="L191" s="49"/>
    </row>
    <row r="192">
      <c r="A192" s="44"/>
      <c r="B192" s="45"/>
      <c r="C192" s="46"/>
      <c r="D192" s="47"/>
      <c r="E192" s="47"/>
      <c r="F192" s="45"/>
      <c r="G192" s="47"/>
      <c r="H192" s="48"/>
      <c r="I192" s="45"/>
      <c r="J192" s="49"/>
      <c r="K192" s="46"/>
      <c r="L192" s="49"/>
    </row>
    <row r="193">
      <c r="A193" s="44"/>
      <c r="B193" s="45"/>
      <c r="C193" s="46"/>
      <c r="D193" s="47"/>
      <c r="E193" s="47"/>
      <c r="F193" s="45"/>
      <c r="G193" s="47"/>
      <c r="H193" s="48"/>
      <c r="I193" s="45"/>
      <c r="J193" s="49"/>
      <c r="K193" s="46"/>
      <c r="L193" s="49"/>
    </row>
    <row r="194">
      <c r="A194" s="44"/>
      <c r="B194" s="45"/>
      <c r="C194" s="46"/>
      <c r="D194" s="47"/>
      <c r="E194" s="47"/>
      <c r="F194" s="45"/>
      <c r="G194" s="47"/>
      <c r="H194" s="48"/>
      <c r="I194" s="45"/>
      <c r="J194" s="49"/>
      <c r="K194" s="46"/>
      <c r="L194" s="49"/>
    </row>
    <row r="195">
      <c r="A195" s="44"/>
      <c r="B195" s="45"/>
      <c r="C195" s="46"/>
      <c r="D195" s="47"/>
      <c r="E195" s="47"/>
      <c r="F195" s="45"/>
      <c r="G195" s="47"/>
      <c r="H195" s="48"/>
      <c r="I195" s="45"/>
      <c r="J195" s="49"/>
      <c r="K195" s="46"/>
      <c r="L195" s="49"/>
    </row>
    <row r="196">
      <c r="A196" s="44"/>
      <c r="B196" s="45"/>
      <c r="C196" s="46"/>
      <c r="D196" s="47"/>
      <c r="E196" s="47"/>
      <c r="F196" s="45"/>
      <c r="G196" s="47"/>
      <c r="H196" s="48"/>
      <c r="I196" s="45"/>
      <c r="J196" s="49"/>
      <c r="K196" s="46"/>
      <c r="L196" s="49"/>
    </row>
    <row r="197">
      <c r="A197" s="44"/>
      <c r="B197" s="45"/>
      <c r="C197" s="46"/>
      <c r="D197" s="47"/>
      <c r="E197" s="47"/>
      <c r="F197" s="45"/>
      <c r="G197" s="47"/>
      <c r="H197" s="48"/>
      <c r="I197" s="45"/>
      <c r="J197" s="49"/>
      <c r="K197" s="46"/>
      <c r="L197" s="49"/>
    </row>
    <row r="198">
      <c r="A198" s="44"/>
      <c r="B198" s="45"/>
      <c r="C198" s="46"/>
      <c r="D198" s="47"/>
      <c r="E198" s="47"/>
      <c r="F198" s="45"/>
      <c r="G198" s="47"/>
      <c r="H198" s="48"/>
      <c r="I198" s="45"/>
      <c r="J198" s="49"/>
      <c r="K198" s="46"/>
      <c r="L198" s="49"/>
    </row>
    <row r="199">
      <c r="A199" s="44"/>
      <c r="B199" s="45"/>
      <c r="C199" s="46"/>
      <c r="D199" s="47"/>
      <c r="E199" s="47"/>
      <c r="F199" s="45"/>
      <c r="G199" s="47"/>
      <c r="H199" s="48"/>
      <c r="I199" s="45"/>
      <c r="J199" s="49"/>
      <c r="K199" s="46"/>
      <c r="L199" s="49"/>
    </row>
    <row r="200">
      <c r="A200" s="44"/>
      <c r="B200" s="45"/>
      <c r="C200" s="46"/>
      <c r="D200" s="47"/>
      <c r="E200" s="47"/>
      <c r="F200" s="45"/>
      <c r="G200" s="47"/>
      <c r="H200" s="48"/>
      <c r="I200" s="45"/>
      <c r="J200" s="49"/>
      <c r="K200" s="46"/>
      <c r="L200" s="49"/>
    </row>
    <row r="201">
      <c r="A201" s="44"/>
      <c r="B201" s="45"/>
      <c r="C201" s="46"/>
      <c r="D201" s="47"/>
      <c r="E201" s="47"/>
      <c r="F201" s="45"/>
      <c r="G201" s="47"/>
      <c r="H201" s="48"/>
      <c r="I201" s="45"/>
      <c r="J201" s="49"/>
      <c r="K201" s="46"/>
      <c r="L201" s="49"/>
    </row>
    <row r="202">
      <c r="A202" s="44"/>
      <c r="B202" s="45"/>
      <c r="C202" s="46"/>
      <c r="D202" s="47"/>
      <c r="E202" s="47"/>
      <c r="F202" s="45"/>
      <c r="G202" s="47"/>
      <c r="H202" s="48"/>
      <c r="I202" s="45"/>
      <c r="J202" s="49"/>
      <c r="K202" s="46"/>
      <c r="L202" s="49"/>
    </row>
    <row r="203">
      <c r="A203" s="44"/>
      <c r="B203" s="45"/>
      <c r="C203" s="46"/>
      <c r="D203" s="47"/>
      <c r="E203" s="47"/>
      <c r="F203" s="45"/>
      <c r="G203" s="47"/>
      <c r="H203" s="48"/>
      <c r="I203" s="45"/>
      <c r="J203" s="49"/>
      <c r="K203" s="46"/>
      <c r="L203" s="49"/>
    </row>
    <row r="204">
      <c r="A204" s="44"/>
      <c r="B204" s="45"/>
      <c r="C204" s="46"/>
      <c r="D204" s="47"/>
      <c r="E204" s="47"/>
      <c r="F204" s="45"/>
      <c r="G204" s="47"/>
      <c r="H204" s="48"/>
      <c r="I204" s="45"/>
      <c r="J204" s="49"/>
      <c r="K204" s="46"/>
      <c r="L204" s="49"/>
    </row>
    <row r="205">
      <c r="A205" s="44"/>
      <c r="B205" s="45"/>
      <c r="C205" s="46"/>
      <c r="D205" s="47"/>
      <c r="E205" s="47"/>
      <c r="F205" s="45"/>
      <c r="G205" s="47"/>
      <c r="H205" s="48"/>
      <c r="I205" s="45"/>
      <c r="J205" s="49"/>
      <c r="K205" s="46"/>
      <c r="L205" s="49"/>
    </row>
    <row r="206">
      <c r="A206" s="44"/>
      <c r="B206" s="45"/>
      <c r="C206" s="46"/>
      <c r="D206" s="47"/>
      <c r="E206" s="47"/>
      <c r="F206" s="45"/>
      <c r="G206" s="47"/>
      <c r="H206" s="48"/>
      <c r="I206" s="45"/>
      <c r="J206" s="49"/>
      <c r="K206" s="46"/>
      <c r="L206" s="49"/>
    </row>
    <row r="207">
      <c r="A207" s="44"/>
      <c r="B207" s="45"/>
      <c r="C207" s="46"/>
      <c r="D207" s="47"/>
      <c r="E207" s="47"/>
      <c r="F207" s="45"/>
      <c r="G207" s="47"/>
      <c r="H207" s="48"/>
      <c r="I207" s="45"/>
      <c r="J207" s="49"/>
      <c r="K207" s="46"/>
      <c r="L207" s="49"/>
    </row>
    <row r="208">
      <c r="A208" s="44"/>
      <c r="B208" s="45"/>
      <c r="C208" s="46"/>
      <c r="D208" s="47"/>
      <c r="E208" s="47"/>
      <c r="F208" s="45"/>
      <c r="G208" s="47"/>
      <c r="H208" s="48"/>
      <c r="I208" s="45"/>
      <c r="J208" s="49"/>
      <c r="K208" s="46"/>
      <c r="L208" s="49"/>
    </row>
    <row r="209">
      <c r="A209" s="44"/>
      <c r="B209" s="45"/>
      <c r="C209" s="46"/>
      <c r="D209" s="47"/>
      <c r="E209" s="47"/>
      <c r="F209" s="45"/>
      <c r="G209" s="47"/>
      <c r="H209" s="48"/>
      <c r="I209" s="45"/>
      <c r="J209" s="49"/>
      <c r="K209" s="46"/>
      <c r="L209" s="49"/>
    </row>
    <row r="210">
      <c r="A210" s="44"/>
      <c r="B210" s="45"/>
      <c r="C210" s="46"/>
      <c r="D210" s="47"/>
      <c r="E210" s="47"/>
      <c r="F210" s="45"/>
      <c r="G210" s="47"/>
      <c r="H210" s="48"/>
      <c r="I210" s="45"/>
      <c r="J210" s="49"/>
      <c r="K210" s="46"/>
      <c r="L210" s="49"/>
    </row>
    <row r="211">
      <c r="A211" s="44"/>
      <c r="B211" s="45"/>
      <c r="C211" s="46"/>
      <c r="D211" s="47"/>
      <c r="E211" s="47"/>
      <c r="F211" s="45"/>
      <c r="G211" s="47"/>
      <c r="H211" s="48"/>
      <c r="I211" s="45"/>
      <c r="J211" s="49"/>
      <c r="K211" s="46"/>
      <c r="L211" s="49"/>
    </row>
    <row r="212">
      <c r="A212" s="44"/>
      <c r="B212" s="45"/>
      <c r="C212" s="46"/>
      <c r="D212" s="47"/>
      <c r="E212" s="47"/>
      <c r="F212" s="45"/>
      <c r="G212" s="47"/>
      <c r="H212" s="48"/>
      <c r="I212" s="45"/>
      <c r="J212" s="49"/>
      <c r="K212" s="46"/>
      <c r="L212" s="49"/>
    </row>
    <row r="213">
      <c r="A213" s="44"/>
      <c r="B213" s="45"/>
      <c r="C213" s="46"/>
      <c r="D213" s="47"/>
      <c r="E213" s="47"/>
      <c r="F213" s="45"/>
      <c r="G213" s="47"/>
      <c r="H213" s="48"/>
      <c r="I213" s="45"/>
      <c r="J213" s="49"/>
      <c r="K213" s="46"/>
      <c r="L213" s="49"/>
    </row>
    <row r="214">
      <c r="A214" s="44"/>
      <c r="B214" s="45"/>
      <c r="C214" s="46"/>
      <c r="D214" s="47"/>
      <c r="E214" s="47"/>
      <c r="F214" s="45"/>
      <c r="G214" s="47"/>
      <c r="H214" s="48"/>
      <c r="I214" s="45"/>
      <c r="J214" s="49"/>
      <c r="K214" s="46"/>
      <c r="L214" s="49"/>
    </row>
    <row r="215">
      <c r="A215" s="44"/>
      <c r="B215" s="45"/>
      <c r="C215" s="46"/>
      <c r="D215" s="47"/>
      <c r="E215" s="47"/>
      <c r="F215" s="45"/>
      <c r="G215" s="47"/>
      <c r="H215" s="48"/>
      <c r="I215" s="45"/>
      <c r="J215" s="49"/>
      <c r="K215" s="46"/>
      <c r="L215" s="49"/>
    </row>
    <row r="216">
      <c r="A216" s="44"/>
      <c r="B216" s="45"/>
      <c r="C216" s="46"/>
      <c r="D216" s="47"/>
      <c r="E216" s="47"/>
      <c r="F216" s="45"/>
      <c r="G216" s="47"/>
      <c r="H216" s="48"/>
      <c r="I216" s="45"/>
      <c r="J216" s="49"/>
      <c r="K216" s="46"/>
      <c r="L216" s="49"/>
    </row>
    <row r="217">
      <c r="A217" s="44"/>
      <c r="B217" s="45"/>
      <c r="C217" s="46"/>
      <c r="D217" s="47"/>
      <c r="E217" s="47"/>
      <c r="F217" s="45"/>
      <c r="G217" s="47"/>
      <c r="H217" s="48"/>
      <c r="I217" s="45"/>
      <c r="J217" s="49"/>
      <c r="K217" s="46"/>
      <c r="L217" s="49"/>
    </row>
    <row r="218">
      <c r="A218" s="44"/>
      <c r="B218" s="45"/>
      <c r="C218" s="46"/>
      <c r="D218" s="47"/>
      <c r="E218" s="47"/>
      <c r="F218" s="45"/>
      <c r="G218" s="47"/>
      <c r="H218" s="48"/>
      <c r="I218" s="45"/>
      <c r="J218" s="49"/>
      <c r="K218" s="46"/>
      <c r="L218" s="49"/>
    </row>
    <row r="219">
      <c r="A219" s="44"/>
      <c r="B219" s="45"/>
      <c r="C219" s="46"/>
      <c r="D219" s="47"/>
      <c r="E219" s="47"/>
      <c r="F219" s="45"/>
      <c r="G219" s="47"/>
      <c r="H219" s="48"/>
      <c r="I219" s="45"/>
      <c r="J219" s="49"/>
      <c r="K219" s="46"/>
      <c r="L219" s="49"/>
    </row>
    <row r="220">
      <c r="A220" s="44"/>
      <c r="B220" s="45"/>
      <c r="C220" s="46"/>
      <c r="D220" s="47"/>
      <c r="E220" s="47"/>
      <c r="F220" s="45"/>
      <c r="G220" s="47"/>
      <c r="H220" s="48"/>
      <c r="I220" s="45"/>
      <c r="J220" s="49"/>
      <c r="K220" s="46"/>
      <c r="L220" s="49"/>
    </row>
    <row r="221">
      <c r="A221" s="44"/>
      <c r="B221" s="45"/>
      <c r="C221" s="46"/>
      <c r="D221" s="47"/>
      <c r="E221" s="47"/>
      <c r="F221" s="45"/>
      <c r="G221" s="47"/>
      <c r="H221" s="48"/>
      <c r="I221" s="45"/>
      <c r="J221" s="49"/>
      <c r="K221" s="46"/>
      <c r="L221" s="49"/>
    </row>
    <row r="222">
      <c r="A222" s="44"/>
      <c r="B222" s="45"/>
      <c r="C222" s="46"/>
      <c r="D222" s="47"/>
      <c r="E222" s="47"/>
      <c r="F222" s="45"/>
      <c r="G222" s="47"/>
      <c r="H222" s="48"/>
      <c r="I222" s="45"/>
      <c r="J222" s="49"/>
      <c r="K222" s="46"/>
      <c r="L222" s="49"/>
    </row>
    <row r="223">
      <c r="A223" s="44"/>
      <c r="B223" s="45"/>
      <c r="C223" s="46"/>
      <c r="D223" s="47"/>
      <c r="E223" s="47"/>
      <c r="F223" s="45"/>
      <c r="G223" s="47"/>
      <c r="H223" s="48"/>
      <c r="I223" s="45"/>
      <c r="J223" s="49"/>
      <c r="K223" s="46"/>
      <c r="L223" s="49"/>
    </row>
    <row r="224">
      <c r="A224" s="44"/>
      <c r="B224" s="45"/>
      <c r="C224" s="46"/>
      <c r="D224" s="47"/>
      <c r="E224" s="47"/>
      <c r="F224" s="45"/>
      <c r="G224" s="47"/>
      <c r="H224" s="48"/>
      <c r="I224" s="45"/>
      <c r="J224" s="49"/>
      <c r="K224" s="46"/>
      <c r="L224" s="49"/>
    </row>
    <row r="225">
      <c r="A225" s="44"/>
      <c r="B225" s="45"/>
      <c r="C225" s="46"/>
      <c r="D225" s="47"/>
      <c r="E225" s="47"/>
      <c r="F225" s="45"/>
      <c r="G225" s="47"/>
      <c r="H225" s="48"/>
      <c r="I225" s="45"/>
      <c r="J225" s="49"/>
      <c r="K225" s="46"/>
      <c r="L225" s="49"/>
    </row>
    <row r="226">
      <c r="A226" s="44"/>
      <c r="B226" s="45"/>
      <c r="C226" s="46"/>
      <c r="D226" s="47"/>
      <c r="E226" s="47"/>
      <c r="F226" s="45"/>
      <c r="G226" s="47"/>
      <c r="H226" s="48"/>
      <c r="I226" s="45"/>
      <c r="J226" s="49"/>
      <c r="K226" s="46"/>
      <c r="L226" s="49"/>
    </row>
    <row r="227">
      <c r="A227" s="44"/>
      <c r="B227" s="45"/>
      <c r="C227" s="46"/>
      <c r="D227" s="47"/>
      <c r="E227" s="47"/>
      <c r="F227" s="45"/>
      <c r="G227" s="47"/>
      <c r="H227" s="48"/>
      <c r="I227" s="45"/>
      <c r="J227" s="49"/>
      <c r="K227" s="46"/>
      <c r="L227" s="49"/>
    </row>
    <row r="228">
      <c r="A228" s="44"/>
      <c r="B228" s="45"/>
      <c r="C228" s="46"/>
      <c r="D228" s="47"/>
      <c r="E228" s="47"/>
      <c r="F228" s="45"/>
      <c r="G228" s="47"/>
      <c r="H228" s="48"/>
      <c r="I228" s="45"/>
      <c r="J228" s="49"/>
      <c r="K228" s="46"/>
      <c r="L228" s="49"/>
    </row>
    <row r="229">
      <c r="A229" s="44"/>
      <c r="B229" s="45"/>
      <c r="C229" s="46"/>
      <c r="D229" s="47"/>
      <c r="E229" s="47"/>
      <c r="F229" s="45"/>
      <c r="G229" s="47"/>
      <c r="H229" s="48"/>
      <c r="I229" s="45"/>
      <c r="J229" s="49"/>
      <c r="K229" s="46"/>
      <c r="L229" s="49"/>
    </row>
    <row r="230">
      <c r="A230" s="44"/>
      <c r="B230" s="45"/>
      <c r="C230" s="46"/>
      <c r="D230" s="47"/>
      <c r="E230" s="47"/>
      <c r="F230" s="45"/>
      <c r="G230" s="47"/>
      <c r="H230" s="48"/>
      <c r="I230" s="45"/>
      <c r="J230" s="49"/>
      <c r="K230" s="46"/>
      <c r="L230" s="49"/>
    </row>
    <row r="231">
      <c r="A231" s="44"/>
      <c r="B231" s="45"/>
      <c r="C231" s="46"/>
      <c r="D231" s="47"/>
      <c r="E231" s="47"/>
      <c r="F231" s="45"/>
      <c r="G231" s="47"/>
      <c r="H231" s="48"/>
      <c r="I231" s="45"/>
      <c r="J231" s="49"/>
      <c r="K231" s="46"/>
      <c r="L231" s="49"/>
    </row>
    <row r="232">
      <c r="A232" s="44"/>
      <c r="B232" s="45"/>
      <c r="C232" s="46"/>
      <c r="D232" s="47"/>
      <c r="E232" s="47"/>
      <c r="F232" s="45"/>
      <c r="G232" s="47"/>
      <c r="H232" s="48"/>
      <c r="I232" s="45"/>
      <c r="J232" s="49"/>
      <c r="K232" s="46"/>
      <c r="L232" s="49"/>
    </row>
    <row r="233">
      <c r="A233" s="44"/>
      <c r="B233" s="45"/>
      <c r="C233" s="46"/>
      <c r="D233" s="47"/>
      <c r="E233" s="47"/>
      <c r="F233" s="45"/>
      <c r="G233" s="47"/>
      <c r="H233" s="48"/>
      <c r="I233" s="45"/>
      <c r="J233" s="49"/>
      <c r="K233" s="46"/>
      <c r="L233" s="49"/>
    </row>
    <row r="234">
      <c r="A234" s="44"/>
      <c r="B234" s="45"/>
      <c r="C234" s="46"/>
      <c r="D234" s="47"/>
      <c r="E234" s="47"/>
      <c r="F234" s="45"/>
      <c r="G234" s="47"/>
      <c r="H234" s="48"/>
      <c r="I234" s="45"/>
      <c r="J234" s="49"/>
      <c r="K234" s="46"/>
      <c r="L234" s="49"/>
    </row>
    <row r="235">
      <c r="A235" s="44"/>
      <c r="B235" s="45"/>
      <c r="C235" s="46"/>
      <c r="D235" s="47"/>
      <c r="E235" s="47"/>
      <c r="F235" s="45"/>
      <c r="G235" s="47"/>
      <c r="H235" s="48"/>
      <c r="I235" s="45"/>
      <c r="J235" s="49"/>
      <c r="K235" s="46"/>
      <c r="L235" s="49"/>
    </row>
    <row r="236">
      <c r="A236" s="44"/>
      <c r="B236" s="45"/>
      <c r="C236" s="46"/>
      <c r="D236" s="47"/>
      <c r="E236" s="47"/>
      <c r="F236" s="45"/>
      <c r="G236" s="47"/>
      <c r="H236" s="48"/>
      <c r="I236" s="45"/>
      <c r="J236" s="49"/>
      <c r="K236" s="46"/>
      <c r="L236" s="49"/>
    </row>
    <row r="237">
      <c r="A237" s="44"/>
      <c r="B237" s="45"/>
      <c r="C237" s="46"/>
      <c r="D237" s="47"/>
      <c r="E237" s="47"/>
      <c r="F237" s="45"/>
      <c r="G237" s="47"/>
      <c r="H237" s="48"/>
      <c r="I237" s="45"/>
      <c r="J237" s="49"/>
      <c r="K237" s="46"/>
      <c r="L237" s="49"/>
    </row>
    <row r="238">
      <c r="A238" s="44"/>
      <c r="B238" s="45"/>
      <c r="C238" s="46"/>
      <c r="D238" s="47"/>
      <c r="E238" s="47"/>
      <c r="F238" s="45"/>
      <c r="G238" s="47"/>
      <c r="H238" s="48"/>
      <c r="I238" s="45"/>
      <c r="J238" s="49"/>
      <c r="K238" s="46"/>
      <c r="L238" s="49"/>
    </row>
    <row r="239">
      <c r="A239" s="44"/>
      <c r="B239" s="45"/>
      <c r="C239" s="46"/>
      <c r="D239" s="47"/>
      <c r="E239" s="47"/>
      <c r="F239" s="45"/>
      <c r="G239" s="47"/>
      <c r="H239" s="48"/>
      <c r="I239" s="45"/>
      <c r="J239" s="49"/>
      <c r="K239" s="46"/>
      <c r="L239" s="49"/>
    </row>
    <row r="240">
      <c r="A240" s="44"/>
      <c r="B240" s="45"/>
      <c r="C240" s="46"/>
      <c r="D240" s="47"/>
      <c r="E240" s="47"/>
      <c r="F240" s="45"/>
      <c r="G240" s="47"/>
      <c r="H240" s="48"/>
      <c r="I240" s="45"/>
      <c r="J240" s="49"/>
      <c r="K240" s="46"/>
      <c r="L240" s="49"/>
    </row>
    <row r="241">
      <c r="A241" s="44"/>
      <c r="B241" s="45"/>
      <c r="C241" s="46"/>
      <c r="D241" s="47"/>
      <c r="E241" s="47"/>
      <c r="F241" s="45"/>
      <c r="G241" s="47"/>
      <c r="H241" s="48"/>
      <c r="I241" s="45"/>
      <c r="J241" s="49"/>
      <c r="K241" s="46"/>
      <c r="L241" s="49"/>
    </row>
    <row r="242">
      <c r="A242" s="44"/>
      <c r="B242" s="45"/>
      <c r="C242" s="46"/>
      <c r="D242" s="47"/>
      <c r="E242" s="47"/>
      <c r="F242" s="45"/>
      <c r="G242" s="47"/>
      <c r="H242" s="48"/>
      <c r="I242" s="45"/>
      <c r="J242" s="49"/>
      <c r="K242" s="46"/>
      <c r="L242" s="49"/>
    </row>
    <row r="243">
      <c r="A243" s="44"/>
      <c r="B243" s="45"/>
      <c r="C243" s="46"/>
      <c r="D243" s="47"/>
      <c r="E243" s="47"/>
      <c r="F243" s="45"/>
      <c r="G243" s="47"/>
      <c r="H243" s="48"/>
      <c r="I243" s="45"/>
      <c r="J243" s="49"/>
      <c r="K243" s="46"/>
      <c r="L243" s="49"/>
    </row>
    <row r="244">
      <c r="A244" s="44"/>
      <c r="B244" s="45"/>
      <c r="C244" s="46"/>
      <c r="D244" s="47"/>
      <c r="E244" s="47"/>
      <c r="F244" s="45"/>
      <c r="G244" s="47"/>
      <c r="H244" s="48"/>
      <c r="I244" s="45"/>
      <c r="J244" s="49"/>
      <c r="K244" s="46"/>
      <c r="L244" s="49"/>
    </row>
    <row r="245">
      <c r="A245" s="44"/>
      <c r="B245" s="45"/>
      <c r="C245" s="46"/>
      <c r="D245" s="47"/>
      <c r="E245" s="47"/>
      <c r="F245" s="45"/>
      <c r="G245" s="47"/>
      <c r="H245" s="48"/>
      <c r="I245" s="45"/>
      <c r="J245" s="49"/>
      <c r="K245" s="46"/>
      <c r="L245" s="49"/>
    </row>
    <row r="246">
      <c r="A246" s="44"/>
      <c r="B246" s="45"/>
      <c r="C246" s="46"/>
      <c r="D246" s="47"/>
      <c r="E246" s="47"/>
      <c r="F246" s="45"/>
      <c r="G246" s="47"/>
      <c r="H246" s="48"/>
      <c r="I246" s="45"/>
      <c r="J246" s="49"/>
      <c r="K246" s="46"/>
      <c r="L246" s="49"/>
    </row>
    <row r="247">
      <c r="A247" s="44"/>
      <c r="B247" s="45"/>
      <c r="C247" s="46"/>
      <c r="D247" s="47"/>
      <c r="E247" s="47"/>
      <c r="F247" s="45"/>
      <c r="G247" s="47"/>
      <c r="H247" s="48"/>
      <c r="I247" s="45"/>
      <c r="J247" s="49"/>
      <c r="K247" s="46"/>
      <c r="L247" s="49"/>
    </row>
    <row r="248">
      <c r="A248" s="44"/>
      <c r="B248" s="45"/>
      <c r="C248" s="46"/>
      <c r="D248" s="47"/>
      <c r="E248" s="47"/>
      <c r="F248" s="45"/>
      <c r="G248" s="47"/>
      <c r="H248" s="48"/>
      <c r="I248" s="45"/>
      <c r="J248" s="49"/>
      <c r="K248" s="46"/>
      <c r="L248" s="49"/>
    </row>
    <row r="249">
      <c r="A249" s="44"/>
      <c r="B249" s="45"/>
      <c r="C249" s="46"/>
      <c r="D249" s="47"/>
      <c r="E249" s="47"/>
      <c r="F249" s="45"/>
      <c r="G249" s="47"/>
      <c r="H249" s="48"/>
      <c r="I249" s="45"/>
      <c r="J249" s="49"/>
      <c r="K249" s="46"/>
      <c r="L249" s="49"/>
    </row>
    <row r="250">
      <c r="A250" s="44"/>
      <c r="B250" s="45"/>
      <c r="C250" s="46"/>
      <c r="D250" s="47"/>
      <c r="E250" s="47"/>
      <c r="F250" s="45"/>
      <c r="G250" s="47"/>
      <c r="H250" s="48"/>
      <c r="I250" s="45"/>
      <c r="J250" s="49"/>
      <c r="K250" s="46"/>
      <c r="L250" s="49"/>
    </row>
    <row r="251">
      <c r="A251" s="44"/>
      <c r="B251" s="45"/>
      <c r="C251" s="46"/>
      <c r="D251" s="47"/>
      <c r="E251" s="47"/>
      <c r="F251" s="45"/>
      <c r="G251" s="47"/>
      <c r="H251" s="48"/>
      <c r="I251" s="45"/>
      <c r="J251" s="49"/>
      <c r="K251" s="46"/>
      <c r="L251" s="49"/>
    </row>
    <row r="252">
      <c r="A252" s="44"/>
      <c r="B252" s="45"/>
      <c r="C252" s="46"/>
      <c r="D252" s="47"/>
      <c r="E252" s="47"/>
      <c r="F252" s="45"/>
      <c r="G252" s="47"/>
      <c r="H252" s="48"/>
      <c r="I252" s="45"/>
      <c r="J252" s="49"/>
      <c r="K252" s="46"/>
      <c r="L252" s="49"/>
    </row>
    <row r="253">
      <c r="A253" s="44"/>
      <c r="B253" s="45"/>
      <c r="C253" s="46"/>
      <c r="D253" s="47"/>
      <c r="E253" s="47"/>
      <c r="F253" s="45"/>
      <c r="G253" s="47"/>
      <c r="H253" s="48"/>
      <c r="I253" s="45"/>
      <c r="J253" s="49"/>
      <c r="K253" s="46"/>
      <c r="L253" s="49"/>
    </row>
    <row r="254">
      <c r="A254" s="44"/>
      <c r="B254" s="45"/>
      <c r="C254" s="46"/>
      <c r="D254" s="47"/>
      <c r="E254" s="47"/>
      <c r="F254" s="45"/>
      <c r="G254" s="47"/>
      <c r="H254" s="48"/>
      <c r="I254" s="45"/>
      <c r="J254" s="49"/>
      <c r="K254" s="46"/>
      <c r="L254" s="49"/>
    </row>
    <row r="255">
      <c r="A255" s="44"/>
      <c r="B255" s="45"/>
      <c r="C255" s="46"/>
      <c r="D255" s="47"/>
      <c r="E255" s="47"/>
      <c r="F255" s="45"/>
      <c r="G255" s="47"/>
      <c r="H255" s="48"/>
      <c r="I255" s="45"/>
      <c r="J255" s="49"/>
      <c r="K255" s="46"/>
      <c r="L255" s="49"/>
    </row>
    <row r="256">
      <c r="A256" s="44"/>
      <c r="B256" s="45"/>
      <c r="C256" s="46"/>
      <c r="D256" s="47"/>
      <c r="E256" s="47"/>
      <c r="F256" s="45"/>
      <c r="G256" s="47"/>
      <c r="H256" s="48"/>
      <c r="I256" s="45"/>
      <c r="J256" s="49"/>
      <c r="K256" s="46"/>
      <c r="L256" s="49"/>
    </row>
    <row r="257">
      <c r="A257" s="44"/>
      <c r="B257" s="45"/>
      <c r="C257" s="46"/>
      <c r="D257" s="47"/>
      <c r="E257" s="47"/>
      <c r="F257" s="45"/>
      <c r="G257" s="47"/>
      <c r="H257" s="48"/>
      <c r="I257" s="45"/>
      <c r="J257" s="49"/>
      <c r="K257" s="46"/>
      <c r="L257" s="49"/>
    </row>
    <row r="258">
      <c r="A258" s="44"/>
      <c r="B258" s="45"/>
      <c r="C258" s="46"/>
      <c r="D258" s="47"/>
      <c r="E258" s="47"/>
      <c r="F258" s="45"/>
      <c r="G258" s="47"/>
      <c r="H258" s="48"/>
      <c r="I258" s="45"/>
      <c r="J258" s="49"/>
      <c r="K258" s="46"/>
      <c r="L258" s="49"/>
    </row>
    <row r="259">
      <c r="A259" s="44"/>
      <c r="B259" s="45"/>
      <c r="C259" s="46"/>
      <c r="D259" s="47"/>
      <c r="E259" s="47"/>
      <c r="F259" s="45"/>
      <c r="G259" s="47"/>
      <c r="H259" s="48"/>
      <c r="I259" s="45"/>
      <c r="J259" s="49"/>
      <c r="K259" s="46"/>
      <c r="L259" s="49"/>
    </row>
    <row r="260">
      <c r="A260" s="44"/>
      <c r="B260" s="45"/>
      <c r="C260" s="46"/>
      <c r="D260" s="47"/>
      <c r="E260" s="47"/>
      <c r="F260" s="45"/>
      <c r="G260" s="47"/>
      <c r="H260" s="48"/>
      <c r="I260" s="45"/>
      <c r="J260" s="49"/>
      <c r="K260" s="46"/>
      <c r="L260" s="49"/>
    </row>
    <row r="261">
      <c r="A261" s="44"/>
      <c r="B261" s="45"/>
      <c r="C261" s="46"/>
      <c r="D261" s="47"/>
      <c r="E261" s="47"/>
      <c r="F261" s="45"/>
      <c r="G261" s="47"/>
      <c r="H261" s="48"/>
      <c r="I261" s="45"/>
      <c r="J261" s="49"/>
      <c r="K261" s="46"/>
      <c r="L261" s="49"/>
    </row>
    <row r="262">
      <c r="A262" s="44"/>
      <c r="B262" s="45"/>
      <c r="C262" s="46"/>
      <c r="D262" s="47"/>
      <c r="E262" s="47"/>
      <c r="F262" s="45"/>
      <c r="G262" s="47"/>
      <c r="H262" s="48"/>
      <c r="I262" s="45"/>
      <c r="J262" s="49"/>
      <c r="K262" s="46"/>
      <c r="L262" s="49"/>
    </row>
    <row r="263">
      <c r="A263" s="44"/>
      <c r="B263" s="45"/>
      <c r="C263" s="46"/>
      <c r="D263" s="47"/>
      <c r="E263" s="47"/>
      <c r="F263" s="45"/>
      <c r="G263" s="47"/>
      <c r="H263" s="48"/>
      <c r="I263" s="45"/>
      <c r="J263" s="49"/>
      <c r="K263" s="46"/>
      <c r="L263" s="49"/>
    </row>
    <row r="264">
      <c r="A264" s="44"/>
      <c r="B264" s="45"/>
      <c r="C264" s="46"/>
      <c r="D264" s="47"/>
      <c r="E264" s="47"/>
      <c r="F264" s="45"/>
      <c r="G264" s="47"/>
      <c r="H264" s="48"/>
      <c r="I264" s="45"/>
      <c r="J264" s="49"/>
      <c r="K264" s="46"/>
      <c r="L264" s="49"/>
    </row>
    <row r="265">
      <c r="A265" s="44"/>
      <c r="B265" s="45"/>
      <c r="C265" s="46"/>
      <c r="D265" s="47"/>
      <c r="E265" s="47"/>
      <c r="F265" s="45"/>
      <c r="G265" s="47"/>
      <c r="H265" s="48"/>
      <c r="I265" s="45"/>
      <c r="J265" s="49"/>
      <c r="K265" s="46"/>
      <c r="L265" s="49"/>
    </row>
    <row r="266">
      <c r="A266" s="44"/>
      <c r="B266" s="45"/>
      <c r="C266" s="46"/>
      <c r="D266" s="47"/>
      <c r="E266" s="47"/>
      <c r="F266" s="45"/>
      <c r="G266" s="47"/>
      <c r="H266" s="48"/>
      <c r="I266" s="45"/>
      <c r="J266" s="49"/>
      <c r="K266" s="46"/>
      <c r="L266" s="49"/>
    </row>
    <row r="267">
      <c r="A267" s="44"/>
      <c r="B267" s="45"/>
      <c r="C267" s="46"/>
      <c r="D267" s="47"/>
      <c r="E267" s="47"/>
      <c r="F267" s="45"/>
      <c r="G267" s="47"/>
      <c r="H267" s="48"/>
      <c r="I267" s="45"/>
      <c r="J267" s="49"/>
      <c r="K267" s="46"/>
      <c r="L267" s="49"/>
    </row>
    <row r="268">
      <c r="A268" s="44"/>
      <c r="B268" s="45"/>
      <c r="C268" s="46"/>
      <c r="D268" s="47"/>
      <c r="E268" s="47"/>
      <c r="F268" s="45"/>
      <c r="G268" s="47"/>
      <c r="H268" s="48"/>
      <c r="I268" s="45"/>
      <c r="J268" s="49"/>
      <c r="K268" s="46"/>
      <c r="L268" s="49"/>
    </row>
    <row r="269">
      <c r="A269" s="44"/>
      <c r="B269" s="45"/>
      <c r="C269" s="46"/>
      <c r="D269" s="47"/>
      <c r="E269" s="47"/>
      <c r="F269" s="45"/>
      <c r="G269" s="47"/>
      <c r="H269" s="48"/>
      <c r="I269" s="45"/>
      <c r="J269" s="49"/>
      <c r="K269" s="46"/>
      <c r="L269" s="49"/>
    </row>
    <row r="270">
      <c r="A270" s="44"/>
      <c r="B270" s="45"/>
      <c r="C270" s="46"/>
      <c r="D270" s="47"/>
      <c r="E270" s="47"/>
      <c r="F270" s="45"/>
      <c r="G270" s="47"/>
      <c r="H270" s="48"/>
      <c r="I270" s="45"/>
      <c r="J270" s="49"/>
      <c r="K270" s="46"/>
      <c r="L270" s="49"/>
    </row>
    <row r="271">
      <c r="A271" s="44"/>
      <c r="B271" s="45"/>
      <c r="C271" s="46"/>
      <c r="D271" s="47"/>
      <c r="E271" s="47"/>
      <c r="F271" s="45"/>
      <c r="G271" s="47"/>
      <c r="H271" s="48"/>
      <c r="I271" s="45"/>
      <c r="J271" s="49"/>
      <c r="K271" s="46"/>
      <c r="L271" s="49"/>
    </row>
    <row r="272">
      <c r="A272" s="44"/>
      <c r="B272" s="45"/>
      <c r="C272" s="46"/>
      <c r="D272" s="47"/>
      <c r="E272" s="47"/>
      <c r="F272" s="45"/>
      <c r="G272" s="47"/>
      <c r="H272" s="48"/>
      <c r="I272" s="45"/>
      <c r="J272" s="49"/>
      <c r="K272" s="46"/>
      <c r="L272" s="49"/>
    </row>
    <row r="273">
      <c r="A273" s="44"/>
      <c r="B273" s="45"/>
      <c r="C273" s="46"/>
      <c r="D273" s="47"/>
      <c r="E273" s="47"/>
      <c r="F273" s="45"/>
      <c r="G273" s="47"/>
      <c r="H273" s="48"/>
      <c r="I273" s="45"/>
      <c r="J273" s="49"/>
      <c r="K273" s="46"/>
      <c r="L273" s="49"/>
    </row>
    <row r="274">
      <c r="A274" s="44"/>
      <c r="B274" s="45"/>
      <c r="C274" s="46"/>
      <c r="D274" s="47"/>
      <c r="E274" s="47"/>
      <c r="F274" s="45"/>
      <c r="G274" s="47"/>
      <c r="H274" s="48"/>
      <c r="I274" s="45"/>
      <c r="J274" s="49"/>
      <c r="K274" s="46"/>
      <c r="L274" s="49"/>
    </row>
    <row r="275">
      <c r="A275" s="44"/>
      <c r="B275" s="45"/>
      <c r="C275" s="46"/>
      <c r="D275" s="47"/>
      <c r="E275" s="47"/>
      <c r="F275" s="45"/>
      <c r="G275" s="47"/>
      <c r="H275" s="48"/>
      <c r="I275" s="45"/>
      <c r="J275" s="49"/>
      <c r="K275" s="46"/>
      <c r="L275" s="49"/>
    </row>
    <row r="276">
      <c r="A276" s="44"/>
      <c r="B276" s="45"/>
      <c r="C276" s="46"/>
      <c r="D276" s="47"/>
      <c r="E276" s="47"/>
      <c r="F276" s="45"/>
      <c r="G276" s="47"/>
      <c r="H276" s="48"/>
      <c r="I276" s="45"/>
      <c r="J276" s="49"/>
      <c r="K276" s="46"/>
      <c r="L276" s="49"/>
    </row>
    <row r="277">
      <c r="A277" s="44"/>
      <c r="B277" s="45"/>
      <c r="C277" s="46"/>
      <c r="D277" s="47"/>
      <c r="E277" s="47"/>
      <c r="F277" s="45"/>
      <c r="G277" s="47"/>
      <c r="H277" s="48"/>
      <c r="I277" s="45"/>
      <c r="J277" s="49"/>
      <c r="K277" s="46"/>
      <c r="L277" s="49"/>
    </row>
    <row r="278">
      <c r="A278" s="44"/>
      <c r="B278" s="45"/>
      <c r="C278" s="46"/>
      <c r="D278" s="47"/>
      <c r="E278" s="47"/>
      <c r="F278" s="45"/>
      <c r="G278" s="47"/>
      <c r="H278" s="48"/>
      <c r="I278" s="45"/>
      <c r="J278" s="49"/>
      <c r="K278" s="46"/>
      <c r="L278" s="49"/>
    </row>
    <row r="279">
      <c r="A279" s="44"/>
      <c r="B279" s="45"/>
      <c r="C279" s="46"/>
      <c r="D279" s="47"/>
      <c r="E279" s="47"/>
      <c r="F279" s="45"/>
      <c r="G279" s="47"/>
      <c r="H279" s="48"/>
      <c r="I279" s="45"/>
      <c r="J279" s="49"/>
      <c r="K279" s="46"/>
      <c r="L279" s="49"/>
    </row>
    <row r="280">
      <c r="A280" s="44"/>
      <c r="B280" s="45"/>
      <c r="C280" s="46"/>
      <c r="D280" s="47"/>
      <c r="E280" s="47"/>
      <c r="F280" s="45"/>
      <c r="G280" s="47"/>
      <c r="H280" s="48"/>
      <c r="I280" s="45"/>
      <c r="J280" s="49"/>
      <c r="K280" s="46"/>
      <c r="L280" s="49"/>
    </row>
    <row r="281">
      <c r="A281" s="44"/>
      <c r="B281" s="45"/>
      <c r="C281" s="46"/>
      <c r="D281" s="47"/>
      <c r="E281" s="47"/>
      <c r="F281" s="45"/>
      <c r="G281" s="47"/>
      <c r="H281" s="48"/>
      <c r="I281" s="45"/>
      <c r="J281" s="49"/>
      <c r="K281" s="46"/>
      <c r="L281" s="49"/>
    </row>
    <row r="282">
      <c r="A282" s="44"/>
      <c r="B282" s="45"/>
      <c r="C282" s="46"/>
      <c r="D282" s="47"/>
      <c r="E282" s="47"/>
      <c r="F282" s="45"/>
      <c r="G282" s="47"/>
      <c r="H282" s="48"/>
      <c r="I282" s="45"/>
      <c r="J282" s="49"/>
      <c r="K282" s="46"/>
      <c r="L282" s="49"/>
    </row>
    <row r="283">
      <c r="A283" s="44"/>
      <c r="B283" s="45"/>
      <c r="C283" s="46"/>
      <c r="D283" s="47"/>
      <c r="E283" s="47"/>
      <c r="F283" s="45"/>
      <c r="G283" s="47"/>
      <c r="H283" s="48"/>
      <c r="I283" s="45"/>
      <c r="J283" s="49"/>
      <c r="K283" s="46"/>
      <c r="L283" s="49"/>
    </row>
    <row r="284">
      <c r="A284" s="44"/>
      <c r="B284" s="45"/>
      <c r="C284" s="46"/>
      <c r="D284" s="47"/>
      <c r="E284" s="47"/>
      <c r="F284" s="45"/>
      <c r="G284" s="47"/>
      <c r="H284" s="48"/>
      <c r="I284" s="45"/>
      <c r="J284" s="49"/>
      <c r="K284" s="46"/>
      <c r="L284" s="49"/>
    </row>
    <row r="285">
      <c r="A285" s="44"/>
      <c r="B285" s="45"/>
      <c r="C285" s="46"/>
      <c r="D285" s="47"/>
      <c r="E285" s="47"/>
      <c r="F285" s="45"/>
      <c r="G285" s="47"/>
      <c r="H285" s="48"/>
      <c r="I285" s="45"/>
      <c r="J285" s="49"/>
      <c r="K285" s="46"/>
      <c r="L285" s="49"/>
    </row>
    <row r="286">
      <c r="A286" s="44"/>
      <c r="B286" s="45"/>
      <c r="C286" s="46"/>
      <c r="D286" s="47"/>
      <c r="E286" s="47"/>
      <c r="F286" s="45"/>
      <c r="G286" s="47"/>
      <c r="H286" s="48"/>
      <c r="I286" s="45"/>
      <c r="J286" s="49"/>
      <c r="K286" s="46"/>
      <c r="L286" s="49"/>
    </row>
    <row r="287">
      <c r="A287" s="44"/>
      <c r="B287" s="45"/>
      <c r="C287" s="46"/>
      <c r="D287" s="47"/>
      <c r="E287" s="47"/>
      <c r="F287" s="45"/>
      <c r="G287" s="47"/>
      <c r="H287" s="48"/>
      <c r="I287" s="45"/>
      <c r="J287" s="49"/>
      <c r="K287" s="46"/>
      <c r="L287" s="49"/>
    </row>
    <row r="288">
      <c r="A288" s="44"/>
      <c r="B288" s="45"/>
      <c r="C288" s="46"/>
      <c r="D288" s="47"/>
      <c r="E288" s="47"/>
      <c r="F288" s="45"/>
      <c r="G288" s="47"/>
      <c r="H288" s="48"/>
      <c r="I288" s="45"/>
      <c r="J288" s="49"/>
      <c r="K288" s="46"/>
      <c r="L288" s="49"/>
    </row>
    <row r="289">
      <c r="A289" s="44"/>
      <c r="B289" s="45"/>
      <c r="C289" s="46"/>
      <c r="D289" s="47"/>
      <c r="E289" s="47"/>
      <c r="F289" s="45"/>
      <c r="G289" s="47"/>
      <c r="H289" s="48"/>
      <c r="I289" s="45"/>
      <c r="J289" s="49"/>
      <c r="K289" s="46"/>
      <c r="L289" s="49"/>
    </row>
    <row r="290">
      <c r="A290" s="44"/>
      <c r="B290" s="45"/>
      <c r="C290" s="46"/>
      <c r="D290" s="47"/>
      <c r="E290" s="47"/>
      <c r="F290" s="45"/>
      <c r="G290" s="47"/>
      <c r="H290" s="48"/>
      <c r="I290" s="45"/>
      <c r="J290" s="49"/>
      <c r="K290" s="46"/>
      <c r="L290" s="49"/>
    </row>
    <row r="291">
      <c r="A291" s="44"/>
      <c r="B291" s="45"/>
      <c r="C291" s="46"/>
      <c r="D291" s="47"/>
      <c r="E291" s="47"/>
      <c r="F291" s="45"/>
      <c r="G291" s="47"/>
      <c r="H291" s="48"/>
      <c r="I291" s="45"/>
      <c r="J291" s="49"/>
      <c r="K291" s="46"/>
      <c r="L291" s="49"/>
    </row>
    <row r="292">
      <c r="A292" s="44"/>
      <c r="B292" s="45"/>
      <c r="C292" s="46"/>
      <c r="D292" s="47"/>
      <c r="E292" s="47"/>
      <c r="F292" s="45"/>
      <c r="G292" s="47"/>
      <c r="H292" s="48"/>
      <c r="I292" s="45"/>
      <c r="J292" s="49"/>
      <c r="K292" s="46"/>
      <c r="L292" s="49"/>
    </row>
    <row r="293">
      <c r="A293" s="44"/>
      <c r="B293" s="45"/>
      <c r="C293" s="46"/>
      <c r="D293" s="47"/>
      <c r="E293" s="47"/>
      <c r="F293" s="45"/>
      <c r="G293" s="47"/>
      <c r="H293" s="48"/>
      <c r="I293" s="45"/>
      <c r="J293" s="49"/>
      <c r="K293" s="46"/>
      <c r="L293" s="49"/>
    </row>
    <row r="294">
      <c r="A294" s="44"/>
      <c r="B294" s="45"/>
      <c r="C294" s="46"/>
      <c r="D294" s="47"/>
      <c r="E294" s="47"/>
      <c r="F294" s="45"/>
      <c r="G294" s="47"/>
      <c r="H294" s="48"/>
      <c r="I294" s="45"/>
      <c r="J294" s="49"/>
      <c r="K294" s="46"/>
      <c r="L294" s="49"/>
    </row>
    <row r="295">
      <c r="A295" s="44"/>
      <c r="B295" s="45"/>
      <c r="C295" s="46"/>
      <c r="D295" s="47"/>
      <c r="E295" s="47"/>
      <c r="F295" s="45"/>
      <c r="G295" s="47"/>
      <c r="H295" s="48"/>
      <c r="I295" s="45"/>
      <c r="J295" s="49"/>
      <c r="K295" s="46"/>
      <c r="L295" s="49"/>
    </row>
    <row r="296">
      <c r="A296" s="44"/>
      <c r="B296" s="45"/>
      <c r="C296" s="46"/>
      <c r="D296" s="47"/>
      <c r="E296" s="47"/>
      <c r="F296" s="45"/>
      <c r="G296" s="47"/>
      <c r="H296" s="48"/>
      <c r="I296" s="45"/>
      <c r="J296" s="49"/>
      <c r="K296" s="46"/>
      <c r="L296" s="49"/>
    </row>
    <row r="297">
      <c r="A297" s="44"/>
      <c r="B297" s="45"/>
      <c r="C297" s="46"/>
      <c r="D297" s="47"/>
      <c r="E297" s="47"/>
      <c r="F297" s="45"/>
      <c r="G297" s="47"/>
      <c r="H297" s="48"/>
      <c r="I297" s="45"/>
      <c r="J297" s="49"/>
      <c r="K297" s="46"/>
      <c r="L297" s="49"/>
    </row>
    <row r="298">
      <c r="A298" s="44"/>
      <c r="B298" s="45"/>
      <c r="C298" s="46"/>
      <c r="D298" s="47"/>
      <c r="E298" s="47"/>
      <c r="F298" s="45"/>
      <c r="G298" s="47"/>
      <c r="H298" s="48"/>
      <c r="I298" s="45"/>
      <c r="J298" s="49"/>
      <c r="K298" s="46"/>
      <c r="L298" s="49"/>
    </row>
    <row r="299">
      <c r="A299" s="44"/>
      <c r="B299" s="45"/>
      <c r="C299" s="46"/>
      <c r="D299" s="47"/>
      <c r="E299" s="47"/>
      <c r="F299" s="45"/>
      <c r="G299" s="47"/>
      <c r="H299" s="48"/>
      <c r="I299" s="45"/>
      <c r="J299" s="49"/>
      <c r="K299" s="46"/>
      <c r="L299" s="49"/>
    </row>
    <row r="300">
      <c r="A300" s="44"/>
      <c r="B300" s="45"/>
      <c r="C300" s="46"/>
      <c r="D300" s="47"/>
      <c r="E300" s="47"/>
      <c r="F300" s="45"/>
      <c r="G300" s="47"/>
      <c r="H300" s="48"/>
      <c r="I300" s="45"/>
      <c r="J300" s="49"/>
      <c r="K300" s="46"/>
      <c r="L300" s="49"/>
    </row>
    <row r="301">
      <c r="A301" s="44"/>
      <c r="B301" s="45"/>
      <c r="C301" s="46"/>
      <c r="D301" s="47"/>
      <c r="E301" s="47"/>
      <c r="F301" s="45"/>
      <c r="G301" s="47"/>
      <c r="H301" s="48"/>
      <c r="I301" s="45"/>
      <c r="J301" s="49"/>
      <c r="K301" s="46"/>
      <c r="L301" s="49"/>
    </row>
    <row r="302">
      <c r="A302" s="44"/>
      <c r="B302" s="45"/>
      <c r="C302" s="46"/>
      <c r="D302" s="47"/>
      <c r="E302" s="47"/>
      <c r="F302" s="45"/>
      <c r="G302" s="47"/>
      <c r="H302" s="48"/>
      <c r="I302" s="45"/>
      <c r="J302" s="49"/>
      <c r="K302" s="46"/>
      <c r="L302" s="49"/>
    </row>
    <row r="303">
      <c r="A303" s="44"/>
      <c r="B303" s="45"/>
      <c r="C303" s="46"/>
      <c r="D303" s="47"/>
      <c r="E303" s="47"/>
      <c r="F303" s="45"/>
      <c r="G303" s="47"/>
      <c r="H303" s="48"/>
      <c r="I303" s="45"/>
      <c r="J303" s="49"/>
      <c r="K303" s="46"/>
      <c r="L303" s="49"/>
    </row>
    <row r="304">
      <c r="A304" s="44"/>
      <c r="B304" s="45"/>
      <c r="C304" s="46"/>
      <c r="D304" s="47"/>
      <c r="E304" s="47"/>
      <c r="F304" s="45"/>
      <c r="G304" s="47"/>
      <c r="H304" s="48"/>
      <c r="I304" s="45"/>
      <c r="J304" s="49"/>
      <c r="K304" s="46"/>
      <c r="L304" s="49"/>
    </row>
    <row r="305">
      <c r="A305" s="44"/>
      <c r="B305" s="45"/>
      <c r="C305" s="46"/>
      <c r="D305" s="47"/>
      <c r="E305" s="47"/>
      <c r="F305" s="45"/>
      <c r="G305" s="47"/>
      <c r="H305" s="48"/>
      <c r="I305" s="45"/>
      <c r="J305" s="49"/>
      <c r="K305" s="46"/>
      <c r="L305" s="49"/>
    </row>
    <row r="306">
      <c r="A306" s="44"/>
      <c r="B306" s="45"/>
      <c r="C306" s="46"/>
      <c r="D306" s="47"/>
      <c r="E306" s="47"/>
      <c r="F306" s="45"/>
      <c r="G306" s="47"/>
      <c r="H306" s="48"/>
      <c r="I306" s="45"/>
      <c r="J306" s="49"/>
      <c r="K306" s="46"/>
      <c r="L306" s="49"/>
    </row>
    <row r="307">
      <c r="A307" s="44"/>
      <c r="B307" s="45"/>
      <c r="C307" s="46"/>
      <c r="D307" s="47"/>
      <c r="E307" s="47"/>
      <c r="F307" s="45"/>
      <c r="G307" s="47"/>
      <c r="H307" s="48"/>
      <c r="I307" s="45"/>
      <c r="J307" s="49"/>
      <c r="K307" s="46"/>
      <c r="L307" s="49"/>
    </row>
    <row r="308">
      <c r="A308" s="44"/>
      <c r="B308" s="45"/>
      <c r="C308" s="46"/>
      <c r="D308" s="47"/>
      <c r="E308" s="47"/>
      <c r="F308" s="45"/>
      <c r="G308" s="47"/>
      <c r="H308" s="48"/>
      <c r="I308" s="45"/>
      <c r="J308" s="49"/>
      <c r="K308" s="46"/>
      <c r="L308" s="49"/>
    </row>
    <row r="309">
      <c r="A309" s="44"/>
      <c r="B309" s="45"/>
      <c r="C309" s="46"/>
      <c r="D309" s="47"/>
      <c r="E309" s="47"/>
      <c r="F309" s="45"/>
      <c r="G309" s="47"/>
      <c r="H309" s="48"/>
      <c r="I309" s="45"/>
      <c r="J309" s="49"/>
      <c r="K309" s="46"/>
      <c r="L309" s="49"/>
    </row>
    <row r="310">
      <c r="A310" s="44"/>
      <c r="B310" s="45"/>
      <c r="C310" s="46"/>
      <c r="D310" s="47"/>
      <c r="E310" s="47"/>
      <c r="F310" s="45"/>
      <c r="G310" s="47"/>
      <c r="H310" s="48"/>
      <c r="I310" s="45"/>
      <c r="J310" s="49"/>
      <c r="K310" s="46"/>
      <c r="L310" s="49"/>
    </row>
    <row r="311">
      <c r="A311" s="44"/>
      <c r="B311" s="45"/>
      <c r="C311" s="46"/>
      <c r="D311" s="47"/>
      <c r="E311" s="47"/>
      <c r="F311" s="45"/>
      <c r="G311" s="47"/>
      <c r="H311" s="48"/>
      <c r="I311" s="45"/>
      <c r="J311" s="49"/>
      <c r="K311" s="46"/>
      <c r="L311" s="49"/>
    </row>
    <row r="312">
      <c r="A312" s="44"/>
      <c r="B312" s="45"/>
      <c r="C312" s="46"/>
      <c r="D312" s="47"/>
      <c r="E312" s="47"/>
      <c r="F312" s="45"/>
      <c r="G312" s="47"/>
      <c r="H312" s="48"/>
      <c r="I312" s="45"/>
      <c r="J312" s="49"/>
      <c r="K312" s="46"/>
      <c r="L312" s="49"/>
    </row>
    <row r="313">
      <c r="A313" s="44"/>
      <c r="B313" s="45"/>
      <c r="C313" s="46"/>
      <c r="D313" s="47"/>
      <c r="E313" s="47"/>
      <c r="F313" s="45"/>
      <c r="G313" s="47"/>
      <c r="H313" s="48"/>
      <c r="I313" s="45"/>
      <c r="J313" s="49"/>
      <c r="K313" s="46"/>
      <c r="L313" s="49"/>
    </row>
    <row r="314">
      <c r="A314" s="44"/>
      <c r="B314" s="45"/>
      <c r="C314" s="46"/>
      <c r="D314" s="47"/>
      <c r="E314" s="47"/>
      <c r="F314" s="45"/>
      <c r="G314" s="47"/>
      <c r="H314" s="48"/>
      <c r="I314" s="45"/>
      <c r="J314" s="49"/>
      <c r="K314" s="46"/>
      <c r="L314" s="49"/>
    </row>
    <row r="315">
      <c r="A315" s="44"/>
      <c r="B315" s="45"/>
      <c r="C315" s="46"/>
      <c r="D315" s="47"/>
      <c r="E315" s="47"/>
      <c r="F315" s="45"/>
      <c r="G315" s="47"/>
      <c r="H315" s="48"/>
      <c r="I315" s="45"/>
      <c r="J315" s="49"/>
      <c r="K315" s="46"/>
      <c r="L315" s="49"/>
    </row>
    <row r="316">
      <c r="A316" s="44"/>
      <c r="B316" s="45"/>
      <c r="C316" s="46"/>
      <c r="D316" s="47"/>
      <c r="E316" s="47"/>
      <c r="F316" s="45"/>
      <c r="G316" s="47"/>
      <c r="H316" s="48"/>
      <c r="I316" s="45"/>
      <c r="J316" s="49"/>
      <c r="K316" s="46"/>
      <c r="L316" s="49"/>
    </row>
    <row r="317">
      <c r="A317" s="44"/>
      <c r="B317" s="45"/>
      <c r="C317" s="46"/>
      <c r="D317" s="47"/>
      <c r="E317" s="47"/>
      <c r="F317" s="45"/>
      <c r="G317" s="47"/>
      <c r="H317" s="48"/>
      <c r="I317" s="45"/>
      <c r="J317" s="49"/>
      <c r="K317" s="46"/>
      <c r="L317" s="49"/>
    </row>
    <row r="318">
      <c r="A318" s="44"/>
      <c r="B318" s="45"/>
      <c r="C318" s="46"/>
      <c r="D318" s="47"/>
      <c r="E318" s="47"/>
      <c r="F318" s="45"/>
      <c r="G318" s="47"/>
      <c r="H318" s="48"/>
      <c r="I318" s="45"/>
      <c r="J318" s="49"/>
      <c r="K318" s="46"/>
      <c r="L318" s="49"/>
    </row>
    <row r="319">
      <c r="A319" s="44"/>
      <c r="B319" s="45"/>
      <c r="C319" s="46"/>
      <c r="D319" s="47"/>
      <c r="E319" s="47"/>
      <c r="F319" s="45"/>
      <c r="G319" s="47"/>
      <c r="H319" s="48"/>
      <c r="I319" s="45"/>
      <c r="J319" s="49"/>
      <c r="K319" s="46"/>
      <c r="L319" s="49"/>
    </row>
    <row r="320">
      <c r="A320" s="44"/>
      <c r="B320" s="45"/>
      <c r="C320" s="46"/>
      <c r="D320" s="47"/>
      <c r="E320" s="47"/>
      <c r="F320" s="45"/>
      <c r="G320" s="47"/>
      <c r="H320" s="48"/>
      <c r="I320" s="45"/>
      <c r="J320" s="49"/>
      <c r="K320" s="46"/>
      <c r="L320" s="49"/>
    </row>
    <row r="321">
      <c r="A321" s="44"/>
      <c r="B321" s="45"/>
      <c r="C321" s="46"/>
      <c r="D321" s="47"/>
      <c r="E321" s="47"/>
      <c r="F321" s="45"/>
      <c r="G321" s="47"/>
      <c r="H321" s="48"/>
      <c r="I321" s="45"/>
      <c r="J321" s="49"/>
      <c r="K321" s="46"/>
      <c r="L321" s="49"/>
    </row>
    <row r="322">
      <c r="A322" s="44"/>
      <c r="B322" s="45"/>
      <c r="C322" s="46"/>
      <c r="D322" s="47"/>
      <c r="E322" s="47"/>
      <c r="F322" s="45"/>
      <c r="G322" s="47"/>
      <c r="H322" s="48"/>
      <c r="I322" s="45"/>
      <c r="J322" s="49"/>
      <c r="K322" s="46"/>
      <c r="L322" s="49"/>
    </row>
    <row r="323">
      <c r="A323" s="44"/>
      <c r="B323" s="45"/>
      <c r="C323" s="46"/>
      <c r="D323" s="47"/>
      <c r="E323" s="47"/>
      <c r="F323" s="45"/>
      <c r="G323" s="47"/>
      <c r="H323" s="48"/>
      <c r="I323" s="45"/>
      <c r="J323" s="49"/>
      <c r="K323" s="46"/>
      <c r="L323" s="49"/>
    </row>
    <row r="324">
      <c r="A324" s="44"/>
      <c r="B324" s="45"/>
      <c r="C324" s="46"/>
      <c r="D324" s="47"/>
      <c r="E324" s="47"/>
      <c r="F324" s="45"/>
      <c r="G324" s="47"/>
      <c r="H324" s="48"/>
      <c r="I324" s="45"/>
      <c r="J324" s="49"/>
      <c r="K324" s="46"/>
      <c r="L324" s="49"/>
    </row>
    <row r="325">
      <c r="A325" s="44"/>
      <c r="B325" s="45"/>
      <c r="C325" s="46"/>
      <c r="D325" s="47"/>
      <c r="E325" s="47"/>
      <c r="F325" s="45"/>
      <c r="G325" s="47"/>
      <c r="H325" s="48"/>
      <c r="I325" s="45"/>
      <c r="J325" s="49"/>
      <c r="K325" s="46"/>
      <c r="L325" s="49"/>
    </row>
    <row r="326">
      <c r="A326" s="44"/>
      <c r="B326" s="45"/>
      <c r="C326" s="46"/>
      <c r="D326" s="47"/>
      <c r="E326" s="47"/>
      <c r="F326" s="45"/>
      <c r="G326" s="47"/>
      <c r="H326" s="48"/>
      <c r="I326" s="45"/>
      <c r="J326" s="49"/>
      <c r="K326" s="46"/>
      <c r="L326" s="49"/>
    </row>
    <row r="327">
      <c r="A327" s="44"/>
      <c r="B327" s="45"/>
      <c r="C327" s="46"/>
      <c r="D327" s="47"/>
      <c r="E327" s="47"/>
      <c r="F327" s="45"/>
      <c r="G327" s="47"/>
      <c r="H327" s="48"/>
      <c r="I327" s="45"/>
      <c r="J327" s="49"/>
      <c r="K327" s="46"/>
      <c r="L327" s="49"/>
    </row>
    <row r="328">
      <c r="A328" s="44"/>
      <c r="B328" s="45"/>
      <c r="C328" s="46"/>
      <c r="D328" s="47"/>
      <c r="E328" s="47"/>
      <c r="F328" s="45"/>
      <c r="G328" s="47"/>
      <c r="H328" s="48"/>
      <c r="I328" s="45"/>
      <c r="J328" s="49"/>
      <c r="K328" s="46"/>
      <c r="L328" s="49"/>
    </row>
    <row r="329">
      <c r="A329" s="44"/>
      <c r="B329" s="45"/>
      <c r="C329" s="46"/>
      <c r="D329" s="47"/>
      <c r="E329" s="47"/>
      <c r="F329" s="45"/>
      <c r="G329" s="47"/>
      <c r="H329" s="48"/>
      <c r="I329" s="45"/>
      <c r="J329" s="49"/>
      <c r="K329" s="46"/>
      <c r="L329" s="49"/>
    </row>
    <row r="330">
      <c r="A330" s="44"/>
      <c r="B330" s="45"/>
      <c r="C330" s="46"/>
      <c r="D330" s="47"/>
      <c r="E330" s="47"/>
      <c r="F330" s="45"/>
      <c r="G330" s="47"/>
      <c r="H330" s="48"/>
      <c r="I330" s="45"/>
      <c r="J330" s="49"/>
      <c r="K330" s="46"/>
      <c r="L330" s="49"/>
    </row>
    <row r="331">
      <c r="A331" s="44"/>
      <c r="B331" s="45"/>
      <c r="C331" s="46"/>
      <c r="D331" s="47"/>
      <c r="E331" s="47"/>
      <c r="F331" s="45"/>
      <c r="G331" s="47"/>
      <c r="H331" s="48"/>
      <c r="I331" s="45"/>
      <c r="J331" s="49"/>
      <c r="K331" s="46"/>
      <c r="L331" s="49"/>
    </row>
    <row r="332">
      <c r="A332" s="44"/>
      <c r="B332" s="45"/>
      <c r="C332" s="46"/>
      <c r="D332" s="47"/>
      <c r="E332" s="47"/>
      <c r="F332" s="45"/>
      <c r="G332" s="47"/>
      <c r="H332" s="48"/>
      <c r="I332" s="45"/>
      <c r="J332" s="49"/>
      <c r="K332" s="46"/>
      <c r="L332" s="49"/>
    </row>
    <row r="333">
      <c r="A333" s="44"/>
      <c r="B333" s="45"/>
      <c r="C333" s="46"/>
      <c r="D333" s="47"/>
      <c r="E333" s="47"/>
      <c r="F333" s="45"/>
      <c r="G333" s="47"/>
      <c r="H333" s="48"/>
      <c r="I333" s="45"/>
      <c r="J333" s="49"/>
      <c r="K333" s="46"/>
      <c r="L333" s="49"/>
    </row>
    <row r="334">
      <c r="A334" s="44"/>
      <c r="B334" s="45"/>
      <c r="C334" s="46"/>
      <c r="D334" s="47"/>
      <c r="E334" s="47"/>
      <c r="F334" s="45"/>
      <c r="G334" s="47"/>
      <c r="H334" s="48"/>
      <c r="I334" s="45"/>
      <c r="J334" s="49"/>
      <c r="K334" s="46"/>
      <c r="L334" s="49"/>
    </row>
    <row r="335">
      <c r="A335" s="44"/>
      <c r="B335" s="45"/>
      <c r="C335" s="46"/>
      <c r="D335" s="47"/>
      <c r="E335" s="47"/>
      <c r="F335" s="45"/>
      <c r="G335" s="47"/>
      <c r="H335" s="48"/>
      <c r="I335" s="45"/>
      <c r="J335" s="49"/>
      <c r="K335" s="46"/>
      <c r="L335" s="49"/>
    </row>
    <row r="336">
      <c r="A336" s="44"/>
      <c r="B336" s="45"/>
      <c r="C336" s="46"/>
      <c r="D336" s="47"/>
      <c r="E336" s="47"/>
      <c r="F336" s="45"/>
      <c r="G336" s="47"/>
      <c r="H336" s="48"/>
      <c r="I336" s="45"/>
      <c r="J336" s="49"/>
      <c r="K336" s="46"/>
      <c r="L336" s="49"/>
    </row>
    <row r="337">
      <c r="A337" s="44"/>
      <c r="B337" s="45"/>
      <c r="C337" s="46"/>
      <c r="D337" s="47"/>
      <c r="E337" s="47"/>
      <c r="F337" s="45"/>
      <c r="G337" s="47"/>
      <c r="H337" s="48"/>
      <c r="I337" s="45"/>
      <c r="J337" s="49"/>
      <c r="K337" s="46"/>
      <c r="L337" s="49"/>
    </row>
    <row r="338">
      <c r="A338" s="44"/>
      <c r="B338" s="45"/>
      <c r="C338" s="46"/>
      <c r="D338" s="47"/>
      <c r="E338" s="47"/>
      <c r="F338" s="45"/>
      <c r="G338" s="47"/>
      <c r="H338" s="48"/>
      <c r="I338" s="45"/>
      <c r="J338" s="49"/>
      <c r="K338" s="46"/>
      <c r="L338" s="49"/>
    </row>
    <row r="339">
      <c r="A339" s="44"/>
      <c r="B339" s="45"/>
      <c r="C339" s="46"/>
      <c r="D339" s="47"/>
      <c r="E339" s="47"/>
      <c r="F339" s="45"/>
      <c r="G339" s="47"/>
      <c r="H339" s="48"/>
      <c r="I339" s="45"/>
      <c r="J339" s="49"/>
      <c r="K339" s="46"/>
      <c r="L339" s="49"/>
    </row>
    <row r="340">
      <c r="A340" s="44"/>
      <c r="B340" s="45"/>
      <c r="C340" s="46"/>
      <c r="D340" s="47"/>
      <c r="E340" s="47"/>
      <c r="F340" s="45"/>
      <c r="G340" s="47"/>
      <c r="H340" s="48"/>
      <c r="I340" s="45"/>
      <c r="J340" s="49"/>
      <c r="K340" s="46"/>
      <c r="L340" s="49"/>
    </row>
    <row r="341">
      <c r="A341" s="44"/>
      <c r="B341" s="45"/>
      <c r="C341" s="46"/>
      <c r="D341" s="47"/>
      <c r="E341" s="47"/>
      <c r="F341" s="45"/>
      <c r="G341" s="47"/>
      <c r="H341" s="48"/>
      <c r="I341" s="45"/>
      <c r="J341" s="49"/>
      <c r="K341" s="46"/>
      <c r="L341" s="49"/>
    </row>
    <row r="342">
      <c r="A342" s="44"/>
      <c r="B342" s="45"/>
      <c r="C342" s="46"/>
      <c r="D342" s="47"/>
      <c r="E342" s="47"/>
      <c r="F342" s="45"/>
      <c r="G342" s="47"/>
      <c r="H342" s="48"/>
      <c r="I342" s="45"/>
      <c r="J342" s="49"/>
      <c r="K342" s="46"/>
      <c r="L342" s="49"/>
    </row>
    <row r="343">
      <c r="A343" s="44"/>
      <c r="B343" s="45"/>
      <c r="C343" s="46"/>
      <c r="D343" s="47"/>
      <c r="E343" s="47"/>
      <c r="F343" s="45"/>
      <c r="G343" s="47"/>
      <c r="H343" s="48"/>
      <c r="I343" s="45"/>
      <c r="J343" s="49"/>
      <c r="K343" s="46"/>
      <c r="L343" s="49"/>
    </row>
    <row r="344">
      <c r="A344" s="44"/>
      <c r="B344" s="45"/>
      <c r="C344" s="46"/>
      <c r="D344" s="47"/>
      <c r="E344" s="47"/>
      <c r="F344" s="45"/>
      <c r="G344" s="47"/>
      <c r="H344" s="48"/>
      <c r="I344" s="45"/>
      <c r="J344" s="49"/>
      <c r="K344" s="46"/>
      <c r="L344" s="49"/>
    </row>
    <row r="345">
      <c r="A345" s="44"/>
      <c r="B345" s="45"/>
      <c r="C345" s="46"/>
      <c r="D345" s="47"/>
      <c r="E345" s="47"/>
      <c r="F345" s="45"/>
      <c r="G345" s="47"/>
      <c r="H345" s="48"/>
      <c r="I345" s="45"/>
      <c r="J345" s="49"/>
      <c r="K345" s="46"/>
      <c r="L345" s="49"/>
    </row>
    <row r="346">
      <c r="A346" s="44"/>
      <c r="B346" s="45"/>
      <c r="C346" s="46"/>
      <c r="D346" s="47"/>
      <c r="E346" s="47"/>
      <c r="F346" s="45"/>
      <c r="G346" s="47"/>
      <c r="H346" s="48"/>
      <c r="I346" s="45"/>
      <c r="J346" s="49"/>
      <c r="K346" s="46"/>
      <c r="L346" s="49"/>
    </row>
    <row r="347">
      <c r="A347" s="44"/>
      <c r="B347" s="45"/>
      <c r="C347" s="46"/>
      <c r="D347" s="47"/>
      <c r="E347" s="47"/>
      <c r="F347" s="45"/>
      <c r="G347" s="47"/>
      <c r="H347" s="48"/>
      <c r="I347" s="45"/>
      <c r="J347" s="49"/>
      <c r="K347" s="46"/>
      <c r="L347" s="49"/>
    </row>
    <row r="348">
      <c r="A348" s="44"/>
      <c r="B348" s="45"/>
      <c r="C348" s="46"/>
      <c r="D348" s="47"/>
      <c r="E348" s="47"/>
      <c r="F348" s="45"/>
      <c r="G348" s="47"/>
      <c r="H348" s="48"/>
      <c r="I348" s="45"/>
      <c r="J348" s="49"/>
      <c r="K348" s="46"/>
      <c r="L348" s="49"/>
    </row>
    <row r="349">
      <c r="A349" s="44"/>
      <c r="B349" s="45"/>
      <c r="C349" s="46"/>
      <c r="D349" s="47"/>
      <c r="E349" s="47"/>
      <c r="F349" s="45"/>
      <c r="G349" s="47"/>
      <c r="H349" s="48"/>
      <c r="I349" s="45"/>
      <c r="J349" s="49"/>
      <c r="K349" s="46"/>
      <c r="L349" s="49"/>
    </row>
    <row r="350">
      <c r="A350" s="44"/>
      <c r="B350" s="45"/>
      <c r="C350" s="46"/>
      <c r="D350" s="47"/>
      <c r="E350" s="47"/>
      <c r="F350" s="45"/>
      <c r="G350" s="47"/>
      <c r="H350" s="48"/>
      <c r="I350" s="45"/>
      <c r="J350" s="49"/>
      <c r="K350" s="46"/>
      <c r="L350" s="49"/>
    </row>
    <row r="351">
      <c r="A351" s="44"/>
      <c r="B351" s="45"/>
      <c r="C351" s="46"/>
      <c r="D351" s="47"/>
      <c r="E351" s="47"/>
      <c r="F351" s="45"/>
      <c r="G351" s="47"/>
      <c r="H351" s="48"/>
      <c r="I351" s="45"/>
      <c r="J351" s="49"/>
      <c r="K351" s="46"/>
      <c r="L351" s="49"/>
    </row>
    <row r="352">
      <c r="A352" s="44"/>
      <c r="B352" s="45"/>
      <c r="C352" s="46"/>
      <c r="D352" s="47"/>
      <c r="E352" s="47"/>
      <c r="F352" s="45"/>
      <c r="G352" s="47"/>
      <c r="H352" s="48"/>
      <c r="I352" s="45"/>
      <c r="J352" s="49"/>
      <c r="K352" s="46"/>
      <c r="L352" s="49"/>
    </row>
    <row r="353">
      <c r="A353" s="44"/>
      <c r="B353" s="45"/>
      <c r="C353" s="46"/>
      <c r="D353" s="47"/>
      <c r="E353" s="47"/>
      <c r="F353" s="45"/>
      <c r="G353" s="47"/>
      <c r="H353" s="48"/>
      <c r="I353" s="45"/>
      <c r="J353" s="49"/>
      <c r="K353" s="46"/>
      <c r="L353" s="49"/>
    </row>
    <row r="354">
      <c r="A354" s="44"/>
      <c r="B354" s="45"/>
      <c r="C354" s="46"/>
      <c r="D354" s="47"/>
      <c r="E354" s="47"/>
      <c r="F354" s="45"/>
      <c r="G354" s="47"/>
      <c r="H354" s="48"/>
      <c r="I354" s="45"/>
      <c r="J354" s="49"/>
      <c r="K354" s="46"/>
      <c r="L354" s="49"/>
    </row>
    <row r="355">
      <c r="A355" s="44"/>
      <c r="B355" s="45"/>
      <c r="C355" s="46"/>
      <c r="D355" s="47"/>
      <c r="E355" s="47"/>
      <c r="F355" s="45"/>
      <c r="G355" s="47"/>
      <c r="H355" s="48"/>
      <c r="I355" s="45"/>
      <c r="J355" s="49"/>
      <c r="K355" s="46"/>
      <c r="L355" s="49"/>
    </row>
    <row r="356">
      <c r="A356" s="44"/>
      <c r="B356" s="45"/>
      <c r="C356" s="46"/>
      <c r="D356" s="47"/>
      <c r="E356" s="47"/>
      <c r="F356" s="45"/>
      <c r="G356" s="47"/>
      <c r="H356" s="48"/>
      <c r="I356" s="45"/>
      <c r="J356" s="49"/>
      <c r="K356" s="46"/>
      <c r="L356" s="49"/>
    </row>
    <row r="357">
      <c r="A357" s="44"/>
      <c r="B357" s="45"/>
      <c r="C357" s="46"/>
      <c r="D357" s="47"/>
      <c r="E357" s="47"/>
      <c r="F357" s="45"/>
      <c r="G357" s="47"/>
      <c r="H357" s="48"/>
      <c r="I357" s="45"/>
      <c r="J357" s="49"/>
      <c r="K357" s="46"/>
      <c r="L357" s="49"/>
    </row>
    <row r="358">
      <c r="A358" s="44"/>
      <c r="B358" s="45"/>
      <c r="C358" s="46"/>
      <c r="D358" s="47"/>
      <c r="E358" s="47"/>
      <c r="F358" s="45"/>
      <c r="G358" s="47"/>
      <c r="H358" s="48"/>
      <c r="I358" s="45"/>
      <c r="J358" s="49"/>
      <c r="K358" s="46"/>
      <c r="L358" s="49"/>
    </row>
    <row r="359">
      <c r="A359" s="44"/>
      <c r="B359" s="45"/>
      <c r="C359" s="46"/>
      <c r="D359" s="47"/>
      <c r="E359" s="47"/>
      <c r="F359" s="45"/>
      <c r="G359" s="47"/>
      <c r="H359" s="48"/>
      <c r="I359" s="45"/>
      <c r="J359" s="49"/>
      <c r="K359" s="46"/>
      <c r="L359" s="49"/>
    </row>
    <row r="360">
      <c r="A360" s="44"/>
      <c r="B360" s="45"/>
      <c r="C360" s="46"/>
      <c r="D360" s="47"/>
      <c r="E360" s="47"/>
      <c r="F360" s="45"/>
      <c r="G360" s="47"/>
      <c r="H360" s="48"/>
      <c r="I360" s="45"/>
      <c r="J360" s="49"/>
      <c r="K360" s="46"/>
      <c r="L360" s="49"/>
    </row>
    <row r="361">
      <c r="A361" s="44"/>
      <c r="B361" s="45"/>
      <c r="C361" s="46"/>
      <c r="D361" s="47"/>
      <c r="E361" s="47"/>
      <c r="F361" s="45"/>
      <c r="G361" s="47"/>
      <c r="H361" s="48"/>
      <c r="I361" s="45"/>
      <c r="J361" s="49"/>
      <c r="K361" s="46"/>
      <c r="L361" s="49"/>
    </row>
    <row r="362">
      <c r="A362" s="44"/>
      <c r="B362" s="45"/>
      <c r="C362" s="46"/>
      <c r="D362" s="47"/>
      <c r="E362" s="47"/>
      <c r="F362" s="45"/>
      <c r="G362" s="47"/>
      <c r="H362" s="48"/>
      <c r="I362" s="45"/>
      <c r="J362" s="49"/>
      <c r="K362" s="46"/>
      <c r="L362" s="49"/>
    </row>
    <row r="363">
      <c r="A363" s="44"/>
      <c r="B363" s="45"/>
      <c r="C363" s="46"/>
      <c r="D363" s="47"/>
      <c r="E363" s="47"/>
      <c r="F363" s="45"/>
      <c r="G363" s="47"/>
      <c r="H363" s="48"/>
      <c r="I363" s="45"/>
      <c r="J363" s="49"/>
      <c r="K363" s="46"/>
      <c r="L363" s="49"/>
    </row>
    <row r="364">
      <c r="A364" s="44"/>
      <c r="B364" s="45"/>
      <c r="C364" s="46"/>
      <c r="D364" s="47"/>
      <c r="E364" s="47"/>
      <c r="F364" s="45"/>
      <c r="G364" s="47"/>
      <c r="H364" s="48"/>
      <c r="I364" s="45"/>
      <c r="J364" s="49"/>
      <c r="K364" s="46"/>
      <c r="L364" s="49"/>
    </row>
    <row r="365">
      <c r="A365" s="44"/>
      <c r="B365" s="45"/>
      <c r="C365" s="46"/>
      <c r="D365" s="47"/>
      <c r="E365" s="47"/>
      <c r="F365" s="45"/>
      <c r="G365" s="47"/>
      <c r="H365" s="48"/>
      <c r="I365" s="45"/>
      <c r="J365" s="49"/>
      <c r="K365" s="46"/>
      <c r="L365" s="49"/>
    </row>
    <row r="366">
      <c r="A366" s="44"/>
      <c r="B366" s="45"/>
      <c r="C366" s="46"/>
      <c r="D366" s="47"/>
      <c r="E366" s="47"/>
      <c r="F366" s="45"/>
      <c r="G366" s="47"/>
      <c r="H366" s="48"/>
      <c r="I366" s="45"/>
      <c r="J366" s="49"/>
      <c r="K366" s="46"/>
      <c r="L366" s="49"/>
    </row>
    <row r="367">
      <c r="A367" s="44"/>
      <c r="B367" s="45"/>
      <c r="C367" s="46"/>
      <c r="D367" s="47"/>
      <c r="E367" s="47"/>
      <c r="F367" s="45"/>
      <c r="G367" s="47"/>
      <c r="H367" s="48"/>
      <c r="I367" s="45"/>
      <c r="J367" s="49"/>
      <c r="K367" s="46"/>
      <c r="L367" s="49"/>
    </row>
    <row r="368">
      <c r="A368" s="44"/>
      <c r="B368" s="45"/>
      <c r="C368" s="46"/>
      <c r="D368" s="47"/>
      <c r="E368" s="47"/>
      <c r="F368" s="45"/>
      <c r="G368" s="47"/>
      <c r="H368" s="48"/>
      <c r="I368" s="45"/>
      <c r="J368" s="49"/>
      <c r="K368" s="46"/>
      <c r="L368" s="49"/>
    </row>
    <row r="369">
      <c r="A369" s="44"/>
      <c r="B369" s="45"/>
      <c r="C369" s="46"/>
      <c r="D369" s="47"/>
      <c r="E369" s="47"/>
      <c r="F369" s="45"/>
      <c r="G369" s="47"/>
      <c r="H369" s="48"/>
      <c r="I369" s="45"/>
      <c r="J369" s="49"/>
      <c r="K369" s="46"/>
      <c r="L369" s="49"/>
    </row>
    <row r="370">
      <c r="A370" s="44"/>
      <c r="B370" s="45"/>
      <c r="C370" s="46"/>
      <c r="D370" s="47"/>
      <c r="E370" s="47"/>
      <c r="F370" s="45"/>
      <c r="G370" s="47"/>
      <c r="H370" s="48"/>
      <c r="I370" s="45"/>
      <c r="J370" s="49"/>
      <c r="K370" s="46"/>
      <c r="L370" s="49"/>
    </row>
    <row r="371">
      <c r="A371" s="44"/>
      <c r="B371" s="45"/>
      <c r="C371" s="46"/>
      <c r="D371" s="47"/>
      <c r="E371" s="47"/>
      <c r="F371" s="45"/>
      <c r="G371" s="47"/>
      <c r="H371" s="48"/>
      <c r="I371" s="45"/>
      <c r="J371" s="49"/>
      <c r="K371" s="46"/>
      <c r="L371" s="49"/>
    </row>
    <row r="372">
      <c r="A372" s="44"/>
      <c r="B372" s="45"/>
      <c r="C372" s="46"/>
      <c r="D372" s="47"/>
      <c r="E372" s="47"/>
      <c r="F372" s="45"/>
      <c r="G372" s="47"/>
      <c r="H372" s="48"/>
      <c r="I372" s="45"/>
      <c r="J372" s="49"/>
      <c r="K372" s="46"/>
      <c r="L372" s="49"/>
    </row>
    <row r="373">
      <c r="A373" s="44"/>
      <c r="B373" s="45"/>
      <c r="C373" s="46"/>
      <c r="D373" s="47"/>
      <c r="E373" s="47"/>
      <c r="F373" s="45"/>
      <c r="G373" s="47"/>
      <c r="H373" s="48"/>
      <c r="I373" s="45"/>
      <c r="J373" s="49"/>
      <c r="K373" s="46"/>
      <c r="L373" s="49"/>
    </row>
    <row r="374">
      <c r="A374" s="44"/>
      <c r="B374" s="45"/>
      <c r="C374" s="46"/>
      <c r="D374" s="47"/>
      <c r="E374" s="47"/>
      <c r="F374" s="45"/>
      <c r="G374" s="47"/>
      <c r="H374" s="48"/>
      <c r="I374" s="45"/>
      <c r="J374" s="49"/>
      <c r="K374" s="46"/>
      <c r="L374" s="49"/>
    </row>
    <row r="375">
      <c r="A375" s="44"/>
      <c r="B375" s="45"/>
      <c r="C375" s="46"/>
      <c r="D375" s="47"/>
      <c r="E375" s="47"/>
      <c r="F375" s="45"/>
      <c r="G375" s="47"/>
      <c r="H375" s="48"/>
      <c r="I375" s="45"/>
      <c r="J375" s="49"/>
      <c r="K375" s="46"/>
      <c r="L375" s="49"/>
    </row>
    <row r="376">
      <c r="A376" s="44"/>
      <c r="B376" s="45"/>
      <c r="C376" s="46"/>
      <c r="D376" s="47"/>
      <c r="E376" s="47"/>
      <c r="F376" s="45"/>
      <c r="G376" s="47"/>
      <c r="H376" s="48"/>
      <c r="I376" s="45"/>
      <c r="J376" s="49"/>
      <c r="K376" s="46"/>
      <c r="L376" s="49"/>
    </row>
    <row r="377">
      <c r="A377" s="44"/>
      <c r="B377" s="45"/>
      <c r="C377" s="46"/>
      <c r="D377" s="47"/>
      <c r="E377" s="47"/>
      <c r="F377" s="45"/>
      <c r="G377" s="47"/>
      <c r="H377" s="48"/>
      <c r="I377" s="45"/>
      <c r="J377" s="49"/>
      <c r="K377" s="46"/>
      <c r="L377" s="49"/>
    </row>
    <row r="378">
      <c r="A378" s="44"/>
      <c r="B378" s="45"/>
      <c r="C378" s="46"/>
      <c r="D378" s="47"/>
      <c r="E378" s="47"/>
      <c r="F378" s="45"/>
      <c r="G378" s="47"/>
      <c r="H378" s="48"/>
      <c r="I378" s="45"/>
      <c r="J378" s="49"/>
      <c r="K378" s="46"/>
      <c r="L378" s="49"/>
    </row>
    <row r="379">
      <c r="A379" s="44"/>
      <c r="B379" s="45"/>
      <c r="C379" s="46"/>
      <c r="D379" s="47"/>
      <c r="E379" s="47"/>
      <c r="F379" s="45"/>
      <c r="G379" s="47"/>
      <c r="H379" s="48"/>
      <c r="I379" s="45"/>
      <c r="J379" s="49"/>
      <c r="K379" s="46"/>
      <c r="L379" s="49"/>
    </row>
    <row r="380">
      <c r="A380" s="44"/>
      <c r="B380" s="45"/>
      <c r="C380" s="46"/>
      <c r="D380" s="47"/>
      <c r="E380" s="47"/>
      <c r="F380" s="45"/>
      <c r="G380" s="47"/>
      <c r="H380" s="48"/>
      <c r="I380" s="45"/>
      <c r="J380" s="49"/>
      <c r="K380" s="46"/>
      <c r="L380" s="49"/>
    </row>
    <row r="381">
      <c r="A381" s="44"/>
      <c r="B381" s="45"/>
      <c r="C381" s="46"/>
      <c r="D381" s="47"/>
      <c r="E381" s="47"/>
      <c r="F381" s="45"/>
      <c r="G381" s="47"/>
      <c r="H381" s="48"/>
      <c r="I381" s="45"/>
      <c r="J381" s="49"/>
      <c r="K381" s="46"/>
      <c r="L381" s="49"/>
    </row>
    <row r="382">
      <c r="A382" s="44"/>
      <c r="B382" s="45"/>
      <c r="C382" s="46"/>
      <c r="D382" s="47"/>
      <c r="E382" s="47"/>
      <c r="F382" s="45"/>
      <c r="G382" s="47"/>
      <c r="H382" s="48"/>
      <c r="I382" s="45"/>
      <c r="J382" s="49"/>
      <c r="K382" s="46"/>
      <c r="L382" s="49"/>
    </row>
    <row r="383">
      <c r="A383" s="44"/>
      <c r="B383" s="45"/>
      <c r="C383" s="46"/>
      <c r="D383" s="47"/>
      <c r="E383" s="47"/>
      <c r="F383" s="45"/>
      <c r="G383" s="47"/>
      <c r="H383" s="48"/>
      <c r="I383" s="45"/>
      <c r="J383" s="49"/>
      <c r="K383" s="46"/>
      <c r="L383" s="49"/>
    </row>
    <row r="384">
      <c r="A384" s="44"/>
      <c r="B384" s="45"/>
      <c r="C384" s="46"/>
      <c r="D384" s="47"/>
      <c r="E384" s="47"/>
      <c r="F384" s="45"/>
      <c r="G384" s="47"/>
      <c r="H384" s="48"/>
      <c r="I384" s="45"/>
      <c r="J384" s="49"/>
      <c r="K384" s="46"/>
      <c r="L384" s="49"/>
    </row>
    <row r="385">
      <c r="A385" s="44"/>
      <c r="B385" s="45"/>
      <c r="C385" s="46"/>
      <c r="D385" s="47"/>
      <c r="E385" s="47"/>
      <c r="F385" s="45"/>
      <c r="G385" s="47"/>
      <c r="H385" s="48"/>
      <c r="I385" s="45"/>
      <c r="J385" s="49"/>
      <c r="K385" s="46"/>
      <c r="L385" s="49"/>
    </row>
    <row r="386">
      <c r="A386" s="44"/>
      <c r="B386" s="45"/>
      <c r="C386" s="46"/>
      <c r="D386" s="47"/>
      <c r="E386" s="47"/>
      <c r="F386" s="45"/>
      <c r="G386" s="47"/>
      <c r="H386" s="48"/>
      <c r="I386" s="45"/>
      <c r="J386" s="49"/>
      <c r="K386" s="46"/>
      <c r="L386" s="49"/>
    </row>
    <row r="387">
      <c r="A387" s="44"/>
      <c r="B387" s="45"/>
      <c r="C387" s="46"/>
      <c r="D387" s="47"/>
      <c r="E387" s="47"/>
      <c r="F387" s="45"/>
      <c r="G387" s="47"/>
      <c r="H387" s="48"/>
      <c r="I387" s="45"/>
      <c r="J387" s="49"/>
      <c r="K387" s="46"/>
      <c r="L387" s="49"/>
    </row>
    <row r="388">
      <c r="A388" s="44"/>
      <c r="B388" s="45"/>
      <c r="C388" s="46"/>
      <c r="D388" s="47"/>
      <c r="E388" s="47"/>
      <c r="F388" s="45"/>
      <c r="G388" s="47"/>
      <c r="H388" s="48"/>
      <c r="I388" s="45"/>
      <c r="J388" s="49"/>
      <c r="K388" s="46"/>
      <c r="L388" s="49"/>
    </row>
    <row r="389">
      <c r="A389" s="44"/>
      <c r="B389" s="45"/>
      <c r="C389" s="46"/>
      <c r="D389" s="47"/>
      <c r="E389" s="47"/>
      <c r="F389" s="45"/>
      <c r="G389" s="47"/>
      <c r="H389" s="48"/>
      <c r="I389" s="45"/>
      <c r="J389" s="49"/>
      <c r="K389" s="46"/>
      <c r="L389" s="49"/>
    </row>
    <row r="390">
      <c r="A390" s="44"/>
      <c r="B390" s="45"/>
      <c r="C390" s="46"/>
      <c r="D390" s="47"/>
      <c r="E390" s="47"/>
      <c r="F390" s="45"/>
      <c r="G390" s="47"/>
      <c r="H390" s="48"/>
      <c r="I390" s="45"/>
      <c r="J390" s="49"/>
      <c r="K390" s="46"/>
      <c r="L390" s="49"/>
    </row>
    <row r="391">
      <c r="A391" s="44"/>
      <c r="B391" s="45"/>
      <c r="C391" s="46"/>
      <c r="D391" s="47"/>
      <c r="E391" s="47"/>
      <c r="F391" s="45"/>
      <c r="G391" s="47"/>
      <c r="H391" s="48"/>
      <c r="I391" s="45"/>
      <c r="J391" s="49"/>
      <c r="K391" s="46"/>
      <c r="L391" s="49"/>
    </row>
    <row r="392">
      <c r="A392" s="44"/>
      <c r="B392" s="45"/>
      <c r="C392" s="46"/>
      <c r="D392" s="47"/>
      <c r="E392" s="47"/>
      <c r="F392" s="45"/>
      <c r="G392" s="47"/>
      <c r="H392" s="48"/>
      <c r="I392" s="45"/>
      <c r="J392" s="49"/>
      <c r="K392" s="46"/>
      <c r="L392" s="49"/>
    </row>
    <row r="393">
      <c r="A393" s="44"/>
      <c r="B393" s="45"/>
      <c r="C393" s="46"/>
      <c r="D393" s="47"/>
      <c r="E393" s="47"/>
      <c r="F393" s="45"/>
      <c r="G393" s="47"/>
      <c r="H393" s="48"/>
      <c r="I393" s="45"/>
      <c r="J393" s="49"/>
      <c r="K393" s="46"/>
      <c r="L393" s="49"/>
    </row>
    <row r="394">
      <c r="A394" s="44"/>
      <c r="B394" s="45"/>
      <c r="C394" s="46"/>
      <c r="D394" s="47"/>
      <c r="E394" s="47"/>
      <c r="F394" s="45"/>
      <c r="G394" s="47"/>
      <c r="H394" s="48"/>
      <c r="I394" s="45"/>
      <c r="J394" s="49"/>
      <c r="K394" s="46"/>
      <c r="L394" s="49"/>
    </row>
    <row r="395">
      <c r="A395" s="44"/>
      <c r="B395" s="45"/>
      <c r="C395" s="46"/>
      <c r="D395" s="47"/>
      <c r="E395" s="47"/>
      <c r="F395" s="45"/>
      <c r="G395" s="47"/>
      <c r="H395" s="48"/>
      <c r="I395" s="45"/>
      <c r="J395" s="49"/>
      <c r="K395" s="46"/>
      <c r="L395" s="49"/>
    </row>
    <row r="396">
      <c r="A396" s="44"/>
      <c r="B396" s="45"/>
      <c r="C396" s="46"/>
      <c r="D396" s="47"/>
      <c r="E396" s="47"/>
      <c r="F396" s="45"/>
      <c r="G396" s="47"/>
      <c r="H396" s="48"/>
      <c r="I396" s="45"/>
      <c r="J396" s="49"/>
      <c r="K396" s="46"/>
      <c r="L396" s="49"/>
    </row>
    <row r="397">
      <c r="A397" s="44"/>
      <c r="B397" s="45"/>
      <c r="C397" s="46"/>
      <c r="D397" s="47"/>
      <c r="E397" s="47"/>
      <c r="F397" s="45"/>
      <c r="G397" s="47"/>
      <c r="H397" s="48"/>
      <c r="I397" s="45"/>
      <c r="J397" s="49"/>
      <c r="K397" s="46"/>
      <c r="L397" s="49"/>
    </row>
    <row r="398">
      <c r="A398" s="44"/>
      <c r="B398" s="45"/>
      <c r="C398" s="46"/>
      <c r="D398" s="47"/>
      <c r="E398" s="47"/>
      <c r="F398" s="45"/>
      <c r="G398" s="47"/>
      <c r="H398" s="48"/>
      <c r="I398" s="45"/>
      <c r="J398" s="49"/>
      <c r="K398" s="46"/>
      <c r="L398" s="49"/>
    </row>
    <row r="399">
      <c r="A399" s="44"/>
      <c r="B399" s="45"/>
      <c r="C399" s="46"/>
      <c r="D399" s="47"/>
      <c r="E399" s="47"/>
      <c r="F399" s="45"/>
      <c r="G399" s="47"/>
      <c r="H399" s="48"/>
      <c r="I399" s="45"/>
      <c r="J399" s="49"/>
      <c r="K399" s="46"/>
      <c r="L399" s="49"/>
    </row>
    <row r="400">
      <c r="A400" s="44"/>
      <c r="B400" s="45"/>
      <c r="C400" s="46"/>
      <c r="D400" s="47"/>
      <c r="E400" s="47"/>
      <c r="F400" s="45"/>
      <c r="G400" s="47"/>
      <c r="H400" s="48"/>
      <c r="I400" s="45"/>
      <c r="J400" s="49"/>
      <c r="K400" s="46"/>
      <c r="L400" s="49"/>
    </row>
    <row r="401">
      <c r="A401" s="44"/>
      <c r="B401" s="45"/>
      <c r="C401" s="46"/>
      <c r="D401" s="47"/>
      <c r="E401" s="47"/>
      <c r="F401" s="45"/>
      <c r="G401" s="47"/>
      <c r="H401" s="48"/>
      <c r="I401" s="45"/>
      <c r="J401" s="49"/>
      <c r="K401" s="46"/>
      <c r="L401" s="49"/>
    </row>
    <row r="402">
      <c r="A402" s="44"/>
      <c r="B402" s="45"/>
      <c r="C402" s="46"/>
      <c r="D402" s="47"/>
      <c r="E402" s="47"/>
      <c r="F402" s="45"/>
      <c r="G402" s="47"/>
      <c r="H402" s="48"/>
      <c r="I402" s="45"/>
      <c r="J402" s="49"/>
      <c r="K402" s="46"/>
      <c r="L402" s="49"/>
    </row>
    <row r="403">
      <c r="A403" s="44"/>
      <c r="B403" s="45"/>
      <c r="C403" s="46"/>
      <c r="D403" s="47"/>
      <c r="E403" s="47"/>
      <c r="F403" s="45"/>
      <c r="G403" s="47"/>
      <c r="H403" s="48"/>
      <c r="I403" s="45"/>
      <c r="J403" s="49"/>
      <c r="K403" s="46"/>
      <c r="L403" s="49"/>
    </row>
    <row r="404">
      <c r="A404" s="44"/>
      <c r="B404" s="45"/>
      <c r="C404" s="46"/>
      <c r="D404" s="47"/>
      <c r="E404" s="47"/>
      <c r="F404" s="45"/>
      <c r="G404" s="47"/>
      <c r="H404" s="48"/>
      <c r="I404" s="45"/>
      <c r="J404" s="49"/>
      <c r="K404" s="46"/>
      <c r="L404" s="49"/>
    </row>
    <row r="405">
      <c r="A405" s="44"/>
      <c r="B405" s="45"/>
      <c r="C405" s="46"/>
      <c r="D405" s="47"/>
      <c r="E405" s="47"/>
      <c r="F405" s="45"/>
      <c r="G405" s="47"/>
      <c r="H405" s="48"/>
      <c r="I405" s="45"/>
      <c r="J405" s="49"/>
      <c r="K405" s="46"/>
      <c r="L405" s="49"/>
    </row>
    <row r="406">
      <c r="A406" s="44"/>
      <c r="B406" s="45"/>
      <c r="C406" s="46"/>
      <c r="D406" s="47"/>
      <c r="E406" s="47"/>
      <c r="F406" s="45"/>
      <c r="G406" s="47"/>
      <c r="H406" s="48"/>
      <c r="I406" s="45"/>
      <c r="J406" s="49"/>
      <c r="K406" s="46"/>
      <c r="L406" s="49"/>
    </row>
    <row r="407">
      <c r="A407" s="44"/>
      <c r="B407" s="45"/>
      <c r="C407" s="46"/>
      <c r="D407" s="47"/>
      <c r="E407" s="47"/>
      <c r="F407" s="45"/>
      <c r="G407" s="47"/>
      <c r="H407" s="48"/>
      <c r="I407" s="45"/>
      <c r="J407" s="49"/>
      <c r="K407" s="46"/>
      <c r="L407" s="49"/>
    </row>
    <row r="408">
      <c r="A408" s="44"/>
      <c r="B408" s="45"/>
      <c r="C408" s="46"/>
      <c r="D408" s="47"/>
      <c r="E408" s="47"/>
      <c r="F408" s="45"/>
      <c r="G408" s="47"/>
      <c r="H408" s="48"/>
      <c r="I408" s="45"/>
      <c r="J408" s="49"/>
      <c r="K408" s="46"/>
      <c r="L408" s="49"/>
    </row>
    <row r="409">
      <c r="A409" s="44"/>
      <c r="B409" s="45"/>
      <c r="C409" s="46"/>
      <c r="D409" s="47"/>
      <c r="E409" s="47"/>
      <c r="F409" s="45"/>
      <c r="G409" s="47"/>
      <c r="H409" s="48"/>
      <c r="I409" s="45"/>
      <c r="J409" s="49"/>
      <c r="K409" s="46"/>
      <c r="L409" s="49"/>
    </row>
    <row r="410">
      <c r="A410" s="44"/>
      <c r="B410" s="45"/>
      <c r="C410" s="46"/>
      <c r="D410" s="47"/>
      <c r="E410" s="47"/>
      <c r="F410" s="45"/>
      <c r="G410" s="47"/>
      <c r="H410" s="48"/>
      <c r="I410" s="45"/>
      <c r="J410" s="49"/>
      <c r="K410" s="46"/>
      <c r="L410" s="49"/>
    </row>
    <row r="411">
      <c r="A411" s="44"/>
      <c r="B411" s="45"/>
      <c r="C411" s="46"/>
      <c r="D411" s="47"/>
      <c r="E411" s="47"/>
      <c r="F411" s="45"/>
      <c r="G411" s="47"/>
      <c r="H411" s="48"/>
      <c r="I411" s="45"/>
      <c r="J411" s="49"/>
      <c r="K411" s="46"/>
      <c r="L411" s="49"/>
    </row>
    <row r="412">
      <c r="A412" s="44"/>
      <c r="B412" s="45"/>
      <c r="C412" s="46"/>
      <c r="D412" s="47"/>
      <c r="E412" s="47"/>
      <c r="F412" s="45"/>
      <c r="G412" s="47"/>
      <c r="H412" s="48"/>
      <c r="I412" s="45"/>
      <c r="J412" s="49"/>
      <c r="K412" s="46"/>
      <c r="L412" s="49"/>
    </row>
    <row r="413">
      <c r="A413" s="44"/>
      <c r="B413" s="45"/>
      <c r="C413" s="46"/>
      <c r="D413" s="47"/>
      <c r="E413" s="47"/>
      <c r="F413" s="45"/>
      <c r="G413" s="47"/>
      <c r="H413" s="48"/>
      <c r="I413" s="45"/>
      <c r="J413" s="49"/>
      <c r="K413" s="46"/>
      <c r="L413" s="49"/>
    </row>
    <row r="414">
      <c r="A414" s="44"/>
      <c r="B414" s="45"/>
      <c r="C414" s="46"/>
      <c r="D414" s="47"/>
      <c r="E414" s="47"/>
      <c r="F414" s="45"/>
      <c r="G414" s="47"/>
      <c r="H414" s="48"/>
      <c r="I414" s="45"/>
      <c r="J414" s="49"/>
      <c r="K414" s="46"/>
      <c r="L414" s="49"/>
    </row>
    <row r="415">
      <c r="A415" s="44"/>
      <c r="B415" s="45"/>
      <c r="C415" s="46"/>
      <c r="D415" s="47"/>
      <c r="E415" s="47"/>
      <c r="F415" s="45"/>
      <c r="G415" s="47"/>
      <c r="H415" s="48"/>
      <c r="I415" s="45"/>
      <c r="J415" s="49"/>
      <c r="K415" s="46"/>
      <c r="L415" s="49"/>
    </row>
    <row r="416">
      <c r="A416" s="44"/>
      <c r="B416" s="45"/>
      <c r="C416" s="46"/>
      <c r="D416" s="47"/>
      <c r="E416" s="47"/>
      <c r="F416" s="45"/>
      <c r="G416" s="47"/>
      <c r="H416" s="48"/>
      <c r="I416" s="45"/>
      <c r="J416" s="49"/>
      <c r="K416" s="46"/>
      <c r="L416" s="49"/>
    </row>
    <row r="417">
      <c r="A417" s="44"/>
      <c r="B417" s="45"/>
      <c r="C417" s="46"/>
      <c r="D417" s="47"/>
      <c r="E417" s="47"/>
      <c r="F417" s="45"/>
      <c r="G417" s="47"/>
      <c r="H417" s="48"/>
      <c r="I417" s="45"/>
      <c r="J417" s="49"/>
      <c r="K417" s="46"/>
      <c r="L417" s="49"/>
    </row>
    <row r="418">
      <c r="A418" s="44"/>
      <c r="B418" s="45"/>
      <c r="C418" s="46"/>
      <c r="D418" s="47"/>
      <c r="E418" s="47"/>
      <c r="F418" s="45"/>
      <c r="G418" s="47"/>
      <c r="H418" s="48"/>
      <c r="I418" s="45"/>
      <c r="J418" s="49"/>
      <c r="K418" s="46"/>
      <c r="L418" s="49"/>
    </row>
    <row r="419">
      <c r="A419" s="44"/>
      <c r="B419" s="45"/>
      <c r="C419" s="46"/>
      <c r="D419" s="47"/>
      <c r="E419" s="47"/>
      <c r="F419" s="45"/>
      <c r="G419" s="47"/>
      <c r="H419" s="48"/>
      <c r="I419" s="45"/>
      <c r="J419" s="49"/>
      <c r="K419" s="46"/>
      <c r="L419" s="49"/>
    </row>
    <row r="420">
      <c r="A420" s="44"/>
      <c r="B420" s="45"/>
      <c r="C420" s="46"/>
      <c r="D420" s="47"/>
      <c r="E420" s="47"/>
      <c r="F420" s="45"/>
      <c r="G420" s="47"/>
      <c r="H420" s="48"/>
      <c r="I420" s="45"/>
      <c r="J420" s="49"/>
      <c r="K420" s="46"/>
      <c r="L420" s="49"/>
    </row>
    <row r="421">
      <c r="A421" s="44"/>
      <c r="B421" s="45"/>
      <c r="C421" s="46"/>
      <c r="D421" s="47"/>
      <c r="E421" s="47"/>
      <c r="F421" s="45"/>
      <c r="G421" s="47"/>
      <c r="H421" s="48"/>
      <c r="I421" s="45"/>
      <c r="J421" s="49"/>
      <c r="K421" s="46"/>
      <c r="L421" s="49"/>
    </row>
    <row r="422">
      <c r="A422" s="44"/>
      <c r="B422" s="45"/>
      <c r="C422" s="46"/>
      <c r="D422" s="47"/>
      <c r="E422" s="47"/>
      <c r="F422" s="45"/>
      <c r="G422" s="47"/>
      <c r="H422" s="48"/>
      <c r="I422" s="45"/>
      <c r="J422" s="49"/>
      <c r="K422" s="46"/>
      <c r="L422" s="49"/>
    </row>
    <row r="423">
      <c r="A423" s="44"/>
      <c r="B423" s="45"/>
      <c r="C423" s="46"/>
      <c r="D423" s="47"/>
      <c r="E423" s="47"/>
      <c r="F423" s="45"/>
      <c r="G423" s="47"/>
      <c r="H423" s="48"/>
      <c r="I423" s="45"/>
      <c r="J423" s="49"/>
      <c r="K423" s="46"/>
      <c r="L423" s="49"/>
    </row>
    <row r="424">
      <c r="A424" s="44"/>
      <c r="B424" s="45"/>
      <c r="C424" s="46"/>
      <c r="D424" s="47"/>
      <c r="E424" s="47"/>
      <c r="F424" s="45"/>
      <c r="G424" s="47"/>
      <c r="H424" s="48"/>
      <c r="I424" s="45"/>
      <c r="J424" s="49"/>
      <c r="K424" s="46"/>
      <c r="L424" s="49"/>
    </row>
    <row r="425">
      <c r="A425" s="44"/>
      <c r="B425" s="45"/>
      <c r="C425" s="46"/>
      <c r="D425" s="47"/>
      <c r="E425" s="47"/>
      <c r="F425" s="45"/>
      <c r="G425" s="47"/>
      <c r="H425" s="48"/>
      <c r="I425" s="45"/>
      <c r="J425" s="49"/>
      <c r="K425" s="46"/>
      <c r="L425" s="49"/>
    </row>
    <row r="426">
      <c r="A426" s="44"/>
      <c r="B426" s="45"/>
      <c r="C426" s="46"/>
      <c r="D426" s="47"/>
      <c r="E426" s="47"/>
      <c r="F426" s="45"/>
      <c r="G426" s="47"/>
      <c r="H426" s="48"/>
      <c r="I426" s="45"/>
      <c r="J426" s="49"/>
      <c r="K426" s="46"/>
      <c r="L426" s="49"/>
    </row>
    <row r="427">
      <c r="A427" s="44"/>
      <c r="B427" s="45"/>
      <c r="C427" s="46"/>
      <c r="D427" s="47"/>
      <c r="E427" s="47"/>
      <c r="F427" s="45"/>
      <c r="G427" s="47"/>
      <c r="H427" s="48"/>
      <c r="I427" s="45"/>
      <c r="J427" s="49"/>
      <c r="K427" s="46"/>
      <c r="L427" s="49"/>
    </row>
    <row r="428">
      <c r="A428" s="44"/>
      <c r="B428" s="45"/>
      <c r="C428" s="46"/>
      <c r="D428" s="47"/>
      <c r="E428" s="47"/>
      <c r="F428" s="45"/>
      <c r="G428" s="47"/>
      <c r="H428" s="48"/>
      <c r="I428" s="45"/>
      <c r="J428" s="49"/>
      <c r="K428" s="46"/>
      <c r="L428" s="49"/>
    </row>
    <row r="429">
      <c r="A429" s="44"/>
      <c r="B429" s="45"/>
      <c r="C429" s="46"/>
      <c r="D429" s="47"/>
      <c r="E429" s="47"/>
      <c r="F429" s="45"/>
      <c r="G429" s="47"/>
      <c r="H429" s="48"/>
      <c r="I429" s="45"/>
      <c r="J429" s="49"/>
      <c r="K429" s="46"/>
      <c r="L429" s="49"/>
    </row>
    <row r="430">
      <c r="A430" s="44"/>
      <c r="B430" s="45"/>
      <c r="C430" s="46"/>
      <c r="D430" s="47"/>
      <c r="E430" s="47"/>
      <c r="F430" s="45"/>
      <c r="G430" s="47"/>
      <c r="H430" s="48"/>
      <c r="I430" s="45"/>
      <c r="J430" s="49"/>
      <c r="K430" s="46"/>
      <c r="L430" s="49"/>
    </row>
    <row r="431">
      <c r="A431" s="44"/>
      <c r="B431" s="45"/>
      <c r="C431" s="46"/>
      <c r="D431" s="47"/>
      <c r="E431" s="47"/>
      <c r="F431" s="45"/>
      <c r="G431" s="47"/>
      <c r="H431" s="48"/>
      <c r="I431" s="45"/>
      <c r="J431" s="49"/>
      <c r="K431" s="46"/>
      <c r="L431" s="49"/>
    </row>
    <row r="432">
      <c r="A432" s="44"/>
      <c r="B432" s="45"/>
      <c r="C432" s="46"/>
      <c r="D432" s="47"/>
      <c r="E432" s="47"/>
      <c r="F432" s="45"/>
      <c r="G432" s="47"/>
      <c r="H432" s="48"/>
      <c r="I432" s="45"/>
      <c r="J432" s="49"/>
      <c r="K432" s="46"/>
      <c r="L432" s="49"/>
    </row>
    <row r="433">
      <c r="A433" s="44"/>
      <c r="B433" s="45"/>
      <c r="C433" s="46"/>
      <c r="D433" s="47"/>
      <c r="E433" s="47"/>
      <c r="F433" s="45"/>
      <c r="G433" s="47"/>
      <c r="H433" s="48"/>
      <c r="I433" s="45"/>
      <c r="J433" s="49"/>
      <c r="K433" s="46"/>
      <c r="L433" s="49"/>
    </row>
    <row r="434">
      <c r="A434" s="44"/>
      <c r="B434" s="45"/>
      <c r="C434" s="46"/>
      <c r="D434" s="47"/>
      <c r="E434" s="47"/>
      <c r="F434" s="45"/>
      <c r="G434" s="47"/>
      <c r="H434" s="48"/>
      <c r="I434" s="45"/>
      <c r="J434" s="49"/>
      <c r="K434" s="46"/>
      <c r="L434" s="49"/>
    </row>
    <row r="435">
      <c r="A435" s="44"/>
      <c r="B435" s="45"/>
      <c r="C435" s="46"/>
      <c r="D435" s="47"/>
      <c r="E435" s="47"/>
      <c r="F435" s="45"/>
      <c r="G435" s="47"/>
      <c r="H435" s="48"/>
      <c r="I435" s="45"/>
      <c r="J435" s="49"/>
      <c r="K435" s="46"/>
      <c r="L435" s="49"/>
    </row>
    <row r="436">
      <c r="A436" s="44"/>
      <c r="B436" s="45"/>
      <c r="C436" s="46"/>
      <c r="D436" s="47"/>
      <c r="E436" s="47"/>
      <c r="F436" s="45"/>
      <c r="G436" s="47"/>
      <c r="H436" s="48"/>
      <c r="I436" s="45"/>
      <c r="J436" s="49"/>
      <c r="K436" s="46"/>
      <c r="L436" s="49"/>
    </row>
    <row r="437">
      <c r="A437" s="44"/>
      <c r="B437" s="45"/>
      <c r="C437" s="46"/>
      <c r="D437" s="47"/>
      <c r="E437" s="47"/>
      <c r="F437" s="45"/>
      <c r="G437" s="47"/>
      <c r="H437" s="48"/>
      <c r="I437" s="45"/>
      <c r="J437" s="49"/>
      <c r="K437" s="46"/>
      <c r="L437" s="49"/>
    </row>
    <row r="438">
      <c r="A438" s="44"/>
      <c r="B438" s="45"/>
      <c r="C438" s="46"/>
      <c r="D438" s="47"/>
      <c r="E438" s="47"/>
      <c r="F438" s="45"/>
      <c r="G438" s="47"/>
      <c r="H438" s="48"/>
      <c r="I438" s="45"/>
      <c r="J438" s="49"/>
      <c r="K438" s="46"/>
      <c r="L438" s="49"/>
    </row>
    <row r="439">
      <c r="A439" s="44"/>
      <c r="B439" s="45"/>
      <c r="C439" s="46"/>
      <c r="D439" s="47"/>
      <c r="E439" s="47"/>
      <c r="F439" s="45"/>
      <c r="G439" s="47"/>
      <c r="H439" s="48"/>
      <c r="I439" s="45"/>
      <c r="J439" s="49"/>
      <c r="K439" s="46"/>
      <c r="L439" s="49"/>
    </row>
    <row r="440">
      <c r="A440" s="44"/>
      <c r="B440" s="45"/>
      <c r="C440" s="46"/>
      <c r="D440" s="47"/>
      <c r="E440" s="47"/>
      <c r="F440" s="45"/>
      <c r="G440" s="47"/>
      <c r="H440" s="48"/>
      <c r="I440" s="45"/>
      <c r="J440" s="49"/>
      <c r="K440" s="46"/>
      <c r="L440" s="49"/>
    </row>
    <row r="441">
      <c r="A441" s="44"/>
      <c r="B441" s="45"/>
      <c r="C441" s="46"/>
      <c r="D441" s="47"/>
      <c r="E441" s="47"/>
      <c r="F441" s="45"/>
      <c r="G441" s="47"/>
      <c r="H441" s="48"/>
      <c r="I441" s="45"/>
      <c r="J441" s="49"/>
      <c r="K441" s="46"/>
      <c r="L441" s="49"/>
    </row>
    <row r="442">
      <c r="A442" s="44"/>
      <c r="B442" s="45"/>
      <c r="C442" s="46"/>
      <c r="D442" s="47"/>
      <c r="E442" s="47"/>
      <c r="F442" s="45"/>
      <c r="G442" s="47"/>
      <c r="H442" s="48"/>
      <c r="I442" s="45"/>
      <c r="J442" s="49"/>
      <c r="K442" s="46"/>
      <c r="L442" s="49"/>
    </row>
    <row r="443">
      <c r="A443" s="44"/>
      <c r="B443" s="45"/>
      <c r="C443" s="46"/>
      <c r="D443" s="47"/>
      <c r="E443" s="47"/>
      <c r="F443" s="45"/>
      <c r="G443" s="47"/>
      <c r="H443" s="48"/>
      <c r="I443" s="45"/>
      <c r="J443" s="49"/>
      <c r="K443" s="46"/>
      <c r="L443" s="49"/>
    </row>
    <row r="444">
      <c r="A444" s="44"/>
      <c r="B444" s="45"/>
      <c r="C444" s="46"/>
      <c r="D444" s="47"/>
      <c r="E444" s="47"/>
      <c r="F444" s="45"/>
      <c r="G444" s="47"/>
      <c r="H444" s="48"/>
      <c r="I444" s="45"/>
      <c r="J444" s="49"/>
      <c r="K444" s="46"/>
      <c r="L444" s="49"/>
    </row>
    <row r="445">
      <c r="A445" s="44"/>
      <c r="B445" s="45"/>
      <c r="C445" s="46"/>
      <c r="D445" s="47"/>
      <c r="E445" s="47"/>
      <c r="F445" s="45"/>
      <c r="G445" s="47"/>
      <c r="H445" s="48"/>
      <c r="I445" s="45"/>
      <c r="J445" s="49"/>
      <c r="K445" s="46"/>
      <c r="L445" s="49"/>
    </row>
    <row r="446">
      <c r="A446" s="44"/>
      <c r="B446" s="45"/>
      <c r="C446" s="46"/>
      <c r="D446" s="47"/>
      <c r="E446" s="47"/>
      <c r="F446" s="45"/>
      <c r="G446" s="47"/>
      <c r="H446" s="48"/>
      <c r="I446" s="45"/>
      <c r="J446" s="49"/>
      <c r="K446" s="46"/>
      <c r="L446" s="49"/>
    </row>
    <row r="447">
      <c r="A447" s="44"/>
      <c r="B447" s="45"/>
      <c r="C447" s="46"/>
      <c r="D447" s="47"/>
      <c r="E447" s="47"/>
      <c r="F447" s="45"/>
      <c r="G447" s="47"/>
      <c r="H447" s="48"/>
      <c r="I447" s="45"/>
      <c r="J447" s="49"/>
      <c r="K447" s="46"/>
      <c r="L447" s="49"/>
    </row>
    <row r="448">
      <c r="A448" s="44"/>
      <c r="B448" s="45"/>
      <c r="C448" s="46"/>
      <c r="D448" s="47"/>
      <c r="E448" s="47"/>
      <c r="F448" s="45"/>
      <c r="G448" s="47"/>
      <c r="H448" s="48"/>
      <c r="I448" s="45"/>
      <c r="J448" s="49"/>
      <c r="K448" s="46"/>
      <c r="L448" s="49"/>
    </row>
    <row r="449">
      <c r="A449" s="44"/>
      <c r="B449" s="45"/>
      <c r="C449" s="46"/>
      <c r="D449" s="47"/>
      <c r="E449" s="47"/>
      <c r="F449" s="45"/>
      <c r="G449" s="47"/>
      <c r="H449" s="48"/>
      <c r="I449" s="45"/>
      <c r="J449" s="49"/>
      <c r="K449" s="46"/>
      <c r="L449" s="49"/>
    </row>
    <row r="450">
      <c r="A450" s="44"/>
      <c r="B450" s="45"/>
      <c r="C450" s="46"/>
      <c r="D450" s="47"/>
      <c r="E450" s="47"/>
      <c r="F450" s="45"/>
      <c r="G450" s="47"/>
      <c r="H450" s="48"/>
      <c r="I450" s="45"/>
      <c r="J450" s="49"/>
      <c r="K450" s="46"/>
      <c r="L450" s="49"/>
    </row>
    <row r="451">
      <c r="A451" s="44"/>
      <c r="B451" s="45"/>
      <c r="C451" s="46"/>
      <c r="D451" s="47"/>
      <c r="E451" s="47"/>
      <c r="F451" s="45"/>
      <c r="G451" s="47"/>
      <c r="H451" s="48"/>
      <c r="I451" s="45"/>
      <c r="J451" s="49"/>
      <c r="K451" s="46"/>
      <c r="L451" s="49"/>
    </row>
    <row r="452">
      <c r="A452" s="44"/>
      <c r="B452" s="45"/>
      <c r="C452" s="46"/>
      <c r="D452" s="47"/>
      <c r="E452" s="47"/>
      <c r="F452" s="45"/>
      <c r="G452" s="47"/>
      <c r="H452" s="48"/>
      <c r="I452" s="45"/>
      <c r="J452" s="49"/>
      <c r="K452" s="46"/>
      <c r="L452" s="49"/>
    </row>
    <row r="453">
      <c r="A453" s="44"/>
      <c r="B453" s="45"/>
      <c r="C453" s="46"/>
      <c r="D453" s="47"/>
      <c r="E453" s="47"/>
      <c r="F453" s="45"/>
      <c r="G453" s="47"/>
      <c r="H453" s="48"/>
      <c r="I453" s="45"/>
      <c r="J453" s="49"/>
      <c r="K453" s="46"/>
      <c r="L453" s="49"/>
    </row>
    <row r="454">
      <c r="A454" s="44"/>
      <c r="B454" s="45"/>
      <c r="C454" s="46"/>
      <c r="D454" s="47"/>
      <c r="E454" s="47"/>
      <c r="F454" s="45"/>
      <c r="G454" s="47"/>
      <c r="H454" s="48"/>
      <c r="I454" s="45"/>
      <c r="J454" s="49"/>
      <c r="K454" s="46"/>
      <c r="L454" s="49"/>
    </row>
    <row r="455">
      <c r="A455" s="44"/>
      <c r="B455" s="45"/>
      <c r="C455" s="46"/>
      <c r="D455" s="47"/>
      <c r="E455" s="47"/>
      <c r="F455" s="45"/>
      <c r="G455" s="47"/>
      <c r="H455" s="48"/>
      <c r="I455" s="45"/>
      <c r="J455" s="49"/>
      <c r="K455" s="46"/>
      <c r="L455" s="49"/>
    </row>
    <row r="456">
      <c r="A456" s="44"/>
      <c r="B456" s="45"/>
      <c r="C456" s="46"/>
      <c r="D456" s="47"/>
      <c r="E456" s="47"/>
      <c r="F456" s="45"/>
      <c r="G456" s="47"/>
      <c r="H456" s="48"/>
      <c r="I456" s="45"/>
      <c r="J456" s="49"/>
      <c r="K456" s="46"/>
      <c r="L456" s="49"/>
    </row>
    <row r="457">
      <c r="A457" s="44"/>
      <c r="B457" s="45"/>
      <c r="C457" s="46"/>
      <c r="D457" s="47"/>
      <c r="E457" s="47"/>
      <c r="F457" s="45"/>
      <c r="G457" s="47"/>
      <c r="H457" s="48"/>
      <c r="I457" s="45"/>
      <c r="J457" s="49"/>
      <c r="K457" s="46"/>
      <c r="L457" s="49"/>
    </row>
    <row r="458">
      <c r="A458" s="44"/>
      <c r="B458" s="45"/>
      <c r="C458" s="46"/>
      <c r="D458" s="47"/>
      <c r="E458" s="47"/>
      <c r="F458" s="45"/>
      <c r="G458" s="47"/>
      <c r="H458" s="48"/>
      <c r="I458" s="45"/>
      <c r="J458" s="49"/>
      <c r="K458" s="46"/>
      <c r="L458" s="49"/>
    </row>
    <row r="459">
      <c r="A459" s="44"/>
      <c r="B459" s="45"/>
      <c r="C459" s="46"/>
      <c r="D459" s="47"/>
      <c r="E459" s="47"/>
      <c r="F459" s="45"/>
      <c r="G459" s="47"/>
      <c r="H459" s="48"/>
      <c r="I459" s="45"/>
      <c r="J459" s="49"/>
      <c r="K459" s="46"/>
      <c r="L459" s="49"/>
    </row>
    <row r="460">
      <c r="A460" s="44"/>
      <c r="B460" s="45"/>
      <c r="C460" s="46"/>
      <c r="D460" s="47"/>
      <c r="E460" s="47"/>
      <c r="F460" s="45"/>
      <c r="G460" s="47"/>
      <c r="H460" s="48"/>
      <c r="I460" s="45"/>
      <c r="J460" s="49"/>
      <c r="K460" s="46"/>
      <c r="L460" s="49"/>
    </row>
    <row r="461">
      <c r="A461" s="44"/>
      <c r="B461" s="45"/>
      <c r="C461" s="46"/>
      <c r="D461" s="47"/>
      <c r="E461" s="47"/>
      <c r="F461" s="45"/>
      <c r="G461" s="47"/>
      <c r="H461" s="48"/>
      <c r="I461" s="45"/>
      <c r="J461" s="49"/>
      <c r="K461" s="46"/>
      <c r="L461" s="49"/>
    </row>
    <row r="462">
      <c r="A462" s="44"/>
      <c r="B462" s="45"/>
      <c r="C462" s="46"/>
      <c r="D462" s="47"/>
      <c r="E462" s="47"/>
      <c r="F462" s="45"/>
      <c r="G462" s="47"/>
      <c r="H462" s="48"/>
      <c r="I462" s="45"/>
      <c r="J462" s="49"/>
      <c r="K462" s="46"/>
      <c r="L462" s="49"/>
    </row>
    <row r="463">
      <c r="A463" s="44"/>
      <c r="B463" s="45"/>
      <c r="C463" s="46"/>
      <c r="D463" s="47"/>
      <c r="E463" s="47"/>
      <c r="F463" s="45"/>
      <c r="G463" s="47"/>
      <c r="H463" s="48"/>
      <c r="I463" s="45"/>
      <c r="J463" s="49"/>
      <c r="K463" s="46"/>
      <c r="L463" s="49"/>
    </row>
    <row r="464">
      <c r="A464" s="44"/>
      <c r="B464" s="45"/>
      <c r="C464" s="46"/>
      <c r="D464" s="47"/>
      <c r="E464" s="47"/>
      <c r="F464" s="45"/>
      <c r="G464" s="47"/>
      <c r="H464" s="48"/>
      <c r="I464" s="45"/>
      <c r="J464" s="49"/>
      <c r="K464" s="46"/>
      <c r="L464" s="49"/>
    </row>
    <row r="465">
      <c r="A465" s="44"/>
      <c r="B465" s="45"/>
      <c r="C465" s="46"/>
      <c r="D465" s="47"/>
      <c r="E465" s="47"/>
      <c r="F465" s="45"/>
      <c r="G465" s="47"/>
      <c r="H465" s="48"/>
      <c r="I465" s="45"/>
      <c r="J465" s="49"/>
      <c r="K465" s="46"/>
      <c r="L465" s="49"/>
    </row>
    <row r="466">
      <c r="A466" s="44"/>
      <c r="B466" s="45"/>
      <c r="C466" s="46"/>
      <c r="D466" s="47"/>
      <c r="E466" s="47"/>
      <c r="F466" s="45"/>
      <c r="G466" s="47"/>
      <c r="H466" s="48"/>
      <c r="I466" s="45"/>
      <c r="J466" s="49"/>
      <c r="K466" s="46"/>
      <c r="L466" s="49"/>
    </row>
    <row r="467">
      <c r="A467" s="44"/>
      <c r="B467" s="45"/>
      <c r="C467" s="46"/>
      <c r="D467" s="47"/>
      <c r="E467" s="47"/>
      <c r="F467" s="45"/>
      <c r="G467" s="47"/>
      <c r="H467" s="48"/>
      <c r="I467" s="45"/>
      <c r="J467" s="49"/>
      <c r="K467" s="46"/>
      <c r="L467" s="49"/>
    </row>
    <row r="468">
      <c r="A468" s="44"/>
      <c r="B468" s="45"/>
      <c r="C468" s="46"/>
      <c r="D468" s="47"/>
      <c r="E468" s="47"/>
      <c r="F468" s="45"/>
      <c r="G468" s="47"/>
      <c r="H468" s="48"/>
      <c r="I468" s="45"/>
      <c r="J468" s="49"/>
      <c r="K468" s="46"/>
      <c r="L468" s="49"/>
    </row>
    <row r="469">
      <c r="A469" s="44"/>
      <c r="B469" s="45"/>
      <c r="C469" s="46"/>
      <c r="D469" s="47"/>
      <c r="E469" s="47"/>
      <c r="F469" s="45"/>
      <c r="G469" s="47"/>
      <c r="H469" s="48"/>
      <c r="I469" s="45"/>
      <c r="J469" s="49"/>
      <c r="K469" s="46"/>
      <c r="L469" s="49"/>
    </row>
    <row r="470">
      <c r="A470" s="44"/>
      <c r="B470" s="45"/>
      <c r="C470" s="46"/>
      <c r="D470" s="47"/>
      <c r="E470" s="47"/>
      <c r="F470" s="45"/>
      <c r="G470" s="47"/>
      <c r="H470" s="48"/>
      <c r="I470" s="45"/>
      <c r="J470" s="49"/>
      <c r="K470" s="46"/>
      <c r="L470" s="49"/>
    </row>
    <row r="471">
      <c r="A471" s="44"/>
      <c r="B471" s="45"/>
      <c r="C471" s="46"/>
      <c r="D471" s="47"/>
      <c r="E471" s="47"/>
      <c r="F471" s="45"/>
      <c r="G471" s="47"/>
      <c r="H471" s="48"/>
      <c r="I471" s="45"/>
      <c r="J471" s="49"/>
      <c r="K471" s="46"/>
      <c r="L471" s="49"/>
    </row>
    <row r="472">
      <c r="A472" s="44"/>
      <c r="B472" s="45"/>
      <c r="C472" s="46"/>
      <c r="D472" s="47"/>
      <c r="E472" s="47"/>
      <c r="F472" s="45"/>
      <c r="G472" s="47"/>
      <c r="H472" s="48"/>
      <c r="I472" s="45"/>
      <c r="J472" s="49"/>
      <c r="K472" s="46"/>
      <c r="L472" s="49"/>
    </row>
    <row r="473">
      <c r="A473" s="44"/>
      <c r="B473" s="45"/>
      <c r="C473" s="46"/>
      <c r="D473" s="47"/>
      <c r="E473" s="47"/>
      <c r="F473" s="45"/>
      <c r="G473" s="47"/>
      <c r="H473" s="48"/>
      <c r="I473" s="45"/>
      <c r="J473" s="49"/>
      <c r="K473" s="46"/>
      <c r="L473" s="49"/>
    </row>
    <row r="474">
      <c r="A474" s="44"/>
      <c r="B474" s="45"/>
      <c r="C474" s="46"/>
      <c r="D474" s="47"/>
      <c r="E474" s="47"/>
      <c r="F474" s="45"/>
      <c r="G474" s="47"/>
      <c r="H474" s="48"/>
      <c r="I474" s="45"/>
      <c r="J474" s="49"/>
      <c r="K474" s="46"/>
      <c r="L474" s="49"/>
    </row>
    <row r="475">
      <c r="A475" s="44"/>
      <c r="B475" s="45"/>
      <c r="C475" s="46"/>
      <c r="D475" s="47"/>
      <c r="E475" s="47"/>
      <c r="F475" s="45"/>
      <c r="G475" s="47"/>
      <c r="H475" s="48"/>
      <c r="I475" s="45"/>
      <c r="J475" s="49"/>
      <c r="K475" s="46"/>
      <c r="L475" s="49"/>
    </row>
    <row r="476">
      <c r="A476" s="44"/>
      <c r="B476" s="45"/>
      <c r="C476" s="46"/>
      <c r="D476" s="47"/>
      <c r="E476" s="47"/>
      <c r="F476" s="45"/>
      <c r="G476" s="47"/>
      <c r="H476" s="48"/>
      <c r="I476" s="45"/>
      <c r="J476" s="49"/>
      <c r="K476" s="46"/>
      <c r="L476" s="49"/>
    </row>
    <row r="477">
      <c r="A477" s="44"/>
      <c r="B477" s="45"/>
      <c r="C477" s="46"/>
      <c r="D477" s="47"/>
      <c r="E477" s="47"/>
      <c r="F477" s="45"/>
      <c r="G477" s="47"/>
      <c r="H477" s="48"/>
      <c r="I477" s="45"/>
      <c r="J477" s="49"/>
      <c r="K477" s="46"/>
      <c r="L477" s="49"/>
    </row>
    <row r="478">
      <c r="A478" s="44"/>
      <c r="B478" s="45"/>
      <c r="C478" s="46"/>
      <c r="D478" s="47"/>
      <c r="E478" s="47"/>
      <c r="F478" s="45"/>
      <c r="G478" s="47"/>
      <c r="H478" s="48"/>
      <c r="I478" s="45"/>
      <c r="J478" s="49"/>
      <c r="K478" s="46"/>
      <c r="L478" s="49"/>
    </row>
    <row r="479">
      <c r="A479" s="44"/>
      <c r="B479" s="45"/>
      <c r="C479" s="46"/>
      <c r="D479" s="47"/>
      <c r="E479" s="47"/>
      <c r="F479" s="45"/>
      <c r="G479" s="47"/>
      <c r="H479" s="48"/>
      <c r="I479" s="45"/>
      <c r="J479" s="49"/>
      <c r="K479" s="46"/>
      <c r="L479" s="49"/>
    </row>
    <row r="480">
      <c r="A480" s="44"/>
      <c r="B480" s="45"/>
      <c r="C480" s="46"/>
      <c r="D480" s="47"/>
      <c r="E480" s="47"/>
      <c r="F480" s="45"/>
      <c r="G480" s="47"/>
      <c r="H480" s="48"/>
      <c r="I480" s="45"/>
      <c r="J480" s="49"/>
      <c r="K480" s="46"/>
      <c r="L480" s="49"/>
    </row>
    <row r="481">
      <c r="A481" s="44"/>
      <c r="B481" s="45"/>
      <c r="C481" s="46"/>
      <c r="D481" s="47"/>
      <c r="E481" s="47"/>
      <c r="F481" s="45"/>
      <c r="G481" s="47"/>
      <c r="H481" s="48"/>
      <c r="I481" s="45"/>
      <c r="J481" s="49"/>
      <c r="K481" s="46"/>
      <c r="L481" s="49"/>
    </row>
    <row r="482">
      <c r="A482" s="44"/>
      <c r="B482" s="45"/>
      <c r="C482" s="46"/>
      <c r="D482" s="47"/>
      <c r="E482" s="47"/>
      <c r="F482" s="45"/>
      <c r="G482" s="47"/>
      <c r="H482" s="48"/>
      <c r="I482" s="45"/>
      <c r="J482" s="49"/>
      <c r="K482" s="46"/>
      <c r="L482" s="49"/>
    </row>
    <row r="483">
      <c r="A483" s="44"/>
      <c r="B483" s="45"/>
      <c r="C483" s="46"/>
      <c r="D483" s="47"/>
      <c r="E483" s="47"/>
      <c r="F483" s="45"/>
      <c r="G483" s="47"/>
      <c r="H483" s="48"/>
      <c r="I483" s="45"/>
      <c r="J483" s="49"/>
      <c r="K483" s="46"/>
      <c r="L483" s="49"/>
    </row>
    <row r="484">
      <c r="A484" s="44"/>
      <c r="B484" s="45"/>
      <c r="C484" s="46"/>
      <c r="D484" s="47"/>
      <c r="E484" s="47"/>
      <c r="F484" s="45"/>
      <c r="G484" s="47"/>
      <c r="H484" s="48"/>
      <c r="I484" s="45"/>
      <c r="J484" s="49"/>
      <c r="K484" s="46"/>
      <c r="L484" s="49"/>
    </row>
    <row r="485">
      <c r="A485" s="44"/>
      <c r="B485" s="45"/>
      <c r="C485" s="46"/>
      <c r="D485" s="47"/>
      <c r="E485" s="47"/>
      <c r="F485" s="45"/>
      <c r="G485" s="47"/>
      <c r="H485" s="48"/>
      <c r="I485" s="45"/>
      <c r="J485" s="49"/>
      <c r="K485" s="46"/>
      <c r="L485" s="49"/>
    </row>
    <row r="486">
      <c r="A486" s="44"/>
      <c r="B486" s="45"/>
      <c r="C486" s="46"/>
      <c r="D486" s="47"/>
      <c r="E486" s="47"/>
      <c r="F486" s="45"/>
      <c r="G486" s="47"/>
      <c r="H486" s="48"/>
      <c r="I486" s="45"/>
      <c r="J486" s="49"/>
      <c r="K486" s="46"/>
      <c r="L486" s="49"/>
    </row>
    <row r="487">
      <c r="A487" s="44"/>
      <c r="B487" s="45"/>
      <c r="C487" s="46"/>
      <c r="D487" s="47"/>
      <c r="E487" s="47"/>
      <c r="F487" s="45"/>
      <c r="G487" s="47"/>
      <c r="H487" s="48"/>
      <c r="I487" s="45"/>
      <c r="J487" s="49"/>
      <c r="K487" s="46"/>
      <c r="L487" s="49"/>
    </row>
    <row r="488">
      <c r="A488" s="44"/>
      <c r="B488" s="45"/>
      <c r="C488" s="46"/>
      <c r="D488" s="47"/>
      <c r="E488" s="47"/>
      <c r="F488" s="45"/>
      <c r="G488" s="47"/>
      <c r="H488" s="48"/>
      <c r="I488" s="45"/>
      <c r="J488" s="49"/>
      <c r="K488" s="46"/>
      <c r="L488" s="49"/>
    </row>
    <row r="489">
      <c r="A489" s="44"/>
      <c r="B489" s="45"/>
      <c r="C489" s="46"/>
      <c r="D489" s="47"/>
      <c r="E489" s="47"/>
      <c r="F489" s="45"/>
      <c r="G489" s="47"/>
      <c r="H489" s="48"/>
      <c r="I489" s="45"/>
      <c r="J489" s="49"/>
      <c r="K489" s="46"/>
      <c r="L489" s="49"/>
    </row>
    <row r="490">
      <c r="A490" s="44"/>
      <c r="B490" s="45"/>
      <c r="C490" s="46"/>
      <c r="D490" s="47"/>
      <c r="E490" s="47"/>
      <c r="F490" s="45"/>
      <c r="G490" s="47"/>
      <c r="H490" s="48"/>
      <c r="I490" s="45"/>
      <c r="J490" s="49"/>
      <c r="K490" s="46"/>
      <c r="L490" s="49"/>
    </row>
    <row r="491">
      <c r="A491" s="44"/>
      <c r="B491" s="45"/>
      <c r="C491" s="46"/>
      <c r="D491" s="47"/>
      <c r="E491" s="47"/>
      <c r="F491" s="45"/>
      <c r="G491" s="47"/>
      <c r="H491" s="48"/>
      <c r="I491" s="45"/>
      <c r="J491" s="49"/>
      <c r="K491" s="46"/>
      <c r="L491" s="49"/>
    </row>
    <row r="492">
      <c r="A492" s="44"/>
      <c r="B492" s="45"/>
      <c r="C492" s="46"/>
      <c r="D492" s="47"/>
      <c r="E492" s="47"/>
      <c r="F492" s="45"/>
      <c r="G492" s="47"/>
      <c r="H492" s="48"/>
      <c r="I492" s="45"/>
      <c r="J492" s="49"/>
      <c r="K492" s="46"/>
      <c r="L492" s="49"/>
    </row>
    <row r="493">
      <c r="A493" s="44"/>
      <c r="B493" s="45"/>
      <c r="C493" s="46"/>
      <c r="D493" s="47"/>
      <c r="E493" s="47"/>
      <c r="F493" s="45"/>
      <c r="G493" s="47"/>
      <c r="H493" s="48"/>
      <c r="I493" s="45"/>
      <c r="J493" s="49"/>
      <c r="K493" s="46"/>
      <c r="L493" s="49"/>
    </row>
    <row r="494">
      <c r="A494" s="44"/>
      <c r="B494" s="45"/>
      <c r="C494" s="46"/>
      <c r="D494" s="47"/>
      <c r="E494" s="47"/>
      <c r="F494" s="45"/>
      <c r="G494" s="47"/>
      <c r="H494" s="48"/>
      <c r="I494" s="45"/>
      <c r="J494" s="49"/>
      <c r="K494" s="46"/>
      <c r="L494" s="49"/>
    </row>
    <row r="495">
      <c r="A495" s="44"/>
      <c r="B495" s="45"/>
      <c r="C495" s="46"/>
      <c r="D495" s="47"/>
      <c r="E495" s="47"/>
      <c r="F495" s="45"/>
      <c r="G495" s="47"/>
      <c r="H495" s="48"/>
      <c r="I495" s="45"/>
      <c r="J495" s="49"/>
      <c r="K495" s="46"/>
      <c r="L495" s="49"/>
    </row>
    <row r="496">
      <c r="A496" s="44"/>
      <c r="B496" s="45"/>
      <c r="C496" s="46"/>
      <c r="D496" s="47"/>
      <c r="E496" s="47"/>
      <c r="F496" s="45"/>
      <c r="G496" s="47"/>
      <c r="H496" s="48"/>
      <c r="I496" s="45"/>
      <c r="J496" s="49"/>
      <c r="K496" s="46"/>
      <c r="L496" s="49"/>
    </row>
    <row r="497">
      <c r="A497" s="44"/>
      <c r="B497" s="45"/>
      <c r="C497" s="46"/>
      <c r="D497" s="47"/>
      <c r="E497" s="47"/>
      <c r="F497" s="45"/>
      <c r="G497" s="47"/>
      <c r="H497" s="48"/>
      <c r="I497" s="45"/>
      <c r="J497" s="49"/>
      <c r="K497" s="46"/>
      <c r="L497" s="49"/>
    </row>
    <row r="498">
      <c r="A498" s="44"/>
      <c r="B498" s="45"/>
      <c r="C498" s="46"/>
      <c r="D498" s="47"/>
      <c r="E498" s="47"/>
      <c r="F498" s="45"/>
      <c r="G498" s="47"/>
      <c r="H498" s="48"/>
      <c r="I498" s="45"/>
      <c r="J498" s="49"/>
      <c r="K498" s="46"/>
      <c r="L498" s="49"/>
    </row>
    <row r="499">
      <c r="A499" s="44"/>
      <c r="B499" s="45"/>
      <c r="C499" s="46"/>
      <c r="D499" s="47"/>
      <c r="E499" s="47"/>
      <c r="F499" s="45"/>
      <c r="G499" s="47"/>
      <c r="H499" s="48"/>
      <c r="I499" s="45"/>
      <c r="J499" s="49"/>
      <c r="K499" s="46"/>
      <c r="L499" s="49"/>
    </row>
    <row r="500">
      <c r="A500" s="44"/>
      <c r="B500" s="45"/>
      <c r="C500" s="46"/>
      <c r="D500" s="47"/>
      <c r="E500" s="47"/>
      <c r="F500" s="45"/>
      <c r="G500" s="47"/>
      <c r="H500" s="48"/>
      <c r="I500" s="45"/>
      <c r="J500" s="49"/>
      <c r="K500" s="46"/>
      <c r="L500" s="49"/>
    </row>
    <row r="501">
      <c r="A501" s="44"/>
      <c r="B501" s="45"/>
      <c r="C501" s="46"/>
      <c r="D501" s="47"/>
      <c r="E501" s="47"/>
      <c r="F501" s="45"/>
      <c r="G501" s="47"/>
      <c r="H501" s="48"/>
      <c r="I501" s="45"/>
      <c r="J501" s="49"/>
      <c r="K501" s="46"/>
      <c r="L501" s="49"/>
    </row>
    <row r="502">
      <c r="A502" s="44"/>
      <c r="B502" s="45"/>
      <c r="C502" s="46"/>
      <c r="D502" s="47"/>
      <c r="E502" s="47"/>
      <c r="F502" s="45"/>
      <c r="G502" s="47"/>
      <c r="H502" s="48"/>
      <c r="I502" s="45"/>
      <c r="J502" s="49"/>
      <c r="K502" s="46"/>
      <c r="L502" s="49"/>
    </row>
    <row r="503">
      <c r="A503" s="44"/>
      <c r="B503" s="45"/>
      <c r="C503" s="46"/>
      <c r="D503" s="47"/>
      <c r="E503" s="47"/>
      <c r="F503" s="45"/>
      <c r="G503" s="47"/>
      <c r="H503" s="48"/>
      <c r="I503" s="45"/>
      <c r="J503" s="49"/>
      <c r="K503" s="46"/>
      <c r="L503" s="49"/>
    </row>
    <row r="504">
      <c r="A504" s="44"/>
      <c r="B504" s="45"/>
      <c r="C504" s="46"/>
      <c r="D504" s="47"/>
      <c r="E504" s="47"/>
      <c r="F504" s="45"/>
      <c r="G504" s="47"/>
      <c r="H504" s="48"/>
      <c r="I504" s="45"/>
      <c r="J504" s="49"/>
      <c r="K504" s="46"/>
      <c r="L504" s="49"/>
    </row>
    <row r="505">
      <c r="A505" s="44"/>
      <c r="B505" s="45"/>
      <c r="C505" s="46"/>
      <c r="D505" s="47"/>
      <c r="E505" s="47"/>
      <c r="F505" s="45"/>
      <c r="G505" s="47"/>
      <c r="H505" s="48"/>
      <c r="I505" s="45"/>
      <c r="J505" s="49"/>
      <c r="K505" s="46"/>
      <c r="L505" s="49"/>
    </row>
    <row r="506">
      <c r="A506" s="44"/>
      <c r="B506" s="45"/>
      <c r="C506" s="46"/>
      <c r="D506" s="47"/>
      <c r="E506" s="47"/>
      <c r="F506" s="45"/>
      <c r="G506" s="47"/>
      <c r="H506" s="48"/>
      <c r="I506" s="45"/>
      <c r="J506" s="49"/>
      <c r="K506" s="46"/>
      <c r="L506" s="49"/>
    </row>
    <row r="507">
      <c r="A507" s="44"/>
      <c r="B507" s="45"/>
      <c r="C507" s="46"/>
      <c r="D507" s="47"/>
      <c r="E507" s="47"/>
      <c r="F507" s="45"/>
      <c r="G507" s="47"/>
      <c r="H507" s="48"/>
      <c r="I507" s="45"/>
      <c r="J507" s="49"/>
      <c r="K507" s="46"/>
      <c r="L507" s="49"/>
    </row>
    <row r="508">
      <c r="A508" s="44"/>
      <c r="B508" s="45"/>
      <c r="C508" s="46"/>
      <c r="D508" s="47"/>
      <c r="E508" s="47"/>
      <c r="F508" s="45"/>
      <c r="G508" s="47"/>
      <c r="H508" s="48"/>
      <c r="I508" s="45"/>
      <c r="J508" s="49"/>
      <c r="K508" s="46"/>
      <c r="L508" s="49"/>
    </row>
    <row r="509">
      <c r="A509" s="44"/>
      <c r="B509" s="45"/>
      <c r="C509" s="46"/>
      <c r="D509" s="47"/>
      <c r="E509" s="47"/>
      <c r="F509" s="45"/>
      <c r="G509" s="47"/>
      <c r="H509" s="48"/>
      <c r="I509" s="45"/>
      <c r="J509" s="49"/>
      <c r="K509" s="46"/>
      <c r="L509" s="49"/>
    </row>
    <row r="510">
      <c r="A510" s="44"/>
      <c r="B510" s="45"/>
      <c r="C510" s="46"/>
      <c r="D510" s="47"/>
      <c r="E510" s="47"/>
      <c r="F510" s="45"/>
      <c r="G510" s="47"/>
      <c r="H510" s="48"/>
      <c r="I510" s="45"/>
      <c r="J510" s="49"/>
      <c r="K510" s="46"/>
      <c r="L510" s="49"/>
    </row>
    <row r="511">
      <c r="A511" s="44"/>
      <c r="B511" s="45"/>
      <c r="C511" s="46"/>
      <c r="D511" s="47"/>
      <c r="E511" s="47"/>
      <c r="F511" s="45"/>
      <c r="G511" s="47"/>
      <c r="H511" s="48"/>
      <c r="I511" s="45"/>
      <c r="J511" s="49"/>
      <c r="K511" s="46"/>
      <c r="L511" s="49"/>
    </row>
    <row r="512">
      <c r="A512" s="44"/>
      <c r="B512" s="45"/>
      <c r="C512" s="46"/>
      <c r="D512" s="47"/>
      <c r="E512" s="47"/>
      <c r="F512" s="45"/>
      <c r="G512" s="47"/>
      <c r="H512" s="48"/>
      <c r="I512" s="45"/>
      <c r="J512" s="49"/>
      <c r="K512" s="46"/>
      <c r="L512" s="49"/>
    </row>
    <row r="513">
      <c r="A513" s="44"/>
      <c r="B513" s="45"/>
      <c r="C513" s="46"/>
      <c r="D513" s="47"/>
      <c r="E513" s="47"/>
      <c r="F513" s="45"/>
      <c r="G513" s="47"/>
      <c r="H513" s="48"/>
      <c r="I513" s="45"/>
      <c r="J513" s="49"/>
      <c r="K513" s="46"/>
      <c r="L513" s="49"/>
    </row>
    <row r="514">
      <c r="A514" s="44"/>
      <c r="B514" s="45"/>
      <c r="C514" s="46"/>
      <c r="D514" s="47"/>
      <c r="E514" s="47"/>
      <c r="F514" s="45"/>
      <c r="G514" s="47"/>
      <c r="H514" s="48"/>
      <c r="I514" s="45"/>
      <c r="J514" s="49"/>
      <c r="K514" s="46"/>
      <c r="L514" s="49"/>
    </row>
    <row r="515">
      <c r="A515" s="44"/>
      <c r="B515" s="45"/>
      <c r="C515" s="46"/>
      <c r="D515" s="47"/>
      <c r="E515" s="47"/>
      <c r="F515" s="45"/>
      <c r="G515" s="47"/>
      <c r="H515" s="48"/>
      <c r="I515" s="45"/>
      <c r="J515" s="49"/>
      <c r="K515" s="46"/>
      <c r="L515" s="49"/>
    </row>
    <row r="516">
      <c r="A516" s="44"/>
      <c r="B516" s="45"/>
      <c r="C516" s="46"/>
      <c r="D516" s="47"/>
      <c r="E516" s="47"/>
      <c r="F516" s="45"/>
      <c r="G516" s="47"/>
      <c r="H516" s="48"/>
      <c r="I516" s="45"/>
      <c r="J516" s="49"/>
      <c r="K516" s="46"/>
      <c r="L516" s="49"/>
    </row>
    <row r="517">
      <c r="A517" s="44"/>
      <c r="B517" s="45"/>
      <c r="C517" s="46"/>
      <c r="D517" s="47"/>
      <c r="E517" s="47"/>
      <c r="F517" s="45"/>
      <c r="G517" s="47"/>
      <c r="H517" s="48"/>
      <c r="I517" s="45"/>
      <c r="J517" s="49"/>
      <c r="K517" s="46"/>
      <c r="L517" s="49"/>
    </row>
    <row r="518">
      <c r="A518" s="44"/>
      <c r="B518" s="45"/>
      <c r="C518" s="46"/>
      <c r="D518" s="47"/>
      <c r="E518" s="47"/>
      <c r="F518" s="45"/>
      <c r="G518" s="47"/>
      <c r="H518" s="48"/>
      <c r="I518" s="45"/>
      <c r="J518" s="49"/>
      <c r="K518" s="46"/>
      <c r="L518" s="49"/>
    </row>
    <row r="519">
      <c r="A519" s="44"/>
      <c r="B519" s="45"/>
      <c r="C519" s="46"/>
      <c r="D519" s="47"/>
      <c r="E519" s="47"/>
      <c r="F519" s="45"/>
      <c r="G519" s="47"/>
      <c r="H519" s="48"/>
      <c r="I519" s="45"/>
      <c r="J519" s="49"/>
      <c r="K519" s="46"/>
      <c r="L519" s="49"/>
    </row>
    <row r="520">
      <c r="A520" s="44"/>
      <c r="B520" s="45"/>
      <c r="C520" s="46"/>
      <c r="D520" s="47"/>
      <c r="E520" s="47"/>
      <c r="F520" s="45"/>
      <c r="G520" s="47"/>
      <c r="H520" s="48"/>
      <c r="I520" s="45"/>
      <c r="J520" s="49"/>
      <c r="K520" s="46"/>
      <c r="L520" s="49"/>
    </row>
    <row r="521">
      <c r="A521" s="44"/>
      <c r="B521" s="45"/>
      <c r="C521" s="46"/>
      <c r="D521" s="47"/>
      <c r="E521" s="47"/>
      <c r="F521" s="45"/>
      <c r="G521" s="47"/>
      <c r="H521" s="48"/>
      <c r="I521" s="45"/>
      <c r="J521" s="49"/>
      <c r="K521" s="46"/>
      <c r="L521" s="49"/>
    </row>
    <row r="522">
      <c r="A522" s="44"/>
      <c r="B522" s="45"/>
      <c r="C522" s="46"/>
      <c r="D522" s="47"/>
      <c r="E522" s="47"/>
      <c r="F522" s="45"/>
      <c r="G522" s="47"/>
      <c r="H522" s="48"/>
      <c r="I522" s="45"/>
      <c r="J522" s="49"/>
      <c r="K522" s="46"/>
      <c r="L522" s="49"/>
    </row>
    <row r="523">
      <c r="A523" s="44"/>
      <c r="B523" s="45"/>
      <c r="C523" s="46"/>
      <c r="D523" s="47"/>
      <c r="E523" s="47"/>
      <c r="F523" s="45"/>
      <c r="G523" s="47"/>
      <c r="H523" s="48"/>
      <c r="I523" s="45"/>
      <c r="J523" s="49"/>
      <c r="K523" s="46"/>
      <c r="L523" s="49"/>
    </row>
    <row r="524">
      <c r="A524" s="44"/>
      <c r="B524" s="45"/>
      <c r="C524" s="46"/>
      <c r="D524" s="47"/>
      <c r="E524" s="47"/>
      <c r="F524" s="45"/>
      <c r="G524" s="47"/>
      <c r="H524" s="48"/>
      <c r="I524" s="45"/>
      <c r="J524" s="49"/>
      <c r="K524" s="46"/>
      <c r="L524" s="49"/>
    </row>
    <row r="525">
      <c r="A525" s="44"/>
      <c r="B525" s="45"/>
      <c r="C525" s="46"/>
      <c r="D525" s="47"/>
      <c r="E525" s="47"/>
      <c r="F525" s="45"/>
      <c r="G525" s="47"/>
      <c r="H525" s="48"/>
      <c r="I525" s="45"/>
      <c r="J525" s="49"/>
      <c r="K525" s="46"/>
      <c r="L525" s="49"/>
    </row>
    <row r="526">
      <c r="A526" s="44"/>
      <c r="B526" s="45"/>
      <c r="C526" s="46"/>
      <c r="D526" s="47"/>
      <c r="E526" s="47"/>
      <c r="F526" s="45"/>
      <c r="G526" s="47"/>
      <c r="H526" s="48"/>
      <c r="I526" s="45"/>
      <c r="J526" s="49"/>
      <c r="K526" s="46"/>
      <c r="L526" s="49"/>
    </row>
    <row r="527">
      <c r="A527" s="44"/>
      <c r="B527" s="45"/>
      <c r="C527" s="46"/>
      <c r="D527" s="47"/>
      <c r="E527" s="47"/>
      <c r="F527" s="45"/>
      <c r="G527" s="47"/>
      <c r="H527" s="48"/>
      <c r="I527" s="45"/>
      <c r="J527" s="49"/>
      <c r="K527" s="46"/>
      <c r="L527" s="49"/>
    </row>
    <row r="528">
      <c r="A528" s="44"/>
      <c r="B528" s="45"/>
      <c r="C528" s="46"/>
      <c r="D528" s="47"/>
      <c r="E528" s="47"/>
      <c r="F528" s="45"/>
      <c r="G528" s="47"/>
      <c r="H528" s="48"/>
      <c r="I528" s="45"/>
      <c r="J528" s="49"/>
      <c r="K528" s="46"/>
      <c r="L528" s="49"/>
    </row>
    <row r="529">
      <c r="A529" s="44"/>
      <c r="B529" s="45"/>
      <c r="C529" s="46"/>
      <c r="D529" s="47"/>
      <c r="E529" s="47"/>
      <c r="F529" s="45"/>
      <c r="G529" s="47"/>
      <c r="H529" s="48"/>
      <c r="I529" s="45"/>
      <c r="J529" s="49"/>
      <c r="K529" s="46"/>
      <c r="L529" s="49"/>
    </row>
    <row r="530">
      <c r="A530" s="44"/>
      <c r="B530" s="45"/>
      <c r="C530" s="46"/>
      <c r="D530" s="47"/>
      <c r="E530" s="47"/>
      <c r="F530" s="45"/>
      <c r="G530" s="47"/>
      <c r="H530" s="48"/>
      <c r="I530" s="45"/>
      <c r="J530" s="49"/>
      <c r="K530" s="46"/>
      <c r="L530" s="49"/>
    </row>
    <row r="531">
      <c r="A531" s="44"/>
      <c r="B531" s="45"/>
      <c r="C531" s="46"/>
      <c r="D531" s="47"/>
      <c r="E531" s="47"/>
      <c r="F531" s="45"/>
      <c r="G531" s="47"/>
      <c r="H531" s="48"/>
      <c r="I531" s="45"/>
      <c r="J531" s="49"/>
      <c r="K531" s="46"/>
      <c r="L531" s="49"/>
    </row>
    <row r="532">
      <c r="A532" s="44"/>
      <c r="B532" s="45"/>
      <c r="C532" s="46"/>
      <c r="D532" s="47"/>
      <c r="E532" s="47"/>
      <c r="F532" s="45"/>
      <c r="G532" s="47"/>
      <c r="H532" s="48"/>
      <c r="I532" s="45"/>
      <c r="J532" s="49"/>
      <c r="K532" s="46"/>
      <c r="L532" s="49"/>
    </row>
    <row r="533">
      <c r="A533" s="44"/>
      <c r="B533" s="45"/>
      <c r="C533" s="46"/>
      <c r="D533" s="47"/>
      <c r="E533" s="47"/>
      <c r="F533" s="45"/>
      <c r="G533" s="47"/>
      <c r="H533" s="48"/>
      <c r="I533" s="45"/>
      <c r="J533" s="49"/>
      <c r="K533" s="46"/>
      <c r="L533" s="49"/>
    </row>
    <row r="534">
      <c r="A534" s="44"/>
      <c r="B534" s="45"/>
      <c r="C534" s="46"/>
      <c r="D534" s="47"/>
      <c r="E534" s="47"/>
      <c r="F534" s="45"/>
      <c r="G534" s="47"/>
      <c r="H534" s="48"/>
      <c r="I534" s="45"/>
      <c r="J534" s="49"/>
      <c r="K534" s="46"/>
      <c r="L534" s="49"/>
    </row>
    <row r="535">
      <c r="A535" s="44"/>
      <c r="B535" s="45"/>
      <c r="C535" s="46"/>
      <c r="D535" s="47"/>
      <c r="E535" s="47"/>
      <c r="F535" s="45"/>
      <c r="G535" s="47"/>
      <c r="H535" s="48"/>
      <c r="I535" s="45"/>
      <c r="J535" s="49"/>
      <c r="K535" s="46"/>
      <c r="L535" s="49"/>
    </row>
    <row r="536">
      <c r="A536" s="44"/>
      <c r="B536" s="45"/>
      <c r="C536" s="46"/>
      <c r="D536" s="47"/>
      <c r="E536" s="47"/>
      <c r="F536" s="45"/>
      <c r="G536" s="47"/>
      <c r="H536" s="48"/>
      <c r="I536" s="45"/>
      <c r="J536" s="49"/>
      <c r="K536" s="46"/>
      <c r="L536" s="49"/>
    </row>
    <row r="537">
      <c r="A537" s="44"/>
      <c r="B537" s="45"/>
      <c r="C537" s="46"/>
      <c r="D537" s="47"/>
      <c r="E537" s="47"/>
      <c r="F537" s="45"/>
      <c r="G537" s="47"/>
      <c r="H537" s="48"/>
      <c r="I537" s="45"/>
      <c r="J537" s="49"/>
      <c r="K537" s="46"/>
      <c r="L537" s="49"/>
    </row>
    <row r="538">
      <c r="A538" s="44"/>
      <c r="B538" s="45"/>
      <c r="C538" s="46"/>
      <c r="D538" s="47"/>
      <c r="E538" s="47"/>
      <c r="F538" s="45"/>
      <c r="G538" s="47"/>
      <c r="H538" s="48"/>
      <c r="I538" s="45"/>
      <c r="J538" s="49"/>
      <c r="K538" s="46"/>
      <c r="L538" s="49"/>
    </row>
    <row r="539">
      <c r="A539" s="44"/>
      <c r="B539" s="45"/>
      <c r="C539" s="46"/>
      <c r="D539" s="47"/>
      <c r="E539" s="47"/>
      <c r="F539" s="45"/>
      <c r="G539" s="47"/>
      <c r="H539" s="48"/>
      <c r="I539" s="45"/>
      <c r="J539" s="49"/>
      <c r="K539" s="46"/>
      <c r="L539" s="49"/>
    </row>
    <row r="540">
      <c r="A540" s="44"/>
      <c r="B540" s="45"/>
      <c r="C540" s="46"/>
      <c r="D540" s="47"/>
      <c r="E540" s="47"/>
      <c r="F540" s="45"/>
      <c r="G540" s="47"/>
      <c r="H540" s="48"/>
      <c r="I540" s="45"/>
      <c r="J540" s="49"/>
      <c r="K540" s="46"/>
      <c r="L540" s="49"/>
    </row>
    <row r="541">
      <c r="A541" s="44"/>
      <c r="B541" s="45"/>
      <c r="C541" s="46"/>
      <c r="D541" s="47"/>
      <c r="E541" s="47"/>
      <c r="F541" s="45"/>
      <c r="G541" s="47"/>
      <c r="H541" s="48"/>
      <c r="I541" s="45"/>
      <c r="J541" s="49"/>
      <c r="K541" s="46"/>
      <c r="L541" s="49"/>
    </row>
    <row r="542">
      <c r="A542" s="44"/>
      <c r="B542" s="45"/>
      <c r="C542" s="46"/>
      <c r="D542" s="47"/>
      <c r="E542" s="47"/>
      <c r="F542" s="45"/>
      <c r="G542" s="47"/>
      <c r="H542" s="48"/>
      <c r="I542" s="45"/>
      <c r="J542" s="49"/>
      <c r="K542" s="46"/>
      <c r="L542" s="49"/>
    </row>
    <row r="543">
      <c r="A543" s="44"/>
      <c r="B543" s="45"/>
      <c r="C543" s="46"/>
      <c r="D543" s="47"/>
      <c r="E543" s="47"/>
      <c r="F543" s="45"/>
      <c r="G543" s="47"/>
      <c r="H543" s="48"/>
      <c r="I543" s="45"/>
      <c r="J543" s="49"/>
      <c r="K543" s="46"/>
      <c r="L543" s="49"/>
    </row>
    <row r="544">
      <c r="A544" s="44"/>
      <c r="B544" s="45"/>
      <c r="C544" s="46"/>
      <c r="D544" s="47"/>
      <c r="E544" s="47"/>
      <c r="F544" s="45"/>
      <c r="G544" s="47"/>
      <c r="H544" s="48"/>
      <c r="I544" s="45"/>
      <c r="J544" s="49"/>
      <c r="K544" s="46"/>
      <c r="L544" s="49"/>
    </row>
    <row r="545">
      <c r="A545" s="44"/>
      <c r="B545" s="45"/>
      <c r="C545" s="46"/>
      <c r="D545" s="47"/>
      <c r="E545" s="47"/>
      <c r="F545" s="45"/>
      <c r="G545" s="47"/>
      <c r="H545" s="48"/>
      <c r="I545" s="45"/>
      <c r="J545" s="49"/>
      <c r="K545" s="46"/>
      <c r="L545" s="49"/>
    </row>
    <row r="546">
      <c r="A546" s="44"/>
      <c r="B546" s="45"/>
      <c r="C546" s="46"/>
      <c r="D546" s="47"/>
      <c r="E546" s="47"/>
      <c r="F546" s="45"/>
      <c r="G546" s="47"/>
      <c r="H546" s="48"/>
      <c r="I546" s="45"/>
      <c r="J546" s="49"/>
      <c r="K546" s="46"/>
      <c r="L546" s="49"/>
    </row>
    <row r="547">
      <c r="A547" s="44"/>
      <c r="B547" s="45"/>
      <c r="C547" s="46"/>
      <c r="D547" s="47"/>
      <c r="E547" s="47"/>
      <c r="F547" s="45"/>
      <c r="G547" s="47"/>
      <c r="H547" s="48"/>
      <c r="I547" s="45"/>
      <c r="J547" s="49"/>
      <c r="K547" s="46"/>
      <c r="L547" s="49"/>
    </row>
    <row r="548">
      <c r="A548" s="44"/>
      <c r="B548" s="45"/>
      <c r="C548" s="46"/>
      <c r="D548" s="47"/>
      <c r="E548" s="47"/>
      <c r="F548" s="45"/>
      <c r="G548" s="47"/>
      <c r="H548" s="48"/>
      <c r="I548" s="45"/>
      <c r="J548" s="49"/>
      <c r="K548" s="46"/>
      <c r="L548" s="49"/>
    </row>
    <row r="549">
      <c r="A549" s="44"/>
      <c r="B549" s="45"/>
      <c r="C549" s="46"/>
      <c r="D549" s="47"/>
      <c r="E549" s="47"/>
      <c r="F549" s="45"/>
      <c r="G549" s="47"/>
      <c r="H549" s="48"/>
      <c r="I549" s="45"/>
      <c r="J549" s="49"/>
      <c r="K549" s="46"/>
      <c r="L549" s="49"/>
    </row>
    <row r="550">
      <c r="A550" s="44"/>
      <c r="B550" s="45"/>
      <c r="C550" s="46"/>
      <c r="D550" s="47"/>
      <c r="E550" s="47"/>
      <c r="F550" s="45"/>
      <c r="G550" s="47"/>
      <c r="H550" s="48"/>
      <c r="I550" s="45"/>
      <c r="J550" s="49"/>
      <c r="K550" s="46"/>
      <c r="L550" s="49"/>
    </row>
    <row r="551">
      <c r="A551" s="44"/>
      <c r="B551" s="45"/>
      <c r="C551" s="46"/>
      <c r="D551" s="47"/>
      <c r="E551" s="47"/>
      <c r="F551" s="45"/>
      <c r="G551" s="47"/>
      <c r="H551" s="48"/>
      <c r="I551" s="45"/>
      <c r="J551" s="49"/>
      <c r="K551" s="46"/>
      <c r="L551" s="49"/>
    </row>
    <row r="552">
      <c r="A552" s="44"/>
      <c r="B552" s="45"/>
      <c r="C552" s="46"/>
      <c r="D552" s="47"/>
      <c r="E552" s="47"/>
      <c r="F552" s="45"/>
      <c r="G552" s="47"/>
      <c r="H552" s="48"/>
      <c r="I552" s="45"/>
      <c r="J552" s="49"/>
      <c r="K552" s="46"/>
      <c r="L552" s="49"/>
    </row>
    <row r="553">
      <c r="A553" s="44"/>
      <c r="B553" s="45"/>
      <c r="C553" s="46"/>
      <c r="D553" s="47"/>
      <c r="E553" s="47"/>
      <c r="F553" s="45"/>
      <c r="G553" s="47"/>
      <c r="H553" s="48"/>
      <c r="I553" s="45"/>
      <c r="J553" s="49"/>
      <c r="K553" s="46"/>
      <c r="L553" s="49"/>
    </row>
    <row r="554">
      <c r="A554" s="44"/>
      <c r="B554" s="45"/>
      <c r="C554" s="46"/>
      <c r="D554" s="47"/>
      <c r="E554" s="47"/>
      <c r="F554" s="45"/>
      <c r="G554" s="47"/>
      <c r="H554" s="48"/>
      <c r="I554" s="45"/>
      <c r="J554" s="49"/>
      <c r="K554" s="46"/>
      <c r="L554" s="49"/>
    </row>
    <row r="555">
      <c r="A555" s="44"/>
      <c r="B555" s="45"/>
      <c r="C555" s="46"/>
      <c r="D555" s="47"/>
      <c r="E555" s="47"/>
      <c r="F555" s="45"/>
      <c r="G555" s="47"/>
      <c r="H555" s="48"/>
      <c r="I555" s="45"/>
      <c r="J555" s="49"/>
      <c r="K555" s="46"/>
      <c r="L555" s="49"/>
    </row>
    <row r="556">
      <c r="A556" s="44"/>
      <c r="B556" s="45"/>
      <c r="C556" s="46"/>
      <c r="D556" s="47"/>
      <c r="E556" s="47"/>
      <c r="F556" s="45"/>
      <c r="G556" s="47"/>
      <c r="H556" s="48"/>
      <c r="I556" s="45"/>
      <c r="J556" s="49"/>
      <c r="K556" s="46"/>
      <c r="L556" s="49"/>
    </row>
    <row r="557">
      <c r="A557" s="44"/>
      <c r="B557" s="45"/>
      <c r="C557" s="46"/>
      <c r="D557" s="47"/>
      <c r="E557" s="47"/>
      <c r="F557" s="45"/>
      <c r="G557" s="47"/>
      <c r="H557" s="48"/>
      <c r="I557" s="45"/>
      <c r="J557" s="49"/>
      <c r="K557" s="46"/>
      <c r="L557" s="49"/>
    </row>
    <row r="558">
      <c r="A558" s="44"/>
      <c r="B558" s="45"/>
      <c r="C558" s="46"/>
      <c r="D558" s="47"/>
      <c r="E558" s="47"/>
      <c r="F558" s="45"/>
      <c r="G558" s="47"/>
      <c r="H558" s="48"/>
      <c r="I558" s="45"/>
      <c r="J558" s="49"/>
      <c r="K558" s="46"/>
      <c r="L558" s="49"/>
    </row>
    <row r="559">
      <c r="A559" s="44"/>
      <c r="B559" s="45"/>
      <c r="C559" s="46"/>
      <c r="D559" s="47"/>
      <c r="E559" s="47"/>
      <c r="F559" s="45"/>
      <c r="G559" s="47"/>
      <c r="H559" s="48"/>
      <c r="I559" s="45"/>
      <c r="J559" s="49"/>
      <c r="K559" s="46"/>
      <c r="L559" s="49"/>
    </row>
    <row r="560">
      <c r="A560" s="44"/>
      <c r="B560" s="45"/>
      <c r="C560" s="46"/>
      <c r="D560" s="47"/>
      <c r="E560" s="47"/>
      <c r="F560" s="45"/>
      <c r="G560" s="47"/>
      <c r="H560" s="48"/>
      <c r="I560" s="45"/>
      <c r="J560" s="49"/>
      <c r="K560" s="46"/>
      <c r="L560" s="49"/>
    </row>
    <row r="561">
      <c r="A561" s="44"/>
      <c r="B561" s="45"/>
      <c r="C561" s="46"/>
      <c r="D561" s="47"/>
      <c r="E561" s="47"/>
      <c r="F561" s="45"/>
      <c r="G561" s="47"/>
      <c r="H561" s="48"/>
      <c r="I561" s="45"/>
      <c r="J561" s="49"/>
      <c r="K561" s="46"/>
      <c r="L561" s="49"/>
    </row>
    <row r="562">
      <c r="A562" s="44"/>
      <c r="B562" s="45"/>
      <c r="C562" s="46"/>
      <c r="D562" s="47"/>
      <c r="E562" s="47"/>
      <c r="F562" s="45"/>
      <c r="G562" s="47"/>
      <c r="H562" s="48"/>
      <c r="I562" s="45"/>
      <c r="J562" s="49"/>
      <c r="K562" s="46"/>
      <c r="L562" s="49"/>
    </row>
    <row r="563">
      <c r="A563" s="44"/>
      <c r="B563" s="45"/>
      <c r="C563" s="46"/>
      <c r="D563" s="47"/>
      <c r="E563" s="47"/>
      <c r="F563" s="45"/>
      <c r="G563" s="47"/>
      <c r="H563" s="48"/>
      <c r="I563" s="45"/>
      <c r="J563" s="49"/>
      <c r="K563" s="46"/>
      <c r="L563" s="49"/>
    </row>
    <row r="564">
      <c r="A564" s="44"/>
      <c r="B564" s="45"/>
      <c r="C564" s="46"/>
      <c r="D564" s="47"/>
      <c r="E564" s="47"/>
      <c r="F564" s="45"/>
      <c r="G564" s="47"/>
      <c r="H564" s="48"/>
      <c r="I564" s="45"/>
      <c r="J564" s="49"/>
      <c r="K564" s="46"/>
      <c r="L564" s="49"/>
    </row>
    <row r="565">
      <c r="A565" s="44"/>
      <c r="B565" s="45"/>
      <c r="C565" s="46"/>
      <c r="D565" s="47"/>
      <c r="E565" s="47"/>
      <c r="F565" s="45"/>
      <c r="G565" s="47"/>
      <c r="H565" s="48"/>
      <c r="I565" s="45"/>
      <c r="J565" s="49"/>
      <c r="K565" s="46"/>
      <c r="L565" s="49"/>
    </row>
    <row r="566">
      <c r="A566" s="44"/>
      <c r="B566" s="45"/>
      <c r="C566" s="46"/>
      <c r="D566" s="47"/>
      <c r="E566" s="47"/>
      <c r="F566" s="45"/>
      <c r="G566" s="47"/>
      <c r="H566" s="48"/>
      <c r="I566" s="45"/>
      <c r="J566" s="49"/>
      <c r="K566" s="46"/>
      <c r="L566" s="49"/>
    </row>
    <row r="567">
      <c r="A567" s="44"/>
      <c r="B567" s="45"/>
      <c r="C567" s="46"/>
      <c r="D567" s="47"/>
      <c r="E567" s="47"/>
      <c r="F567" s="45"/>
      <c r="G567" s="47"/>
      <c r="H567" s="48"/>
      <c r="I567" s="45"/>
      <c r="J567" s="49"/>
      <c r="K567" s="46"/>
      <c r="L567" s="49"/>
    </row>
    <row r="568">
      <c r="A568" s="44"/>
      <c r="B568" s="45"/>
      <c r="C568" s="46"/>
      <c r="D568" s="47"/>
      <c r="E568" s="47"/>
      <c r="F568" s="45"/>
      <c r="G568" s="47"/>
      <c r="H568" s="48"/>
      <c r="I568" s="45"/>
      <c r="J568" s="49"/>
      <c r="K568" s="46"/>
      <c r="L568" s="49"/>
    </row>
    <row r="569">
      <c r="A569" s="44"/>
      <c r="B569" s="45"/>
      <c r="C569" s="46"/>
      <c r="D569" s="47"/>
      <c r="E569" s="47"/>
      <c r="F569" s="45"/>
      <c r="G569" s="47"/>
      <c r="H569" s="48"/>
      <c r="I569" s="45"/>
      <c r="J569" s="49"/>
      <c r="K569" s="46"/>
      <c r="L569" s="49"/>
    </row>
    <row r="570">
      <c r="A570" s="44"/>
      <c r="B570" s="45"/>
      <c r="C570" s="46"/>
      <c r="D570" s="47"/>
      <c r="E570" s="47"/>
      <c r="F570" s="45"/>
      <c r="G570" s="47"/>
      <c r="H570" s="48"/>
      <c r="I570" s="45"/>
      <c r="J570" s="49"/>
      <c r="K570" s="46"/>
      <c r="L570" s="49"/>
    </row>
    <row r="571">
      <c r="A571" s="44"/>
      <c r="B571" s="45"/>
      <c r="C571" s="46"/>
      <c r="D571" s="47"/>
      <c r="E571" s="47"/>
      <c r="F571" s="45"/>
      <c r="G571" s="47"/>
      <c r="H571" s="48"/>
      <c r="I571" s="45"/>
      <c r="J571" s="49"/>
      <c r="K571" s="46"/>
      <c r="L571" s="49"/>
    </row>
    <row r="572">
      <c r="A572" s="44"/>
      <c r="B572" s="45"/>
      <c r="C572" s="46"/>
      <c r="D572" s="47"/>
      <c r="E572" s="47"/>
      <c r="F572" s="45"/>
      <c r="G572" s="47"/>
      <c r="H572" s="48"/>
      <c r="I572" s="45"/>
      <c r="J572" s="49"/>
      <c r="K572" s="46"/>
      <c r="L572" s="49"/>
    </row>
    <row r="573">
      <c r="A573" s="44"/>
      <c r="B573" s="45"/>
      <c r="C573" s="46"/>
      <c r="D573" s="47"/>
      <c r="E573" s="47"/>
      <c r="F573" s="45"/>
      <c r="G573" s="47"/>
      <c r="H573" s="48"/>
      <c r="I573" s="45"/>
      <c r="J573" s="49"/>
      <c r="K573" s="46"/>
      <c r="L573" s="49"/>
    </row>
    <row r="574">
      <c r="A574" s="44"/>
      <c r="B574" s="45"/>
      <c r="C574" s="46"/>
      <c r="D574" s="47"/>
      <c r="E574" s="47"/>
      <c r="F574" s="45"/>
      <c r="G574" s="47"/>
      <c r="H574" s="48"/>
      <c r="I574" s="45"/>
      <c r="J574" s="49"/>
      <c r="K574" s="46"/>
      <c r="L574" s="49"/>
    </row>
    <row r="575">
      <c r="A575" s="44"/>
      <c r="B575" s="45"/>
      <c r="C575" s="46"/>
      <c r="D575" s="47"/>
      <c r="E575" s="47"/>
      <c r="F575" s="45"/>
      <c r="G575" s="47"/>
      <c r="H575" s="48"/>
      <c r="I575" s="45"/>
      <c r="J575" s="49"/>
      <c r="K575" s="46"/>
      <c r="L575" s="49"/>
    </row>
    <row r="576">
      <c r="A576" s="44"/>
      <c r="B576" s="45"/>
      <c r="C576" s="46"/>
      <c r="D576" s="47"/>
      <c r="E576" s="47"/>
      <c r="F576" s="45"/>
      <c r="G576" s="47"/>
      <c r="H576" s="48"/>
      <c r="I576" s="45"/>
      <c r="J576" s="49"/>
      <c r="K576" s="46"/>
      <c r="L576" s="49"/>
    </row>
    <row r="577">
      <c r="A577" s="44"/>
      <c r="B577" s="45"/>
      <c r="C577" s="46"/>
      <c r="D577" s="47"/>
      <c r="E577" s="47"/>
      <c r="F577" s="45"/>
      <c r="G577" s="47"/>
      <c r="H577" s="48"/>
      <c r="I577" s="45"/>
      <c r="J577" s="49"/>
      <c r="K577" s="46"/>
      <c r="L577" s="49"/>
    </row>
    <row r="578">
      <c r="A578" s="44"/>
      <c r="B578" s="45"/>
      <c r="C578" s="46"/>
      <c r="D578" s="47"/>
      <c r="E578" s="47"/>
      <c r="F578" s="45"/>
      <c r="G578" s="47"/>
      <c r="H578" s="48"/>
      <c r="I578" s="45"/>
      <c r="J578" s="49"/>
      <c r="K578" s="46"/>
      <c r="L578" s="49"/>
    </row>
    <row r="579">
      <c r="A579" s="44"/>
      <c r="B579" s="45"/>
      <c r="C579" s="46"/>
      <c r="D579" s="47"/>
      <c r="E579" s="47"/>
      <c r="F579" s="45"/>
      <c r="G579" s="47"/>
      <c r="H579" s="48"/>
      <c r="I579" s="45"/>
      <c r="J579" s="49"/>
      <c r="K579" s="46"/>
      <c r="L579" s="49"/>
    </row>
    <row r="580">
      <c r="A580" s="44"/>
      <c r="B580" s="45"/>
      <c r="C580" s="46"/>
      <c r="D580" s="47"/>
      <c r="E580" s="47"/>
      <c r="F580" s="45"/>
      <c r="G580" s="47"/>
      <c r="H580" s="48"/>
      <c r="I580" s="45"/>
      <c r="J580" s="49"/>
      <c r="K580" s="46"/>
      <c r="L580" s="49"/>
    </row>
    <row r="581">
      <c r="A581" s="44"/>
      <c r="B581" s="45"/>
      <c r="C581" s="46"/>
      <c r="D581" s="47"/>
      <c r="E581" s="47"/>
      <c r="F581" s="45"/>
      <c r="G581" s="47"/>
      <c r="H581" s="48"/>
      <c r="I581" s="45"/>
      <c r="J581" s="49"/>
      <c r="K581" s="46"/>
      <c r="L581" s="49"/>
    </row>
    <row r="582">
      <c r="A582" s="44"/>
      <c r="B582" s="45"/>
      <c r="C582" s="46"/>
      <c r="D582" s="47"/>
      <c r="E582" s="47"/>
      <c r="F582" s="45"/>
      <c r="G582" s="47"/>
      <c r="H582" s="48"/>
      <c r="I582" s="45"/>
      <c r="J582" s="49"/>
      <c r="K582" s="46"/>
      <c r="L582" s="49"/>
    </row>
    <row r="583">
      <c r="A583" s="44"/>
      <c r="B583" s="45"/>
      <c r="C583" s="46"/>
      <c r="D583" s="47"/>
      <c r="E583" s="47"/>
      <c r="F583" s="45"/>
      <c r="G583" s="47"/>
      <c r="H583" s="48"/>
      <c r="I583" s="45"/>
      <c r="J583" s="49"/>
      <c r="K583" s="46"/>
      <c r="L583" s="49"/>
    </row>
    <row r="584">
      <c r="A584" s="44"/>
      <c r="B584" s="45"/>
      <c r="C584" s="46"/>
      <c r="D584" s="47"/>
      <c r="E584" s="47"/>
      <c r="F584" s="45"/>
      <c r="G584" s="47"/>
      <c r="H584" s="48"/>
      <c r="I584" s="45"/>
      <c r="J584" s="49"/>
      <c r="K584" s="46"/>
      <c r="L584" s="49"/>
    </row>
    <row r="585">
      <c r="A585" s="44"/>
      <c r="B585" s="45"/>
      <c r="C585" s="46"/>
      <c r="D585" s="47"/>
      <c r="E585" s="47"/>
      <c r="F585" s="45"/>
      <c r="G585" s="47"/>
      <c r="H585" s="48"/>
      <c r="I585" s="45"/>
      <c r="J585" s="49"/>
      <c r="K585" s="46"/>
      <c r="L585" s="49"/>
    </row>
    <row r="586">
      <c r="A586" s="44"/>
      <c r="B586" s="45"/>
      <c r="C586" s="46"/>
      <c r="D586" s="47"/>
      <c r="E586" s="47"/>
      <c r="F586" s="45"/>
      <c r="G586" s="47"/>
      <c r="H586" s="48"/>
      <c r="I586" s="45"/>
      <c r="J586" s="49"/>
      <c r="K586" s="46"/>
      <c r="L586" s="49"/>
    </row>
    <row r="587">
      <c r="A587" s="44"/>
      <c r="B587" s="45"/>
      <c r="C587" s="46"/>
      <c r="D587" s="47"/>
      <c r="E587" s="47"/>
      <c r="F587" s="45"/>
      <c r="G587" s="47"/>
      <c r="H587" s="48"/>
      <c r="I587" s="45"/>
      <c r="J587" s="49"/>
      <c r="K587" s="46"/>
      <c r="L587" s="49"/>
    </row>
    <row r="588">
      <c r="A588" s="44"/>
      <c r="B588" s="45"/>
      <c r="C588" s="46"/>
      <c r="D588" s="47"/>
      <c r="E588" s="47"/>
      <c r="F588" s="45"/>
      <c r="G588" s="47"/>
      <c r="H588" s="48"/>
      <c r="I588" s="45"/>
      <c r="J588" s="49"/>
      <c r="K588" s="46"/>
      <c r="L588" s="49"/>
    </row>
    <row r="589">
      <c r="A589" s="44"/>
      <c r="B589" s="45"/>
      <c r="C589" s="46"/>
      <c r="D589" s="47"/>
      <c r="E589" s="47"/>
      <c r="F589" s="45"/>
      <c r="G589" s="47"/>
      <c r="H589" s="48"/>
      <c r="I589" s="45"/>
      <c r="J589" s="49"/>
      <c r="K589" s="46"/>
      <c r="L589" s="49"/>
    </row>
    <row r="590">
      <c r="A590" s="44"/>
      <c r="B590" s="45"/>
      <c r="C590" s="46"/>
      <c r="D590" s="47"/>
      <c r="E590" s="47"/>
      <c r="F590" s="45"/>
      <c r="G590" s="47"/>
      <c r="H590" s="48"/>
      <c r="I590" s="45"/>
      <c r="J590" s="49"/>
      <c r="K590" s="46"/>
      <c r="L590" s="49"/>
    </row>
    <row r="591">
      <c r="A591" s="44"/>
      <c r="B591" s="45"/>
      <c r="C591" s="46"/>
      <c r="D591" s="47"/>
      <c r="E591" s="47"/>
      <c r="F591" s="45"/>
      <c r="G591" s="47"/>
      <c r="H591" s="48"/>
      <c r="I591" s="45"/>
      <c r="J591" s="49"/>
      <c r="K591" s="46"/>
      <c r="L591" s="49"/>
    </row>
    <row r="592">
      <c r="A592" s="44"/>
      <c r="B592" s="45"/>
      <c r="C592" s="46"/>
      <c r="D592" s="47"/>
      <c r="E592" s="47"/>
      <c r="F592" s="45"/>
      <c r="G592" s="47"/>
      <c r="H592" s="48"/>
      <c r="I592" s="45"/>
      <c r="J592" s="49"/>
      <c r="K592" s="46"/>
      <c r="L592" s="49"/>
    </row>
    <row r="593">
      <c r="A593" s="44"/>
      <c r="B593" s="45"/>
      <c r="C593" s="46"/>
      <c r="D593" s="47"/>
      <c r="E593" s="47"/>
      <c r="F593" s="45"/>
      <c r="G593" s="47"/>
      <c r="H593" s="48"/>
      <c r="I593" s="45"/>
      <c r="J593" s="49"/>
      <c r="K593" s="46"/>
      <c r="L593" s="49"/>
    </row>
    <row r="594">
      <c r="A594" s="44"/>
      <c r="B594" s="45"/>
      <c r="C594" s="46"/>
      <c r="D594" s="47"/>
      <c r="E594" s="47"/>
      <c r="F594" s="45"/>
      <c r="G594" s="47"/>
      <c r="H594" s="48"/>
      <c r="I594" s="45"/>
      <c r="J594" s="49"/>
      <c r="K594" s="46"/>
      <c r="L594" s="49"/>
    </row>
    <row r="595">
      <c r="A595" s="44"/>
      <c r="B595" s="45"/>
      <c r="C595" s="46"/>
      <c r="D595" s="47"/>
      <c r="E595" s="47"/>
      <c r="F595" s="45"/>
      <c r="G595" s="47"/>
      <c r="H595" s="48"/>
      <c r="I595" s="45"/>
      <c r="J595" s="49"/>
      <c r="K595" s="46"/>
      <c r="L595" s="49"/>
    </row>
    <row r="596">
      <c r="A596" s="44"/>
      <c r="B596" s="45"/>
      <c r="C596" s="46"/>
      <c r="D596" s="47"/>
      <c r="E596" s="47"/>
      <c r="F596" s="45"/>
      <c r="G596" s="47"/>
      <c r="H596" s="48"/>
      <c r="I596" s="45"/>
      <c r="J596" s="49"/>
      <c r="K596" s="46"/>
      <c r="L596" s="49"/>
    </row>
    <row r="597">
      <c r="A597" s="44"/>
      <c r="B597" s="45"/>
      <c r="C597" s="46"/>
      <c r="D597" s="47"/>
      <c r="E597" s="47"/>
      <c r="F597" s="45"/>
      <c r="G597" s="47"/>
      <c r="H597" s="48"/>
      <c r="I597" s="45"/>
      <c r="J597" s="49"/>
      <c r="K597" s="46"/>
      <c r="L597" s="49"/>
    </row>
    <row r="598">
      <c r="A598" s="44"/>
      <c r="B598" s="45"/>
      <c r="C598" s="46"/>
      <c r="D598" s="47"/>
      <c r="E598" s="47"/>
      <c r="F598" s="45"/>
      <c r="G598" s="47"/>
      <c r="H598" s="48"/>
      <c r="I598" s="45"/>
      <c r="J598" s="49"/>
      <c r="K598" s="46"/>
      <c r="L598" s="49"/>
    </row>
    <row r="599">
      <c r="A599" s="44"/>
      <c r="B599" s="45"/>
      <c r="C599" s="46"/>
      <c r="D599" s="47"/>
      <c r="E599" s="47"/>
      <c r="F599" s="45"/>
      <c r="G599" s="47"/>
      <c r="H599" s="48"/>
      <c r="I599" s="45"/>
      <c r="J599" s="49"/>
      <c r="K599" s="46"/>
      <c r="L599" s="49"/>
    </row>
    <row r="600">
      <c r="A600" s="44"/>
      <c r="B600" s="45"/>
      <c r="C600" s="46"/>
      <c r="D600" s="47"/>
      <c r="E600" s="47"/>
      <c r="F600" s="45"/>
      <c r="G600" s="47"/>
      <c r="H600" s="48"/>
      <c r="I600" s="45"/>
      <c r="J600" s="49"/>
      <c r="K600" s="46"/>
      <c r="L600" s="49"/>
    </row>
    <row r="601">
      <c r="A601" s="44"/>
      <c r="B601" s="45"/>
      <c r="C601" s="46"/>
      <c r="D601" s="47"/>
      <c r="E601" s="47"/>
      <c r="F601" s="45"/>
      <c r="G601" s="47"/>
      <c r="H601" s="48"/>
      <c r="I601" s="45"/>
      <c r="J601" s="49"/>
      <c r="K601" s="46"/>
      <c r="L601" s="49"/>
    </row>
    <row r="602">
      <c r="A602" s="44"/>
      <c r="B602" s="45"/>
      <c r="C602" s="46"/>
      <c r="D602" s="47"/>
      <c r="E602" s="47"/>
      <c r="F602" s="45"/>
      <c r="G602" s="47"/>
      <c r="H602" s="48"/>
      <c r="I602" s="45"/>
      <c r="J602" s="49"/>
      <c r="K602" s="46"/>
      <c r="L602" s="49"/>
    </row>
    <row r="603">
      <c r="A603" s="44"/>
      <c r="B603" s="45"/>
      <c r="C603" s="46"/>
      <c r="D603" s="47"/>
      <c r="E603" s="47"/>
      <c r="F603" s="45"/>
      <c r="G603" s="47"/>
      <c r="H603" s="48"/>
      <c r="I603" s="45"/>
      <c r="J603" s="49"/>
      <c r="K603" s="46"/>
      <c r="L603" s="49"/>
    </row>
    <row r="604">
      <c r="A604" s="44"/>
      <c r="B604" s="45"/>
      <c r="C604" s="46"/>
      <c r="D604" s="47"/>
      <c r="E604" s="47"/>
      <c r="F604" s="45"/>
      <c r="G604" s="47"/>
      <c r="H604" s="48"/>
      <c r="I604" s="45"/>
      <c r="J604" s="49"/>
      <c r="K604" s="46"/>
      <c r="L604" s="49"/>
    </row>
    <row r="605">
      <c r="A605" s="44"/>
      <c r="B605" s="45"/>
      <c r="C605" s="46"/>
      <c r="D605" s="47"/>
      <c r="E605" s="47"/>
      <c r="F605" s="45"/>
      <c r="G605" s="47"/>
      <c r="H605" s="48"/>
      <c r="I605" s="45"/>
      <c r="J605" s="49"/>
      <c r="K605" s="46"/>
      <c r="L605" s="49"/>
    </row>
    <row r="606">
      <c r="A606" s="44"/>
      <c r="B606" s="45"/>
      <c r="C606" s="46"/>
      <c r="D606" s="47"/>
      <c r="E606" s="47"/>
      <c r="F606" s="45"/>
      <c r="G606" s="47"/>
      <c r="H606" s="48"/>
      <c r="I606" s="45"/>
      <c r="J606" s="49"/>
      <c r="K606" s="46"/>
      <c r="L606" s="49"/>
    </row>
    <row r="607">
      <c r="A607" s="44"/>
      <c r="B607" s="45"/>
      <c r="C607" s="46"/>
      <c r="D607" s="47"/>
      <c r="E607" s="47"/>
      <c r="F607" s="45"/>
      <c r="G607" s="47"/>
      <c r="H607" s="48"/>
      <c r="I607" s="45"/>
      <c r="J607" s="49"/>
      <c r="K607" s="46"/>
      <c r="L607" s="49"/>
    </row>
    <row r="608">
      <c r="A608" s="44"/>
      <c r="B608" s="45"/>
      <c r="C608" s="46"/>
      <c r="D608" s="47"/>
      <c r="E608" s="47"/>
      <c r="F608" s="45"/>
      <c r="G608" s="47"/>
      <c r="H608" s="48"/>
      <c r="I608" s="45"/>
      <c r="J608" s="49"/>
      <c r="K608" s="46"/>
      <c r="L608" s="49"/>
    </row>
    <row r="609">
      <c r="A609" s="44"/>
      <c r="B609" s="45"/>
      <c r="C609" s="46"/>
      <c r="D609" s="47"/>
      <c r="E609" s="47"/>
      <c r="F609" s="45"/>
      <c r="G609" s="47"/>
      <c r="H609" s="48"/>
      <c r="I609" s="45"/>
      <c r="J609" s="49"/>
      <c r="K609" s="46"/>
      <c r="L609" s="49"/>
    </row>
    <row r="610">
      <c r="A610" s="44"/>
      <c r="B610" s="45"/>
      <c r="C610" s="46"/>
      <c r="D610" s="47"/>
      <c r="E610" s="47"/>
      <c r="F610" s="45"/>
      <c r="G610" s="47"/>
      <c r="H610" s="48"/>
      <c r="I610" s="45"/>
      <c r="J610" s="49"/>
      <c r="K610" s="46"/>
      <c r="L610" s="49"/>
    </row>
    <row r="611">
      <c r="A611" s="44"/>
      <c r="B611" s="45"/>
      <c r="C611" s="46"/>
      <c r="D611" s="47"/>
      <c r="E611" s="47"/>
      <c r="F611" s="45"/>
      <c r="G611" s="47"/>
      <c r="H611" s="48"/>
      <c r="I611" s="45"/>
      <c r="J611" s="49"/>
      <c r="K611" s="46"/>
      <c r="L611" s="49"/>
    </row>
    <row r="612">
      <c r="A612" s="44"/>
      <c r="B612" s="45"/>
      <c r="C612" s="46"/>
      <c r="D612" s="47"/>
      <c r="E612" s="47"/>
      <c r="F612" s="45"/>
      <c r="G612" s="47"/>
      <c r="H612" s="48"/>
      <c r="I612" s="45"/>
      <c r="J612" s="49"/>
      <c r="K612" s="46"/>
      <c r="L612" s="49"/>
    </row>
    <row r="613">
      <c r="A613" s="44"/>
      <c r="B613" s="45"/>
      <c r="C613" s="46"/>
      <c r="D613" s="47"/>
      <c r="E613" s="47"/>
      <c r="F613" s="45"/>
      <c r="G613" s="47"/>
      <c r="H613" s="48"/>
      <c r="I613" s="45"/>
      <c r="J613" s="49"/>
      <c r="K613" s="46"/>
      <c r="L613" s="49"/>
    </row>
    <row r="614">
      <c r="A614" s="44"/>
      <c r="B614" s="45"/>
      <c r="C614" s="46"/>
      <c r="D614" s="47"/>
      <c r="E614" s="47"/>
      <c r="F614" s="45"/>
      <c r="G614" s="47"/>
      <c r="H614" s="48"/>
      <c r="I614" s="45"/>
      <c r="J614" s="49"/>
      <c r="K614" s="46"/>
      <c r="L614" s="49"/>
    </row>
    <row r="615">
      <c r="A615" s="44"/>
      <c r="B615" s="45"/>
      <c r="C615" s="46"/>
      <c r="D615" s="47"/>
      <c r="E615" s="47"/>
      <c r="F615" s="45"/>
      <c r="G615" s="47"/>
      <c r="H615" s="48"/>
      <c r="I615" s="45"/>
      <c r="J615" s="49"/>
      <c r="K615" s="46"/>
      <c r="L615" s="49"/>
    </row>
    <row r="616">
      <c r="A616" s="44"/>
      <c r="B616" s="45"/>
      <c r="C616" s="46"/>
      <c r="D616" s="47"/>
      <c r="E616" s="47"/>
      <c r="F616" s="45"/>
      <c r="G616" s="47"/>
      <c r="H616" s="48"/>
      <c r="I616" s="45"/>
      <c r="J616" s="49"/>
      <c r="K616" s="46"/>
      <c r="L616" s="49"/>
    </row>
    <row r="617">
      <c r="A617" s="44"/>
      <c r="B617" s="45"/>
      <c r="C617" s="46"/>
      <c r="D617" s="47"/>
      <c r="E617" s="47"/>
      <c r="F617" s="45"/>
      <c r="G617" s="47"/>
      <c r="H617" s="48"/>
      <c r="I617" s="45"/>
      <c r="J617" s="49"/>
      <c r="K617" s="46"/>
      <c r="L617" s="49"/>
    </row>
    <row r="618">
      <c r="A618" s="44"/>
      <c r="B618" s="45"/>
      <c r="C618" s="46"/>
      <c r="D618" s="47"/>
      <c r="E618" s="47"/>
      <c r="F618" s="45"/>
      <c r="G618" s="47"/>
      <c r="H618" s="48"/>
      <c r="I618" s="45"/>
      <c r="J618" s="49"/>
      <c r="K618" s="46"/>
      <c r="L618" s="49"/>
    </row>
    <row r="619">
      <c r="A619" s="44"/>
      <c r="B619" s="45"/>
      <c r="C619" s="46"/>
      <c r="D619" s="47"/>
      <c r="E619" s="47"/>
      <c r="F619" s="45"/>
      <c r="G619" s="47"/>
      <c r="H619" s="48"/>
      <c r="I619" s="45"/>
      <c r="J619" s="49"/>
      <c r="K619" s="46"/>
      <c r="L619" s="49"/>
    </row>
    <row r="620">
      <c r="A620" s="44"/>
      <c r="B620" s="45"/>
      <c r="C620" s="46"/>
      <c r="D620" s="47"/>
      <c r="E620" s="47"/>
      <c r="F620" s="45"/>
      <c r="G620" s="47"/>
      <c r="H620" s="48"/>
      <c r="I620" s="45"/>
      <c r="J620" s="49"/>
      <c r="K620" s="46"/>
      <c r="L620" s="49"/>
    </row>
    <row r="621">
      <c r="A621" s="44"/>
      <c r="B621" s="45"/>
      <c r="C621" s="46"/>
      <c r="D621" s="47"/>
      <c r="E621" s="47"/>
      <c r="F621" s="45"/>
      <c r="G621" s="47"/>
      <c r="H621" s="48"/>
      <c r="I621" s="45"/>
      <c r="J621" s="49"/>
      <c r="K621" s="46"/>
      <c r="L621" s="49"/>
    </row>
    <row r="622">
      <c r="A622" s="44"/>
      <c r="B622" s="45"/>
      <c r="C622" s="46"/>
      <c r="D622" s="47"/>
      <c r="E622" s="47"/>
      <c r="F622" s="45"/>
      <c r="G622" s="47"/>
      <c r="H622" s="48"/>
      <c r="I622" s="45"/>
      <c r="J622" s="49"/>
      <c r="K622" s="46"/>
      <c r="L622" s="49"/>
    </row>
    <row r="623">
      <c r="A623" s="44"/>
      <c r="B623" s="45"/>
      <c r="C623" s="46"/>
      <c r="D623" s="47"/>
      <c r="E623" s="47"/>
      <c r="F623" s="45"/>
      <c r="G623" s="47"/>
      <c r="H623" s="48"/>
      <c r="I623" s="45"/>
      <c r="J623" s="49"/>
      <c r="K623" s="46"/>
      <c r="L623" s="49"/>
    </row>
    <row r="624">
      <c r="A624" s="44"/>
      <c r="B624" s="45"/>
      <c r="C624" s="46"/>
      <c r="D624" s="47"/>
      <c r="E624" s="47"/>
      <c r="F624" s="45"/>
      <c r="G624" s="47"/>
      <c r="H624" s="48"/>
      <c r="I624" s="45"/>
      <c r="J624" s="49"/>
      <c r="K624" s="46"/>
      <c r="L624" s="49"/>
    </row>
    <row r="625">
      <c r="A625" s="44"/>
      <c r="B625" s="45"/>
      <c r="C625" s="46"/>
      <c r="D625" s="47"/>
      <c r="E625" s="47"/>
      <c r="F625" s="45"/>
      <c r="G625" s="47"/>
      <c r="H625" s="48"/>
      <c r="I625" s="45"/>
      <c r="J625" s="49"/>
      <c r="K625" s="46"/>
      <c r="L625" s="49"/>
    </row>
    <row r="626">
      <c r="A626" s="44"/>
      <c r="B626" s="45"/>
      <c r="C626" s="46"/>
      <c r="D626" s="47"/>
      <c r="E626" s="47"/>
      <c r="F626" s="45"/>
      <c r="G626" s="47"/>
      <c r="H626" s="48"/>
      <c r="I626" s="45"/>
      <c r="J626" s="49"/>
      <c r="K626" s="46"/>
      <c r="L626" s="49"/>
    </row>
    <row r="627">
      <c r="A627" s="44"/>
      <c r="B627" s="45"/>
      <c r="C627" s="46"/>
      <c r="D627" s="47"/>
      <c r="E627" s="47"/>
      <c r="F627" s="45"/>
      <c r="G627" s="47"/>
      <c r="H627" s="48"/>
      <c r="I627" s="45"/>
      <c r="J627" s="49"/>
      <c r="K627" s="46"/>
      <c r="L627" s="49"/>
    </row>
    <row r="628">
      <c r="A628" s="44"/>
      <c r="B628" s="45"/>
      <c r="C628" s="46"/>
      <c r="D628" s="47"/>
      <c r="E628" s="47"/>
      <c r="F628" s="45"/>
      <c r="G628" s="47"/>
      <c r="H628" s="48"/>
      <c r="I628" s="45"/>
      <c r="J628" s="49"/>
      <c r="K628" s="46"/>
      <c r="L628" s="49"/>
    </row>
    <row r="629">
      <c r="A629" s="44"/>
      <c r="B629" s="45"/>
      <c r="C629" s="46"/>
      <c r="D629" s="47"/>
      <c r="E629" s="47"/>
      <c r="F629" s="45"/>
      <c r="G629" s="47"/>
      <c r="H629" s="48"/>
      <c r="I629" s="45"/>
      <c r="J629" s="49"/>
      <c r="K629" s="46"/>
      <c r="L629" s="49"/>
    </row>
    <row r="630">
      <c r="A630" s="44"/>
      <c r="B630" s="45"/>
      <c r="C630" s="46"/>
      <c r="D630" s="47"/>
      <c r="E630" s="47"/>
      <c r="F630" s="45"/>
      <c r="G630" s="47"/>
      <c r="H630" s="48"/>
      <c r="I630" s="45"/>
      <c r="J630" s="49"/>
      <c r="K630" s="46"/>
      <c r="L630" s="49"/>
    </row>
    <row r="631">
      <c r="A631" s="44"/>
      <c r="B631" s="45"/>
      <c r="C631" s="46"/>
      <c r="D631" s="47"/>
      <c r="E631" s="47"/>
      <c r="F631" s="45"/>
      <c r="G631" s="47"/>
      <c r="H631" s="48"/>
      <c r="I631" s="45"/>
      <c r="J631" s="49"/>
      <c r="K631" s="46"/>
      <c r="L631" s="49"/>
    </row>
    <row r="632">
      <c r="A632" s="44"/>
      <c r="B632" s="45"/>
      <c r="C632" s="46"/>
      <c r="D632" s="47"/>
      <c r="E632" s="47"/>
      <c r="F632" s="45"/>
      <c r="G632" s="47"/>
      <c r="H632" s="48"/>
      <c r="I632" s="45"/>
      <c r="J632" s="49"/>
      <c r="K632" s="46"/>
      <c r="L632" s="49"/>
    </row>
    <row r="633">
      <c r="A633" s="44"/>
      <c r="B633" s="45"/>
      <c r="C633" s="46"/>
      <c r="D633" s="47"/>
      <c r="E633" s="47"/>
      <c r="F633" s="45"/>
      <c r="G633" s="47"/>
      <c r="H633" s="48"/>
      <c r="I633" s="45"/>
      <c r="J633" s="49"/>
      <c r="K633" s="46"/>
      <c r="L633" s="49"/>
    </row>
    <row r="634">
      <c r="A634" s="44"/>
      <c r="B634" s="45"/>
      <c r="C634" s="46"/>
      <c r="D634" s="47"/>
      <c r="E634" s="47"/>
      <c r="F634" s="45"/>
      <c r="G634" s="47"/>
      <c r="H634" s="48"/>
      <c r="I634" s="45"/>
      <c r="J634" s="49"/>
      <c r="K634" s="46"/>
      <c r="L634" s="49"/>
    </row>
    <row r="635">
      <c r="A635" s="44"/>
      <c r="B635" s="45"/>
      <c r="C635" s="46"/>
      <c r="D635" s="47"/>
      <c r="E635" s="47"/>
      <c r="F635" s="45"/>
      <c r="G635" s="47"/>
      <c r="H635" s="48"/>
      <c r="I635" s="45"/>
      <c r="J635" s="49"/>
      <c r="K635" s="46"/>
      <c r="L635" s="49"/>
    </row>
    <row r="636">
      <c r="A636" s="44"/>
      <c r="B636" s="45"/>
      <c r="C636" s="46"/>
      <c r="D636" s="47"/>
      <c r="E636" s="47"/>
      <c r="F636" s="45"/>
      <c r="G636" s="47"/>
      <c r="H636" s="48"/>
      <c r="I636" s="45"/>
      <c r="J636" s="49"/>
      <c r="K636" s="46"/>
      <c r="L636" s="49"/>
    </row>
    <row r="637">
      <c r="A637" s="44"/>
      <c r="B637" s="45"/>
      <c r="C637" s="46"/>
      <c r="D637" s="47"/>
      <c r="E637" s="47"/>
      <c r="F637" s="45"/>
      <c r="G637" s="47"/>
      <c r="H637" s="48"/>
      <c r="I637" s="45"/>
      <c r="J637" s="49"/>
      <c r="K637" s="46"/>
      <c r="L637" s="49"/>
    </row>
    <row r="638">
      <c r="A638" s="44"/>
      <c r="B638" s="45"/>
      <c r="C638" s="46"/>
      <c r="D638" s="47"/>
      <c r="E638" s="47"/>
      <c r="F638" s="45"/>
      <c r="G638" s="47"/>
      <c r="H638" s="48"/>
      <c r="I638" s="45"/>
      <c r="J638" s="49"/>
      <c r="K638" s="46"/>
      <c r="L638" s="49"/>
    </row>
    <row r="639">
      <c r="A639" s="44"/>
      <c r="B639" s="45"/>
      <c r="C639" s="46"/>
      <c r="D639" s="47"/>
      <c r="E639" s="47"/>
      <c r="F639" s="45"/>
      <c r="G639" s="47"/>
      <c r="H639" s="48"/>
      <c r="I639" s="45"/>
      <c r="J639" s="49"/>
      <c r="K639" s="46"/>
      <c r="L639" s="49"/>
    </row>
    <row r="640">
      <c r="A640" s="44"/>
      <c r="B640" s="45"/>
      <c r="C640" s="46"/>
      <c r="D640" s="47"/>
      <c r="E640" s="47"/>
      <c r="F640" s="45"/>
      <c r="G640" s="47"/>
      <c r="H640" s="48"/>
      <c r="I640" s="45"/>
      <c r="J640" s="49"/>
      <c r="K640" s="46"/>
      <c r="L640" s="49"/>
    </row>
    <row r="641">
      <c r="A641" s="44"/>
      <c r="B641" s="45"/>
      <c r="C641" s="46"/>
      <c r="D641" s="47"/>
      <c r="E641" s="47"/>
      <c r="F641" s="45"/>
      <c r="G641" s="47"/>
      <c r="H641" s="48"/>
      <c r="I641" s="45"/>
      <c r="J641" s="49"/>
      <c r="K641" s="46"/>
      <c r="L641" s="49"/>
    </row>
    <row r="642">
      <c r="A642" s="44"/>
      <c r="B642" s="45"/>
      <c r="C642" s="46"/>
      <c r="D642" s="47"/>
      <c r="E642" s="47"/>
      <c r="F642" s="45"/>
      <c r="G642" s="47"/>
      <c r="H642" s="48"/>
      <c r="I642" s="45"/>
      <c r="J642" s="49"/>
      <c r="K642" s="46"/>
      <c r="L642" s="49"/>
    </row>
    <row r="643">
      <c r="A643" s="44"/>
      <c r="B643" s="45"/>
      <c r="C643" s="46"/>
      <c r="D643" s="47"/>
      <c r="E643" s="47"/>
      <c r="F643" s="45"/>
      <c r="G643" s="47"/>
      <c r="H643" s="48"/>
      <c r="I643" s="45"/>
      <c r="J643" s="49"/>
      <c r="K643" s="46"/>
      <c r="L643" s="49"/>
    </row>
    <row r="644">
      <c r="A644" s="44"/>
      <c r="B644" s="45"/>
      <c r="C644" s="46"/>
      <c r="D644" s="47"/>
      <c r="E644" s="47"/>
      <c r="F644" s="45"/>
      <c r="G644" s="47"/>
      <c r="H644" s="48"/>
      <c r="I644" s="45"/>
      <c r="J644" s="49"/>
      <c r="K644" s="46"/>
      <c r="L644" s="49"/>
    </row>
    <row r="645">
      <c r="A645" s="44"/>
      <c r="B645" s="45"/>
      <c r="C645" s="46"/>
      <c r="D645" s="47"/>
      <c r="E645" s="47"/>
      <c r="F645" s="45"/>
      <c r="G645" s="47"/>
      <c r="H645" s="48"/>
      <c r="I645" s="45"/>
      <c r="J645" s="49"/>
      <c r="K645" s="46"/>
      <c r="L645" s="49"/>
    </row>
    <row r="646">
      <c r="A646" s="44"/>
      <c r="B646" s="45"/>
      <c r="C646" s="46"/>
      <c r="D646" s="47"/>
      <c r="E646" s="47"/>
      <c r="F646" s="45"/>
      <c r="G646" s="47"/>
      <c r="H646" s="48"/>
      <c r="I646" s="45"/>
      <c r="J646" s="49"/>
      <c r="K646" s="46"/>
      <c r="L646" s="49"/>
    </row>
    <row r="647">
      <c r="A647" s="44"/>
      <c r="B647" s="45"/>
      <c r="C647" s="46"/>
      <c r="D647" s="47"/>
      <c r="E647" s="47"/>
      <c r="F647" s="45"/>
      <c r="G647" s="47"/>
      <c r="H647" s="48"/>
      <c r="I647" s="45"/>
      <c r="J647" s="49"/>
      <c r="K647" s="46"/>
      <c r="L647" s="49"/>
    </row>
    <row r="648">
      <c r="A648" s="44"/>
      <c r="B648" s="45"/>
      <c r="C648" s="46"/>
      <c r="D648" s="47"/>
      <c r="E648" s="47"/>
      <c r="F648" s="45"/>
      <c r="G648" s="47"/>
      <c r="H648" s="48"/>
      <c r="I648" s="45"/>
      <c r="J648" s="49"/>
      <c r="K648" s="46"/>
      <c r="L648" s="49"/>
    </row>
    <row r="649">
      <c r="A649" s="44"/>
      <c r="B649" s="45"/>
      <c r="C649" s="46"/>
      <c r="D649" s="47"/>
      <c r="E649" s="47"/>
      <c r="F649" s="45"/>
      <c r="G649" s="47"/>
      <c r="H649" s="48"/>
      <c r="I649" s="45"/>
      <c r="J649" s="49"/>
      <c r="K649" s="46"/>
      <c r="L649" s="49"/>
    </row>
    <row r="650">
      <c r="A650" s="44"/>
      <c r="B650" s="45"/>
      <c r="C650" s="46"/>
      <c r="D650" s="47"/>
      <c r="E650" s="47"/>
      <c r="F650" s="45"/>
      <c r="G650" s="47"/>
      <c r="H650" s="48"/>
      <c r="I650" s="45"/>
      <c r="J650" s="49"/>
      <c r="K650" s="46"/>
      <c r="L650" s="49"/>
    </row>
    <row r="651">
      <c r="A651" s="44"/>
      <c r="B651" s="45"/>
      <c r="C651" s="46"/>
      <c r="D651" s="47"/>
      <c r="E651" s="47"/>
      <c r="F651" s="45"/>
      <c r="G651" s="47"/>
      <c r="H651" s="48"/>
      <c r="I651" s="45"/>
      <c r="J651" s="49"/>
      <c r="K651" s="46"/>
      <c r="L651" s="49"/>
    </row>
    <row r="652">
      <c r="A652" s="44"/>
      <c r="B652" s="45"/>
      <c r="C652" s="46"/>
      <c r="D652" s="47"/>
      <c r="E652" s="47"/>
      <c r="F652" s="45"/>
      <c r="G652" s="47"/>
      <c r="H652" s="48"/>
      <c r="I652" s="45"/>
      <c r="J652" s="49"/>
      <c r="K652" s="46"/>
      <c r="L652" s="49"/>
    </row>
    <row r="653">
      <c r="A653" s="44"/>
      <c r="B653" s="45"/>
      <c r="C653" s="46"/>
      <c r="D653" s="47"/>
      <c r="E653" s="47"/>
      <c r="F653" s="45"/>
      <c r="G653" s="47"/>
      <c r="H653" s="48"/>
      <c r="I653" s="45"/>
      <c r="J653" s="49"/>
      <c r="K653" s="46"/>
      <c r="L653" s="49"/>
    </row>
    <row r="654">
      <c r="A654" s="44"/>
      <c r="B654" s="45"/>
      <c r="C654" s="46"/>
      <c r="D654" s="47"/>
      <c r="E654" s="47"/>
      <c r="F654" s="45"/>
      <c r="G654" s="47"/>
      <c r="H654" s="48"/>
      <c r="I654" s="45"/>
      <c r="J654" s="49"/>
      <c r="K654" s="46"/>
      <c r="L654" s="49"/>
    </row>
    <row r="655">
      <c r="A655" s="44"/>
      <c r="B655" s="45"/>
      <c r="C655" s="46"/>
      <c r="D655" s="47"/>
      <c r="E655" s="47"/>
      <c r="F655" s="45"/>
      <c r="G655" s="47"/>
      <c r="H655" s="48"/>
      <c r="I655" s="45"/>
      <c r="J655" s="49"/>
      <c r="K655" s="46"/>
      <c r="L655" s="49"/>
    </row>
    <row r="656">
      <c r="A656" s="44"/>
      <c r="B656" s="45"/>
      <c r="C656" s="46"/>
      <c r="D656" s="47"/>
      <c r="E656" s="47"/>
      <c r="F656" s="45"/>
      <c r="G656" s="47"/>
      <c r="H656" s="48"/>
      <c r="I656" s="45"/>
      <c r="J656" s="49"/>
      <c r="K656" s="46"/>
      <c r="L656" s="49"/>
    </row>
    <row r="657">
      <c r="A657" s="44"/>
      <c r="B657" s="45"/>
      <c r="C657" s="46"/>
      <c r="D657" s="47"/>
      <c r="E657" s="47"/>
      <c r="F657" s="45"/>
      <c r="G657" s="47"/>
      <c r="H657" s="48"/>
      <c r="I657" s="45"/>
      <c r="J657" s="49"/>
      <c r="K657" s="46"/>
      <c r="L657" s="49"/>
    </row>
    <row r="658">
      <c r="A658" s="44"/>
      <c r="B658" s="45"/>
      <c r="C658" s="46"/>
      <c r="D658" s="47"/>
      <c r="E658" s="47"/>
      <c r="F658" s="45"/>
      <c r="G658" s="47"/>
      <c r="H658" s="48"/>
      <c r="I658" s="45"/>
      <c r="J658" s="49"/>
      <c r="K658" s="46"/>
      <c r="L658" s="49"/>
    </row>
    <row r="659">
      <c r="A659" s="44"/>
      <c r="B659" s="45"/>
      <c r="C659" s="46"/>
      <c r="D659" s="47"/>
      <c r="E659" s="47"/>
      <c r="F659" s="45"/>
      <c r="G659" s="47"/>
      <c r="H659" s="48"/>
      <c r="I659" s="45"/>
      <c r="J659" s="49"/>
      <c r="K659" s="46"/>
      <c r="L659" s="49"/>
    </row>
    <row r="660">
      <c r="A660" s="44"/>
      <c r="B660" s="45"/>
      <c r="C660" s="46"/>
      <c r="D660" s="47"/>
      <c r="E660" s="47"/>
      <c r="F660" s="45"/>
      <c r="G660" s="47"/>
      <c r="H660" s="48"/>
      <c r="I660" s="45"/>
      <c r="J660" s="49"/>
      <c r="K660" s="46"/>
      <c r="L660" s="49"/>
    </row>
    <row r="661">
      <c r="A661" s="44"/>
      <c r="B661" s="45"/>
      <c r="C661" s="46"/>
      <c r="D661" s="47"/>
      <c r="E661" s="47"/>
      <c r="F661" s="45"/>
      <c r="G661" s="47"/>
      <c r="H661" s="48"/>
      <c r="I661" s="45"/>
      <c r="J661" s="49"/>
      <c r="K661" s="46"/>
      <c r="L661" s="49"/>
    </row>
    <row r="662">
      <c r="A662" s="44"/>
      <c r="B662" s="45"/>
      <c r="C662" s="46"/>
      <c r="D662" s="47"/>
      <c r="E662" s="47"/>
      <c r="F662" s="45"/>
      <c r="G662" s="47"/>
      <c r="H662" s="48"/>
      <c r="I662" s="45"/>
      <c r="J662" s="49"/>
      <c r="K662" s="46"/>
      <c r="L662" s="49"/>
    </row>
    <row r="663">
      <c r="A663" s="44"/>
      <c r="B663" s="45"/>
      <c r="C663" s="46"/>
      <c r="D663" s="47"/>
      <c r="E663" s="47"/>
      <c r="F663" s="45"/>
      <c r="G663" s="47"/>
      <c r="H663" s="48"/>
      <c r="I663" s="45"/>
      <c r="J663" s="49"/>
      <c r="K663" s="46"/>
      <c r="L663" s="49"/>
    </row>
    <row r="664">
      <c r="A664" s="44"/>
      <c r="B664" s="45"/>
      <c r="C664" s="46"/>
      <c r="D664" s="47"/>
      <c r="E664" s="47"/>
      <c r="F664" s="45"/>
      <c r="G664" s="47"/>
      <c r="H664" s="48"/>
      <c r="I664" s="45"/>
      <c r="J664" s="49"/>
      <c r="K664" s="46"/>
      <c r="L664" s="49"/>
    </row>
    <row r="665">
      <c r="A665" s="44"/>
      <c r="B665" s="45"/>
      <c r="C665" s="46"/>
      <c r="D665" s="47"/>
      <c r="E665" s="47"/>
      <c r="F665" s="45"/>
      <c r="G665" s="47"/>
      <c r="H665" s="48"/>
      <c r="I665" s="45"/>
      <c r="J665" s="49"/>
      <c r="K665" s="46"/>
      <c r="L665" s="49"/>
    </row>
    <row r="666">
      <c r="A666" s="44"/>
      <c r="B666" s="45"/>
      <c r="C666" s="46"/>
      <c r="D666" s="47"/>
      <c r="E666" s="47"/>
      <c r="F666" s="45"/>
      <c r="G666" s="47"/>
      <c r="H666" s="48"/>
      <c r="I666" s="45"/>
      <c r="J666" s="49"/>
      <c r="K666" s="46"/>
      <c r="L666" s="49"/>
    </row>
    <row r="667">
      <c r="A667" s="44"/>
      <c r="B667" s="45"/>
      <c r="C667" s="46"/>
      <c r="D667" s="47"/>
      <c r="E667" s="47"/>
      <c r="F667" s="45"/>
      <c r="G667" s="47"/>
      <c r="H667" s="48"/>
      <c r="I667" s="45"/>
      <c r="J667" s="49"/>
      <c r="K667" s="46"/>
      <c r="L667" s="49"/>
    </row>
    <row r="668">
      <c r="A668" s="44"/>
      <c r="B668" s="45"/>
      <c r="C668" s="46"/>
      <c r="D668" s="47"/>
      <c r="E668" s="47"/>
      <c r="F668" s="45"/>
      <c r="G668" s="47"/>
      <c r="H668" s="48"/>
      <c r="I668" s="45"/>
      <c r="J668" s="49"/>
      <c r="K668" s="46"/>
      <c r="L668" s="49"/>
    </row>
    <row r="669">
      <c r="A669" s="44"/>
      <c r="B669" s="45"/>
      <c r="C669" s="46"/>
      <c r="D669" s="47"/>
      <c r="E669" s="47"/>
      <c r="F669" s="45"/>
      <c r="G669" s="47"/>
      <c r="H669" s="48"/>
      <c r="I669" s="45"/>
      <c r="J669" s="49"/>
      <c r="K669" s="46"/>
      <c r="L669" s="49"/>
    </row>
    <row r="670">
      <c r="A670" s="44"/>
      <c r="B670" s="45"/>
      <c r="C670" s="46"/>
      <c r="D670" s="47"/>
      <c r="E670" s="47"/>
      <c r="F670" s="45"/>
      <c r="G670" s="47"/>
      <c r="H670" s="48"/>
      <c r="I670" s="45"/>
      <c r="J670" s="49"/>
      <c r="K670" s="46"/>
      <c r="L670" s="49"/>
    </row>
    <row r="671">
      <c r="A671" s="44"/>
      <c r="B671" s="45"/>
      <c r="C671" s="46"/>
      <c r="D671" s="47"/>
      <c r="E671" s="47"/>
      <c r="F671" s="45"/>
      <c r="G671" s="47"/>
      <c r="H671" s="48"/>
      <c r="I671" s="45"/>
      <c r="J671" s="49"/>
      <c r="K671" s="46"/>
      <c r="L671" s="49"/>
    </row>
    <row r="672">
      <c r="A672" s="44"/>
      <c r="B672" s="45"/>
      <c r="C672" s="46"/>
      <c r="D672" s="47"/>
      <c r="E672" s="47"/>
      <c r="F672" s="45"/>
      <c r="G672" s="47"/>
      <c r="H672" s="48"/>
      <c r="I672" s="45"/>
      <c r="J672" s="49"/>
      <c r="K672" s="46"/>
      <c r="L672" s="49"/>
    </row>
    <row r="673">
      <c r="A673" s="44"/>
      <c r="B673" s="45"/>
      <c r="C673" s="46"/>
      <c r="D673" s="47"/>
      <c r="E673" s="47"/>
      <c r="F673" s="45"/>
      <c r="G673" s="47"/>
      <c r="H673" s="48"/>
      <c r="I673" s="45"/>
      <c r="J673" s="49"/>
      <c r="K673" s="46"/>
      <c r="L673" s="49"/>
    </row>
    <row r="674">
      <c r="A674" s="44"/>
      <c r="B674" s="45"/>
      <c r="C674" s="46"/>
      <c r="D674" s="47"/>
      <c r="E674" s="47"/>
      <c r="F674" s="45"/>
      <c r="G674" s="47"/>
      <c r="H674" s="48"/>
      <c r="I674" s="45"/>
      <c r="J674" s="49"/>
      <c r="K674" s="46"/>
      <c r="L674" s="49"/>
    </row>
    <row r="675">
      <c r="A675" s="44"/>
      <c r="B675" s="45"/>
      <c r="C675" s="46"/>
      <c r="D675" s="47"/>
      <c r="E675" s="47"/>
      <c r="F675" s="45"/>
      <c r="G675" s="47"/>
      <c r="H675" s="48"/>
      <c r="I675" s="45"/>
      <c r="J675" s="49"/>
      <c r="K675" s="46"/>
      <c r="L675" s="49"/>
    </row>
    <row r="676">
      <c r="A676" s="44"/>
      <c r="B676" s="45"/>
      <c r="C676" s="46"/>
      <c r="D676" s="47"/>
      <c r="E676" s="47"/>
      <c r="F676" s="45"/>
      <c r="G676" s="47"/>
      <c r="H676" s="48"/>
      <c r="I676" s="45"/>
      <c r="J676" s="49"/>
      <c r="K676" s="46"/>
      <c r="L676" s="49"/>
    </row>
    <row r="677">
      <c r="A677" s="44"/>
      <c r="B677" s="45"/>
      <c r="C677" s="46"/>
      <c r="D677" s="47"/>
      <c r="E677" s="47"/>
      <c r="F677" s="45"/>
      <c r="G677" s="47"/>
      <c r="H677" s="48"/>
      <c r="I677" s="45"/>
      <c r="J677" s="49"/>
      <c r="K677" s="46"/>
      <c r="L677" s="49"/>
    </row>
    <row r="678">
      <c r="A678" s="44"/>
      <c r="B678" s="45"/>
      <c r="C678" s="46"/>
      <c r="D678" s="47"/>
      <c r="E678" s="47"/>
      <c r="F678" s="45"/>
      <c r="G678" s="47"/>
      <c r="H678" s="48"/>
      <c r="I678" s="45"/>
      <c r="J678" s="49"/>
      <c r="K678" s="46"/>
      <c r="L678" s="49"/>
    </row>
    <row r="679">
      <c r="A679" s="44"/>
      <c r="B679" s="45"/>
      <c r="C679" s="46"/>
      <c r="D679" s="47"/>
      <c r="E679" s="47"/>
      <c r="F679" s="45"/>
      <c r="G679" s="47"/>
      <c r="H679" s="48"/>
      <c r="I679" s="45"/>
      <c r="J679" s="49"/>
      <c r="K679" s="46"/>
      <c r="L679" s="49"/>
    </row>
    <row r="680">
      <c r="A680" s="44"/>
      <c r="B680" s="45"/>
      <c r="C680" s="46"/>
      <c r="D680" s="47"/>
      <c r="E680" s="47"/>
      <c r="F680" s="45"/>
      <c r="G680" s="47"/>
      <c r="H680" s="48"/>
      <c r="I680" s="45"/>
      <c r="J680" s="49"/>
      <c r="K680" s="46"/>
      <c r="L680" s="49"/>
    </row>
    <row r="681">
      <c r="A681" s="44"/>
      <c r="B681" s="45"/>
      <c r="C681" s="46"/>
      <c r="D681" s="47"/>
      <c r="E681" s="47"/>
      <c r="F681" s="45"/>
      <c r="G681" s="47"/>
      <c r="H681" s="48"/>
      <c r="I681" s="45"/>
      <c r="J681" s="49"/>
      <c r="K681" s="46"/>
      <c r="L681" s="49"/>
    </row>
    <row r="682">
      <c r="A682" s="44"/>
      <c r="B682" s="45"/>
      <c r="C682" s="46"/>
      <c r="D682" s="47"/>
      <c r="E682" s="47"/>
      <c r="F682" s="45"/>
      <c r="G682" s="47"/>
      <c r="H682" s="48"/>
      <c r="I682" s="45"/>
      <c r="J682" s="49"/>
      <c r="K682" s="46"/>
      <c r="L682" s="49"/>
    </row>
    <row r="683">
      <c r="A683" s="44"/>
      <c r="B683" s="45"/>
      <c r="C683" s="46"/>
      <c r="D683" s="47"/>
      <c r="E683" s="47"/>
      <c r="F683" s="45"/>
      <c r="G683" s="47"/>
      <c r="H683" s="48"/>
      <c r="I683" s="45"/>
      <c r="J683" s="49"/>
      <c r="K683" s="46"/>
      <c r="L683" s="49"/>
    </row>
    <row r="684">
      <c r="A684" s="44"/>
      <c r="B684" s="45"/>
      <c r="C684" s="46"/>
      <c r="D684" s="47"/>
      <c r="E684" s="47"/>
      <c r="F684" s="45"/>
      <c r="G684" s="47"/>
      <c r="H684" s="48"/>
      <c r="I684" s="45"/>
      <c r="J684" s="49"/>
      <c r="K684" s="46"/>
      <c r="L684" s="49"/>
    </row>
    <row r="685">
      <c r="A685" s="44"/>
      <c r="B685" s="45"/>
      <c r="C685" s="46"/>
      <c r="D685" s="47"/>
      <c r="E685" s="47"/>
      <c r="F685" s="45"/>
      <c r="G685" s="47"/>
      <c r="H685" s="48"/>
      <c r="I685" s="45"/>
      <c r="J685" s="49"/>
      <c r="K685" s="46"/>
      <c r="L685" s="49"/>
    </row>
    <row r="686">
      <c r="A686" s="44"/>
      <c r="B686" s="45"/>
      <c r="C686" s="46"/>
      <c r="D686" s="47"/>
      <c r="E686" s="47"/>
      <c r="F686" s="45"/>
      <c r="G686" s="47"/>
      <c r="H686" s="48"/>
      <c r="I686" s="45"/>
      <c r="J686" s="49"/>
      <c r="K686" s="46"/>
      <c r="L686" s="49"/>
    </row>
    <row r="687">
      <c r="A687" s="44"/>
      <c r="B687" s="45"/>
      <c r="C687" s="46"/>
      <c r="D687" s="47"/>
      <c r="E687" s="47"/>
      <c r="F687" s="45"/>
      <c r="G687" s="47"/>
      <c r="H687" s="48"/>
      <c r="I687" s="45"/>
      <c r="J687" s="49"/>
      <c r="K687" s="46"/>
      <c r="L687" s="49"/>
    </row>
    <row r="688">
      <c r="A688" s="44"/>
      <c r="B688" s="45"/>
      <c r="C688" s="46"/>
      <c r="D688" s="47"/>
      <c r="E688" s="47"/>
      <c r="F688" s="45"/>
      <c r="G688" s="47"/>
      <c r="H688" s="48"/>
      <c r="I688" s="45"/>
      <c r="J688" s="49"/>
      <c r="K688" s="46"/>
      <c r="L688" s="49"/>
    </row>
    <row r="689">
      <c r="A689" s="44"/>
      <c r="B689" s="45"/>
      <c r="C689" s="46"/>
      <c r="D689" s="47"/>
      <c r="E689" s="47"/>
      <c r="F689" s="45"/>
      <c r="G689" s="47"/>
      <c r="H689" s="48"/>
      <c r="I689" s="45"/>
      <c r="J689" s="49"/>
      <c r="K689" s="46"/>
      <c r="L689" s="49"/>
    </row>
    <row r="690">
      <c r="A690" s="44"/>
      <c r="B690" s="45"/>
      <c r="C690" s="46"/>
      <c r="D690" s="47"/>
      <c r="E690" s="47"/>
      <c r="F690" s="45"/>
      <c r="G690" s="47"/>
      <c r="H690" s="48"/>
      <c r="I690" s="45"/>
      <c r="J690" s="49"/>
      <c r="K690" s="46"/>
      <c r="L690" s="49"/>
    </row>
    <row r="691">
      <c r="A691" s="44"/>
      <c r="B691" s="45"/>
      <c r="C691" s="46"/>
      <c r="D691" s="47"/>
      <c r="E691" s="47"/>
      <c r="F691" s="45"/>
      <c r="G691" s="47"/>
      <c r="H691" s="48"/>
      <c r="I691" s="45"/>
      <c r="J691" s="49"/>
      <c r="K691" s="46"/>
      <c r="L691" s="49"/>
    </row>
    <row r="692">
      <c r="A692" s="44"/>
      <c r="B692" s="45"/>
      <c r="C692" s="46"/>
      <c r="D692" s="47"/>
      <c r="E692" s="47"/>
      <c r="F692" s="45"/>
      <c r="G692" s="47"/>
      <c r="H692" s="48"/>
      <c r="I692" s="45"/>
      <c r="J692" s="49"/>
      <c r="K692" s="46"/>
      <c r="L692" s="49"/>
    </row>
    <row r="693">
      <c r="A693" s="44"/>
      <c r="B693" s="45"/>
      <c r="C693" s="46"/>
      <c r="D693" s="47"/>
      <c r="E693" s="47"/>
      <c r="F693" s="45"/>
      <c r="G693" s="47"/>
      <c r="H693" s="48"/>
      <c r="I693" s="45"/>
      <c r="J693" s="49"/>
      <c r="K693" s="46"/>
      <c r="L693" s="49"/>
    </row>
    <row r="694">
      <c r="A694" s="44"/>
      <c r="B694" s="45"/>
      <c r="C694" s="46"/>
      <c r="D694" s="47"/>
      <c r="E694" s="47"/>
      <c r="F694" s="45"/>
      <c r="G694" s="47"/>
      <c r="H694" s="48"/>
      <c r="I694" s="45"/>
      <c r="J694" s="49"/>
      <c r="K694" s="46"/>
      <c r="L694" s="49"/>
    </row>
    <row r="695">
      <c r="A695" s="44"/>
      <c r="B695" s="45"/>
      <c r="C695" s="46"/>
      <c r="D695" s="47"/>
      <c r="E695" s="47"/>
      <c r="F695" s="45"/>
      <c r="G695" s="47"/>
      <c r="H695" s="48"/>
      <c r="I695" s="45"/>
      <c r="J695" s="49"/>
      <c r="K695" s="46"/>
      <c r="L695" s="49"/>
    </row>
    <row r="696">
      <c r="A696" s="44"/>
      <c r="B696" s="45"/>
      <c r="C696" s="46"/>
      <c r="D696" s="47"/>
      <c r="E696" s="47"/>
      <c r="F696" s="45"/>
      <c r="G696" s="47"/>
      <c r="H696" s="48"/>
      <c r="I696" s="45"/>
      <c r="J696" s="49"/>
      <c r="K696" s="46"/>
      <c r="L696" s="49"/>
    </row>
    <row r="697">
      <c r="A697" s="44"/>
      <c r="B697" s="45"/>
      <c r="C697" s="46"/>
      <c r="D697" s="47"/>
      <c r="E697" s="47"/>
      <c r="F697" s="45"/>
      <c r="G697" s="47"/>
      <c r="H697" s="48"/>
      <c r="I697" s="45"/>
      <c r="J697" s="49"/>
      <c r="K697" s="46"/>
      <c r="L697" s="49"/>
    </row>
    <row r="698">
      <c r="A698" s="44"/>
      <c r="B698" s="45"/>
      <c r="C698" s="46"/>
      <c r="D698" s="47"/>
      <c r="E698" s="47"/>
      <c r="F698" s="45"/>
      <c r="G698" s="47"/>
      <c r="H698" s="48"/>
      <c r="I698" s="45"/>
      <c r="J698" s="49"/>
      <c r="K698" s="46"/>
      <c r="L698" s="49"/>
    </row>
    <row r="699">
      <c r="A699" s="44"/>
      <c r="B699" s="45"/>
      <c r="C699" s="46"/>
      <c r="D699" s="47"/>
      <c r="E699" s="47"/>
      <c r="F699" s="45"/>
      <c r="G699" s="47"/>
      <c r="H699" s="48"/>
      <c r="I699" s="45"/>
      <c r="J699" s="49"/>
      <c r="K699" s="46"/>
      <c r="L699" s="49"/>
    </row>
    <row r="700">
      <c r="A700" s="44"/>
      <c r="B700" s="45"/>
      <c r="C700" s="46"/>
      <c r="D700" s="47"/>
      <c r="E700" s="47"/>
      <c r="F700" s="45"/>
      <c r="G700" s="47"/>
      <c r="H700" s="48"/>
      <c r="I700" s="45"/>
      <c r="J700" s="49"/>
      <c r="K700" s="46"/>
      <c r="L700" s="49"/>
    </row>
    <row r="701">
      <c r="A701" s="44"/>
      <c r="B701" s="45"/>
      <c r="C701" s="46"/>
      <c r="D701" s="47"/>
      <c r="E701" s="47"/>
      <c r="F701" s="45"/>
      <c r="G701" s="47"/>
      <c r="H701" s="48"/>
      <c r="I701" s="45"/>
      <c r="J701" s="49"/>
      <c r="K701" s="46"/>
      <c r="L701" s="49"/>
    </row>
    <row r="702">
      <c r="A702" s="44"/>
      <c r="B702" s="45"/>
      <c r="C702" s="46"/>
      <c r="D702" s="47"/>
      <c r="E702" s="47"/>
      <c r="F702" s="45"/>
      <c r="G702" s="47"/>
      <c r="H702" s="48"/>
      <c r="I702" s="45"/>
      <c r="J702" s="49"/>
      <c r="K702" s="46"/>
      <c r="L702" s="49"/>
    </row>
    <row r="703">
      <c r="A703" s="44"/>
      <c r="B703" s="45"/>
      <c r="C703" s="46"/>
      <c r="D703" s="47"/>
      <c r="E703" s="47"/>
      <c r="F703" s="45"/>
      <c r="G703" s="47"/>
      <c r="H703" s="48"/>
      <c r="I703" s="45"/>
      <c r="J703" s="49"/>
      <c r="K703" s="46"/>
      <c r="L703" s="49"/>
    </row>
    <row r="704">
      <c r="A704" s="44"/>
      <c r="B704" s="45"/>
      <c r="C704" s="46"/>
      <c r="D704" s="47"/>
      <c r="E704" s="47"/>
      <c r="F704" s="45"/>
      <c r="G704" s="47"/>
      <c r="H704" s="48"/>
      <c r="I704" s="45"/>
      <c r="J704" s="49"/>
      <c r="K704" s="46"/>
      <c r="L704" s="49"/>
    </row>
    <row r="705">
      <c r="A705" s="44"/>
      <c r="B705" s="45"/>
      <c r="C705" s="46"/>
      <c r="D705" s="47"/>
      <c r="E705" s="47"/>
      <c r="F705" s="45"/>
      <c r="G705" s="47"/>
      <c r="H705" s="48"/>
      <c r="I705" s="45"/>
      <c r="J705" s="49"/>
      <c r="K705" s="46"/>
      <c r="L705" s="49"/>
    </row>
    <row r="706">
      <c r="A706" s="44"/>
      <c r="B706" s="45"/>
      <c r="C706" s="46"/>
      <c r="D706" s="47"/>
      <c r="E706" s="47"/>
      <c r="F706" s="45"/>
      <c r="G706" s="47"/>
      <c r="H706" s="48"/>
      <c r="I706" s="45"/>
      <c r="J706" s="49"/>
      <c r="K706" s="46"/>
      <c r="L706" s="49"/>
    </row>
    <row r="707">
      <c r="A707" s="44"/>
      <c r="B707" s="45"/>
      <c r="C707" s="46"/>
      <c r="D707" s="47"/>
      <c r="E707" s="47"/>
      <c r="F707" s="45"/>
      <c r="G707" s="47"/>
      <c r="H707" s="48"/>
      <c r="I707" s="45"/>
      <c r="J707" s="49"/>
      <c r="K707" s="46"/>
      <c r="L707" s="49"/>
    </row>
    <row r="708">
      <c r="A708" s="44"/>
      <c r="B708" s="45"/>
      <c r="C708" s="46"/>
      <c r="D708" s="47"/>
      <c r="E708" s="47"/>
      <c r="F708" s="45"/>
      <c r="G708" s="47"/>
      <c r="H708" s="48"/>
      <c r="I708" s="45"/>
      <c r="J708" s="49"/>
      <c r="K708" s="46"/>
      <c r="L708" s="49"/>
    </row>
    <row r="709">
      <c r="A709" s="44"/>
      <c r="B709" s="45"/>
      <c r="C709" s="46"/>
      <c r="D709" s="47"/>
      <c r="E709" s="47"/>
      <c r="F709" s="45"/>
      <c r="G709" s="47"/>
      <c r="H709" s="48"/>
      <c r="I709" s="45"/>
      <c r="J709" s="49"/>
      <c r="K709" s="46"/>
      <c r="L709" s="49"/>
    </row>
    <row r="710">
      <c r="A710" s="44"/>
      <c r="B710" s="45"/>
      <c r="C710" s="46"/>
      <c r="D710" s="47"/>
      <c r="E710" s="47"/>
      <c r="F710" s="45"/>
      <c r="G710" s="47"/>
      <c r="H710" s="48"/>
      <c r="I710" s="45"/>
      <c r="J710" s="49"/>
      <c r="K710" s="46"/>
      <c r="L710" s="49"/>
    </row>
    <row r="711">
      <c r="A711" s="44"/>
      <c r="B711" s="45"/>
      <c r="C711" s="46"/>
      <c r="D711" s="47"/>
      <c r="E711" s="47"/>
      <c r="F711" s="45"/>
      <c r="G711" s="47"/>
      <c r="H711" s="48"/>
      <c r="I711" s="45"/>
      <c r="J711" s="49"/>
      <c r="K711" s="46"/>
      <c r="L711" s="49"/>
    </row>
    <row r="712">
      <c r="A712" s="44"/>
      <c r="B712" s="45"/>
      <c r="C712" s="46"/>
      <c r="D712" s="47"/>
      <c r="E712" s="47"/>
      <c r="F712" s="45"/>
      <c r="G712" s="47"/>
      <c r="H712" s="48"/>
      <c r="I712" s="45"/>
      <c r="J712" s="49"/>
      <c r="K712" s="46"/>
      <c r="L712" s="49"/>
    </row>
    <row r="713">
      <c r="A713" s="44"/>
      <c r="B713" s="45"/>
      <c r="C713" s="46"/>
      <c r="D713" s="47"/>
      <c r="E713" s="47"/>
      <c r="F713" s="45"/>
      <c r="G713" s="47"/>
      <c r="H713" s="48"/>
      <c r="I713" s="45"/>
      <c r="J713" s="49"/>
      <c r="K713" s="46"/>
      <c r="L713" s="49"/>
    </row>
    <row r="714">
      <c r="A714" s="44"/>
      <c r="B714" s="45"/>
      <c r="C714" s="46"/>
      <c r="D714" s="47"/>
      <c r="E714" s="47"/>
      <c r="F714" s="45"/>
      <c r="G714" s="47"/>
      <c r="H714" s="48"/>
      <c r="I714" s="45"/>
      <c r="J714" s="49"/>
      <c r="K714" s="46"/>
      <c r="L714" s="49"/>
    </row>
    <row r="715">
      <c r="A715" s="44"/>
      <c r="B715" s="45"/>
      <c r="C715" s="46"/>
      <c r="D715" s="47"/>
      <c r="E715" s="47"/>
      <c r="F715" s="45"/>
      <c r="G715" s="47"/>
      <c r="H715" s="48"/>
      <c r="I715" s="45"/>
      <c r="J715" s="49"/>
      <c r="K715" s="46"/>
      <c r="L715" s="49"/>
    </row>
    <row r="716">
      <c r="A716" s="44"/>
      <c r="B716" s="45"/>
      <c r="C716" s="46"/>
      <c r="D716" s="47"/>
      <c r="E716" s="47"/>
      <c r="F716" s="45"/>
      <c r="G716" s="47"/>
      <c r="H716" s="48"/>
      <c r="I716" s="45"/>
      <c r="J716" s="49"/>
      <c r="K716" s="46"/>
      <c r="L716" s="49"/>
    </row>
    <row r="717">
      <c r="A717" s="44"/>
      <c r="B717" s="45"/>
      <c r="C717" s="46"/>
      <c r="D717" s="47"/>
      <c r="E717" s="47"/>
      <c r="F717" s="45"/>
      <c r="G717" s="47"/>
      <c r="H717" s="48"/>
      <c r="I717" s="45"/>
      <c r="J717" s="49"/>
      <c r="K717" s="46"/>
      <c r="L717" s="49"/>
    </row>
    <row r="718">
      <c r="A718" s="44"/>
      <c r="B718" s="45"/>
      <c r="C718" s="46"/>
      <c r="D718" s="47"/>
      <c r="E718" s="47"/>
      <c r="F718" s="45"/>
      <c r="G718" s="47"/>
      <c r="H718" s="48"/>
      <c r="I718" s="45"/>
      <c r="J718" s="49"/>
      <c r="K718" s="46"/>
      <c r="L718" s="49"/>
    </row>
    <row r="719">
      <c r="A719" s="44"/>
      <c r="B719" s="45"/>
      <c r="C719" s="46"/>
      <c r="D719" s="47"/>
      <c r="E719" s="47"/>
      <c r="F719" s="45"/>
      <c r="G719" s="47"/>
      <c r="H719" s="48"/>
      <c r="I719" s="45"/>
      <c r="J719" s="49"/>
      <c r="K719" s="46"/>
      <c r="L719" s="49"/>
    </row>
    <row r="720">
      <c r="A720" s="44"/>
      <c r="B720" s="45"/>
      <c r="C720" s="46"/>
      <c r="D720" s="47"/>
      <c r="E720" s="47"/>
      <c r="F720" s="45"/>
      <c r="G720" s="47"/>
      <c r="H720" s="48"/>
      <c r="I720" s="45"/>
      <c r="J720" s="49"/>
      <c r="K720" s="46"/>
      <c r="L720" s="49"/>
    </row>
    <row r="721">
      <c r="A721" s="44"/>
      <c r="B721" s="45"/>
      <c r="C721" s="46"/>
      <c r="D721" s="47"/>
      <c r="E721" s="47"/>
      <c r="F721" s="45"/>
      <c r="G721" s="47"/>
      <c r="H721" s="48"/>
      <c r="I721" s="45"/>
      <c r="J721" s="49"/>
      <c r="K721" s="46"/>
      <c r="L721" s="49"/>
    </row>
    <row r="722">
      <c r="A722" s="44"/>
      <c r="B722" s="45"/>
      <c r="C722" s="46"/>
      <c r="D722" s="47"/>
      <c r="E722" s="47"/>
      <c r="F722" s="45"/>
      <c r="G722" s="47"/>
      <c r="H722" s="48"/>
      <c r="I722" s="45"/>
      <c r="J722" s="49"/>
      <c r="K722" s="46"/>
      <c r="L722" s="49"/>
    </row>
    <row r="723">
      <c r="A723" s="44"/>
      <c r="B723" s="45"/>
      <c r="C723" s="46"/>
      <c r="D723" s="47"/>
      <c r="E723" s="47"/>
      <c r="F723" s="45"/>
      <c r="G723" s="47"/>
      <c r="H723" s="48"/>
      <c r="I723" s="45"/>
      <c r="J723" s="49"/>
      <c r="K723" s="46"/>
      <c r="L723" s="49"/>
    </row>
    <row r="724">
      <c r="A724" s="44"/>
      <c r="B724" s="45"/>
      <c r="C724" s="46"/>
      <c r="D724" s="47"/>
      <c r="E724" s="47"/>
      <c r="F724" s="45"/>
      <c r="G724" s="47"/>
      <c r="H724" s="48"/>
      <c r="I724" s="45"/>
      <c r="J724" s="49"/>
      <c r="K724" s="46"/>
      <c r="L724" s="49"/>
    </row>
    <row r="725">
      <c r="A725" s="44"/>
      <c r="B725" s="45"/>
      <c r="C725" s="46"/>
      <c r="D725" s="47"/>
      <c r="E725" s="47"/>
      <c r="F725" s="45"/>
      <c r="G725" s="47"/>
      <c r="H725" s="48"/>
      <c r="I725" s="45"/>
      <c r="J725" s="49"/>
      <c r="K725" s="46"/>
      <c r="L725" s="49"/>
    </row>
    <row r="726">
      <c r="A726" s="44"/>
      <c r="B726" s="45"/>
      <c r="C726" s="46"/>
      <c r="D726" s="47"/>
      <c r="E726" s="47"/>
      <c r="F726" s="45"/>
      <c r="G726" s="47"/>
      <c r="H726" s="48"/>
      <c r="I726" s="45"/>
      <c r="J726" s="49"/>
      <c r="K726" s="46"/>
      <c r="L726" s="49"/>
    </row>
    <row r="727">
      <c r="A727" s="44"/>
      <c r="B727" s="45"/>
      <c r="C727" s="46"/>
      <c r="D727" s="47"/>
      <c r="E727" s="47"/>
      <c r="F727" s="45"/>
      <c r="G727" s="47"/>
      <c r="H727" s="48"/>
      <c r="I727" s="45"/>
      <c r="J727" s="49"/>
      <c r="K727" s="46"/>
      <c r="L727" s="49"/>
    </row>
    <row r="728">
      <c r="A728" s="44"/>
      <c r="B728" s="45"/>
      <c r="C728" s="46"/>
      <c r="D728" s="47"/>
      <c r="E728" s="47"/>
      <c r="F728" s="45"/>
      <c r="G728" s="47"/>
      <c r="H728" s="48"/>
      <c r="I728" s="45"/>
      <c r="J728" s="49"/>
      <c r="K728" s="46"/>
      <c r="L728" s="49"/>
    </row>
    <row r="729">
      <c r="A729" s="44"/>
      <c r="B729" s="45"/>
      <c r="C729" s="46"/>
      <c r="D729" s="47"/>
      <c r="E729" s="47"/>
      <c r="F729" s="45"/>
      <c r="G729" s="47"/>
      <c r="H729" s="48"/>
      <c r="I729" s="45"/>
      <c r="J729" s="49"/>
      <c r="K729" s="46"/>
      <c r="L729" s="49"/>
    </row>
    <row r="730">
      <c r="A730" s="44"/>
      <c r="B730" s="45"/>
      <c r="C730" s="46"/>
      <c r="D730" s="47"/>
      <c r="E730" s="47"/>
      <c r="F730" s="45"/>
      <c r="G730" s="47"/>
      <c r="H730" s="48"/>
      <c r="I730" s="45"/>
      <c r="J730" s="49"/>
      <c r="K730" s="46"/>
      <c r="L730" s="49"/>
    </row>
    <row r="731">
      <c r="A731" s="44"/>
      <c r="B731" s="45"/>
      <c r="C731" s="46"/>
      <c r="D731" s="47"/>
      <c r="E731" s="47"/>
      <c r="F731" s="45"/>
      <c r="G731" s="47"/>
      <c r="H731" s="48"/>
      <c r="I731" s="45"/>
      <c r="J731" s="49"/>
      <c r="K731" s="46"/>
      <c r="L731" s="49"/>
    </row>
    <row r="732">
      <c r="A732" s="44"/>
      <c r="B732" s="45"/>
      <c r="C732" s="46"/>
      <c r="D732" s="47"/>
      <c r="E732" s="47"/>
      <c r="F732" s="45"/>
      <c r="G732" s="47"/>
      <c r="H732" s="48"/>
      <c r="I732" s="45"/>
      <c r="J732" s="49"/>
      <c r="K732" s="46"/>
      <c r="L732" s="49"/>
    </row>
    <row r="733">
      <c r="A733" s="44"/>
      <c r="B733" s="45"/>
      <c r="C733" s="46"/>
      <c r="D733" s="47"/>
      <c r="E733" s="47"/>
      <c r="F733" s="45"/>
      <c r="G733" s="47"/>
      <c r="H733" s="48"/>
      <c r="I733" s="45"/>
      <c r="J733" s="49"/>
      <c r="K733" s="46"/>
      <c r="L733" s="49"/>
    </row>
    <row r="734">
      <c r="A734" s="44"/>
      <c r="B734" s="45"/>
      <c r="C734" s="46"/>
      <c r="D734" s="47"/>
      <c r="E734" s="47"/>
      <c r="F734" s="45"/>
      <c r="G734" s="47"/>
      <c r="H734" s="48"/>
      <c r="I734" s="45"/>
      <c r="J734" s="49"/>
      <c r="K734" s="46"/>
      <c r="L734" s="49"/>
    </row>
    <row r="735">
      <c r="A735" s="44"/>
      <c r="B735" s="45"/>
      <c r="C735" s="46"/>
      <c r="D735" s="47"/>
      <c r="E735" s="47"/>
      <c r="F735" s="45"/>
      <c r="G735" s="47"/>
      <c r="H735" s="48"/>
      <c r="I735" s="45"/>
      <c r="J735" s="49"/>
      <c r="K735" s="46"/>
      <c r="L735" s="49"/>
    </row>
    <row r="736">
      <c r="A736" s="44"/>
      <c r="B736" s="45"/>
      <c r="C736" s="46"/>
      <c r="D736" s="47"/>
      <c r="E736" s="47"/>
      <c r="F736" s="45"/>
      <c r="G736" s="47"/>
      <c r="H736" s="48"/>
      <c r="I736" s="45"/>
      <c r="J736" s="49"/>
      <c r="K736" s="46"/>
      <c r="L736" s="49"/>
    </row>
    <row r="737">
      <c r="A737" s="44"/>
      <c r="B737" s="45"/>
      <c r="C737" s="46"/>
      <c r="D737" s="47"/>
      <c r="E737" s="47"/>
      <c r="F737" s="45"/>
      <c r="G737" s="47"/>
      <c r="H737" s="48"/>
      <c r="I737" s="45"/>
      <c r="J737" s="49"/>
      <c r="K737" s="46"/>
      <c r="L737" s="49"/>
    </row>
    <row r="738">
      <c r="A738" s="44"/>
      <c r="B738" s="45"/>
      <c r="C738" s="46"/>
      <c r="D738" s="47"/>
      <c r="E738" s="47"/>
      <c r="F738" s="45"/>
      <c r="G738" s="47"/>
      <c r="H738" s="48"/>
      <c r="I738" s="45"/>
      <c r="J738" s="49"/>
      <c r="K738" s="46"/>
      <c r="L738" s="49"/>
    </row>
    <row r="739">
      <c r="A739" s="44"/>
      <c r="B739" s="45"/>
      <c r="C739" s="46"/>
      <c r="D739" s="47"/>
      <c r="E739" s="47"/>
      <c r="F739" s="45"/>
      <c r="G739" s="47"/>
      <c r="H739" s="48"/>
      <c r="I739" s="45"/>
      <c r="J739" s="49"/>
      <c r="K739" s="46"/>
      <c r="L739" s="49"/>
    </row>
    <row r="740">
      <c r="A740" s="44"/>
      <c r="B740" s="45"/>
      <c r="C740" s="46"/>
      <c r="D740" s="47"/>
      <c r="E740" s="47"/>
      <c r="F740" s="45"/>
      <c r="G740" s="47"/>
      <c r="H740" s="48"/>
      <c r="I740" s="45"/>
      <c r="J740" s="49"/>
      <c r="K740" s="46"/>
      <c r="L740" s="49"/>
    </row>
    <row r="741">
      <c r="A741" s="44"/>
      <c r="B741" s="45"/>
      <c r="C741" s="46"/>
      <c r="D741" s="47"/>
      <c r="E741" s="47"/>
      <c r="F741" s="45"/>
      <c r="G741" s="47"/>
      <c r="H741" s="48"/>
      <c r="I741" s="45"/>
      <c r="J741" s="49"/>
      <c r="K741" s="46"/>
      <c r="L741" s="49"/>
    </row>
    <row r="742">
      <c r="A742" s="44"/>
      <c r="B742" s="45"/>
      <c r="C742" s="46"/>
      <c r="D742" s="47"/>
      <c r="E742" s="47"/>
      <c r="F742" s="45"/>
      <c r="G742" s="47"/>
      <c r="H742" s="48"/>
      <c r="I742" s="45"/>
      <c r="J742" s="49"/>
      <c r="K742" s="46"/>
      <c r="L742" s="49"/>
    </row>
    <row r="743">
      <c r="A743" s="44"/>
      <c r="B743" s="45"/>
      <c r="C743" s="46"/>
      <c r="D743" s="47"/>
      <c r="E743" s="47"/>
      <c r="F743" s="45"/>
      <c r="G743" s="47"/>
      <c r="H743" s="48"/>
      <c r="I743" s="45"/>
      <c r="J743" s="49"/>
      <c r="K743" s="46"/>
      <c r="L743" s="49"/>
    </row>
    <row r="744">
      <c r="A744" s="44"/>
      <c r="B744" s="45"/>
      <c r="C744" s="46"/>
      <c r="D744" s="47"/>
      <c r="E744" s="47"/>
      <c r="F744" s="45"/>
      <c r="G744" s="47"/>
      <c r="H744" s="48"/>
      <c r="I744" s="45"/>
      <c r="J744" s="49"/>
      <c r="K744" s="46"/>
      <c r="L744" s="49"/>
    </row>
    <row r="745">
      <c r="A745" s="44"/>
      <c r="B745" s="45"/>
      <c r="C745" s="46"/>
      <c r="D745" s="47"/>
      <c r="E745" s="47"/>
      <c r="F745" s="45"/>
      <c r="G745" s="47"/>
      <c r="H745" s="48"/>
      <c r="I745" s="45"/>
      <c r="J745" s="49"/>
      <c r="K745" s="46"/>
      <c r="L745" s="49"/>
    </row>
    <row r="746">
      <c r="A746" s="44"/>
      <c r="B746" s="45"/>
      <c r="C746" s="46"/>
      <c r="D746" s="47"/>
      <c r="E746" s="47"/>
      <c r="F746" s="45"/>
      <c r="G746" s="47"/>
      <c r="H746" s="48"/>
      <c r="I746" s="45"/>
      <c r="J746" s="49"/>
      <c r="K746" s="46"/>
      <c r="L746" s="49"/>
    </row>
    <row r="747">
      <c r="A747" s="44"/>
      <c r="B747" s="45"/>
      <c r="C747" s="46"/>
      <c r="D747" s="47"/>
      <c r="E747" s="47"/>
      <c r="F747" s="45"/>
      <c r="G747" s="47"/>
      <c r="H747" s="48"/>
      <c r="I747" s="45"/>
      <c r="J747" s="49"/>
      <c r="K747" s="46"/>
      <c r="L747" s="49"/>
    </row>
    <row r="748">
      <c r="A748" s="44"/>
      <c r="B748" s="45"/>
      <c r="C748" s="46"/>
      <c r="D748" s="47"/>
      <c r="E748" s="47"/>
      <c r="F748" s="45"/>
      <c r="G748" s="47"/>
      <c r="H748" s="48"/>
      <c r="I748" s="45"/>
      <c r="J748" s="49"/>
      <c r="K748" s="46"/>
      <c r="L748" s="49"/>
    </row>
    <row r="749">
      <c r="A749" s="44"/>
      <c r="B749" s="45"/>
      <c r="C749" s="46"/>
      <c r="D749" s="47"/>
      <c r="E749" s="47"/>
      <c r="F749" s="45"/>
      <c r="G749" s="47"/>
      <c r="H749" s="48"/>
      <c r="I749" s="45"/>
      <c r="J749" s="49"/>
      <c r="K749" s="46"/>
      <c r="L749" s="49"/>
    </row>
    <row r="750">
      <c r="A750" s="44"/>
      <c r="B750" s="45"/>
      <c r="C750" s="46"/>
      <c r="D750" s="47"/>
      <c r="E750" s="47"/>
      <c r="F750" s="45"/>
      <c r="G750" s="47"/>
      <c r="H750" s="48"/>
      <c r="I750" s="45"/>
      <c r="J750" s="49"/>
      <c r="K750" s="46"/>
      <c r="L750" s="49"/>
    </row>
    <row r="751">
      <c r="A751" s="44"/>
      <c r="B751" s="45"/>
      <c r="C751" s="46"/>
      <c r="D751" s="47"/>
      <c r="E751" s="47"/>
      <c r="F751" s="45"/>
      <c r="G751" s="47"/>
      <c r="H751" s="48"/>
      <c r="I751" s="45"/>
      <c r="J751" s="49"/>
      <c r="K751" s="46"/>
      <c r="L751" s="49"/>
    </row>
    <row r="752">
      <c r="A752" s="44"/>
      <c r="B752" s="45"/>
      <c r="C752" s="46"/>
      <c r="D752" s="47"/>
      <c r="E752" s="47"/>
      <c r="F752" s="45"/>
      <c r="G752" s="47"/>
      <c r="H752" s="48"/>
      <c r="I752" s="45"/>
      <c r="J752" s="49"/>
      <c r="K752" s="46"/>
      <c r="L752" s="49"/>
    </row>
    <row r="753">
      <c r="A753" s="44"/>
      <c r="B753" s="45"/>
      <c r="C753" s="46"/>
      <c r="D753" s="47"/>
      <c r="E753" s="47"/>
      <c r="F753" s="45"/>
      <c r="G753" s="47"/>
      <c r="H753" s="48"/>
      <c r="I753" s="45"/>
      <c r="J753" s="49"/>
      <c r="K753" s="46"/>
      <c r="L753" s="49"/>
    </row>
    <row r="754">
      <c r="A754" s="44"/>
      <c r="B754" s="45"/>
      <c r="C754" s="46"/>
      <c r="D754" s="47"/>
      <c r="E754" s="47"/>
      <c r="F754" s="45"/>
      <c r="G754" s="47"/>
      <c r="H754" s="48"/>
      <c r="I754" s="45"/>
      <c r="J754" s="49"/>
      <c r="K754" s="46"/>
      <c r="L754" s="49"/>
    </row>
    <row r="755">
      <c r="A755" s="44"/>
      <c r="B755" s="45"/>
      <c r="C755" s="46"/>
      <c r="D755" s="47"/>
      <c r="E755" s="47"/>
      <c r="F755" s="45"/>
      <c r="G755" s="47"/>
      <c r="H755" s="48"/>
      <c r="I755" s="45"/>
      <c r="J755" s="49"/>
      <c r="K755" s="46"/>
      <c r="L755" s="49"/>
    </row>
    <row r="756">
      <c r="A756" s="44"/>
      <c r="B756" s="45"/>
      <c r="C756" s="46"/>
      <c r="D756" s="47"/>
      <c r="E756" s="47"/>
      <c r="F756" s="45"/>
      <c r="G756" s="47"/>
      <c r="H756" s="48"/>
      <c r="I756" s="45"/>
      <c r="J756" s="49"/>
      <c r="K756" s="46"/>
      <c r="L756" s="49"/>
    </row>
    <row r="757">
      <c r="A757" s="44"/>
      <c r="B757" s="45"/>
      <c r="C757" s="46"/>
      <c r="D757" s="47"/>
      <c r="E757" s="47"/>
      <c r="F757" s="45"/>
      <c r="G757" s="47"/>
      <c r="H757" s="48"/>
      <c r="I757" s="45"/>
      <c r="J757" s="49"/>
      <c r="K757" s="46"/>
      <c r="L757" s="49"/>
    </row>
    <row r="758">
      <c r="A758" s="44"/>
      <c r="B758" s="45"/>
      <c r="C758" s="46"/>
      <c r="D758" s="47"/>
      <c r="E758" s="47"/>
      <c r="F758" s="45"/>
      <c r="G758" s="47"/>
      <c r="H758" s="48"/>
      <c r="I758" s="45"/>
      <c r="J758" s="49"/>
      <c r="K758" s="46"/>
      <c r="L758" s="49"/>
    </row>
    <row r="759">
      <c r="A759" s="44"/>
      <c r="B759" s="45"/>
      <c r="C759" s="46"/>
      <c r="D759" s="47"/>
      <c r="E759" s="47"/>
      <c r="F759" s="45"/>
      <c r="G759" s="47"/>
      <c r="H759" s="48"/>
      <c r="I759" s="45"/>
      <c r="J759" s="49"/>
      <c r="K759" s="46"/>
      <c r="L759" s="49"/>
    </row>
    <row r="760">
      <c r="A760" s="44"/>
      <c r="B760" s="45"/>
      <c r="C760" s="46"/>
      <c r="D760" s="47"/>
      <c r="E760" s="47"/>
      <c r="F760" s="45"/>
      <c r="G760" s="47"/>
      <c r="H760" s="48"/>
      <c r="I760" s="45"/>
      <c r="J760" s="49"/>
      <c r="K760" s="46"/>
      <c r="L760" s="49"/>
    </row>
    <row r="761">
      <c r="A761" s="44"/>
      <c r="B761" s="45"/>
      <c r="C761" s="46"/>
      <c r="D761" s="47"/>
      <c r="E761" s="47"/>
      <c r="F761" s="45"/>
      <c r="G761" s="47"/>
      <c r="H761" s="48"/>
      <c r="I761" s="45"/>
      <c r="J761" s="49"/>
      <c r="K761" s="46"/>
      <c r="L761" s="49"/>
    </row>
    <row r="762">
      <c r="A762" s="44"/>
      <c r="B762" s="45"/>
      <c r="C762" s="46"/>
      <c r="D762" s="47"/>
      <c r="E762" s="47"/>
      <c r="F762" s="45"/>
      <c r="G762" s="47"/>
      <c r="H762" s="48"/>
      <c r="I762" s="45"/>
      <c r="J762" s="49"/>
      <c r="K762" s="46"/>
      <c r="L762" s="49"/>
    </row>
    <row r="763">
      <c r="A763" s="44"/>
      <c r="B763" s="45"/>
      <c r="C763" s="46"/>
      <c r="D763" s="47"/>
      <c r="E763" s="47"/>
      <c r="F763" s="45"/>
      <c r="G763" s="47"/>
      <c r="H763" s="48"/>
      <c r="I763" s="45"/>
      <c r="J763" s="49"/>
      <c r="K763" s="46"/>
      <c r="L763" s="49"/>
    </row>
    <row r="764">
      <c r="A764" s="44"/>
      <c r="B764" s="45"/>
      <c r="C764" s="46"/>
      <c r="D764" s="47"/>
      <c r="E764" s="47"/>
      <c r="F764" s="45"/>
      <c r="G764" s="47"/>
      <c r="H764" s="48"/>
      <c r="I764" s="45"/>
      <c r="J764" s="49"/>
      <c r="K764" s="46"/>
      <c r="L764" s="49"/>
    </row>
    <row r="765">
      <c r="A765" s="44"/>
      <c r="B765" s="45"/>
      <c r="C765" s="46"/>
      <c r="D765" s="47"/>
      <c r="E765" s="47"/>
      <c r="F765" s="45"/>
      <c r="G765" s="47"/>
      <c r="H765" s="48"/>
      <c r="I765" s="45"/>
      <c r="J765" s="49"/>
      <c r="K765" s="46"/>
      <c r="L765" s="49"/>
    </row>
    <row r="766">
      <c r="A766" s="44"/>
      <c r="B766" s="45"/>
      <c r="C766" s="46"/>
      <c r="D766" s="47"/>
      <c r="E766" s="47"/>
      <c r="F766" s="45"/>
      <c r="G766" s="47"/>
      <c r="H766" s="48"/>
      <c r="I766" s="45"/>
      <c r="J766" s="49"/>
      <c r="K766" s="46"/>
      <c r="L766" s="49"/>
    </row>
    <row r="767">
      <c r="A767" s="44"/>
      <c r="B767" s="45"/>
      <c r="C767" s="46"/>
      <c r="D767" s="47"/>
      <c r="E767" s="47"/>
      <c r="F767" s="45"/>
      <c r="G767" s="47"/>
      <c r="H767" s="48"/>
      <c r="I767" s="45"/>
      <c r="J767" s="49"/>
      <c r="K767" s="46"/>
      <c r="L767" s="49"/>
    </row>
    <row r="768">
      <c r="A768" s="44"/>
      <c r="B768" s="45"/>
      <c r="C768" s="46"/>
      <c r="D768" s="47"/>
      <c r="E768" s="47"/>
      <c r="F768" s="45"/>
      <c r="G768" s="47"/>
      <c r="H768" s="48"/>
      <c r="I768" s="45"/>
      <c r="J768" s="49"/>
      <c r="K768" s="46"/>
      <c r="L768" s="49"/>
    </row>
    <row r="769">
      <c r="A769" s="44"/>
      <c r="B769" s="45"/>
      <c r="C769" s="46"/>
      <c r="D769" s="47"/>
      <c r="E769" s="47"/>
      <c r="F769" s="45"/>
      <c r="G769" s="47"/>
      <c r="H769" s="48"/>
      <c r="I769" s="45"/>
      <c r="J769" s="49"/>
      <c r="K769" s="46"/>
      <c r="L769" s="49"/>
    </row>
    <row r="770">
      <c r="A770" s="44"/>
      <c r="B770" s="45"/>
      <c r="C770" s="46"/>
      <c r="D770" s="47"/>
      <c r="E770" s="47"/>
      <c r="F770" s="45"/>
      <c r="G770" s="47"/>
      <c r="H770" s="48"/>
      <c r="I770" s="45"/>
      <c r="J770" s="49"/>
      <c r="K770" s="46"/>
      <c r="L770" s="49"/>
    </row>
    <row r="771">
      <c r="A771" s="44"/>
      <c r="B771" s="45"/>
      <c r="C771" s="46"/>
      <c r="D771" s="47"/>
      <c r="E771" s="47"/>
      <c r="F771" s="45"/>
      <c r="G771" s="47"/>
      <c r="H771" s="48"/>
      <c r="I771" s="45"/>
      <c r="J771" s="49"/>
      <c r="K771" s="46"/>
      <c r="L771" s="49"/>
    </row>
    <row r="772">
      <c r="A772" s="44"/>
      <c r="B772" s="45"/>
      <c r="C772" s="46"/>
      <c r="D772" s="47"/>
      <c r="E772" s="47"/>
      <c r="F772" s="45"/>
      <c r="G772" s="47"/>
      <c r="H772" s="48"/>
      <c r="I772" s="45"/>
      <c r="J772" s="49"/>
      <c r="K772" s="46"/>
      <c r="L772" s="49"/>
    </row>
    <row r="773">
      <c r="A773" s="44"/>
      <c r="B773" s="45"/>
      <c r="C773" s="46"/>
      <c r="D773" s="47"/>
      <c r="E773" s="47"/>
      <c r="F773" s="45"/>
      <c r="G773" s="47"/>
      <c r="H773" s="48"/>
      <c r="I773" s="45"/>
      <c r="J773" s="49"/>
      <c r="K773" s="46"/>
      <c r="L773" s="49"/>
    </row>
    <row r="774">
      <c r="A774" s="44"/>
      <c r="B774" s="45"/>
      <c r="C774" s="46"/>
      <c r="D774" s="47"/>
      <c r="E774" s="47"/>
      <c r="F774" s="45"/>
      <c r="G774" s="47"/>
      <c r="H774" s="48"/>
      <c r="I774" s="45"/>
      <c r="J774" s="49"/>
      <c r="K774" s="46"/>
      <c r="L774" s="49"/>
    </row>
    <row r="775">
      <c r="A775" s="44"/>
      <c r="B775" s="45"/>
      <c r="C775" s="46"/>
      <c r="D775" s="47"/>
      <c r="E775" s="47"/>
      <c r="F775" s="45"/>
      <c r="G775" s="47"/>
      <c r="H775" s="48"/>
      <c r="I775" s="45"/>
      <c r="J775" s="49"/>
      <c r="K775" s="46"/>
      <c r="L775" s="49"/>
    </row>
    <row r="776">
      <c r="A776" s="44"/>
      <c r="B776" s="45"/>
      <c r="C776" s="46"/>
      <c r="D776" s="47"/>
      <c r="E776" s="47"/>
      <c r="F776" s="45"/>
      <c r="G776" s="47"/>
      <c r="H776" s="48"/>
      <c r="I776" s="45"/>
      <c r="J776" s="49"/>
      <c r="K776" s="46"/>
      <c r="L776" s="49"/>
    </row>
    <row r="777">
      <c r="A777" s="44"/>
      <c r="B777" s="45"/>
      <c r="C777" s="46"/>
      <c r="D777" s="47"/>
      <c r="E777" s="47"/>
      <c r="F777" s="45"/>
      <c r="G777" s="47"/>
      <c r="H777" s="48"/>
      <c r="I777" s="45"/>
      <c r="J777" s="49"/>
      <c r="K777" s="46"/>
      <c r="L777" s="49"/>
    </row>
    <row r="778">
      <c r="A778" s="44"/>
      <c r="B778" s="45"/>
      <c r="C778" s="46"/>
      <c r="D778" s="47"/>
      <c r="E778" s="47"/>
      <c r="F778" s="45"/>
      <c r="G778" s="47"/>
      <c r="H778" s="48"/>
      <c r="I778" s="45"/>
      <c r="J778" s="49"/>
      <c r="K778" s="46"/>
      <c r="L778" s="49"/>
    </row>
    <row r="779">
      <c r="A779" s="44"/>
      <c r="B779" s="45"/>
      <c r="C779" s="46"/>
      <c r="D779" s="47"/>
      <c r="E779" s="47"/>
      <c r="F779" s="45"/>
      <c r="G779" s="47"/>
      <c r="H779" s="48"/>
      <c r="I779" s="45"/>
      <c r="J779" s="49"/>
      <c r="K779" s="46"/>
      <c r="L779" s="49"/>
    </row>
    <row r="780">
      <c r="A780" s="44"/>
      <c r="B780" s="45"/>
      <c r="C780" s="46"/>
      <c r="D780" s="47"/>
      <c r="E780" s="47"/>
      <c r="F780" s="45"/>
      <c r="G780" s="47"/>
      <c r="H780" s="48"/>
      <c r="I780" s="45"/>
      <c r="J780" s="49"/>
      <c r="K780" s="46"/>
      <c r="L780" s="49"/>
    </row>
    <row r="781">
      <c r="A781" s="44"/>
      <c r="B781" s="45"/>
      <c r="C781" s="46"/>
      <c r="D781" s="47"/>
      <c r="E781" s="47"/>
      <c r="F781" s="45"/>
      <c r="G781" s="47"/>
      <c r="H781" s="48"/>
      <c r="I781" s="45"/>
      <c r="J781" s="49"/>
      <c r="K781" s="46"/>
      <c r="L781" s="49"/>
    </row>
    <row r="782">
      <c r="A782" s="44"/>
      <c r="B782" s="45"/>
      <c r="C782" s="46"/>
      <c r="D782" s="47"/>
      <c r="E782" s="47"/>
      <c r="F782" s="45"/>
      <c r="G782" s="47"/>
      <c r="H782" s="48"/>
      <c r="I782" s="45"/>
      <c r="J782" s="49"/>
      <c r="K782" s="46"/>
      <c r="L782" s="49"/>
    </row>
    <row r="783">
      <c r="A783" s="44"/>
      <c r="B783" s="45"/>
      <c r="C783" s="46"/>
      <c r="D783" s="47"/>
      <c r="E783" s="47"/>
      <c r="F783" s="45"/>
      <c r="G783" s="47"/>
      <c r="H783" s="48"/>
      <c r="I783" s="45"/>
      <c r="J783" s="49"/>
      <c r="K783" s="46"/>
      <c r="L783" s="49"/>
    </row>
    <row r="784">
      <c r="A784" s="44"/>
      <c r="B784" s="45"/>
      <c r="C784" s="46"/>
      <c r="D784" s="47"/>
      <c r="E784" s="47"/>
      <c r="F784" s="45"/>
      <c r="G784" s="47"/>
      <c r="H784" s="48"/>
      <c r="I784" s="45"/>
      <c r="J784" s="49"/>
      <c r="K784" s="46"/>
      <c r="L784" s="49"/>
    </row>
    <row r="785">
      <c r="A785" s="44"/>
      <c r="B785" s="45"/>
      <c r="C785" s="46"/>
      <c r="D785" s="47"/>
      <c r="E785" s="47"/>
      <c r="F785" s="45"/>
      <c r="G785" s="47"/>
      <c r="H785" s="48"/>
      <c r="I785" s="45"/>
      <c r="J785" s="49"/>
      <c r="K785" s="46"/>
      <c r="L785" s="49"/>
    </row>
    <row r="786">
      <c r="A786" s="44"/>
      <c r="B786" s="45"/>
      <c r="C786" s="46"/>
      <c r="D786" s="47"/>
      <c r="E786" s="47"/>
      <c r="F786" s="45"/>
      <c r="G786" s="47"/>
      <c r="H786" s="48"/>
      <c r="I786" s="45"/>
      <c r="J786" s="49"/>
      <c r="K786" s="46"/>
      <c r="L786" s="49"/>
    </row>
    <row r="787">
      <c r="A787" s="44"/>
      <c r="B787" s="45"/>
      <c r="C787" s="46"/>
      <c r="D787" s="47"/>
      <c r="E787" s="47"/>
      <c r="F787" s="45"/>
      <c r="G787" s="47"/>
      <c r="H787" s="48"/>
      <c r="I787" s="45"/>
      <c r="J787" s="49"/>
      <c r="K787" s="46"/>
      <c r="L787" s="49"/>
    </row>
    <row r="788">
      <c r="A788" s="44"/>
      <c r="B788" s="45"/>
      <c r="C788" s="46"/>
      <c r="D788" s="47"/>
      <c r="E788" s="47"/>
      <c r="F788" s="45"/>
      <c r="G788" s="47"/>
      <c r="H788" s="48"/>
      <c r="I788" s="45"/>
      <c r="J788" s="49"/>
      <c r="K788" s="46"/>
      <c r="L788" s="49"/>
    </row>
    <row r="789">
      <c r="A789" s="44"/>
      <c r="B789" s="45"/>
      <c r="C789" s="46"/>
      <c r="D789" s="47"/>
      <c r="E789" s="47"/>
      <c r="F789" s="45"/>
      <c r="G789" s="47"/>
      <c r="H789" s="48"/>
      <c r="I789" s="45"/>
      <c r="J789" s="49"/>
      <c r="K789" s="46"/>
      <c r="L789" s="49"/>
    </row>
    <row r="790">
      <c r="A790" s="44"/>
      <c r="B790" s="45"/>
      <c r="C790" s="46"/>
      <c r="D790" s="47"/>
      <c r="E790" s="47"/>
      <c r="F790" s="45"/>
      <c r="G790" s="47"/>
      <c r="H790" s="48"/>
      <c r="I790" s="45"/>
      <c r="J790" s="49"/>
      <c r="K790" s="46"/>
      <c r="L790" s="49"/>
    </row>
    <row r="791">
      <c r="A791" s="44"/>
      <c r="B791" s="45"/>
      <c r="C791" s="46"/>
      <c r="D791" s="47"/>
      <c r="E791" s="47"/>
      <c r="F791" s="45"/>
      <c r="G791" s="47"/>
      <c r="H791" s="48"/>
      <c r="I791" s="45"/>
      <c r="J791" s="49"/>
      <c r="K791" s="46"/>
      <c r="L791" s="49"/>
    </row>
    <row r="792">
      <c r="A792" s="44"/>
      <c r="B792" s="45"/>
      <c r="C792" s="46"/>
      <c r="D792" s="47"/>
      <c r="E792" s="47"/>
      <c r="F792" s="45"/>
      <c r="G792" s="47"/>
      <c r="H792" s="48"/>
      <c r="I792" s="45"/>
      <c r="J792" s="49"/>
      <c r="K792" s="46"/>
      <c r="L792" s="49"/>
    </row>
    <row r="793">
      <c r="A793" s="44"/>
      <c r="B793" s="45"/>
      <c r="C793" s="46"/>
      <c r="D793" s="47"/>
      <c r="E793" s="47"/>
      <c r="F793" s="45"/>
      <c r="G793" s="47"/>
      <c r="H793" s="48"/>
      <c r="I793" s="45"/>
      <c r="J793" s="49"/>
      <c r="K793" s="46"/>
      <c r="L793" s="49"/>
    </row>
    <row r="794">
      <c r="A794" s="44"/>
      <c r="B794" s="45"/>
      <c r="C794" s="46"/>
      <c r="D794" s="47"/>
      <c r="E794" s="47"/>
      <c r="F794" s="45"/>
      <c r="G794" s="47"/>
      <c r="H794" s="48"/>
      <c r="I794" s="45"/>
      <c r="J794" s="49"/>
      <c r="K794" s="46"/>
      <c r="L794" s="49"/>
    </row>
    <row r="795">
      <c r="A795" s="44"/>
      <c r="B795" s="45"/>
      <c r="C795" s="46"/>
      <c r="D795" s="47"/>
      <c r="E795" s="47"/>
      <c r="F795" s="45"/>
      <c r="G795" s="47"/>
      <c r="H795" s="48"/>
      <c r="I795" s="45"/>
      <c r="J795" s="49"/>
      <c r="K795" s="46"/>
      <c r="L795" s="49"/>
    </row>
    <row r="796">
      <c r="A796" s="44"/>
      <c r="B796" s="45"/>
      <c r="C796" s="46"/>
      <c r="D796" s="47"/>
      <c r="E796" s="47"/>
      <c r="F796" s="45"/>
      <c r="G796" s="47"/>
      <c r="H796" s="48"/>
      <c r="I796" s="45"/>
      <c r="J796" s="49"/>
      <c r="K796" s="46"/>
      <c r="L796" s="49"/>
    </row>
    <row r="797">
      <c r="A797" s="44"/>
      <c r="B797" s="45"/>
      <c r="C797" s="46"/>
      <c r="D797" s="47"/>
      <c r="E797" s="47"/>
      <c r="F797" s="45"/>
      <c r="G797" s="47"/>
      <c r="H797" s="48"/>
      <c r="I797" s="45"/>
      <c r="J797" s="49"/>
      <c r="K797" s="46"/>
      <c r="L797" s="49"/>
    </row>
    <row r="798">
      <c r="A798" s="44"/>
      <c r="B798" s="45"/>
      <c r="C798" s="46"/>
      <c r="D798" s="47"/>
      <c r="E798" s="47"/>
      <c r="F798" s="45"/>
      <c r="G798" s="47"/>
      <c r="H798" s="48"/>
      <c r="I798" s="45"/>
      <c r="J798" s="49"/>
      <c r="K798" s="46"/>
      <c r="L798" s="49"/>
    </row>
    <row r="799">
      <c r="A799" s="44"/>
      <c r="B799" s="45"/>
      <c r="C799" s="46"/>
      <c r="D799" s="47"/>
      <c r="E799" s="47"/>
      <c r="F799" s="45"/>
      <c r="G799" s="47"/>
      <c r="H799" s="48"/>
      <c r="I799" s="45"/>
      <c r="J799" s="49"/>
      <c r="K799" s="46"/>
      <c r="L799" s="49"/>
    </row>
    <row r="800">
      <c r="A800" s="44"/>
      <c r="B800" s="45"/>
      <c r="C800" s="46"/>
      <c r="D800" s="47"/>
      <c r="E800" s="47"/>
      <c r="F800" s="45"/>
      <c r="G800" s="47"/>
      <c r="H800" s="48"/>
      <c r="I800" s="45"/>
      <c r="J800" s="49"/>
      <c r="K800" s="46"/>
      <c r="L800" s="49"/>
    </row>
    <row r="801">
      <c r="A801" s="44"/>
      <c r="B801" s="45"/>
      <c r="C801" s="46"/>
      <c r="D801" s="47"/>
      <c r="E801" s="47"/>
      <c r="F801" s="45"/>
      <c r="G801" s="47"/>
      <c r="H801" s="48"/>
      <c r="I801" s="45"/>
      <c r="J801" s="49"/>
      <c r="K801" s="46"/>
      <c r="L801" s="49"/>
    </row>
    <row r="802">
      <c r="A802" s="44"/>
      <c r="B802" s="45"/>
      <c r="C802" s="46"/>
      <c r="D802" s="47"/>
      <c r="E802" s="47"/>
      <c r="F802" s="45"/>
      <c r="G802" s="47"/>
      <c r="H802" s="48"/>
      <c r="I802" s="45"/>
      <c r="J802" s="49"/>
      <c r="K802" s="46"/>
      <c r="L802" s="49"/>
    </row>
    <row r="803">
      <c r="A803" s="44"/>
      <c r="B803" s="45"/>
      <c r="C803" s="46"/>
      <c r="D803" s="47"/>
      <c r="E803" s="47"/>
      <c r="F803" s="45"/>
      <c r="G803" s="47"/>
      <c r="H803" s="48"/>
      <c r="I803" s="45"/>
      <c r="J803" s="49"/>
      <c r="K803" s="46"/>
      <c r="L803" s="49"/>
    </row>
    <row r="804">
      <c r="A804" s="44"/>
      <c r="B804" s="45"/>
      <c r="C804" s="46"/>
      <c r="D804" s="47"/>
      <c r="E804" s="47"/>
      <c r="F804" s="45"/>
      <c r="G804" s="47"/>
      <c r="H804" s="48"/>
      <c r="I804" s="45"/>
      <c r="J804" s="49"/>
      <c r="K804" s="46"/>
      <c r="L804" s="49"/>
    </row>
    <row r="805">
      <c r="A805" s="44"/>
      <c r="B805" s="45"/>
      <c r="C805" s="46"/>
      <c r="D805" s="47"/>
      <c r="E805" s="47"/>
      <c r="F805" s="45"/>
      <c r="G805" s="47"/>
      <c r="H805" s="48"/>
      <c r="I805" s="45"/>
      <c r="J805" s="49"/>
      <c r="K805" s="46"/>
      <c r="L805" s="49"/>
    </row>
    <row r="806">
      <c r="A806" s="44"/>
      <c r="B806" s="45"/>
      <c r="C806" s="46"/>
      <c r="D806" s="47"/>
      <c r="E806" s="47"/>
      <c r="F806" s="45"/>
      <c r="G806" s="47"/>
      <c r="H806" s="48"/>
      <c r="I806" s="45"/>
      <c r="J806" s="49"/>
      <c r="K806" s="46"/>
      <c r="L806" s="49"/>
    </row>
    <row r="807">
      <c r="A807" s="44"/>
      <c r="B807" s="45"/>
      <c r="C807" s="46"/>
      <c r="D807" s="47"/>
      <c r="E807" s="47"/>
      <c r="F807" s="45"/>
      <c r="G807" s="47"/>
      <c r="H807" s="48"/>
      <c r="I807" s="45"/>
      <c r="J807" s="49"/>
      <c r="K807" s="46"/>
      <c r="L807" s="49"/>
    </row>
    <row r="808">
      <c r="A808" s="44"/>
      <c r="B808" s="45"/>
      <c r="C808" s="46"/>
      <c r="D808" s="47"/>
      <c r="E808" s="47"/>
      <c r="F808" s="45"/>
      <c r="G808" s="47"/>
      <c r="H808" s="48"/>
      <c r="I808" s="45"/>
      <c r="J808" s="49"/>
      <c r="K808" s="46"/>
      <c r="L808" s="49"/>
    </row>
    <row r="809">
      <c r="A809" s="44"/>
      <c r="B809" s="45"/>
      <c r="C809" s="46"/>
      <c r="D809" s="47"/>
      <c r="E809" s="47"/>
      <c r="F809" s="45"/>
      <c r="G809" s="47"/>
      <c r="H809" s="48"/>
      <c r="I809" s="45"/>
      <c r="J809" s="49"/>
      <c r="K809" s="46"/>
      <c r="L809" s="49"/>
    </row>
    <row r="810">
      <c r="A810" s="44"/>
      <c r="B810" s="45"/>
      <c r="C810" s="46"/>
      <c r="D810" s="47"/>
      <c r="E810" s="47"/>
      <c r="F810" s="45"/>
      <c r="G810" s="47"/>
      <c r="H810" s="48"/>
      <c r="I810" s="45"/>
      <c r="J810" s="49"/>
      <c r="K810" s="46"/>
      <c r="L810" s="49"/>
    </row>
    <row r="811">
      <c r="A811" s="44"/>
      <c r="B811" s="45"/>
      <c r="C811" s="46"/>
      <c r="D811" s="47"/>
      <c r="E811" s="47"/>
      <c r="F811" s="45"/>
      <c r="G811" s="47"/>
      <c r="H811" s="48"/>
      <c r="I811" s="45"/>
      <c r="J811" s="49"/>
      <c r="K811" s="46"/>
      <c r="L811" s="49"/>
    </row>
    <row r="812">
      <c r="A812" s="44"/>
      <c r="B812" s="45"/>
      <c r="C812" s="46"/>
      <c r="D812" s="47"/>
      <c r="E812" s="47"/>
      <c r="F812" s="45"/>
      <c r="G812" s="47"/>
      <c r="H812" s="48"/>
      <c r="I812" s="45"/>
      <c r="J812" s="49"/>
      <c r="K812" s="46"/>
      <c r="L812" s="49"/>
    </row>
    <row r="813">
      <c r="A813" s="44"/>
      <c r="B813" s="45"/>
      <c r="C813" s="46"/>
      <c r="D813" s="47"/>
      <c r="E813" s="47"/>
      <c r="F813" s="45"/>
      <c r="G813" s="47"/>
      <c r="H813" s="48"/>
      <c r="I813" s="45"/>
      <c r="J813" s="49"/>
      <c r="K813" s="46"/>
      <c r="L813" s="49"/>
    </row>
    <row r="814">
      <c r="A814" s="44"/>
      <c r="B814" s="45"/>
      <c r="C814" s="46"/>
      <c r="D814" s="47"/>
      <c r="E814" s="47"/>
      <c r="F814" s="45"/>
      <c r="G814" s="47"/>
      <c r="H814" s="48"/>
      <c r="I814" s="45"/>
      <c r="J814" s="49"/>
      <c r="K814" s="46"/>
      <c r="L814" s="49"/>
    </row>
    <row r="815">
      <c r="A815" s="44"/>
      <c r="B815" s="45"/>
      <c r="C815" s="46"/>
      <c r="D815" s="47"/>
      <c r="E815" s="47"/>
      <c r="F815" s="45"/>
      <c r="G815" s="47"/>
      <c r="H815" s="48"/>
      <c r="I815" s="45"/>
      <c r="J815" s="49"/>
      <c r="K815" s="46"/>
      <c r="L815" s="49"/>
    </row>
    <row r="816">
      <c r="A816" s="44"/>
      <c r="B816" s="45"/>
      <c r="C816" s="46"/>
      <c r="D816" s="47"/>
      <c r="E816" s="47"/>
      <c r="F816" s="45"/>
      <c r="G816" s="47"/>
      <c r="H816" s="48"/>
      <c r="I816" s="45"/>
      <c r="J816" s="49"/>
      <c r="K816" s="46"/>
      <c r="L816" s="49"/>
    </row>
    <row r="817">
      <c r="A817" s="44"/>
      <c r="B817" s="45"/>
      <c r="C817" s="46"/>
      <c r="D817" s="47"/>
      <c r="E817" s="47"/>
      <c r="F817" s="45"/>
      <c r="G817" s="47"/>
      <c r="H817" s="48"/>
      <c r="I817" s="45"/>
      <c r="J817" s="49"/>
      <c r="K817" s="46"/>
      <c r="L817" s="49"/>
    </row>
    <row r="818">
      <c r="A818" s="44"/>
      <c r="B818" s="45"/>
      <c r="C818" s="46"/>
      <c r="D818" s="47"/>
      <c r="E818" s="47"/>
      <c r="F818" s="45"/>
      <c r="G818" s="47"/>
      <c r="H818" s="48"/>
      <c r="I818" s="45"/>
      <c r="J818" s="49"/>
      <c r="K818" s="46"/>
      <c r="L818" s="49"/>
    </row>
    <row r="819">
      <c r="A819" s="44"/>
      <c r="B819" s="45"/>
      <c r="C819" s="46"/>
      <c r="D819" s="47"/>
      <c r="E819" s="47"/>
      <c r="F819" s="45"/>
      <c r="G819" s="47"/>
      <c r="H819" s="48"/>
      <c r="I819" s="45"/>
      <c r="J819" s="49"/>
      <c r="K819" s="46"/>
      <c r="L819" s="49"/>
    </row>
    <row r="820">
      <c r="A820" s="44"/>
      <c r="B820" s="45"/>
      <c r="C820" s="46"/>
      <c r="D820" s="47"/>
      <c r="E820" s="47"/>
      <c r="F820" s="45"/>
      <c r="G820" s="47"/>
      <c r="H820" s="48"/>
      <c r="I820" s="45"/>
      <c r="J820" s="49"/>
      <c r="K820" s="46"/>
      <c r="L820" s="49"/>
    </row>
    <row r="821">
      <c r="A821" s="44"/>
      <c r="B821" s="45"/>
      <c r="C821" s="46"/>
      <c r="D821" s="47"/>
      <c r="E821" s="47"/>
      <c r="F821" s="45"/>
      <c r="G821" s="47"/>
      <c r="H821" s="48"/>
      <c r="I821" s="45"/>
      <c r="J821" s="49"/>
      <c r="K821" s="46"/>
      <c r="L821" s="49"/>
    </row>
    <row r="822">
      <c r="A822" s="44"/>
      <c r="B822" s="45"/>
      <c r="C822" s="46"/>
      <c r="D822" s="47"/>
      <c r="E822" s="47"/>
      <c r="F822" s="45"/>
      <c r="G822" s="47"/>
      <c r="H822" s="48"/>
      <c r="I822" s="45"/>
      <c r="J822" s="49"/>
      <c r="K822" s="46"/>
      <c r="L822" s="49"/>
    </row>
    <row r="823">
      <c r="A823" s="44"/>
      <c r="B823" s="45"/>
      <c r="C823" s="46"/>
      <c r="D823" s="47"/>
      <c r="E823" s="47"/>
      <c r="F823" s="45"/>
      <c r="G823" s="47"/>
      <c r="H823" s="48"/>
      <c r="I823" s="45"/>
      <c r="J823" s="49"/>
      <c r="K823" s="46"/>
      <c r="L823" s="49"/>
    </row>
    <row r="824">
      <c r="A824" s="44"/>
      <c r="B824" s="45"/>
      <c r="C824" s="46"/>
      <c r="D824" s="47"/>
      <c r="E824" s="47"/>
      <c r="F824" s="45"/>
      <c r="G824" s="47"/>
      <c r="H824" s="48"/>
      <c r="I824" s="45"/>
      <c r="J824" s="49"/>
      <c r="K824" s="46"/>
      <c r="L824" s="49"/>
    </row>
    <row r="825">
      <c r="A825" s="44"/>
      <c r="B825" s="45"/>
      <c r="C825" s="46"/>
      <c r="D825" s="47"/>
      <c r="E825" s="47"/>
      <c r="F825" s="45"/>
      <c r="G825" s="47"/>
      <c r="H825" s="48"/>
      <c r="I825" s="45"/>
      <c r="J825" s="49"/>
      <c r="K825" s="46"/>
      <c r="L825" s="49"/>
    </row>
    <row r="826">
      <c r="A826" s="44"/>
      <c r="B826" s="45"/>
      <c r="C826" s="46"/>
      <c r="D826" s="47"/>
      <c r="E826" s="47"/>
      <c r="F826" s="45"/>
      <c r="G826" s="47"/>
      <c r="H826" s="48"/>
      <c r="I826" s="45"/>
      <c r="J826" s="49"/>
      <c r="K826" s="46"/>
      <c r="L826" s="49"/>
    </row>
    <row r="827">
      <c r="A827" s="44"/>
      <c r="B827" s="45"/>
      <c r="C827" s="46"/>
      <c r="D827" s="47"/>
      <c r="E827" s="47"/>
      <c r="F827" s="45"/>
      <c r="G827" s="47"/>
      <c r="H827" s="48"/>
      <c r="I827" s="45"/>
      <c r="J827" s="49"/>
      <c r="K827" s="46"/>
      <c r="L827" s="49"/>
    </row>
    <row r="828">
      <c r="A828" s="44"/>
      <c r="B828" s="45"/>
      <c r="C828" s="46"/>
      <c r="D828" s="47"/>
      <c r="E828" s="47"/>
      <c r="F828" s="45"/>
      <c r="G828" s="47"/>
      <c r="H828" s="48"/>
      <c r="I828" s="45"/>
      <c r="J828" s="49"/>
      <c r="K828" s="46"/>
      <c r="L828" s="49"/>
    </row>
    <row r="829">
      <c r="A829" s="44"/>
      <c r="B829" s="45"/>
      <c r="C829" s="46"/>
      <c r="D829" s="47"/>
      <c r="E829" s="47"/>
      <c r="F829" s="45"/>
      <c r="G829" s="47"/>
      <c r="H829" s="48"/>
      <c r="I829" s="45"/>
      <c r="J829" s="49"/>
      <c r="K829" s="46"/>
      <c r="L829" s="49"/>
    </row>
    <row r="830">
      <c r="A830" s="44"/>
      <c r="B830" s="45"/>
      <c r="C830" s="46"/>
      <c r="D830" s="47"/>
      <c r="E830" s="47"/>
      <c r="F830" s="45"/>
      <c r="G830" s="47"/>
      <c r="H830" s="48"/>
      <c r="I830" s="45"/>
      <c r="J830" s="49"/>
      <c r="K830" s="46"/>
      <c r="L830" s="49"/>
    </row>
    <row r="831">
      <c r="A831" s="44"/>
      <c r="B831" s="45"/>
      <c r="C831" s="46"/>
      <c r="D831" s="47"/>
      <c r="E831" s="47"/>
      <c r="F831" s="45"/>
      <c r="G831" s="47"/>
      <c r="H831" s="48"/>
      <c r="I831" s="45"/>
      <c r="J831" s="49"/>
      <c r="K831" s="46"/>
      <c r="L831" s="49"/>
    </row>
    <row r="832">
      <c r="A832" s="44"/>
      <c r="B832" s="45"/>
      <c r="C832" s="46"/>
      <c r="D832" s="47"/>
      <c r="E832" s="47"/>
      <c r="F832" s="45"/>
      <c r="G832" s="47"/>
      <c r="H832" s="48"/>
      <c r="I832" s="45"/>
      <c r="J832" s="49"/>
      <c r="K832" s="46"/>
      <c r="L832" s="49"/>
    </row>
    <row r="833">
      <c r="A833" s="44"/>
      <c r="B833" s="45"/>
      <c r="C833" s="46"/>
      <c r="D833" s="47"/>
      <c r="E833" s="47"/>
      <c r="F833" s="45"/>
      <c r="G833" s="47"/>
      <c r="H833" s="48"/>
      <c r="I833" s="45"/>
      <c r="J833" s="49"/>
      <c r="K833" s="46"/>
      <c r="L833" s="49"/>
    </row>
    <row r="834">
      <c r="A834" s="44"/>
      <c r="B834" s="45"/>
      <c r="C834" s="46"/>
      <c r="D834" s="47"/>
      <c r="E834" s="47"/>
      <c r="F834" s="45"/>
      <c r="G834" s="47"/>
      <c r="H834" s="48"/>
      <c r="I834" s="45"/>
      <c r="J834" s="49"/>
      <c r="K834" s="46"/>
      <c r="L834" s="49"/>
    </row>
    <row r="835">
      <c r="A835" s="44"/>
      <c r="B835" s="45"/>
      <c r="C835" s="46"/>
      <c r="D835" s="47"/>
      <c r="E835" s="47"/>
      <c r="F835" s="45"/>
      <c r="G835" s="47"/>
      <c r="H835" s="48"/>
      <c r="I835" s="45"/>
      <c r="J835" s="49"/>
      <c r="K835" s="46"/>
      <c r="L835" s="49"/>
    </row>
    <row r="836">
      <c r="A836" s="44"/>
      <c r="B836" s="45"/>
      <c r="C836" s="46"/>
      <c r="D836" s="47"/>
      <c r="E836" s="47"/>
      <c r="F836" s="45"/>
      <c r="G836" s="47"/>
      <c r="H836" s="48"/>
      <c r="I836" s="45"/>
      <c r="J836" s="49"/>
      <c r="K836" s="46"/>
      <c r="L836" s="49"/>
    </row>
    <row r="837">
      <c r="A837" s="44"/>
      <c r="B837" s="45"/>
      <c r="C837" s="46"/>
      <c r="D837" s="47"/>
      <c r="E837" s="47"/>
      <c r="F837" s="45"/>
      <c r="G837" s="47"/>
      <c r="H837" s="48"/>
      <c r="I837" s="45"/>
      <c r="J837" s="49"/>
      <c r="K837" s="46"/>
      <c r="L837" s="49"/>
    </row>
    <row r="838">
      <c r="A838" s="44"/>
      <c r="B838" s="45"/>
      <c r="C838" s="46"/>
      <c r="D838" s="47"/>
      <c r="E838" s="47"/>
      <c r="F838" s="45"/>
      <c r="G838" s="47"/>
      <c r="H838" s="48"/>
      <c r="I838" s="45"/>
      <c r="J838" s="49"/>
      <c r="K838" s="46"/>
      <c r="L838" s="49"/>
    </row>
    <row r="839">
      <c r="A839" s="44"/>
      <c r="B839" s="45"/>
      <c r="C839" s="46"/>
      <c r="D839" s="47"/>
      <c r="E839" s="47"/>
      <c r="F839" s="45"/>
      <c r="G839" s="47"/>
      <c r="H839" s="48"/>
      <c r="I839" s="45"/>
      <c r="J839" s="49"/>
      <c r="K839" s="46"/>
      <c r="L839" s="49"/>
    </row>
    <row r="840">
      <c r="A840" s="44"/>
      <c r="B840" s="45"/>
      <c r="C840" s="46"/>
      <c r="D840" s="47"/>
      <c r="E840" s="47"/>
      <c r="F840" s="45"/>
      <c r="G840" s="47"/>
      <c r="H840" s="48"/>
      <c r="I840" s="45"/>
      <c r="J840" s="49"/>
      <c r="K840" s="46"/>
      <c r="L840" s="49"/>
    </row>
    <row r="841">
      <c r="A841" s="44"/>
      <c r="B841" s="45"/>
      <c r="C841" s="46"/>
      <c r="D841" s="47"/>
      <c r="E841" s="47"/>
      <c r="F841" s="45"/>
      <c r="G841" s="47"/>
      <c r="H841" s="48"/>
      <c r="I841" s="45"/>
      <c r="J841" s="49"/>
      <c r="K841" s="46"/>
      <c r="L841" s="49"/>
    </row>
    <row r="842">
      <c r="A842" s="44"/>
      <c r="B842" s="45"/>
      <c r="C842" s="46"/>
      <c r="D842" s="47"/>
      <c r="E842" s="47"/>
      <c r="F842" s="45"/>
      <c r="G842" s="47"/>
      <c r="H842" s="48"/>
      <c r="I842" s="45"/>
      <c r="J842" s="49"/>
      <c r="K842" s="46"/>
      <c r="L842" s="49"/>
    </row>
    <row r="843">
      <c r="A843" s="44"/>
      <c r="B843" s="45"/>
      <c r="C843" s="46"/>
      <c r="D843" s="47"/>
      <c r="E843" s="47"/>
      <c r="F843" s="45"/>
      <c r="G843" s="47"/>
      <c r="H843" s="48"/>
      <c r="I843" s="45"/>
      <c r="J843" s="49"/>
      <c r="K843" s="46"/>
      <c r="L843" s="49"/>
    </row>
    <row r="844">
      <c r="A844" s="44"/>
      <c r="B844" s="45"/>
      <c r="C844" s="46"/>
      <c r="D844" s="47"/>
      <c r="E844" s="47"/>
      <c r="F844" s="45"/>
      <c r="G844" s="47"/>
      <c r="H844" s="48"/>
      <c r="I844" s="45"/>
      <c r="J844" s="49"/>
      <c r="K844" s="46"/>
      <c r="L844" s="49"/>
    </row>
    <row r="845">
      <c r="A845" s="44"/>
      <c r="B845" s="45"/>
      <c r="C845" s="46"/>
      <c r="D845" s="47"/>
      <c r="E845" s="47"/>
      <c r="F845" s="45"/>
      <c r="G845" s="47"/>
      <c r="H845" s="48"/>
      <c r="I845" s="45"/>
      <c r="J845" s="49"/>
      <c r="K845" s="46"/>
      <c r="L845" s="49"/>
    </row>
    <row r="846">
      <c r="A846" s="44"/>
      <c r="B846" s="45"/>
      <c r="C846" s="46"/>
      <c r="D846" s="47"/>
      <c r="E846" s="47"/>
      <c r="F846" s="45"/>
      <c r="G846" s="47"/>
      <c r="H846" s="48"/>
      <c r="I846" s="45"/>
      <c r="J846" s="49"/>
      <c r="K846" s="46"/>
      <c r="L846" s="49"/>
    </row>
    <row r="847">
      <c r="A847" s="44"/>
      <c r="B847" s="45"/>
      <c r="C847" s="46"/>
      <c r="D847" s="47"/>
      <c r="E847" s="47"/>
      <c r="F847" s="45"/>
      <c r="G847" s="47"/>
      <c r="H847" s="48"/>
      <c r="I847" s="45"/>
      <c r="J847" s="49"/>
      <c r="K847" s="46"/>
      <c r="L847" s="49"/>
    </row>
    <row r="848">
      <c r="A848" s="44"/>
      <c r="B848" s="45"/>
      <c r="C848" s="46"/>
      <c r="D848" s="47"/>
      <c r="E848" s="47"/>
      <c r="F848" s="45"/>
      <c r="G848" s="47"/>
      <c r="H848" s="48"/>
      <c r="I848" s="45"/>
      <c r="J848" s="49"/>
      <c r="K848" s="46"/>
      <c r="L848" s="49"/>
    </row>
    <row r="849">
      <c r="A849" s="44"/>
      <c r="B849" s="45"/>
      <c r="C849" s="46"/>
      <c r="D849" s="47"/>
      <c r="E849" s="47"/>
      <c r="F849" s="45"/>
      <c r="G849" s="47"/>
      <c r="H849" s="48"/>
      <c r="I849" s="45"/>
      <c r="J849" s="49"/>
      <c r="K849" s="46"/>
      <c r="L849" s="49"/>
    </row>
    <row r="850">
      <c r="A850" s="44"/>
      <c r="B850" s="45"/>
      <c r="C850" s="46"/>
      <c r="D850" s="47"/>
      <c r="E850" s="47"/>
      <c r="F850" s="45"/>
      <c r="G850" s="47"/>
      <c r="H850" s="48"/>
      <c r="I850" s="45"/>
      <c r="J850" s="49"/>
      <c r="K850" s="46"/>
      <c r="L850" s="49"/>
    </row>
    <row r="851">
      <c r="A851" s="44"/>
      <c r="B851" s="45"/>
      <c r="C851" s="46"/>
      <c r="D851" s="47"/>
      <c r="E851" s="47"/>
      <c r="F851" s="45"/>
      <c r="G851" s="47"/>
      <c r="H851" s="48"/>
      <c r="I851" s="45"/>
      <c r="J851" s="49"/>
      <c r="K851" s="46"/>
      <c r="L851" s="49"/>
    </row>
    <row r="852">
      <c r="A852" s="44"/>
      <c r="B852" s="45"/>
      <c r="C852" s="46"/>
      <c r="D852" s="47"/>
      <c r="E852" s="47"/>
      <c r="F852" s="45"/>
      <c r="G852" s="47"/>
      <c r="H852" s="48"/>
      <c r="I852" s="45"/>
      <c r="J852" s="49"/>
      <c r="K852" s="46"/>
      <c r="L852" s="49"/>
    </row>
    <row r="853">
      <c r="A853" s="44"/>
      <c r="B853" s="45"/>
      <c r="C853" s="46"/>
      <c r="D853" s="47"/>
      <c r="E853" s="47"/>
      <c r="F853" s="45"/>
      <c r="G853" s="47"/>
      <c r="H853" s="48"/>
      <c r="I853" s="45"/>
      <c r="J853" s="49"/>
      <c r="K853" s="46"/>
      <c r="L853" s="49"/>
    </row>
    <row r="854">
      <c r="A854" s="44"/>
      <c r="B854" s="45"/>
      <c r="C854" s="46"/>
      <c r="D854" s="47"/>
      <c r="E854" s="47"/>
      <c r="F854" s="45"/>
      <c r="G854" s="47"/>
      <c r="H854" s="48"/>
      <c r="I854" s="45"/>
      <c r="J854" s="49"/>
      <c r="K854" s="46"/>
      <c r="L854" s="49"/>
    </row>
    <row r="855">
      <c r="A855" s="44"/>
      <c r="B855" s="45"/>
      <c r="C855" s="46"/>
      <c r="D855" s="47"/>
      <c r="E855" s="47"/>
      <c r="F855" s="45"/>
      <c r="G855" s="47"/>
      <c r="H855" s="48"/>
      <c r="I855" s="45"/>
      <c r="J855" s="49"/>
      <c r="K855" s="46"/>
      <c r="L855" s="49"/>
    </row>
    <row r="856">
      <c r="A856" s="44"/>
      <c r="B856" s="45"/>
      <c r="C856" s="46"/>
      <c r="D856" s="47"/>
      <c r="E856" s="47"/>
      <c r="F856" s="45"/>
      <c r="G856" s="47"/>
      <c r="H856" s="48"/>
      <c r="I856" s="45"/>
      <c r="J856" s="49"/>
      <c r="K856" s="46"/>
      <c r="L856" s="49"/>
    </row>
    <row r="857">
      <c r="A857" s="44"/>
      <c r="B857" s="45"/>
      <c r="C857" s="46"/>
      <c r="D857" s="47"/>
      <c r="E857" s="47"/>
      <c r="F857" s="45"/>
      <c r="G857" s="47"/>
      <c r="H857" s="48"/>
      <c r="I857" s="45"/>
      <c r="J857" s="49"/>
      <c r="K857" s="46"/>
      <c r="L857" s="49"/>
    </row>
    <row r="858">
      <c r="A858" s="44"/>
      <c r="B858" s="45"/>
      <c r="C858" s="46"/>
      <c r="D858" s="47"/>
      <c r="E858" s="47"/>
      <c r="F858" s="45"/>
      <c r="G858" s="47"/>
      <c r="H858" s="48"/>
      <c r="I858" s="45"/>
      <c r="J858" s="49"/>
      <c r="K858" s="46"/>
      <c r="L858" s="49"/>
    </row>
    <row r="859">
      <c r="A859" s="44"/>
      <c r="B859" s="45"/>
      <c r="C859" s="46"/>
      <c r="D859" s="47"/>
      <c r="E859" s="47"/>
      <c r="F859" s="45"/>
      <c r="G859" s="47"/>
      <c r="H859" s="48"/>
      <c r="I859" s="45"/>
      <c r="J859" s="49"/>
      <c r="K859" s="46"/>
      <c r="L859" s="49"/>
    </row>
    <row r="860">
      <c r="A860" s="44"/>
      <c r="B860" s="45"/>
      <c r="C860" s="46"/>
      <c r="D860" s="47"/>
      <c r="E860" s="47"/>
      <c r="F860" s="45"/>
      <c r="G860" s="47"/>
      <c r="H860" s="48"/>
      <c r="I860" s="45"/>
      <c r="J860" s="49"/>
      <c r="K860" s="46"/>
      <c r="L860" s="49"/>
    </row>
    <row r="861">
      <c r="A861" s="44"/>
      <c r="B861" s="45"/>
      <c r="C861" s="46"/>
      <c r="D861" s="47"/>
      <c r="E861" s="47"/>
      <c r="F861" s="45"/>
      <c r="G861" s="47"/>
      <c r="H861" s="48"/>
      <c r="I861" s="45"/>
      <c r="J861" s="49"/>
      <c r="K861" s="46"/>
      <c r="L861" s="49"/>
    </row>
    <row r="862">
      <c r="A862" s="44"/>
      <c r="B862" s="45"/>
      <c r="C862" s="46"/>
      <c r="D862" s="47"/>
      <c r="E862" s="47"/>
      <c r="F862" s="45"/>
      <c r="G862" s="47"/>
      <c r="H862" s="48"/>
      <c r="I862" s="45"/>
      <c r="J862" s="49"/>
      <c r="K862" s="46"/>
      <c r="L862" s="49"/>
    </row>
    <row r="863">
      <c r="A863" s="44"/>
      <c r="B863" s="45"/>
      <c r="C863" s="46"/>
      <c r="D863" s="47"/>
      <c r="E863" s="47"/>
      <c r="F863" s="45"/>
      <c r="G863" s="47"/>
      <c r="H863" s="48"/>
      <c r="I863" s="45"/>
      <c r="J863" s="49"/>
      <c r="K863" s="46"/>
      <c r="L863" s="49"/>
    </row>
    <row r="864">
      <c r="A864" s="44"/>
      <c r="B864" s="45"/>
      <c r="C864" s="46"/>
      <c r="D864" s="47"/>
      <c r="E864" s="47"/>
      <c r="F864" s="45"/>
      <c r="G864" s="47"/>
      <c r="H864" s="48"/>
      <c r="I864" s="45"/>
      <c r="J864" s="49"/>
      <c r="K864" s="46"/>
      <c r="L864" s="49"/>
    </row>
    <row r="865">
      <c r="A865" s="44"/>
      <c r="B865" s="45"/>
      <c r="C865" s="46"/>
      <c r="D865" s="47"/>
      <c r="E865" s="47"/>
      <c r="F865" s="45"/>
      <c r="G865" s="47"/>
      <c r="H865" s="48"/>
      <c r="I865" s="45"/>
      <c r="J865" s="49"/>
      <c r="K865" s="46"/>
      <c r="L865" s="49"/>
    </row>
    <row r="866">
      <c r="A866" s="44"/>
      <c r="B866" s="45"/>
      <c r="C866" s="46"/>
      <c r="D866" s="47"/>
      <c r="E866" s="47"/>
      <c r="F866" s="45"/>
      <c r="G866" s="47"/>
      <c r="H866" s="48"/>
      <c r="I866" s="45"/>
      <c r="J866" s="49"/>
      <c r="K866" s="46"/>
      <c r="L866" s="49"/>
    </row>
    <row r="867">
      <c r="A867" s="44"/>
      <c r="B867" s="45"/>
      <c r="C867" s="46"/>
      <c r="D867" s="47"/>
      <c r="E867" s="47"/>
      <c r="F867" s="45"/>
      <c r="G867" s="47"/>
      <c r="H867" s="48"/>
      <c r="I867" s="45"/>
      <c r="J867" s="49"/>
      <c r="K867" s="46"/>
      <c r="L867" s="49"/>
    </row>
    <row r="868">
      <c r="A868" s="44"/>
      <c r="B868" s="45"/>
      <c r="C868" s="46"/>
      <c r="D868" s="47"/>
      <c r="E868" s="47"/>
      <c r="F868" s="45"/>
      <c r="G868" s="47"/>
      <c r="H868" s="48"/>
      <c r="I868" s="45"/>
      <c r="J868" s="49"/>
      <c r="K868" s="46"/>
      <c r="L868" s="49"/>
    </row>
    <row r="869">
      <c r="A869" s="44"/>
      <c r="B869" s="45"/>
      <c r="C869" s="46"/>
      <c r="D869" s="47"/>
      <c r="E869" s="47"/>
      <c r="F869" s="45"/>
      <c r="G869" s="47"/>
      <c r="H869" s="48"/>
      <c r="I869" s="45"/>
      <c r="J869" s="49"/>
      <c r="K869" s="46"/>
      <c r="L869" s="49"/>
    </row>
    <row r="870">
      <c r="A870" s="44"/>
      <c r="B870" s="45"/>
      <c r="C870" s="46"/>
      <c r="D870" s="47"/>
      <c r="E870" s="47"/>
      <c r="F870" s="45"/>
      <c r="G870" s="47"/>
      <c r="H870" s="48"/>
      <c r="I870" s="45"/>
      <c r="J870" s="49"/>
      <c r="K870" s="46"/>
      <c r="L870" s="49"/>
    </row>
    <row r="871">
      <c r="A871" s="44"/>
      <c r="B871" s="45"/>
      <c r="C871" s="46"/>
      <c r="D871" s="47"/>
      <c r="E871" s="47"/>
      <c r="F871" s="45"/>
      <c r="G871" s="47"/>
      <c r="H871" s="48"/>
      <c r="I871" s="45"/>
      <c r="J871" s="49"/>
      <c r="K871" s="46"/>
      <c r="L871" s="49"/>
    </row>
    <row r="872">
      <c r="A872" s="44"/>
      <c r="B872" s="45"/>
      <c r="C872" s="46"/>
      <c r="D872" s="47"/>
      <c r="E872" s="47"/>
      <c r="F872" s="45"/>
      <c r="G872" s="47"/>
      <c r="H872" s="48"/>
      <c r="I872" s="45"/>
      <c r="J872" s="49"/>
      <c r="K872" s="46"/>
      <c r="L872" s="49"/>
    </row>
    <row r="873">
      <c r="A873" s="44"/>
      <c r="B873" s="45"/>
      <c r="C873" s="46"/>
      <c r="D873" s="47"/>
      <c r="E873" s="47"/>
      <c r="F873" s="45"/>
      <c r="G873" s="47"/>
      <c r="H873" s="48"/>
      <c r="I873" s="45"/>
      <c r="J873" s="49"/>
      <c r="K873" s="46"/>
      <c r="L873" s="49"/>
    </row>
    <row r="874">
      <c r="A874" s="44"/>
      <c r="B874" s="45"/>
      <c r="C874" s="46"/>
      <c r="D874" s="47"/>
      <c r="E874" s="47"/>
      <c r="F874" s="45"/>
      <c r="G874" s="47"/>
      <c r="H874" s="48"/>
      <c r="I874" s="45"/>
      <c r="J874" s="49"/>
      <c r="K874" s="46"/>
      <c r="L874" s="49"/>
    </row>
    <row r="875">
      <c r="A875" s="44"/>
      <c r="B875" s="45"/>
      <c r="C875" s="46"/>
      <c r="D875" s="47"/>
      <c r="E875" s="47"/>
      <c r="F875" s="45"/>
      <c r="G875" s="47"/>
      <c r="H875" s="48"/>
      <c r="I875" s="45"/>
      <c r="J875" s="49"/>
      <c r="K875" s="46"/>
      <c r="L875" s="49"/>
    </row>
    <row r="876">
      <c r="A876" s="44"/>
      <c r="B876" s="45"/>
      <c r="C876" s="46"/>
      <c r="D876" s="47"/>
      <c r="E876" s="47"/>
      <c r="F876" s="45"/>
      <c r="G876" s="47"/>
      <c r="H876" s="48"/>
      <c r="I876" s="45"/>
      <c r="J876" s="49"/>
      <c r="K876" s="46"/>
      <c r="L876" s="49"/>
    </row>
    <row r="877">
      <c r="A877" s="44"/>
      <c r="B877" s="45"/>
      <c r="C877" s="46"/>
      <c r="D877" s="47"/>
      <c r="E877" s="47"/>
      <c r="F877" s="45"/>
      <c r="G877" s="47"/>
      <c r="H877" s="48"/>
      <c r="I877" s="45"/>
      <c r="J877" s="49"/>
      <c r="K877" s="46"/>
      <c r="L877" s="49"/>
    </row>
    <row r="878">
      <c r="A878" s="44"/>
      <c r="B878" s="45"/>
      <c r="C878" s="46"/>
      <c r="D878" s="47"/>
      <c r="E878" s="47"/>
      <c r="F878" s="45"/>
      <c r="G878" s="47"/>
      <c r="H878" s="48"/>
      <c r="I878" s="45"/>
      <c r="J878" s="49"/>
      <c r="K878" s="46"/>
      <c r="L878" s="49"/>
    </row>
    <row r="879">
      <c r="A879" s="44"/>
      <c r="B879" s="45"/>
      <c r="C879" s="46"/>
      <c r="D879" s="47"/>
      <c r="E879" s="47"/>
      <c r="F879" s="45"/>
      <c r="G879" s="47"/>
      <c r="H879" s="48"/>
      <c r="I879" s="45"/>
      <c r="J879" s="49"/>
      <c r="K879" s="46"/>
      <c r="L879" s="49"/>
    </row>
    <row r="880">
      <c r="A880" s="44"/>
      <c r="B880" s="45"/>
      <c r="C880" s="46"/>
      <c r="D880" s="47"/>
      <c r="E880" s="47"/>
      <c r="F880" s="45"/>
      <c r="G880" s="47"/>
      <c r="H880" s="48"/>
      <c r="I880" s="45"/>
      <c r="J880" s="49"/>
      <c r="K880" s="46"/>
      <c r="L880" s="49"/>
    </row>
    <row r="881">
      <c r="A881" s="44"/>
      <c r="B881" s="45"/>
      <c r="C881" s="46"/>
      <c r="D881" s="47"/>
      <c r="E881" s="47"/>
      <c r="F881" s="45"/>
      <c r="G881" s="47"/>
      <c r="H881" s="48"/>
      <c r="I881" s="45"/>
      <c r="J881" s="49"/>
      <c r="K881" s="46"/>
      <c r="L881" s="49"/>
    </row>
    <row r="882">
      <c r="A882" s="44"/>
      <c r="B882" s="45"/>
      <c r="C882" s="46"/>
      <c r="D882" s="47"/>
      <c r="E882" s="47"/>
      <c r="F882" s="45"/>
      <c r="G882" s="47"/>
      <c r="H882" s="48"/>
      <c r="I882" s="45"/>
      <c r="J882" s="49"/>
      <c r="K882" s="46"/>
      <c r="L882" s="49"/>
    </row>
    <row r="883">
      <c r="A883" s="44"/>
      <c r="B883" s="45"/>
      <c r="C883" s="46"/>
      <c r="D883" s="47"/>
      <c r="E883" s="47"/>
      <c r="F883" s="45"/>
      <c r="G883" s="47"/>
      <c r="H883" s="48"/>
      <c r="I883" s="45"/>
      <c r="J883" s="49"/>
      <c r="K883" s="46"/>
      <c r="L883" s="49"/>
    </row>
    <row r="884">
      <c r="A884" s="44"/>
      <c r="B884" s="45"/>
      <c r="C884" s="46"/>
      <c r="D884" s="47"/>
      <c r="E884" s="47"/>
      <c r="F884" s="45"/>
      <c r="G884" s="47"/>
      <c r="H884" s="48"/>
      <c r="I884" s="45"/>
      <c r="J884" s="49"/>
      <c r="K884" s="46"/>
      <c r="L884" s="49"/>
    </row>
    <row r="885">
      <c r="A885" s="44"/>
      <c r="B885" s="45"/>
      <c r="C885" s="46"/>
      <c r="D885" s="47"/>
      <c r="E885" s="47"/>
      <c r="F885" s="45"/>
      <c r="G885" s="47"/>
      <c r="H885" s="48"/>
      <c r="I885" s="45"/>
      <c r="J885" s="49"/>
      <c r="K885" s="46"/>
      <c r="L885" s="49"/>
    </row>
    <row r="886">
      <c r="A886" s="44"/>
      <c r="B886" s="45"/>
      <c r="C886" s="46"/>
      <c r="D886" s="47"/>
      <c r="E886" s="47"/>
      <c r="F886" s="45"/>
      <c r="G886" s="47"/>
      <c r="H886" s="48"/>
      <c r="I886" s="45"/>
      <c r="J886" s="49"/>
      <c r="K886" s="46"/>
      <c r="L886" s="49"/>
    </row>
    <row r="887">
      <c r="A887" s="44"/>
      <c r="B887" s="45"/>
      <c r="C887" s="46"/>
      <c r="D887" s="47"/>
      <c r="E887" s="47"/>
      <c r="F887" s="45"/>
      <c r="G887" s="47"/>
      <c r="H887" s="48"/>
      <c r="I887" s="45"/>
      <c r="J887" s="49"/>
      <c r="K887" s="46"/>
      <c r="L887" s="49"/>
    </row>
    <row r="888">
      <c r="A888" s="44"/>
      <c r="B888" s="45"/>
      <c r="C888" s="46"/>
      <c r="D888" s="47"/>
      <c r="E888" s="47"/>
      <c r="F888" s="45"/>
      <c r="G888" s="47"/>
      <c r="H888" s="48"/>
      <c r="I888" s="45"/>
      <c r="J888" s="49"/>
      <c r="K888" s="46"/>
      <c r="L888" s="49"/>
    </row>
    <row r="889">
      <c r="A889" s="44"/>
      <c r="B889" s="45"/>
      <c r="C889" s="46"/>
      <c r="D889" s="47"/>
      <c r="E889" s="47"/>
      <c r="F889" s="45"/>
      <c r="G889" s="47"/>
      <c r="H889" s="48"/>
      <c r="I889" s="45"/>
      <c r="J889" s="49"/>
      <c r="K889" s="46"/>
      <c r="L889" s="49"/>
    </row>
    <row r="890">
      <c r="A890" s="44"/>
      <c r="B890" s="45"/>
      <c r="C890" s="46"/>
      <c r="D890" s="47"/>
      <c r="E890" s="47"/>
      <c r="F890" s="45"/>
      <c r="G890" s="47"/>
      <c r="H890" s="48"/>
      <c r="I890" s="45"/>
      <c r="J890" s="49"/>
      <c r="K890" s="46"/>
      <c r="L890" s="49"/>
    </row>
    <row r="891">
      <c r="A891" s="44"/>
      <c r="B891" s="45"/>
      <c r="C891" s="46"/>
      <c r="D891" s="47"/>
      <c r="E891" s="47"/>
      <c r="F891" s="45"/>
      <c r="G891" s="47"/>
      <c r="H891" s="48"/>
      <c r="I891" s="45"/>
      <c r="J891" s="49"/>
      <c r="K891" s="46"/>
      <c r="L891" s="49"/>
    </row>
    <row r="892">
      <c r="A892" s="44"/>
      <c r="B892" s="45"/>
      <c r="C892" s="46"/>
      <c r="D892" s="47"/>
      <c r="E892" s="47"/>
      <c r="F892" s="45"/>
      <c r="G892" s="47"/>
      <c r="H892" s="48"/>
      <c r="I892" s="45"/>
      <c r="J892" s="49"/>
      <c r="K892" s="46"/>
      <c r="L892" s="49"/>
    </row>
    <row r="893">
      <c r="A893" s="44"/>
      <c r="B893" s="45"/>
      <c r="C893" s="46"/>
      <c r="D893" s="47"/>
      <c r="E893" s="47"/>
      <c r="F893" s="45"/>
      <c r="G893" s="47"/>
      <c r="H893" s="48"/>
      <c r="I893" s="45"/>
      <c r="J893" s="49"/>
      <c r="K893" s="46"/>
      <c r="L893" s="49"/>
    </row>
    <row r="894">
      <c r="A894" s="44"/>
      <c r="B894" s="45"/>
      <c r="C894" s="46"/>
      <c r="D894" s="47"/>
      <c r="E894" s="47"/>
      <c r="F894" s="45"/>
      <c r="G894" s="47"/>
      <c r="H894" s="48"/>
      <c r="I894" s="45"/>
      <c r="J894" s="49"/>
      <c r="K894" s="46"/>
      <c r="L894" s="49"/>
    </row>
    <row r="895">
      <c r="A895" s="44"/>
      <c r="B895" s="45"/>
      <c r="C895" s="46"/>
      <c r="D895" s="47"/>
      <c r="E895" s="47"/>
      <c r="F895" s="45"/>
      <c r="G895" s="47"/>
      <c r="H895" s="48"/>
      <c r="I895" s="45"/>
      <c r="J895" s="49"/>
      <c r="K895" s="46"/>
      <c r="L895" s="49"/>
    </row>
    <row r="896">
      <c r="A896" s="44"/>
      <c r="B896" s="45"/>
      <c r="C896" s="46"/>
      <c r="D896" s="47"/>
      <c r="E896" s="47"/>
      <c r="F896" s="45"/>
      <c r="G896" s="47"/>
      <c r="H896" s="48"/>
      <c r="I896" s="45"/>
      <c r="J896" s="49"/>
      <c r="K896" s="46"/>
      <c r="L896" s="49"/>
    </row>
    <row r="897">
      <c r="A897" s="44"/>
      <c r="B897" s="45"/>
      <c r="C897" s="46"/>
      <c r="D897" s="47"/>
      <c r="E897" s="47"/>
      <c r="F897" s="45"/>
      <c r="G897" s="47"/>
      <c r="H897" s="48"/>
      <c r="I897" s="45"/>
      <c r="J897" s="49"/>
      <c r="K897" s="46"/>
      <c r="L897" s="49"/>
    </row>
    <row r="898">
      <c r="A898" s="44"/>
      <c r="B898" s="45"/>
      <c r="C898" s="46"/>
      <c r="D898" s="47"/>
      <c r="E898" s="47"/>
      <c r="F898" s="45"/>
      <c r="G898" s="47"/>
      <c r="H898" s="48"/>
      <c r="I898" s="45"/>
      <c r="J898" s="49"/>
      <c r="K898" s="46"/>
      <c r="L898" s="49"/>
    </row>
    <row r="899">
      <c r="A899" s="44"/>
      <c r="B899" s="45"/>
      <c r="C899" s="46"/>
      <c r="D899" s="47"/>
      <c r="E899" s="47"/>
      <c r="F899" s="45"/>
      <c r="G899" s="47"/>
      <c r="H899" s="48"/>
      <c r="I899" s="45"/>
      <c r="J899" s="49"/>
      <c r="K899" s="46"/>
      <c r="L899" s="49"/>
    </row>
    <row r="900">
      <c r="A900" s="44"/>
      <c r="B900" s="45"/>
      <c r="C900" s="46"/>
      <c r="D900" s="47"/>
      <c r="E900" s="47"/>
      <c r="F900" s="45"/>
      <c r="G900" s="47"/>
      <c r="H900" s="48"/>
      <c r="I900" s="45"/>
      <c r="J900" s="49"/>
      <c r="K900" s="46"/>
      <c r="L900" s="49"/>
    </row>
    <row r="901">
      <c r="A901" s="44"/>
      <c r="B901" s="45"/>
      <c r="C901" s="46"/>
      <c r="D901" s="47"/>
      <c r="E901" s="47"/>
      <c r="F901" s="45"/>
      <c r="G901" s="47"/>
      <c r="H901" s="48"/>
      <c r="I901" s="45"/>
      <c r="J901" s="49"/>
      <c r="K901" s="46"/>
      <c r="L901" s="49"/>
    </row>
    <row r="902">
      <c r="A902" s="44"/>
      <c r="B902" s="45"/>
      <c r="C902" s="46"/>
      <c r="D902" s="47"/>
      <c r="E902" s="47"/>
      <c r="F902" s="45"/>
      <c r="G902" s="47"/>
      <c r="H902" s="48"/>
      <c r="I902" s="45"/>
      <c r="J902" s="49"/>
      <c r="K902" s="46"/>
      <c r="L902" s="49"/>
    </row>
    <row r="903">
      <c r="A903" s="44"/>
      <c r="B903" s="45"/>
      <c r="C903" s="46"/>
      <c r="D903" s="47"/>
      <c r="E903" s="47"/>
      <c r="F903" s="45"/>
      <c r="G903" s="47"/>
      <c r="H903" s="48"/>
      <c r="I903" s="45"/>
      <c r="J903" s="49"/>
      <c r="K903" s="46"/>
      <c r="L903" s="49"/>
    </row>
    <row r="904">
      <c r="A904" s="44"/>
      <c r="B904" s="45"/>
      <c r="C904" s="46"/>
      <c r="D904" s="47"/>
      <c r="E904" s="47"/>
      <c r="F904" s="45"/>
      <c r="G904" s="47"/>
      <c r="H904" s="48"/>
      <c r="I904" s="45"/>
      <c r="J904" s="49"/>
      <c r="K904" s="46"/>
      <c r="L904" s="49"/>
    </row>
    <row r="905">
      <c r="A905" s="44"/>
      <c r="B905" s="45"/>
      <c r="C905" s="46"/>
      <c r="D905" s="47"/>
      <c r="E905" s="47"/>
      <c r="F905" s="45"/>
      <c r="G905" s="47"/>
      <c r="H905" s="48"/>
      <c r="I905" s="45"/>
      <c r="J905" s="49"/>
      <c r="K905" s="46"/>
      <c r="L905" s="49"/>
    </row>
    <row r="906">
      <c r="A906" s="44"/>
      <c r="B906" s="45"/>
      <c r="C906" s="46"/>
      <c r="D906" s="47"/>
      <c r="E906" s="47"/>
      <c r="F906" s="45"/>
      <c r="G906" s="47"/>
      <c r="H906" s="48"/>
      <c r="I906" s="45"/>
      <c r="J906" s="49"/>
      <c r="K906" s="46"/>
      <c r="L906" s="49"/>
    </row>
    <row r="907">
      <c r="A907" s="44"/>
      <c r="B907" s="45"/>
      <c r="C907" s="46"/>
      <c r="D907" s="47"/>
      <c r="E907" s="47"/>
      <c r="F907" s="45"/>
      <c r="G907" s="47"/>
      <c r="H907" s="48"/>
      <c r="I907" s="45"/>
      <c r="J907" s="49"/>
      <c r="K907" s="46"/>
      <c r="L907" s="49"/>
    </row>
    <row r="908">
      <c r="A908" s="44"/>
      <c r="B908" s="45"/>
      <c r="C908" s="46"/>
      <c r="D908" s="47"/>
      <c r="E908" s="47"/>
      <c r="F908" s="45"/>
      <c r="G908" s="47"/>
      <c r="H908" s="48"/>
      <c r="I908" s="45"/>
      <c r="J908" s="49"/>
      <c r="K908" s="46"/>
      <c r="L908" s="49"/>
    </row>
    <row r="909">
      <c r="A909" s="44"/>
      <c r="B909" s="45"/>
      <c r="C909" s="46"/>
      <c r="D909" s="47"/>
      <c r="E909" s="47"/>
      <c r="F909" s="45"/>
      <c r="G909" s="47"/>
      <c r="H909" s="48"/>
      <c r="I909" s="45"/>
      <c r="J909" s="49"/>
      <c r="K909" s="46"/>
      <c r="L909" s="49"/>
    </row>
    <row r="910">
      <c r="A910" s="44"/>
      <c r="B910" s="45"/>
      <c r="C910" s="46"/>
      <c r="D910" s="47"/>
      <c r="E910" s="47"/>
      <c r="F910" s="45"/>
      <c r="G910" s="47"/>
      <c r="H910" s="48"/>
      <c r="I910" s="45"/>
      <c r="J910" s="49"/>
      <c r="K910" s="46"/>
      <c r="L910" s="49"/>
    </row>
    <row r="911">
      <c r="A911" s="44"/>
      <c r="B911" s="45"/>
      <c r="C911" s="46"/>
      <c r="D911" s="47"/>
      <c r="E911" s="47"/>
      <c r="F911" s="45"/>
      <c r="G911" s="47"/>
      <c r="H911" s="48"/>
      <c r="I911" s="45"/>
      <c r="J911" s="49"/>
      <c r="K911" s="46"/>
      <c r="L911" s="49"/>
    </row>
    <row r="912">
      <c r="A912" s="44"/>
      <c r="B912" s="45"/>
      <c r="C912" s="46"/>
      <c r="D912" s="47"/>
      <c r="E912" s="47"/>
      <c r="F912" s="45"/>
      <c r="G912" s="47"/>
      <c r="H912" s="48"/>
      <c r="I912" s="45"/>
      <c r="J912" s="49"/>
      <c r="K912" s="46"/>
      <c r="L912" s="49"/>
    </row>
    <row r="913">
      <c r="A913" s="44"/>
      <c r="B913" s="45"/>
      <c r="C913" s="46"/>
      <c r="D913" s="47"/>
      <c r="E913" s="47"/>
      <c r="F913" s="45"/>
      <c r="G913" s="47"/>
      <c r="H913" s="48"/>
      <c r="I913" s="45"/>
      <c r="J913" s="49"/>
      <c r="K913" s="46"/>
      <c r="L913" s="49"/>
    </row>
    <row r="914">
      <c r="A914" s="44"/>
      <c r="B914" s="45"/>
      <c r="C914" s="46"/>
      <c r="D914" s="47"/>
      <c r="E914" s="47"/>
      <c r="F914" s="45"/>
      <c r="G914" s="47"/>
      <c r="H914" s="48"/>
      <c r="I914" s="45"/>
      <c r="J914" s="49"/>
      <c r="K914" s="46"/>
      <c r="L914" s="49"/>
    </row>
    <row r="915">
      <c r="A915" s="44"/>
      <c r="B915" s="45"/>
      <c r="C915" s="46"/>
      <c r="D915" s="47"/>
      <c r="E915" s="47"/>
      <c r="F915" s="45"/>
      <c r="G915" s="47"/>
      <c r="H915" s="48"/>
      <c r="I915" s="45"/>
      <c r="J915" s="49"/>
      <c r="K915" s="46"/>
      <c r="L915" s="49"/>
    </row>
    <row r="916">
      <c r="A916" s="44"/>
      <c r="B916" s="45"/>
      <c r="C916" s="46"/>
      <c r="D916" s="47"/>
      <c r="E916" s="47"/>
      <c r="F916" s="45"/>
      <c r="G916" s="47"/>
      <c r="H916" s="48"/>
      <c r="I916" s="45"/>
      <c r="J916" s="49"/>
      <c r="K916" s="46"/>
      <c r="L916" s="49"/>
    </row>
    <row r="917">
      <c r="A917" s="44"/>
      <c r="B917" s="45"/>
      <c r="C917" s="46"/>
      <c r="D917" s="47"/>
      <c r="E917" s="47"/>
      <c r="F917" s="45"/>
      <c r="G917" s="47"/>
      <c r="H917" s="48"/>
      <c r="I917" s="45"/>
      <c r="J917" s="49"/>
      <c r="K917" s="46"/>
      <c r="L917" s="49"/>
    </row>
    <row r="918">
      <c r="A918" s="44"/>
      <c r="B918" s="45"/>
      <c r="C918" s="46"/>
      <c r="D918" s="47"/>
      <c r="E918" s="47"/>
      <c r="F918" s="45"/>
      <c r="G918" s="47"/>
      <c r="H918" s="48"/>
      <c r="I918" s="45"/>
      <c r="J918" s="49"/>
      <c r="K918" s="46"/>
      <c r="L918" s="49"/>
    </row>
    <row r="919">
      <c r="A919" s="44"/>
      <c r="B919" s="45"/>
      <c r="C919" s="46"/>
      <c r="D919" s="47"/>
      <c r="E919" s="47"/>
      <c r="F919" s="45"/>
      <c r="G919" s="47"/>
      <c r="H919" s="48"/>
      <c r="I919" s="45"/>
      <c r="J919" s="49"/>
      <c r="K919" s="46"/>
      <c r="L919" s="49"/>
    </row>
    <row r="920">
      <c r="A920" s="44"/>
      <c r="B920" s="45"/>
      <c r="C920" s="46"/>
      <c r="D920" s="47"/>
      <c r="E920" s="47"/>
      <c r="F920" s="45"/>
      <c r="G920" s="47"/>
      <c r="H920" s="48"/>
      <c r="I920" s="45"/>
      <c r="J920" s="49"/>
      <c r="K920" s="46"/>
      <c r="L920" s="49"/>
    </row>
    <row r="921">
      <c r="A921" s="44"/>
      <c r="B921" s="45"/>
      <c r="C921" s="46"/>
      <c r="D921" s="47"/>
      <c r="E921" s="47"/>
      <c r="F921" s="45"/>
      <c r="G921" s="47"/>
      <c r="H921" s="48"/>
      <c r="I921" s="45"/>
      <c r="J921" s="49"/>
      <c r="K921" s="46"/>
      <c r="L921" s="49"/>
    </row>
    <row r="922">
      <c r="A922" s="44"/>
      <c r="B922" s="45"/>
      <c r="C922" s="46"/>
      <c r="D922" s="47"/>
      <c r="E922" s="47"/>
      <c r="F922" s="45"/>
      <c r="G922" s="47"/>
      <c r="H922" s="48"/>
      <c r="I922" s="45"/>
      <c r="J922" s="49"/>
      <c r="K922" s="46"/>
      <c r="L922" s="49"/>
    </row>
    <row r="923">
      <c r="A923" s="44"/>
      <c r="B923" s="45"/>
      <c r="C923" s="46"/>
      <c r="D923" s="47"/>
      <c r="E923" s="47"/>
      <c r="F923" s="45"/>
      <c r="G923" s="47"/>
      <c r="H923" s="48"/>
      <c r="I923" s="45"/>
      <c r="J923" s="49"/>
      <c r="K923" s="46"/>
      <c r="L923" s="49"/>
    </row>
    <row r="924">
      <c r="A924" s="44"/>
      <c r="B924" s="45"/>
      <c r="C924" s="46"/>
      <c r="D924" s="47"/>
      <c r="E924" s="47"/>
      <c r="F924" s="45"/>
      <c r="G924" s="47"/>
      <c r="H924" s="48"/>
      <c r="I924" s="45"/>
      <c r="J924" s="49"/>
      <c r="K924" s="46"/>
      <c r="L924" s="49"/>
    </row>
    <row r="925">
      <c r="A925" s="44"/>
      <c r="B925" s="45"/>
      <c r="C925" s="46"/>
      <c r="D925" s="47"/>
      <c r="E925" s="47"/>
      <c r="F925" s="45"/>
      <c r="G925" s="47"/>
      <c r="H925" s="48"/>
      <c r="I925" s="45"/>
      <c r="J925" s="49"/>
      <c r="K925" s="46"/>
      <c r="L925" s="49"/>
    </row>
    <row r="926">
      <c r="A926" s="44"/>
      <c r="B926" s="45"/>
      <c r="C926" s="46"/>
      <c r="D926" s="47"/>
      <c r="E926" s="47"/>
      <c r="F926" s="45"/>
      <c r="G926" s="47"/>
      <c r="H926" s="48"/>
      <c r="I926" s="45"/>
      <c r="J926" s="49"/>
      <c r="K926" s="46"/>
      <c r="L926" s="49"/>
    </row>
    <row r="927">
      <c r="A927" s="44"/>
      <c r="B927" s="45"/>
      <c r="C927" s="46"/>
      <c r="D927" s="47"/>
      <c r="E927" s="47"/>
      <c r="F927" s="45"/>
      <c r="G927" s="47"/>
      <c r="H927" s="48"/>
      <c r="I927" s="45"/>
      <c r="J927" s="49"/>
      <c r="K927" s="46"/>
      <c r="L927" s="49"/>
    </row>
    <row r="928">
      <c r="A928" s="44"/>
      <c r="B928" s="45"/>
      <c r="C928" s="46"/>
      <c r="D928" s="47"/>
      <c r="E928" s="47"/>
      <c r="F928" s="45"/>
      <c r="G928" s="47"/>
      <c r="H928" s="48"/>
      <c r="I928" s="45"/>
      <c r="J928" s="49"/>
      <c r="K928" s="46"/>
      <c r="L928" s="49"/>
    </row>
    <row r="929">
      <c r="A929" s="44"/>
      <c r="B929" s="45"/>
      <c r="C929" s="46"/>
      <c r="D929" s="47"/>
      <c r="E929" s="47"/>
      <c r="F929" s="45"/>
      <c r="G929" s="47"/>
      <c r="H929" s="48"/>
      <c r="I929" s="45"/>
      <c r="J929" s="49"/>
      <c r="K929" s="46"/>
      <c r="L929" s="49"/>
    </row>
    <row r="930">
      <c r="A930" s="44"/>
      <c r="B930" s="45"/>
      <c r="C930" s="46"/>
      <c r="D930" s="47"/>
      <c r="E930" s="47"/>
      <c r="F930" s="45"/>
      <c r="G930" s="47"/>
      <c r="H930" s="48"/>
      <c r="I930" s="45"/>
      <c r="J930" s="49"/>
      <c r="K930" s="46"/>
      <c r="L930" s="49"/>
    </row>
    <row r="931">
      <c r="A931" s="44"/>
      <c r="B931" s="45"/>
      <c r="C931" s="46"/>
      <c r="D931" s="47"/>
      <c r="E931" s="47"/>
      <c r="F931" s="45"/>
      <c r="G931" s="47"/>
      <c r="H931" s="48"/>
      <c r="I931" s="45"/>
      <c r="J931" s="49"/>
      <c r="K931" s="46"/>
      <c r="L931" s="49"/>
    </row>
    <row r="932">
      <c r="A932" s="44"/>
      <c r="B932" s="45"/>
      <c r="C932" s="46"/>
      <c r="D932" s="47"/>
      <c r="E932" s="47"/>
      <c r="F932" s="45"/>
      <c r="G932" s="47"/>
      <c r="H932" s="48"/>
      <c r="I932" s="45"/>
      <c r="J932" s="49"/>
      <c r="K932" s="46"/>
      <c r="L932" s="49"/>
    </row>
    <row r="933">
      <c r="A933" s="44"/>
      <c r="B933" s="45"/>
      <c r="C933" s="46"/>
      <c r="D933" s="47"/>
      <c r="E933" s="47"/>
      <c r="F933" s="45"/>
      <c r="G933" s="47"/>
      <c r="H933" s="48"/>
      <c r="I933" s="45"/>
      <c r="J933" s="49"/>
      <c r="K933" s="46"/>
      <c r="L933" s="49"/>
    </row>
    <row r="934">
      <c r="A934" s="44"/>
      <c r="B934" s="45"/>
      <c r="C934" s="46"/>
      <c r="D934" s="47"/>
      <c r="E934" s="47"/>
      <c r="F934" s="45"/>
      <c r="G934" s="47"/>
      <c r="H934" s="48"/>
      <c r="I934" s="45"/>
      <c r="J934" s="49"/>
      <c r="K934" s="46"/>
      <c r="L934" s="49"/>
    </row>
    <row r="935">
      <c r="A935" s="44"/>
      <c r="B935" s="45"/>
      <c r="C935" s="46"/>
      <c r="D935" s="47"/>
      <c r="E935" s="47"/>
      <c r="F935" s="45"/>
      <c r="G935" s="47"/>
      <c r="H935" s="48"/>
      <c r="I935" s="45"/>
      <c r="J935" s="49"/>
      <c r="K935" s="46"/>
      <c r="L935" s="49"/>
    </row>
    <row r="936">
      <c r="A936" s="44"/>
      <c r="B936" s="45"/>
      <c r="C936" s="46"/>
      <c r="D936" s="47"/>
      <c r="E936" s="47"/>
      <c r="F936" s="45"/>
      <c r="G936" s="47"/>
      <c r="H936" s="48"/>
      <c r="I936" s="45"/>
      <c r="J936" s="49"/>
      <c r="K936" s="46"/>
      <c r="L936" s="49"/>
    </row>
    <row r="937">
      <c r="A937" s="44"/>
      <c r="B937" s="45"/>
      <c r="C937" s="46"/>
      <c r="D937" s="47"/>
      <c r="E937" s="47"/>
      <c r="F937" s="45"/>
      <c r="G937" s="47"/>
      <c r="H937" s="48"/>
      <c r="I937" s="45"/>
      <c r="J937" s="49"/>
      <c r="K937" s="46"/>
      <c r="L937" s="49"/>
    </row>
    <row r="938">
      <c r="A938" s="44"/>
      <c r="B938" s="45"/>
      <c r="C938" s="46"/>
      <c r="D938" s="47"/>
      <c r="E938" s="47"/>
      <c r="F938" s="45"/>
      <c r="G938" s="47"/>
      <c r="H938" s="48"/>
      <c r="I938" s="45"/>
      <c r="J938" s="49"/>
      <c r="K938" s="46"/>
      <c r="L938" s="49"/>
    </row>
    <row r="939">
      <c r="A939" s="44"/>
      <c r="B939" s="45"/>
      <c r="C939" s="46"/>
      <c r="D939" s="47"/>
      <c r="E939" s="47"/>
      <c r="F939" s="45"/>
      <c r="G939" s="47"/>
      <c r="H939" s="48"/>
      <c r="I939" s="45"/>
      <c r="J939" s="49"/>
      <c r="K939" s="46"/>
      <c r="L939" s="49"/>
    </row>
    <row r="940">
      <c r="A940" s="44"/>
      <c r="B940" s="45"/>
      <c r="C940" s="46"/>
      <c r="D940" s="47"/>
      <c r="E940" s="47"/>
      <c r="F940" s="45"/>
      <c r="G940" s="47"/>
      <c r="H940" s="48"/>
      <c r="I940" s="45"/>
      <c r="J940" s="49"/>
      <c r="K940" s="46"/>
      <c r="L940" s="49"/>
    </row>
    <row r="941">
      <c r="A941" s="44"/>
      <c r="B941" s="45"/>
      <c r="C941" s="46"/>
      <c r="D941" s="47"/>
      <c r="E941" s="47"/>
      <c r="F941" s="45"/>
      <c r="G941" s="47"/>
      <c r="H941" s="48"/>
      <c r="I941" s="45"/>
      <c r="J941" s="49"/>
      <c r="K941" s="46"/>
      <c r="L941" s="49"/>
    </row>
    <row r="942">
      <c r="A942" s="44"/>
      <c r="B942" s="45"/>
      <c r="C942" s="46"/>
      <c r="D942" s="47"/>
      <c r="E942" s="47"/>
      <c r="F942" s="45"/>
      <c r="G942" s="47"/>
      <c r="H942" s="48"/>
      <c r="I942" s="45"/>
      <c r="J942" s="49"/>
      <c r="K942" s="46"/>
      <c r="L942" s="49"/>
    </row>
    <row r="943">
      <c r="A943" s="44"/>
      <c r="B943" s="45"/>
      <c r="C943" s="46"/>
      <c r="D943" s="47"/>
      <c r="E943" s="47"/>
      <c r="F943" s="45"/>
      <c r="G943" s="47"/>
      <c r="H943" s="48"/>
      <c r="I943" s="45"/>
      <c r="J943" s="49"/>
      <c r="K943" s="46"/>
      <c r="L943" s="49"/>
    </row>
    <row r="944">
      <c r="A944" s="44"/>
      <c r="B944" s="45"/>
      <c r="C944" s="46"/>
      <c r="D944" s="47"/>
      <c r="E944" s="47"/>
      <c r="F944" s="45"/>
      <c r="G944" s="47"/>
      <c r="H944" s="48"/>
      <c r="I944" s="45"/>
      <c r="J944" s="49"/>
      <c r="K944" s="46"/>
      <c r="L944" s="49"/>
    </row>
    <row r="945">
      <c r="A945" s="44"/>
      <c r="B945" s="45"/>
      <c r="C945" s="46"/>
      <c r="D945" s="47"/>
      <c r="E945" s="47"/>
      <c r="F945" s="45"/>
      <c r="G945" s="47"/>
      <c r="H945" s="48"/>
      <c r="I945" s="45"/>
      <c r="J945" s="49"/>
      <c r="K945" s="46"/>
      <c r="L945" s="49"/>
    </row>
    <row r="946">
      <c r="A946" s="44"/>
      <c r="B946" s="45"/>
      <c r="C946" s="46"/>
      <c r="D946" s="47"/>
      <c r="E946" s="47"/>
      <c r="F946" s="45"/>
      <c r="G946" s="47"/>
      <c r="H946" s="48"/>
      <c r="I946" s="45"/>
      <c r="J946" s="49"/>
      <c r="K946" s="46"/>
      <c r="L946" s="49"/>
    </row>
    <row r="947">
      <c r="A947" s="44"/>
      <c r="B947" s="45"/>
      <c r="C947" s="46"/>
      <c r="D947" s="47"/>
      <c r="E947" s="47"/>
      <c r="F947" s="45"/>
      <c r="G947" s="47"/>
      <c r="H947" s="48"/>
      <c r="I947" s="45"/>
      <c r="J947" s="49"/>
      <c r="K947" s="46"/>
      <c r="L947" s="49"/>
    </row>
    <row r="948">
      <c r="A948" s="44"/>
      <c r="B948" s="45"/>
      <c r="C948" s="46"/>
      <c r="D948" s="47"/>
      <c r="E948" s="47"/>
      <c r="F948" s="45"/>
      <c r="G948" s="47"/>
      <c r="H948" s="48"/>
      <c r="I948" s="45"/>
      <c r="J948" s="49"/>
      <c r="K948" s="46"/>
      <c r="L948" s="49"/>
    </row>
    <row r="949">
      <c r="A949" s="44"/>
      <c r="B949" s="45"/>
      <c r="C949" s="46"/>
      <c r="D949" s="47"/>
      <c r="E949" s="47"/>
      <c r="F949" s="45"/>
      <c r="G949" s="47"/>
      <c r="H949" s="48"/>
      <c r="I949" s="45"/>
      <c r="J949" s="49"/>
      <c r="K949" s="46"/>
      <c r="L949" s="49"/>
    </row>
    <row r="950">
      <c r="A950" s="44"/>
      <c r="B950" s="45"/>
      <c r="C950" s="46"/>
      <c r="D950" s="47"/>
      <c r="E950" s="47"/>
      <c r="F950" s="45"/>
      <c r="G950" s="47"/>
      <c r="H950" s="48"/>
      <c r="I950" s="45"/>
      <c r="J950" s="49"/>
      <c r="K950" s="46"/>
      <c r="L950" s="49"/>
    </row>
    <row r="951">
      <c r="A951" s="44"/>
      <c r="B951" s="45"/>
      <c r="C951" s="46"/>
      <c r="D951" s="47"/>
      <c r="E951" s="47"/>
      <c r="F951" s="45"/>
      <c r="G951" s="47"/>
      <c r="H951" s="48"/>
      <c r="I951" s="45"/>
      <c r="J951" s="49"/>
      <c r="K951" s="46"/>
      <c r="L951" s="49"/>
    </row>
    <row r="952">
      <c r="A952" s="44"/>
      <c r="B952" s="45"/>
      <c r="C952" s="46"/>
      <c r="D952" s="47"/>
      <c r="E952" s="47"/>
      <c r="F952" s="45"/>
      <c r="G952" s="47"/>
      <c r="H952" s="48"/>
      <c r="I952" s="45"/>
      <c r="J952" s="49"/>
      <c r="K952" s="46"/>
      <c r="L952" s="49"/>
    </row>
    <row r="953">
      <c r="A953" s="44"/>
      <c r="B953" s="45"/>
      <c r="C953" s="46"/>
      <c r="D953" s="47"/>
      <c r="E953" s="47"/>
      <c r="F953" s="45"/>
      <c r="G953" s="47"/>
      <c r="H953" s="48"/>
      <c r="I953" s="45"/>
      <c r="J953" s="49"/>
      <c r="K953" s="46"/>
      <c r="L953" s="49"/>
    </row>
    <row r="954">
      <c r="A954" s="44"/>
      <c r="B954" s="45"/>
      <c r="C954" s="46"/>
      <c r="D954" s="47"/>
      <c r="E954" s="47"/>
      <c r="F954" s="45"/>
      <c r="G954" s="47"/>
      <c r="H954" s="48"/>
      <c r="I954" s="45"/>
      <c r="J954" s="49"/>
      <c r="K954" s="46"/>
      <c r="L954" s="49"/>
    </row>
    <row r="955">
      <c r="A955" s="44"/>
      <c r="B955" s="45"/>
      <c r="C955" s="46"/>
      <c r="D955" s="47"/>
      <c r="E955" s="47"/>
      <c r="F955" s="45"/>
      <c r="G955" s="47"/>
      <c r="H955" s="48"/>
      <c r="I955" s="45"/>
      <c r="J955" s="49"/>
      <c r="K955" s="46"/>
      <c r="L955" s="49"/>
    </row>
    <row r="956">
      <c r="A956" s="44"/>
      <c r="B956" s="45"/>
      <c r="C956" s="46"/>
      <c r="D956" s="47"/>
      <c r="E956" s="47"/>
      <c r="F956" s="45"/>
      <c r="G956" s="47"/>
      <c r="H956" s="48"/>
      <c r="I956" s="45"/>
      <c r="J956" s="49"/>
      <c r="K956" s="46"/>
      <c r="L956" s="49"/>
    </row>
    <row r="957">
      <c r="A957" s="44"/>
      <c r="B957" s="45"/>
      <c r="C957" s="46"/>
      <c r="D957" s="47"/>
      <c r="E957" s="47"/>
      <c r="F957" s="45"/>
      <c r="G957" s="47"/>
      <c r="H957" s="48"/>
      <c r="I957" s="45"/>
      <c r="J957" s="49"/>
      <c r="K957" s="46"/>
      <c r="L957" s="49"/>
    </row>
    <row r="958">
      <c r="A958" s="44"/>
      <c r="B958" s="45"/>
      <c r="C958" s="46"/>
      <c r="D958" s="47"/>
      <c r="E958" s="47"/>
      <c r="F958" s="45"/>
      <c r="G958" s="47"/>
      <c r="H958" s="48"/>
      <c r="I958" s="45"/>
      <c r="J958" s="49"/>
      <c r="K958" s="46"/>
      <c r="L958" s="49"/>
    </row>
    <row r="959">
      <c r="A959" s="44"/>
      <c r="B959" s="45"/>
      <c r="C959" s="46"/>
      <c r="D959" s="47"/>
      <c r="E959" s="47"/>
      <c r="F959" s="45"/>
      <c r="G959" s="47"/>
      <c r="H959" s="48"/>
      <c r="I959" s="45"/>
      <c r="J959" s="49"/>
      <c r="K959" s="46"/>
      <c r="L959" s="49"/>
    </row>
    <row r="960">
      <c r="A960" s="44"/>
      <c r="B960" s="45"/>
      <c r="C960" s="46"/>
      <c r="D960" s="47"/>
      <c r="E960" s="47"/>
      <c r="F960" s="45"/>
      <c r="G960" s="47"/>
      <c r="H960" s="48"/>
      <c r="I960" s="45"/>
      <c r="J960" s="49"/>
      <c r="K960" s="46"/>
      <c r="L960" s="49"/>
    </row>
    <row r="961">
      <c r="A961" s="44"/>
      <c r="B961" s="45"/>
      <c r="C961" s="46"/>
      <c r="D961" s="47"/>
      <c r="E961" s="47"/>
      <c r="F961" s="45"/>
      <c r="G961" s="47"/>
      <c r="H961" s="48"/>
      <c r="I961" s="45"/>
      <c r="J961" s="49"/>
      <c r="K961" s="46"/>
      <c r="L961" s="49"/>
    </row>
    <row r="962">
      <c r="A962" s="44"/>
      <c r="B962" s="45"/>
      <c r="C962" s="46"/>
      <c r="D962" s="47"/>
      <c r="E962" s="47"/>
      <c r="F962" s="45"/>
      <c r="G962" s="47"/>
      <c r="H962" s="48"/>
      <c r="I962" s="45"/>
      <c r="J962" s="49"/>
      <c r="K962" s="46"/>
      <c r="L962" s="49"/>
    </row>
    <row r="963">
      <c r="A963" s="44"/>
      <c r="B963" s="45"/>
      <c r="C963" s="46"/>
      <c r="D963" s="47"/>
      <c r="E963" s="47"/>
      <c r="F963" s="45"/>
      <c r="G963" s="47"/>
      <c r="H963" s="48"/>
      <c r="I963" s="45"/>
      <c r="J963" s="49"/>
      <c r="K963" s="46"/>
      <c r="L963" s="49"/>
    </row>
    <row r="964">
      <c r="A964" s="44"/>
      <c r="B964" s="45"/>
      <c r="C964" s="46"/>
      <c r="D964" s="47"/>
      <c r="E964" s="47"/>
      <c r="F964" s="45"/>
      <c r="G964" s="47"/>
      <c r="H964" s="48"/>
      <c r="I964" s="45"/>
      <c r="J964" s="49"/>
      <c r="K964" s="46"/>
      <c r="L964" s="49"/>
    </row>
    <row r="965">
      <c r="A965" s="44"/>
      <c r="B965" s="45"/>
      <c r="C965" s="46"/>
      <c r="D965" s="47"/>
      <c r="E965" s="47"/>
      <c r="F965" s="45"/>
      <c r="G965" s="47"/>
      <c r="H965" s="48"/>
      <c r="I965" s="45"/>
      <c r="J965" s="49"/>
      <c r="K965" s="46"/>
      <c r="L965" s="49"/>
    </row>
    <row r="966">
      <c r="A966" s="44"/>
      <c r="B966" s="45"/>
      <c r="C966" s="46"/>
      <c r="D966" s="47"/>
      <c r="E966" s="47"/>
      <c r="F966" s="45"/>
      <c r="G966" s="47"/>
      <c r="H966" s="48"/>
      <c r="I966" s="45"/>
      <c r="J966" s="49"/>
      <c r="K966" s="46"/>
      <c r="L966" s="49"/>
    </row>
    <row r="967">
      <c r="A967" s="44"/>
      <c r="B967" s="45"/>
      <c r="C967" s="46"/>
      <c r="D967" s="47"/>
      <c r="E967" s="47"/>
      <c r="F967" s="45"/>
      <c r="G967" s="47"/>
      <c r="H967" s="48"/>
      <c r="I967" s="45"/>
      <c r="J967" s="49"/>
      <c r="K967" s="46"/>
      <c r="L967" s="49"/>
    </row>
    <row r="968">
      <c r="A968" s="44"/>
      <c r="B968" s="45"/>
      <c r="C968" s="46"/>
      <c r="D968" s="47"/>
      <c r="E968" s="47"/>
      <c r="F968" s="45"/>
      <c r="G968" s="47"/>
      <c r="H968" s="48"/>
      <c r="I968" s="45"/>
      <c r="J968" s="49"/>
      <c r="K968" s="46"/>
      <c r="L968" s="49"/>
    </row>
    <row r="969">
      <c r="A969" s="44"/>
      <c r="B969" s="45"/>
      <c r="C969" s="46"/>
      <c r="D969" s="47"/>
      <c r="E969" s="47"/>
      <c r="F969" s="45"/>
      <c r="G969" s="47"/>
      <c r="H969" s="48"/>
      <c r="I969" s="45"/>
      <c r="J969" s="49"/>
      <c r="K969" s="46"/>
      <c r="L969" s="49"/>
    </row>
    <row r="970">
      <c r="A970" s="44"/>
      <c r="B970" s="45"/>
      <c r="C970" s="46"/>
      <c r="D970" s="47"/>
      <c r="E970" s="47"/>
      <c r="F970" s="45"/>
      <c r="G970" s="47"/>
      <c r="H970" s="48"/>
      <c r="I970" s="45"/>
      <c r="J970" s="49"/>
      <c r="K970" s="46"/>
      <c r="L970" s="49"/>
    </row>
    <row r="971">
      <c r="A971" s="44"/>
      <c r="B971" s="45"/>
      <c r="C971" s="46"/>
      <c r="D971" s="47"/>
      <c r="E971" s="47"/>
      <c r="F971" s="45"/>
      <c r="G971" s="47"/>
      <c r="H971" s="48"/>
      <c r="I971" s="45"/>
      <c r="J971" s="49"/>
      <c r="K971" s="46"/>
      <c r="L971" s="49"/>
    </row>
    <row r="972">
      <c r="A972" s="44"/>
      <c r="B972" s="45"/>
      <c r="C972" s="46"/>
      <c r="D972" s="47"/>
      <c r="E972" s="47"/>
      <c r="F972" s="45"/>
      <c r="G972" s="47"/>
      <c r="H972" s="48"/>
      <c r="I972" s="45"/>
      <c r="J972" s="49"/>
      <c r="K972" s="46"/>
      <c r="L972" s="49"/>
    </row>
    <row r="973">
      <c r="A973" s="44"/>
      <c r="B973" s="45"/>
      <c r="C973" s="46"/>
      <c r="D973" s="47"/>
      <c r="E973" s="47"/>
      <c r="F973" s="45"/>
      <c r="G973" s="47"/>
      <c r="H973" s="48"/>
      <c r="I973" s="45"/>
      <c r="J973" s="49"/>
      <c r="K973" s="46"/>
      <c r="L973" s="49"/>
    </row>
    <row r="974">
      <c r="A974" s="44"/>
      <c r="B974" s="45"/>
      <c r="C974" s="46"/>
      <c r="D974" s="47"/>
      <c r="E974" s="47"/>
      <c r="F974" s="45"/>
      <c r="G974" s="47"/>
      <c r="H974" s="48"/>
      <c r="I974" s="45"/>
      <c r="J974" s="49"/>
      <c r="K974" s="46"/>
      <c r="L974" s="49"/>
    </row>
    <row r="975">
      <c r="A975" s="44"/>
      <c r="B975" s="45"/>
      <c r="C975" s="46"/>
      <c r="D975" s="47"/>
      <c r="E975" s="47"/>
      <c r="F975" s="45"/>
      <c r="G975" s="47"/>
      <c r="H975" s="48"/>
      <c r="I975" s="45"/>
      <c r="J975" s="49"/>
      <c r="K975" s="46"/>
      <c r="L975" s="49"/>
    </row>
    <row r="976">
      <c r="A976" s="44"/>
      <c r="B976" s="45"/>
      <c r="C976" s="46"/>
      <c r="D976" s="47"/>
      <c r="E976" s="47"/>
      <c r="F976" s="45"/>
      <c r="G976" s="47"/>
      <c r="H976" s="48"/>
      <c r="I976" s="45"/>
      <c r="J976" s="49"/>
      <c r="K976" s="46"/>
      <c r="L976" s="49"/>
    </row>
    <row r="977">
      <c r="A977" s="44"/>
      <c r="B977" s="45"/>
      <c r="C977" s="46"/>
      <c r="D977" s="47"/>
      <c r="E977" s="47"/>
      <c r="F977" s="45"/>
      <c r="G977" s="47"/>
      <c r="H977" s="48"/>
      <c r="I977" s="45"/>
      <c r="J977" s="49"/>
      <c r="K977" s="46"/>
      <c r="L977" s="49"/>
    </row>
    <row r="978">
      <c r="A978" s="44"/>
      <c r="B978" s="45"/>
      <c r="C978" s="46"/>
      <c r="D978" s="47"/>
      <c r="E978" s="47"/>
      <c r="F978" s="45"/>
      <c r="G978" s="47"/>
      <c r="H978" s="48"/>
      <c r="I978" s="45"/>
      <c r="J978" s="49"/>
      <c r="K978" s="46"/>
      <c r="L978" s="49"/>
    </row>
    <row r="979">
      <c r="A979" s="44"/>
      <c r="B979" s="45"/>
      <c r="C979" s="46"/>
      <c r="D979" s="47"/>
      <c r="E979" s="47"/>
      <c r="F979" s="45"/>
      <c r="G979" s="47"/>
      <c r="H979" s="48"/>
      <c r="I979" s="45"/>
      <c r="J979" s="49"/>
      <c r="K979" s="46"/>
      <c r="L979" s="49"/>
    </row>
    <row r="980">
      <c r="A980" s="44"/>
      <c r="B980" s="45"/>
      <c r="C980" s="46"/>
      <c r="D980" s="47"/>
      <c r="E980" s="47"/>
      <c r="F980" s="45"/>
      <c r="G980" s="47"/>
      <c r="H980" s="48"/>
      <c r="I980" s="45"/>
      <c r="J980" s="49"/>
      <c r="K980" s="46"/>
      <c r="L980" s="49"/>
    </row>
    <row r="981">
      <c r="A981" s="44"/>
      <c r="B981" s="45"/>
      <c r="C981" s="46"/>
      <c r="D981" s="47"/>
      <c r="E981" s="47"/>
      <c r="F981" s="45"/>
      <c r="G981" s="47"/>
      <c r="H981" s="48"/>
      <c r="I981" s="45"/>
      <c r="J981" s="49"/>
      <c r="K981" s="46"/>
      <c r="L981" s="49"/>
    </row>
    <row r="982">
      <c r="A982" s="44"/>
      <c r="B982" s="45"/>
      <c r="C982" s="46"/>
      <c r="D982" s="47"/>
      <c r="E982" s="47"/>
      <c r="F982" s="45"/>
      <c r="G982" s="47"/>
      <c r="H982" s="48"/>
      <c r="I982" s="45"/>
      <c r="J982" s="49"/>
      <c r="K982" s="46"/>
      <c r="L982" s="49"/>
    </row>
    <row r="983">
      <c r="A983" s="44"/>
      <c r="B983" s="45"/>
      <c r="C983" s="46"/>
      <c r="D983" s="47"/>
      <c r="E983" s="47"/>
      <c r="F983" s="45"/>
      <c r="G983" s="47"/>
      <c r="H983" s="48"/>
      <c r="I983" s="45"/>
      <c r="J983" s="49"/>
      <c r="K983" s="46"/>
      <c r="L983" s="49"/>
    </row>
    <row r="984">
      <c r="A984" s="44"/>
      <c r="B984" s="45"/>
      <c r="C984" s="46"/>
      <c r="D984" s="47"/>
      <c r="E984" s="47"/>
      <c r="F984" s="45"/>
      <c r="G984" s="47"/>
      <c r="H984" s="48"/>
      <c r="I984" s="45"/>
      <c r="J984" s="49"/>
      <c r="K984" s="46"/>
      <c r="L984" s="49"/>
    </row>
    <row r="985">
      <c r="A985" s="44"/>
      <c r="B985" s="45"/>
      <c r="C985" s="46"/>
      <c r="D985" s="47"/>
      <c r="E985" s="47"/>
      <c r="F985" s="45"/>
      <c r="G985" s="47"/>
      <c r="H985" s="48"/>
      <c r="I985" s="45"/>
      <c r="J985" s="49"/>
      <c r="K985" s="46"/>
      <c r="L985" s="49"/>
    </row>
    <row r="986">
      <c r="A986" s="44"/>
      <c r="B986" s="45"/>
      <c r="C986" s="46"/>
      <c r="D986" s="47"/>
      <c r="E986" s="47"/>
      <c r="F986" s="45"/>
      <c r="G986" s="47"/>
      <c r="H986" s="48"/>
      <c r="I986" s="45"/>
      <c r="J986" s="49"/>
      <c r="K986" s="46"/>
      <c r="L986" s="49"/>
    </row>
    <row r="987">
      <c r="A987" s="44"/>
      <c r="B987" s="45"/>
      <c r="C987" s="46"/>
      <c r="D987" s="47"/>
      <c r="E987" s="47"/>
      <c r="F987" s="45"/>
      <c r="G987" s="47"/>
      <c r="H987" s="48"/>
      <c r="I987" s="45"/>
      <c r="J987" s="49"/>
      <c r="K987" s="46"/>
      <c r="L987" s="49"/>
    </row>
    <row r="988">
      <c r="A988" s="44"/>
      <c r="B988" s="45"/>
      <c r="C988" s="46"/>
      <c r="D988" s="47"/>
      <c r="E988" s="47"/>
      <c r="F988" s="45"/>
      <c r="G988" s="47"/>
      <c r="H988" s="48"/>
      <c r="I988" s="45"/>
      <c r="J988" s="49"/>
      <c r="K988" s="46"/>
      <c r="L988" s="49"/>
    </row>
    <row r="989">
      <c r="A989" s="44"/>
      <c r="B989" s="45"/>
      <c r="C989" s="46"/>
      <c r="D989" s="47"/>
      <c r="E989" s="47"/>
      <c r="F989" s="45"/>
      <c r="G989" s="47"/>
      <c r="H989" s="48"/>
      <c r="I989" s="45"/>
      <c r="J989" s="49"/>
      <c r="K989" s="46"/>
      <c r="L989" s="49"/>
    </row>
    <row r="990">
      <c r="A990" s="44"/>
      <c r="B990" s="45"/>
      <c r="C990" s="46"/>
      <c r="D990" s="47"/>
      <c r="E990" s="47"/>
      <c r="F990" s="45"/>
      <c r="G990" s="47"/>
      <c r="H990" s="48"/>
      <c r="I990" s="45"/>
      <c r="J990" s="49"/>
      <c r="K990" s="46"/>
      <c r="L990" s="49"/>
    </row>
    <row r="991">
      <c r="A991" s="44"/>
      <c r="B991" s="45"/>
      <c r="C991" s="46"/>
      <c r="D991" s="47"/>
      <c r="E991" s="47"/>
      <c r="F991" s="45"/>
      <c r="G991" s="47"/>
      <c r="H991" s="48"/>
      <c r="I991" s="45"/>
      <c r="J991" s="49"/>
      <c r="K991" s="46"/>
      <c r="L991" s="49"/>
    </row>
    <row r="992">
      <c r="A992" s="44"/>
      <c r="B992" s="45"/>
      <c r="C992" s="46"/>
      <c r="D992" s="47"/>
      <c r="E992" s="47"/>
      <c r="F992" s="45"/>
      <c r="G992" s="47"/>
      <c r="H992" s="48"/>
      <c r="I992" s="45"/>
      <c r="J992" s="49"/>
      <c r="K992" s="46"/>
      <c r="L992" s="49"/>
    </row>
    <row r="993">
      <c r="A993" s="44"/>
      <c r="B993" s="45"/>
      <c r="C993" s="46"/>
      <c r="D993" s="47"/>
      <c r="E993" s="47"/>
      <c r="F993" s="45"/>
      <c r="G993" s="47"/>
      <c r="H993" s="48"/>
      <c r="I993" s="45"/>
      <c r="J993" s="49"/>
      <c r="K993" s="46"/>
      <c r="L993" s="49"/>
    </row>
    <row r="994">
      <c r="A994" s="44"/>
      <c r="B994" s="45"/>
      <c r="C994" s="46"/>
      <c r="D994" s="47"/>
      <c r="E994" s="47"/>
      <c r="F994" s="45"/>
      <c r="G994" s="47"/>
      <c r="H994" s="48"/>
      <c r="I994" s="45"/>
      <c r="J994" s="49"/>
      <c r="K994" s="46"/>
      <c r="L994" s="49"/>
    </row>
    <row r="995">
      <c r="A995" s="44"/>
      <c r="B995" s="45"/>
      <c r="C995" s="46"/>
      <c r="D995" s="47"/>
      <c r="E995" s="47"/>
      <c r="F995" s="45"/>
      <c r="G995" s="47"/>
      <c r="H995" s="48"/>
      <c r="I995" s="45"/>
      <c r="J995" s="49"/>
      <c r="K995" s="46"/>
      <c r="L995" s="49"/>
    </row>
    <row r="996">
      <c r="A996" s="44"/>
      <c r="B996" s="45"/>
      <c r="C996" s="46"/>
      <c r="D996" s="47"/>
      <c r="E996" s="47"/>
      <c r="F996" s="45"/>
      <c r="G996" s="47"/>
      <c r="H996" s="48"/>
      <c r="I996" s="45"/>
      <c r="J996" s="49"/>
      <c r="K996" s="46"/>
      <c r="L996" s="49"/>
    </row>
    <row r="997">
      <c r="A997" s="44"/>
      <c r="B997" s="45"/>
      <c r="C997" s="46"/>
      <c r="D997" s="47"/>
      <c r="E997" s="47"/>
      <c r="F997" s="45"/>
      <c r="G997" s="47"/>
      <c r="H997" s="48"/>
      <c r="I997" s="45"/>
      <c r="J997" s="49"/>
      <c r="K997" s="46"/>
      <c r="L997" s="49"/>
    </row>
    <row r="998">
      <c r="C998" s="72"/>
    </row>
    <row r="999">
      <c r="C999" s="72"/>
    </row>
  </sheetData>
  <autoFilter ref="$A$1:$L$13"/>
  <conditionalFormatting sqref="L2:L997">
    <cfRule type="cellIs" dxfId="0" priority="1" operator="equal">
      <formula>"DELIVERED"</formula>
    </cfRule>
  </conditionalFormatting>
  <drawing r:id="rId1"/>
</worksheet>
</file>